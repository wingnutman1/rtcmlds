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45" windowWidth="9720" windowHeight="6270"/>
  </bookViews>
  <sheets>
    <sheet name="BaseData" sheetId="18" r:id="rId1"/>
    <sheet name="45ph" sheetId="24" r:id="rId2"/>
    <sheet name="65ph" sheetId="25" r:id="rId3"/>
    <sheet name="85ph" sheetId="26" r:id="rId4"/>
    <sheet name="CashFlow" sheetId="21" r:id="rId5"/>
    <sheet name="Lists" sheetId="22" r:id="rId6"/>
  </sheets>
  <definedNames>
    <definedName name="Accounts">Lists!$A$2:$A$5</definedName>
    <definedName name="StartDate">BaseData!$B$2</definedName>
  </definedNames>
  <calcPr calcId="145621"/>
</workbook>
</file>

<file path=xl/calcChain.xml><?xml version="1.0" encoding="utf-8"?>
<calcChain xmlns="http://schemas.openxmlformats.org/spreadsheetml/2006/main">
  <c r="L880" i="26" l="1"/>
  <c r="J880" i="26"/>
  <c r="H880" i="26"/>
  <c r="F880" i="26"/>
  <c r="L879" i="26"/>
  <c r="J879" i="26"/>
  <c r="H879" i="26"/>
  <c r="F879" i="26"/>
  <c r="L878" i="26"/>
  <c r="J878" i="26"/>
  <c r="H878" i="26"/>
  <c r="F878" i="26"/>
  <c r="L877" i="26"/>
  <c r="J877" i="26"/>
  <c r="H877" i="26"/>
  <c r="F877" i="26"/>
  <c r="L876" i="26"/>
  <c r="J876" i="26"/>
  <c r="H876" i="26"/>
  <c r="F876" i="26"/>
  <c r="L875" i="26"/>
  <c r="J875" i="26"/>
  <c r="H875" i="26"/>
  <c r="F875" i="26"/>
  <c r="L874" i="26"/>
  <c r="J874" i="26"/>
  <c r="H874" i="26"/>
  <c r="F874" i="26"/>
  <c r="L873" i="26"/>
  <c r="J873" i="26"/>
  <c r="H873" i="26"/>
  <c r="F873" i="26"/>
  <c r="L872" i="26"/>
  <c r="J872" i="26"/>
  <c r="H872" i="26"/>
  <c r="F872" i="26"/>
  <c r="L871" i="26"/>
  <c r="J871" i="26"/>
  <c r="H871" i="26"/>
  <c r="F871" i="26"/>
  <c r="L870" i="26"/>
  <c r="J870" i="26"/>
  <c r="H870" i="26"/>
  <c r="F870" i="26"/>
  <c r="L869" i="26"/>
  <c r="J869" i="26"/>
  <c r="H869" i="26"/>
  <c r="F869" i="26"/>
  <c r="L868" i="26"/>
  <c r="J868" i="26"/>
  <c r="H868" i="26"/>
  <c r="F868" i="26"/>
  <c r="L867" i="26"/>
  <c r="J867" i="26"/>
  <c r="H867" i="26"/>
  <c r="F867" i="26"/>
  <c r="L866" i="26"/>
  <c r="J866" i="26"/>
  <c r="H866" i="26"/>
  <c r="F866" i="26"/>
  <c r="L865" i="26"/>
  <c r="J865" i="26"/>
  <c r="H865" i="26"/>
  <c r="F865" i="26"/>
  <c r="L864" i="26"/>
  <c r="J864" i="26"/>
  <c r="H864" i="26"/>
  <c r="F864" i="26"/>
  <c r="L863" i="26"/>
  <c r="J863" i="26"/>
  <c r="H863" i="26"/>
  <c r="F863" i="26"/>
  <c r="L862" i="26"/>
  <c r="J862" i="26"/>
  <c r="H862" i="26"/>
  <c r="F862" i="26"/>
  <c r="L861" i="26"/>
  <c r="J861" i="26"/>
  <c r="H861" i="26"/>
  <c r="F861" i="26"/>
  <c r="L860" i="26"/>
  <c r="J860" i="26"/>
  <c r="H860" i="26"/>
  <c r="F860" i="26"/>
  <c r="L859" i="26"/>
  <c r="J859" i="26"/>
  <c r="H859" i="26"/>
  <c r="F859" i="26"/>
  <c r="L858" i="26"/>
  <c r="J858" i="26"/>
  <c r="H858" i="26"/>
  <c r="F858" i="26"/>
  <c r="L857" i="26"/>
  <c r="J857" i="26"/>
  <c r="H857" i="26"/>
  <c r="F857" i="26"/>
  <c r="L856" i="26"/>
  <c r="J856" i="26"/>
  <c r="H856" i="26"/>
  <c r="F856" i="26"/>
  <c r="L855" i="26"/>
  <c r="J855" i="26"/>
  <c r="H855" i="26"/>
  <c r="F855" i="26"/>
  <c r="L854" i="26"/>
  <c r="J854" i="26"/>
  <c r="H854" i="26"/>
  <c r="F854" i="26"/>
  <c r="L853" i="26"/>
  <c r="J853" i="26"/>
  <c r="H853" i="26"/>
  <c r="F853" i="26"/>
  <c r="L852" i="26"/>
  <c r="J852" i="26"/>
  <c r="H852" i="26"/>
  <c r="F852" i="26"/>
  <c r="L851" i="26"/>
  <c r="J851" i="26"/>
  <c r="H851" i="26"/>
  <c r="F851" i="26"/>
  <c r="L850" i="26"/>
  <c r="J850" i="26"/>
  <c r="H850" i="26"/>
  <c r="F850" i="26"/>
  <c r="L849" i="26"/>
  <c r="J849" i="26"/>
  <c r="H849" i="26"/>
  <c r="F849" i="26"/>
  <c r="L848" i="26"/>
  <c r="J848" i="26"/>
  <c r="H848" i="26"/>
  <c r="F848" i="26"/>
  <c r="L847" i="26"/>
  <c r="J847" i="26"/>
  <c r="H847" i="26"/>
  <c r="F847" i="26"/>
  <c r="L846" i="26"/>
  <c r="J846" i="26"/>
  <c r="H846" i="26"/>
  <c r="F846" i="26"/>
  <c r="L845" i="26"/>
  <c r="J845" i="26"/>
  <c r="H845" i="26"/>
  <c r="F845" i="26"/>
  <c r="L844" i="26"/>
  <c r="J844" i="26"/>
  <c r="H844" i="26"/>
  <c r="F844" i="26"/>
  <c r="L843" i="26"/>
  <c r="J843" i="26"/>
  <c r="H843" i="26"/>
  <c r="F843" i="26"/>
  <c r="L842" i="26"/>
  <c r="J842" i="26"/>
  <c r="H842" i="26"/>
  <c r="F842" i="26"/>
  <c r="L841" i="26"/>
  <c r="J841" i="26"/>
  <c r="H841" i="26"/>
  <c r="F841" i="26"/>
  <c r="L840" i="26"/>
  <c r="J840" i="26"/>
  <c r="H840" i="26"/>
  <c r="F840" i="26"/>
  <c r="L839" i="26"/>
  <c r="J839" i="26"/>
  <c r="H839" i="26"/>
  <c r="F839" i="26"/>
  <c r="L838" i="26"/>
  <c r="J838" i="26"/>
  <c r="H838" i="26"/>
  <c r="F838" i="26"/>
  <c r="L837" i="26"/>
  <c r="J837" i="26"/>
  <c r="H837" i="26"/>
  <c r="F837" i="26"/>
  <c r="L836" i="26"/>
  <c r="J836" i="26"/>
  <c r="H836" i="26"/>
  <c r="F836" i="26"/>
  <c r="L835" i="26"/>
  <c r="J835" i="26"/>
  <c r="H835" i="26"/>
  <c r="F835" i="26"/>
  <c r="L834" i="26"/>
  <c r="J834" i="26"/>
  <c r="H834" i="26"/>
  <c r="F834" i="26"/>
  <c r="L833" i="26"/>
  <c r="J833" i="26"/>
  <c r="H833" i="26"/>
  <c r="F833" i="26"/>
  <c r="L832" i="26"/>
  <c r="J832" i="26"/>
  <c r="H832" i="26"/>
  <c r="F832" i="26"/>
  <c r="L831" i="26"/>
  <c r="J831" i="26"/>
  <c r="H831" i="26"/>
  <c r="F831" i="26"/>
  <c r="L830" i="26"/>
  <c r="J830" i="26"/>
  <c r="H830" i="26"/>
  <c r="F830" i="26"/>
  <c r="L829" i="26"/>
  <c r="J829" i="26"/>
  <c r="H829" i="26"/>
  <c r="F829" i="26"/>
  <c r="L828" i="26"/>
  <c r="J828" i="26"/>
  <c r="H828" i="26"/>
  <c r="F828" i="26"/>
  <c r="L827" i="26"/>
  <c r="J827" i="26"/>
  <c r="H827" i="26"/>
  <c r="F827" i="26"/>
  <c r="L826" i="26"/>
  <c r="J826" i="26"/>
  <c r="H826" i="26"/>
  <c r="F826" i="26"/>
  <c r="L825" i="26"/>
  <c r="J825" i="26"/>
  <c r="H825" i="26"/>
  <c r="F825" i="26"/>
  <c r="L824" i="26"/>
  <c r="J824" i="26"/>
  <c r="H824" i="26"/>
  <c r="F824" i="26"/>
  <c r="L823" i="26"/>
  <c r="J823" i="26"/>
  <c r="H823" i="26"/>
  <c r="F823" i="26"/>
  <c r="L822" i="26"/>
  <c r="J822" i="26"/>
  <c r="H822" i="26"/>
  <c r="F822" i="26"/>
  <c r="L821" i="26"/>
  <c r="J821" i="26"/>
  <c r="H821" i="26"/>
  <c r="F821" i="26"/>
  <c r="L820" i="26"/>
  <c r="J820" i="26"/>
  <c r="H820" i="26"/>
  <c r="F820" i="26"/>
  <c r="L819" i="26"/>
  <c r="J819" i="26"/>
  <c r="H819" i="26"/>
  <c r="F819" i="26"/>
  <c r="L818" i="26"/>
  <c r="J818" i="26"/>
  <c r="H818" i="26"/>
  <c r="F818" i="26"/>
  <c r="L817" i="26"/>
  <c r="J817" i="26"/>
  <c r="H817" i="26"/>
  <c r="F817" i="26"/>
  <c r="L816" i="26"/>
  <c r="J816" i="26"/>
  <c r="H816" i="26"/>
  <c r="F816" i="26"/>
  <c r="L815" i="26"/>
  <c r="J815" i="26"/>
  <c r="H815" i="26"/>
  <c r="F815" i="26"/>
  <c r="L814" i="26"/>
  <c r="J814" i="26"/>
  <c r="H814" i="26"/>
  <c r="F814" i="26"/>
  <c r="L813" i="26"/>
  <c r="J813" i="26"/>
  <c r="H813" i="26"/>
  <c r="F813" i="26"/>
  <c r="L812" i="26"/>
  <c r="J812" i="26"/>
  <c r="H812" i="26"/>
  <c r="F812" i="26"/>
  <c r="L811" i="26"/>
  <c r="J811" i="26"/>
  <c r="H811" i="26"/>
  <c r="F811" i="26"/>
  <c r="L810" i="26"/>
  <c r="J810" i="26"/>
  <c r="H810" i="26"/>
  <c r="F810" i="26"/>
  <c r="L809" i="26"/>
  <c r="J809" i="26"/>
  <c r="H809" i="26"/>
  <c r="F809" i="26"/>
  <c r="L808" i="26"/>
  <c r="J808" i="26"/>
  <c r="H808" i="26"/>
  <c r="F808" i="26"/>
  <c r="L807" i="26"/>
  <c r="J807" i="26"/>
  <c r="H807" i="26"/>
  <c r="F807" i="26"/>
  <c r="L806" i="26"/>
  <c r="J806" i="26"/>
  <c r="H806" i="26"/>
  <c r="F806" i="26"/>
  <c r="L805" i="26"/>
  <c r="J805" i="26"/>
  <c r="H805" i="26"/>
  <c r="F805" i="26"/>
  <c r="L804" i="26"/>
  <c r="J804" i="26"/>
  <c r="H804" i="26"/>
  <c r="F804" i="26"/>
  <c r="L803" i="26"/>
  <c r="J803" i="26"/>
  <c r="H803" i="26"/>
  <c r="F803" i="26"/>
  <c r="L802" i="26"/>
  <c r="J802" i="26"/>
  <c r="H802" i="26"/>
  <c r="F802" i="26"/>
  <c r="L801" i="26"/>
  <c r="J801" i="26"/>
  <c r="H801" i="26"/>
  <c r="F801" i="26"/>
  <c r="L800" i="26"/>
  <c r="J800" i="26"/>
  <c r="H800" i="26"/>
  <c r="F800" i="26"/>
  <c r="L799" i="26"/>
  <c r="J799" i="26"/>
  <c r="H799" i="26"/>
  <c r="F799" i="26"/>
  <c r="L798" i="26"/>
  <c r="J798" i="26"/>
  <c r="H798" i="26"/>
  <c r="F798" i="26"/>
  <c r="L797" i="26"/>
  <c r="J797" i="26"/>
  <c r="H797" i="26"/>
  <c r="F797" i="26"/>
  <c r="L796" i="26"/>
  <c r="J796" i="26"/>
  <c r="H796" i="26"/>
  <c r="F796" i="26"/>
  <c r="L795" i="26"/>
  <c r="J795" i="26"/>
  <c r="H795" i="26"/>
  <c r="F795" i="26"/>
  <c r="L794" i="26"/>
  <c r="J794" i="26"/>
  <c r="H794" i="26"/>
  <c r="F794" i="26"/>
  <c r="L793" i="26"/>
  <c r="J793" i="26"/>
  <c r="H793" i="26"/>
  <c r="F793" i="26"/>
  <c r="L792" i="26"/>
  <c r="J792" i="26"/>
  <c r="H792" i="26"/>
  <c r="F792" i="26"/>
  <c r="L791" i="26"/>
  <c r="J791" i="26"/>
  <c r="H791" i="26"/>
  <c r="F791" i="26"/>
  <c r="L790" i="26"/>
  <c r="J790" i="26"/>
  <c r="H790" i="26"/>
  <c r="F790" i="26"/>
  <c r="L789" i="26"/>
  <c r="J789" i="26"/>
  <c r="H789" i="26"/>
  <c r="F789" i="26"/>
  <c r="L788" i="26"/>
  <c r="J788" i="26"/>
  <c r="H788" i="26"/>
  <c r="F788" i="26"/>
  <c r="L787" i="26"/>
  <c r="J787" i="26"/>
  <c r="H787" i="26"/>
  <c r="F787" i="26"/>
  <c r="L786" i="26"/>
  <c r="J786" i="26"/>
  <c r="H786" i="26"/>
  <c r="F786" i="26"/>
  <c r="L785" i="26"/>
  <c r="J785" i="26"/>
  <c r="H785" i="26"/>
  <c r="F785" i="26"/>
  <c r="L784" i="26"/>
  <c r="J784" i="26"/>
  <c r="H784" i="26"/>
  <c r="F784" i="26"/>
  <c r="L783" i="26"/>
  <c r="J783" i="26"/>
  <c r="H783" i="26"/>
  <c r="F783" i="26"/>
  <c r="L782" i="26"/>
  <c r="J782" i="26"/>
  <c r="H782" i="26"/>
  <c r="F782" i="26"/>
  <c r="L781" i="26"/>
  <c r="J781" i="26"/>
  <c r="H781" i="26"/>
  <c r="F781" i="26"/>
  <c r="L780" i="26"/>
  <c r="J780" i="26"/>
  <c r="H780" i="26"/>
  <c r="F780" i="26"/>
  <c r="L779" i="26"/>
  <c r="J779" i="26"/>
  <c r="H779" i="26"/>
  <c r="F779" i="26"/>
  <c r="L778" i="26"/>
  <c r="J778" i="26"/>
  <c r="H778" i="26"/>
  <c r="F778" i="26"/>
  <c r="L777" i="26"/>
  <c r="J777" i="26"/>
  <c r="H777" i="26"/>
  <c r="F777" i="26"/>
  <c r="L776" i="26"/>
  <c r="J776" i="26"/>
  <c r="H776" i="26"/>
  <c r="F776" i="26"/>
  <c r="L775" i="26"/>
  <c r="J775" i="26"/>
  <c r="H775" i="26"/>
  <c r="F775" i="26"/>
  <c r="L774" i="26"/>
  <c r="J774" i="26"/>
  <c r="H774" i="26"/>
  <c r="F774" i="26"/>
  <c r="L773" i="26"/>
  <c r="J773" i="26"/>
  <c r="H773" i="26"/>
  <c r="F773" i="26"/>
  <c r="L772" i="26"/>
  <c r="J772" i="26"/>
  <c r="H772" i="26"/>
  <c r="F772" i="26"/>
  <c r="L771" i="26"/>
  <c r="J771" i="26"/>
  <c r="H771" i="26"/>
  <c r="F771" i="26"/>
  <c r="L770" i="26"/>
  <c r="J770" i="26"/>
  <c r="H770" i="26"/>
  <c r="F770" i="26"/>
  <c r="L769" i="26"/>
  <c r="J769" i="26"/>
  <c r="H769" i="26"/>
  <c r="F769" i="26"/>
  <c r="L768" i="26"/>
  <c r="J768" i="26"/>
  <c r="H768" i="26"/>
  <c r="F768" i="26"/>
  <c r="L767" i="26"/>
  <c r="J767" i="26"/>
  <c r="H767" i="26"/>
  <c r="F767" i="26"/>
  <c r="L766" i="26"/>
  <c r="J766" i="26"/>
  <c r="H766" i="26"/>
  <c r="F766" i="26"/>
  <c r="L765" i="26"/>
  <c r="J765" i="26"/>
  <c r="H765" i="26"/>
  <c r="F765" i="26"/>
  <c r="L764" i="26"/>
  <c r="J764" i="26"/>
  <c r="H764" i="26"/>
  <c r="F764" i="26"/>
  <c r="L763" i="26"/>
  <c r="J763" i="26"/>
  <c r="H763" i="26"/>
  <c r="F763" i="26"/>
  <c r="L762" i="26"/>
  <c r="J762" i="26"/>
  <c r="H762" i="26"/>
  <c r="F762" i="26"/>
  <c r="L761" i="26"/>
  <c r="J761" i="26"/>
  <c r="H761" i="26"/>
  <c r="F761" i="26"/>
  <c r="L760" i="26"/>
  <c r="J760" i="26"/>
  <c r="H760" i="26"/>
  <c r="F760" i="26"/>
  <c r="L759" i="26"/>
  <c r="J759" i="26"/>
  <c r="H759" i="26"/>
  <c r="F759" i="26"/>
  <c r="L758" i="26"/>
  <c r="J758" i="26"/>
  <c r="H758" i="26"/>
  <c r="F758" i="26"/>
  <c r="L757" i="26"/>
  <c r="J757" i="26"/>
  <c r="H757" i="26"/>
  <c r="F757" i="26"/>
  <c r="L756" i="26"/>
  <c r="J756" i="26"/>
  <c r="H756" i="26"/>
  <c r="F756" i="26"/>
  <c r="L755" i="26"/>
  <c r="J755" i="26"/>
  <c r="H755" i="26"/>
  <c r="F755" i="26"/>
  <c r="L754" i="26"/>
  <c r="J754" i="26"/>
  <c r="H754" i="26"/>
  <c r="F754" i="26"/>
  <c r="L753" i="26"/>
  <c r="J753" i="26"/>
  <c r="H753" i="26"/>
  <c r="F753" i="26"/>
  <c r="L752" i="26"/>
  <c r="J752" i="26"/>
  <c r="H752" i="26"/>
  <c r="F752" i="26"/>
  <c r="L751" i="26"/>
  <c r="J751" i="26"/>
  <c r="H751" i="26"/>
  <c r="F751" i="26"/>
  <c r="L750" i="26"/>
  <c r="J750" i="26"/>
  <c r="H750" i="26"/>
  <c r="F750" i="26"/>
  <c r="L749" i="26"/>
  <c r="J749" i="26"/>
  <c r="H749" i="26"/>
  <c r="F749" i="26"/>
  <c r="L748" i="26"/>
  <c r="J748" i="26"/>
  <c r="H748" i="26"/>
  <c r="F748" i="26"/>
  <c r="L747" i="26"/>
  <c r="J747" i="26"/>
  <c r="H747" i="26"/>
  <c r="F747" i="26"/>
  <c r="L746" i="26"/>
  <c r="J746" i="26"/>
  <c r="H746" i="26"/>
  <c r="F746" i="26"/>
  <c r="L745" i="26"/>
  <c r="J745" i="26"/>
  <c r="H745" i="26"/>
  <c r="F745" i="26"/>
  <c r="L744" i="26"/>
  <c r="J744" i="26"/>
  <c r="H744" i="26"/>
  <c r="F744" i="26"/>
  <c r="L743" i="26"/>
  <c r="J743" i="26"/>
  <c r="H743" i="26"/>
  <c r="F743" i="26"/>
  <c r="L742" i="26"/>
  <c r="J742" i="26"/>
  <c r="H742" i="26"/>
  <c r="F742" i="26"/>
  <c r="L741" i="26"/>
  <c r="J741" i="26"/>
  <c r="H741" i="26"/>
  <c r="F741" i="26"/>
  <c r="L740" i="26"/>
  <c r="J740" i="26"/>
  <c r="H740" i="26"/>
  <c r="F740" i="26"/>
  <c r="L739" i="26"/>
  <c r="J739" i="26"/>
  <c r="H739" i="26"/>
  <c r="F739" i="26"/>
  <c r="L738" i="26"/>
  <c r="J738" i="26"/>
  <c r="H738" i="26"/>
  <c r="F738" i="26"/>
  <c r="L737" i="26"/>
  <c r="J737" i="26"/>
  <c r="H737" i="26"/>
  <c r="F737" i="26"/>
  <c r="L736" i="26"/>
  <c r="J736" i="26"/>
  <c r="H736" i="26"/>
  <c r="F736" i="26"/>
  <c r="L735" i="26"/>
  <c r="J735" i="26"/>
  <c r="H735" i="26"/>
  <c r="F735" i="26"/>
  <c r="L734" i="26"/>
  <c r="J734" i="26"/>
  <c r="H734" i="26"/>
  <c r="F734" i="26"/>
  <c r="L733" i="26"/>
  <c r="J733" i="26"/>
  <c r="H733" i="26"/>
  <c r="F733" i="26"/>
  <c r="L732" i="26"/>
  <c r="J732" i="26"/>
  <c r="H732" i="26"/>
  <c r="F732" i="26"/>
  <c r="L731" i="26"/>
  <c r="J731" i="26"/>
  <c r="H731" i="26"/>
  <c r="F731" i="26"/>
  <c r="L730" i="26"/>
  <c r="J730" i="26"/>
  <c r="H730" i="26"/>
  <c r="F730" i="26"/>
  <c r="L729" i="26"/>
  <c r="J729" i="26"/>
  <c r="H729" i="26"/>
  <c r="F729" i="26"/>
  <c r="L728" i="26"/>
  <c r="J728" i="26"/>
  <c r="H728" i="26"/>
  <c r="F728" i="26"/>
  <c r="L727" i="26"/>
  <c r="J727" i="26"/>
  <c r="H727" i="26"/>
  <c r="F727" i="26"/>
  <c r="L726" i="26"/>
  <c r="J726" i="26"/>
  <c r="H726" i="26"/>
  <c r="F726" i="26"/>
  <c r="L725" i="26"/>
  <c r="J725" i="26"/>
  <c r="H725" i="26"/>
  <c r="F725" i="26"/>
  <c r="L724" i="26"/>
  <c r="J724" i="26"/>
  <c r="H724" i="26"/>
  <c r="F724" i="26"/>
  <c r="L723" i="26"/>
  <c r="J723" i="26"/>
  <c r="H723" i="26"/>
  <c r="F723" i="26"/>
  <c r="L722" i="26"/>
  <c r="J722" i="26"/>
  <c r="H722" i="26"/>
  <c r="F722" i="26"/>
  <c r="L721" i="26"/>
  <c r="J721" i="26"/>
  <c r="H721" i="26"/>
  <c r="F721" i="26"/>
  <c r="L720" i="26"/>
  <c r="J720" i="26"/>
  <c r="H720" i="26"/>
  <c r="F720" i="26"/>
  <c r="L719" i="26"/>
  <c r="J719" i="26"/>
  <c r="H719" i="26"/>
  <c r="F719" i="26"/>
  <c r="L718" i="26"/>
  <c r="J718" i="26"/>
  <c r="H718" i="26"/>
  <c r="F718" i="26"/>
  <c r="L717" i="26"/>
  <c r="J717" i="26"/>
  <c r="H717" i="26"/>
  <c r="F717" i="26"/>
  <c r="L716" i="26"/>
  <c r="J716" i="26"/>
  <c r="H716" i="26"/>
  <c r="F716" i="26"/>
  <c r="L715" i="26"/>
  <c r="J715" i="26"/>
  <c r="H715" i="26"/>
  <c r="F715" i="26"/>
  <c r="L714" i="26"/>
  <c r="J714" i="26"/>
  <c r="H714" i="26"/>
  <c r="F714" i="26"/>
  <c r="L713" i="26"/>
  <c r="J713" i="26"/>
  <c r="H713" i="26"/>
  <c r="F713" i="26"/>
  <c r="L712" i="26"/>
  <c r="J712" i="26"/>
  <c r="H712" i="26"/>
  <c r="F712" i="26"/>
  <c r="L711" i="26"/>
  <c r="J711" i="26"/>
  <c r="H711" i="26"/>
  <c r="F711" i="26"/>
  <c r="L710" i="26"/>
  <c r="J710" i="26"/>
  <c r="H710" i="26"/>
  <c r="F710" i="26"/>
  <c r="L709" i="26"/>
  <c r="J709" i="26"/>
  <c r="H709" i="26"/>
  <c r="F709" i="26"/>
  <c r="L708" i="26"/>
  <c r="J708" i="26"/>
  <c r="H708" i="26"/>
  <c r="F708" i="26"/>
  <c r="L707" i="26"/>
  <c r="J707" i="26"/>
  <c r="H707" i="26"/>
  <c r="F707" i="26"/>
  <c r="L706" i="26"/>
  <c r="J706" i="26"/>
  <c r="H706" i="26"/>
  <c r="F706" i="26"/>
  <c r="L705" i="26"/>
  <c r="J705" i="26"/>
  <c r="H705" i="26"/>
  <c r="F705" i="26"/>
  <c r="L704" i="26"/>
  <c r="J704" i="26"/>
  <c r="H704" i="26"/>
  <c r="F704" i="26"/>
  <c r="L703" i="26"/>
  <c r="J703" i="26"/>
  <c r="H703" i="26"/>
  <c r="F703" i="26"/>
  <c r="L702" i="26"/>
  <c r="J702" i="26"/>
  <c r="H702" i="26"/>
  <c r="F702" i="26"/>
  <c r="L701" i="26"/>
  <c r="J701" i="26"/>
  <c r="H701" i="26"/>
  <c r="F701" i="26"/>
  <c r="L700" i="26"/>
  <c r="J700" i="26"/>
  <c r="H700" i="26"/>
  <c r="F700" i="26"/>
  <c r="L699" i="26"/>
  <c r="J699" i="26"/>
  <c r="H699" i="26"/>
  <c r="F699" i="26"/>
  <c r="L698" i="26"/>
  <c r="J698" i="26"/>
  <c r="H698" i="26"/>
  <c r="F698" i="26"/>
  <c r="L697" i="26"/>
  <c r="J697" i="26"/>
  <c r="H697" i="26"/>
  <c r="F697" i="26"/>
  <c r="L696" i="26"/>
  <c r="J696" i="26"/>
  <c r="H696" i="26"/>
  <c r="F696" i="26"/>
  <c r="L695" i="26"/>
  <c r="J695" i="26"/>
  <c r="H695" i="26"/>
  <c r="F695" i="26"/>
  <c r="L694" i="26"/>
  <c r="J694" i="26"/>
  <c r="H694" i="26"/>
  <c r="F694" i="26"/>
  <c r="L693" i="26"/>
  <c r="J693" i="26"/>
  <c r="H693" i="26"/>
  <c r="F693" i="26"/>
  <c r="L692" i="26"/>
  <c r="J692" i="26"/>
  <c r="H692" i="26"/>
  <c r="F692" i="26"/>
  <c r="L691" i="26"/>
  <c r="J691" i="26"/>
  <c r="H691" i="26"/>
  <c r="F691" i="26"/>
  <c r="L690" i="26"/>
  <c r="J690" i="26"/>
  <c r="H690" i="26"/>
  <c r="F690" i="26"/>
  <c r="L689" i="26"/>
  <c r="J689" i="26"/>
  <c r="H689" i="26"/>
  <c r="F689" i="26"/>
  <c r="L688" i="26"/>
  <c r="J688" i="26"/>
  <c r="H688" i="26"/>
  <c r="F688" i="26"/>
  <c r="L687" i="26"/>
  <c r="J687" i="26"/>
  <c r="H687" i="26"/>
  <c r="F687" i="26"/>
  <c r="L686" i="26"/>
  <c r="J686" i="26"/>
  <c r="H686" i="26"/>
  <c r="F686" i="26"/>
  <c r="L685" i="26"/>
  <c r="J685" i="26"/>
  <c r="H685" i="26"/>
  <c r="F685" i="26"/>
  <c r="L684" i="26"/>
  <c r="J684" i="26"/>
  <c r="H684" i="26"/>
  <c r="F684" i="26"/>
  <c r="L683" i="26"/>
  <c r="J683" i="26"/>
  <c r="H683" i="26"/>
  <c r="F683" i="26"/>
  <c r="L682" i="26"/>
  <c r="J682" i="26"/>
  <c r="H682" i="26"/>
  <c r="F682" i="26"/>
  <c r="L681" i="26"/>
  <c r="J681" i="26"/>
  <c r="H681" i="26"/>
  <c r="F681" i="26"/>
  <c r="L680" i="26"/>
  <c r="J680" i="26"/>
  <c r="H680" i="26"/>
  <c r="F680" i="26"/>
  <c r="L679" i="26"/>
  <c r="J679" i="26"/>
  <c r="H679" i="26"/>
  <c r="F679" i="26"/>
  <c r="L678" i="26"/>
  <c r="J678" i="26"/>
  <c r="H678" i="26"/>
  <c r="F678" i="26"/>
  <c r="L677" i="26"/>
  <c r="J677" i="26"/>
  <c r="H677" i="26"/>
  <c r="F677" i="26"/>
  <c r="L676" i="26"/>
  <c r="J676" i="26"/>
  <c r="H676" i="26"/>
  <c r="F676" i="26"/>
  <c r="L675" i="26"/>
  <c r="J675" i="26"/>
  <c r="H675" i="26"/>
  <c r="F675" i="26"/>
  <c r="L674" i="26"/>
  <c r="J674" i="26"/>
  <c r="H674" i="26"/>
  <c r="F674" i="26"/>
  <c r="L673" i="26"/>
  <c r="J673" i="26"/>
  <c r="H673" i="26"/>
  <c r="F673" i="26"/>
  <c r="L672" i="26"/>
  <c r="J672" i="26"/>
  <c r="H672" i="26"/>
  <c r="F672" i="26"/>
  <c r="L671" i="26"/>
  <c r="J671" i="26"/>
  <c r="H671" i="26"/>
  <c r="F671" i="26"/>
  <c r="L670" i="26"/>
  <c r="J670" i="26"/>
  <c r="H670" i="26"/>
  <c r="F670" i="26"/>
  <c r="L669" i="26"/>
  <c r="J669" i="26"/>
  <c r="H669" i="26"/>
  <c r="F669" i="26"/>
  <c r="L668" i="26"/>
  <c r="J668" i="26"/>
  <c r="H668" i="26"/>
  <c r="F668" i="26"/>
  <c r="L667" i="26"/>
  <c r="J667" i="26"/>
  <c r="H667" i="26"/>
  <c r="F667" i="26"/>
  <c r="L666" i="26"/>
  <c r="J666" i="26"/>
  <c r="H666" i="26"/>
  <c r="F666" i="26"/>
  <c r="L665" i="26"/>
  <c r="J665" i="26"/>
  <c r="H665" i="26"/>
  <c r="F665" i="26"/>
  <c r="L664" i="26"/>
  <c r="J664" i="26"/>
  <c r="H664" i="26"/>
  <c r="F664" i="26"/>
  <c r="L663" i="26"/>
  <c r="J663" i="26"/>
  <c r="H663" i="26"/>
  <c r="F663" i="26"/>
  <c r="L662" i="26"/>
  <c r="J662" i="26"/>
  <c r="H662" i="26"/>
  <c r="F662" i="26"/>
  <c r="L661" i="26"/>
  <c r="J661" i="26"/>
  <c r="H661" i="26"/>
  <c r="F661" i="26"/>
  <c r="L660" i="26"/>
  <c r="J660" i="26"/>
  <c r="H660" i="26"/>
  <c r="F660" i="26"/>
  <c r="L659" i="26"/>
  <c r="J659" i="26"/>
  <c r="H659" i="26"/>
  <c r="F659" i="26"/>
  <c r="L658" i="26"/>
  <c r="J658" i="26"/>
  <c r="H658" i="26"/>
  <c r="F658" i="26"/>
  <c r="L657" i="26"/>
  <c r="J657" i="26"/>
  <c r="H657" i="26"/>
  <c r="F657" i="26"/>
  <c r="L656" i="26"/>
  <c r="J656" i="26"/>
  <c r="H656" i="26"/>
  <c r="F656" i="26"/>
  <c r="L655" i="26"/>
  <c r="J655" i="26"/>
  <c r="H655" i="26"/>
  <c r="F655" i="26"/>
  <c r="L654" i="26"/>
  <c r="J654" i="26"/>
  <c r="H654" i="26"/>
  <c r="F654" i="26"/>
  <c r="L653" i="26"/>
  <c r="J653" i="26"/>
  <c r="H653" i="26"/>
  <c r="F653" i="26"/>
  <c r="L652" i="26"/>
  <c r="J652" i="26"/>
  <c r="H652" i="26"/>
  <c r="F652" i="26"/>
  <c r="L651" i="26"/>
  <c r="J651" i="26"/>
  <c r="H651" i="26"/>
  <c r="F651" i="26"/>
  <c r="L650" i="26"/>
  <c r="J650" i="26"/>
  <c r="H650" i="26"/>
  <c r="F650" i="26"/>
  <c r="L649" i="26"/>
  <c r="J649" i="26"/>
  <c r="H649" i="26"/>
  <c r="F649" i="26"/>
  <c r="L648" i="26"/>
  <c r="J648" i="26"/>
  <c r="H648" i="26"/>
  <c r="F648" i="26"/>
  <c r="L647" i="26"/>
  <c r="J647" i="26"/>
  <c r="H647" i="26"/>
  <c r="F647" i="26"/>
  <c r="L646" i="26"/>
  <c r="J646" i="26"/>
  <c r="H646" i="26"/>
  <c r="F646" i="26"/>
  <c r="L645" i="26"/>
  <c r="J645" i="26"/>
  <c r="H645" i="26"/>
  <c r="F645" i="26"/>
  <c r="L644" i="26"/>
  <c r="J644" i="26"/>
  <c r="H644" i="26"/>
  <c r="F644" i="26"/>
  <c r="L643" i="26"/>
  <c r="J643" i="26"/>
  <c r="H643" i="26"/>
  <c r="F643" i="26"/>
  <c r="L642" i="26"/>
  <c r="J642" i="26"/>
  <c r="H642" i="26"/>
  <c r="F642" i="26"/>
  <c r="L641" i="26"/>
  <c r="J641" i="26"/>
  <c r="H641" i="26"/>
  <c r="F641" i="26"/>
  <c r="L640" i="26"/>
  <c r="J640" i="26"/>
  <c r="H640" i="26"/>
  <c r="F640" i="26"/>
  <c r="L639" i="26"/>
  <c r="J639" i="26"/>
  <c r="H639" i="26"/>
  <c r="F639" i="26"/>
  <c r="L638" i="26"/>
  <c r="J638" i="26"/>
  <c r="H638" i="26"/>
  <c r="F638" i="26"/>
  <c r="L637" i="26"/>
  <c r="J637" i="26"/>
  <c r="H637" i="26"/>
  <c r="F637" i="26"/>
  <c r="L636" i="26"/>
  <c r="J636" i="26"/>
  <c r="H636" i="26"/>
  <c r="F636" i="26"/>
  <c r="L635" i="26"/>
  <c r="J635" i="26"/>
  <c r="H635" i="26"/>
  <c r="F635" i="26"/>
  <c r="L634" i="26"/>
  <c r="J634" i="26"/>
  <c r="H634" i="26"/>
  <c r="F634" i="26"/>
  <c r="L633" i="26"/>
  <c r="J633" i="26"/>
  <c r="H633" i="26"/>
  <c r="F633" i="26"/>
  <c r="L632" i="26"/>
  <c r="J632" i="26"/>
  <c r="H632" i="26"/>
  <c r="F632" i="26"/>
  <c r="L631" i="26"/>
  <c r="J631" i="26"/>
  <c r="H631" i="26"/>
  <c r="F631" i="26"/>
  <c r="L630" i="26"/>
  <c r="J630" i="26"/>
  <c r="H630" i="26"/>
  <c r="F630" i="26"/>
  <c r="L629" i="26"/>
  <c r="J629" i="26"/>
  <c r="H629" i="26"/>
  <c r="F629" i="26"/>
  <c r="L628" i="26"/>
  <c r="J628" i="26"/>
  <c r="H628" i="26"/>
  <c r="F628" i="26"/>
  <c r="L627" i="26"/>
  <c r="J627" i="26"/>
  <c r="H627" i="26"/>
  <c r="F627" i="26"/>
  <c r="L626" i="26"/>
  <c r="J626" i="26"/>
  <c r="H626" i="26"/>
  <c r="F626" i="26"/>
  <c r="L625" i="26"/>
  <c r="J625" i="26"/>
  <c r="H625" i="26"/>
  <c r="F625" i="26"/>
  <c r="L624" i="26"/>
  <c r="J624" i="26"/>
  <c r="H624" i="26"/>
  <c r="F624" i="26"/>
  <c r="L623" i="26"/>
  <c r="J623" i="26"/>
  <c r="H623" i="26"/>
  <c r="F623" i="26"/>
  <c r="L622" i="26"/>
  <c r="J622" i="26"/>
  <c r="H622" i="26"/>
  <c r="F622" i="26"/>
  <c r="L621" i="26"/>
  <c r="J621" i="26"/>
  <c r="H621" i="26"/>
  <c r="F621" i="26"/>
  <c r="L620" i="26"/>
  <c r="J620" i="26"/>
  <c r="H620" i="26"/>
  <c r="F620" i="26"/>
  <c r="L619" i="26"/>
  <c r="J619" i="26"/>
  <c r="H619" i="26"/>
  <c r="F619" i="26"/>
  <c r="L618" i="26"/>
  <c r="J618" i="26"/>
  <c r="H618" i="26"/>
  <c r="F618" i="26"/>
  <c r="L617" i="26"/>
  <c r="J617" i="26"/>
  <c r="H617" i="26"/>
  <c r="F617" i="26"/>
  <c r="L616" i="26"/>
  <c r="J616" i="26"/>
  <c r="H616" i="26"/>
  <c r="F616" i="26"/>
  <c r="L615" i="26"/>
  <c r="J615" i="26"/>
  <c r="H615" i="26"/>
  <c r="F615" i="26"/>
  <c r="L614" i="26"/>
  <c r="J614" i="26"/>
  <c r="H614" i="26"/>
  <c r="F614" i="26"/>
  <c r="L613" i="26"/>
  <c r="J613" i="26"/>
  <c r="H613" i="26"/>
  <c r="F613" i="26"/>
  <c r="L612" i="26"/>
  <c r="J612" i="26"/>
  <c r="H612" i="26"/>
  <c r="F612" i="26"/>
  <c r="L611" i="26"/>
  <c r="J611" i="26"/>
  <c r="H611" i="26"/>
  <c r="F611" i="26"/>
  <c r="L610" i="26"/>
  <c r="J610" i="26"/>
  <c r="H610" i="26"/>
  <c r="F610" i="26"/>
  <c r="L609" i="26"/>
  <c r="J609" i="26"/>
  <c r="H609" i="26"/>
  <c r="F609" i="26"/>
  <c r="L608" i="26"/>
  <c r="J608" i="26"/>
  <c r="H608" i="26"/>
  <c r="F608" i="26"/>
  <c r="L607" i="26"/>
  <c r="J607" i="26"/>
  <c r="H607" i="26"/>
  <c r="F607" i="26"/>
  <c r="L606" i="26"/>
  <c r="J606" i="26"/>
  <c r="H606" i="26"/>
  <c r="F606" i="26"/>
  <c r="L605" i="26"/>
  <c r="J605" i="26"/>
  <c r="H605" i="26"/>
  <c r="F605" i="26"/>
  <c r="L604" i="26"/>
  <c r="J604" i="26"/>
  <c r="H604" i="26"/>
  <c r="F604" i="26"/>
  <c r="L603" i="26"/>
  <c r="J603" i="26"/>
  <c r="H603" i="26"/>
  <c r="F603" i="26"/>
  <c r="L602" i="26"/>
  <c r="J602" i="26"/>
  <c r="H602" i="26"/>
  <c r="F602" i="26"/>
  <c r="L601" i="26"/>
  <c r="J601" i="26"/>
  <c r="H601" i="26"/>
  <c r="F601" i="26"/>
  <c r="L600" i="26"/>
  <c r="J600" i="26"/>
  <c r="H600" i="26"/>
  <c r="F600" i="26"/>
  <c r="L599" i="26"/>
  <c r="J599" i="26"/>
  <c r="H599" i="26"/>
  <c r="F599" i="26"/>
  <c r="L598" i="26"/>
  <c r="J598" i="26"/>
  <c r="H598" i="26"/>
  <c r="F598" i="26"/>
  <c r="L597" i="26"/>
  <c r="J597" i="26"/>
  <c r="H597" i="26"/>
  <c r="F597" i="26"/>
  <c r="L596" i="26"/>
  <c r="J596" i="26"/>
  <c r="H596" i="26"/>
  <c r="F596" i="26"/>
  <c r="L595" i="26"/>
  <c r="J595" i="26"/>
  <c r="H595" i="26"/>
  <c r="F595" i="26"/>
  <c r="L594" i="26"/>
  <c r="J594" i="26"/>
  <c r="H594" i="26"/>
  <c r="F594" i="26"/>
  <c r="L593" i="26"/>
  <c r="J593" i="26"/>
  <c r="H593" i="26"/>
  <c r="F593" i="26"/>
  <c r="L592" i="26"/>
  <c r="J592" i="26"/>
  <c r="H592" i="26"/>
  <c r="F592" i="26"/>
  <c r="L591" i="26"/>
  <c r="J591" i="26"/>
  <c r="H591" i="26"/>
  <c r="F591" i="26"/>
  <c r="L590" i="26"/>
  <c r="J590" i="26"/>
  <c r="H590" i="26"/>
  <c r="F590" i="26"/>
  <c r="L589" i="26"/>
  <c r="J589" i="26"/>
  <c r="H589" i="26"/>
  <c r="F589" i="26"/>
  <c r="L588" i="26"/>
  <c r="J588" i="26"/>
  <c r="H588" i="26"/>
  <c r="F588" i="26"/>
  <c r="L587" i="26"/>
  <c r="J587" i="26"/>
  <c r="H587" i="26"/>
  <c r="F587" i="26"/>
  <c r="L586" i="26"/>
  <c r="J586" i="26"/>
  <c r="H586" i="26"/>
  <c r="F586" i="26"/>
  <c r="L585" i="26"/>
  <c r="J585" i="26"/>
  <c r="H585" i="26"/>
  <c r="F585" i="26"/>
  <c r="L584" i="26"/>
  <c r="J584" i="26"/>
  <c r="H584" i="26"/>
  <c r="F584" i="26"/>
  <c r="L583" i="26"/>
  <c r="J583" i="26"/>
  <c r="H583" i="26"/>
  <c r="F583" i="26"/>
  <c r="L582" i="26"/>
  <c r="J582" i="26"/>
  <c r="H582" i="26"/>
  <c r="F582" i="26"/>
  <c r="L581" i="26"/>
  <c r="J581" i="26"/>
  <c r="H581" i="26"/>
  <c r="F581" i="26"/>
  <c r="L580" i="26"/>
  <c r="J580" i="26"/>
  <c r="H580" i="26"/>
  <c r="F580" i="26"/>
  <c r="L579" i="26"/>
  <c r="J579" i="26"/>
  <c r="H579" i="26"/>
  <c r="F579" i="26"/>
  <c r="L578" i="26"/>
  <c r="J578" i="26"/>
  <c r="H578" i="26"/>
  <c r="F578" i="26"/>
  <c r="L577" i="26"/>
  <c r="J577" i="26"/>
  <c r="H577" i="26"/>
  <c r="F577" i="26"/>
  <c r="L576" i="26"/>
  <c r="J576" i="26"/>
  <c r="H576" i="26"/>
  <c r="F576" i="26"/>
  <c r="L575" i="26"/>
  <c r="J575" i="26"/>
  <c r="H575" i="26"/>
  <c r="F575" i="26"/>
  <c r="L574" i="26"/>
  <c r="J574" i="26"/>
  <c r="H574" i="26"/>
  <c r="F574" i="26"/>
  <c r="L573" i="26"/>
  <c r="J573" i="26"/>
  <c r="H573" i="26"/>
  <c r="F573" i="26"/>
  <c r="L572" i="26"/>
  <c r="J572" i="26"/>
  <c r="H572" i="26"/>
  <c r="F572" i="26"/>
  <c r="L571" i="26"/>
  <c r="J571" i="26"/>
  <c r="H571" i="26"/>
  <c r="F571" i="26"/>
  <c r="L570" i="26"/>
  <c r="J570" i="26"/>
  <c r="H570" i="26"/>
  <c r="F570" i="26"/>
  <c r="L569" i="26"/>
  <c r="J569" i="26"/>
  <c r="H569" i="26"/>
  <c r="F569" i="26"/>
  <c r="L568" i="26"/>
  <c r="J568" i="26"/>
  <c r="H568" i="26"/>
  <c r="F568" i="26"/>
  <c r="L567" i="26"/>
  <c r="J567" i="26"/>
  <c r="H567" i="26"/>
  <c r="F567" i="26"/>
  <c r="L566" i="26"/>
  <c r="J566" i="26"/>
  <c r="H566" i="26"/>
  <c r="F566" i="26"/>
  <c r="L565" i="26"/>
  <c r="J565" i="26"/>
  <c r="H565" i="26"/>
  <c r="F565" i="26"/>
  <c r="L564" i="26"/>
  <c r="J564" i="26"/>
  <c r="H564" i="26"/>
  <c r="F564" i="26"/>
  <c r="L563" i="26"/>
  <c r="J563" i="26"/>
  <c r="H563" i="26"/>
  <c r="F563" i="26"/>
  <c r="L562" i="26"/>
  <c r="J562" i="26"/>
  <c r="H562" i="26"/>
  <c r="F562" i="26"/>
  <c r="L561" i="26"/>
  <c r="J561" i="26"/>
  <c r="H561" i="26"/>
  <c r="F561" i="26"/>
  <c r="L560" i="26"/>
  <c r="J560" i="26"/>
  <c r="H560" i="26"/>
  <c r="F560" i="26"/>
  <c r="L559" i="26"/>
  <c r="J559" i="26"/>
  <c r="H559" i="26"/>
  <c r="F559" i="26"/>
  <c r="L558" i="26"/>
  <c r="J558" i="26"/>
  <c r="H558" i="26"/>
  <c r="F558" i="26"/>
  <c r="L557" i="26"/>
  <c r="J557" i="26"/>
  <c r="H557" i="26"/>
  <c r="F557" i="26"/>
  <c r="L556" i="26"/>
  <c r="J556" i="26"/>
  <c r="H556" i="26"/>
  <c r="F556" i="26"/>
  <c r="L555" i="26"/>
  <c r="J555" i="26"/>
  <c r="H555" i="26"/>
  <c r="F555" i="26"/>
  <c r="L554" i="26"/>
  <c r="J554" i="26"/>
  <c r="H554" i="26"/>
  <c r="F554" i="26"/>
  <c r="L553" i="26"/>
  <c r="J553" i="26"/>
  <c r="H553" i="26"/>
  <c r="F553" i="26"/>
  <c r="L552" i="26"/>
  <c r="J552" i="26"/>
  <c r="H552" i="26"/>
  <c r="F552" i="26"/>
  <c r="L551" i="26"/>
  <c r="J551" i="26"/>
  <c r="H551" i="26"/>
  <c r="F551" i="26"/>
  <c r="L550" i="26"/>
  <c r="J550" i="26"/>
  <c r="H550" i="26"/>
  <c r="F550" i="26"/>
  <c r="L549" i="26"/>
  <c r="J549" i="26"/>
  <c r="H549" i="26"/>
  <c r="F549" i="26"/>
  <c r="L548" i="26"/>
  <c r="J548" i="26"/>
  <c r="H548" i="26"/>
  <c r="F548" i="26"/>
  <c r="L547" i="26"/>
  <c r="J547" i="26"/>
  <c r="H547" i="26"/>
  <c r="F547" i="26"/>
  <c r="L546" i="26"/>
  <c r="J546" i="26"/>
  <c r="H546" i="26"/>
  <c r="F546" i="26"/>
  <c r="L545" i="26"/>
  <c r="J545" i="26"/>
  <c r="H545" i="26"/>
  <c r="F545" i="26"/>
  <c r="L544" i="26"/>
  <c r="J544" i="26"/>
  <c r="H544" i="26"/>
  <c r="F544" i="26"/>
  <c r="L543" i="26"/>
  <c r="J543" i="26"/>
  <c r="H543" i="26"/>
  <c r="F543" i="26"/>
  <c r="L542" i="26"/>
  <c r="J542" i="26"/>
  <c r="H542" i="26"/>
  <c r="F542" i="26"/>
  <c r="L541" i="26"/>
  <c r="J541" i="26"/>
  <c r="H541" i="26"/>
  <c r="F541" i="26"/>
  <c r="L540" i="26"/>
  <c r="J540" i="26"/>
  <c r="H540" i="26"/>
  <c r="F540" i="26"/>
  <c r="L539" i="26"/>
  <c r="J539" i="26"/>
  <c r="H539" i="26"/>
  <c r="F539" i="26"/>
  <c r="L538" i="26"/>
  <c r="J538" i="26"/>
  <c r="H538" i="26"/>
  <c r="F538" i="26"/>
  <c r="L537" i="26"/>
  <c r="J537" i="26"/>
  <c r="H537" i="26"/>
  <c r="F537" i="26"/>
  <c r="L536" i="26"/>
  <c r="J536" i="26"/>
  <c r="H536" i="26"/>
  <c r="F536" i="26"/>
  <c r="L535" i="26"/>
  <c r="J535" i="26"/>
  <c r="H535" i="26"/>
  <c r="F535" i="26"/>
  <c r="L534" i="26"/>
  <c r="J534" i="26"/>
  <c r="H534" i="26"/>
  <c r="F534" i="26"/>
  <c r="L533" i="26"/>
  <c r="J533" i="26"/>
  <c r="H533" i="26"/>
  <c r="F533" i="26"/>
  <c r="L532" i="26"/>
  <c r="J532" i="26"/>
  <c r="H532" i="26"/>
  <c r="F532" i="26"/>
  <c r="L531" i="26"/>
  <c r="J531" i="26"/>
  <c r="H531" i="26"/>
  <c r="F531" i="26"/>
  <c r="L530" i="26"/>
  <c r="J530" i="26"/>
  <c r="H530" i="26"/>
  <c r="F530" i="26"/>
  <c r="L529" i="26"/>
  <c r="J529" i="26"/>
  <c r="H529" i="26"/>
  <c r="F529" i="26"/>
  <c r="L528" i="26"/>
  <c r="J528" i="26"/>
  <c r="H528" i="26"/>
  <c r="F528" i="26"/>
  <c r="L527" i="26"/>
  <c r="J527" i="26"/>
  <c r="H527" i="26"/>
  <c r="F527" i="26"/>
  <c r="L526" i="26"/>
  <c r="J526" i="26"/>
  <c r="H526" i="26"/>
  <c r="F526" i="26"/>
  <c r="L525" i="26"/>
  <c r="J525" i="26"/>
  <c r="H525" i="26"/>
  <c r="F525" i="26"/>
  <c r="L524" i="26"/>
  <c r="J524" i="26"/>
  <c r="H524" i="26"/>
  <c r="F524" i="26"/>
  <c r="L523" i="26"/>
  <c r="J523" i="26"/>
  <c r="H523" i="26"/>
  <c r="F523" i="26"/>
  <c r="L522" i="26"/>
  <c r="J522" i="26"/>
  <c r="H522" i="26"/>
  <c r="F522" i="26"/>
  <c r="L521" i="26"/>
  <c r="J521" i="26"/>
  <c r="H521" i="26"/>
  <c r="F521" i="26"/>
  <c r="L520" i="26"/>
  <c r="J520" i="26"/>
  <c r="H520" i="26"/>
  <c r="F520" i="26"/>
  <c r="L519" i="26"/>
  <c r="J519" i="26"/>
  <c r="H519" i="26"/>
  <c r="F519" i="26"/>
  <c r="L518" i="26"/>
  <c r="J518" i="26"/>
  <c r="H518" i="26"/>
  <c r="F518" i="26"/>
  <c r="L517" i="26"/>
  <c r="J517" i="26"/>
  <c r="H517" i="26"/>
  <c r="F517" i="26"/>
  <c r="L516" i="26"/>
  <c r="J516" i="26"/>
  <c r="H516" i="26"/>
  <c r="F516" i="26"/>
  <c r="L515" i="26"/>
  <c r="J515" i="26"/>
  <c r="H515" i="26"/>
  <c r="F515" i="26"/>
  <c r="L514" i="26"/>
  <c r="J514" i="26"/>
  <c r="H514" i="26"/>
  <c r="F514" i="26"/>
  <c r="L513" i="26"/>
  <c r="J513" i="26"/>
  <c r="H513" i="26"/>
  <c r="F513" i="26"/>
  <c r="L512" i="26"/>
  <c r="J512" i="26"/>
  <c r="H512" i="26"/>
  <c r="F512" i="26"/>
  <c r="L511" i="26"/>
  <c r="J511" i="26"/>
  <c r="H511" i="26"/>
  <c r="F511" i="26"/>
  <c r="L510" i="26"/>
  <c r="J510" i="26"/>
  <c r="H510" i="26"/>
  <c r="F510" i="26"/>
  <c r="L509" i="26"/>
  <c r="J509" i="26"/>
  <c r="H509" i="26"/>
  <c r="F509" i="26"/>
  <c r="L508" i="26"/>
  <c r="J508" i="26"/>
  <c r="H508" i="26"/>
  <c r="F508" i="26"/>
  <c r="L507" i="26"/>
  <c r="J507" i="26"/>
  <c r="H507" i="26"/>
  <c r="F507" i="26"/>
  <c r="L506" i="26"/>
  <c r="J506" i="26"/>
  <c r="H506" i="26"/>
  <c r="F506" i="26"/>
  <c r="L505" i="26"/>
  <c r="J505" i="26"/>
  <c r="H505" i="26"/>
  <c r="F505" i="26"/>
  <c r="L504" i="26"/>
  <c r="J504" i="26"/>
  <c r="H504" i="26"/>
  <c r="F504" i="26"/>
  <c r="L503" i="26"/>
  <c r="J503" i="26"/>
  <c r="H503" i="26"/>
  <c r="F503" i="26"/>
  <c r="L502" i="26"/>
  <c r="J502" i="26"/>
  <c r="H502" i="26"/>
  <c r="F502" i="26"/>
  <c r="L501" i="26"/>
  <c r="J501" i="26"/>
  <c r="H501" i="26"/>
  <c r="F501" i="26"/>
  <c r="L500" i="26"/>
  <c r="J500" i="26"/>
  <c r="H500" i="26"/>
  <c r="F500" i="26"/>
  <c r="L499" i="26"/>
  <c r="J499" i="26"/>
  <c r="H499" i="26"/>
  <c r="F499" i="26"/>
  <c r="L498" i="26"/>
  <c r="J498" i="26"/>
  <c r="H498" i="26"/>
  <c r="F498" i="26"/>
  <c r="L497" i="26"/>
  <c r="J497" i="26"/>
  <c r="H497" i="26"/>
  <c r="F497" i="26"/>
  <c r="L496" i="26"/>
  <c r="J496" i="26"/>
  <c r="H496" i="26"/>
  <c r="F496" i="26"/>
  <c r="L495" i="26"/>
  <c r="J495" i="26"/>
  <c r="H495" i="26"/>
  <c r="F495" i="26"/>
  <c r="L494" i="26"/>
  <c r="J494" i="26"/>
  <c r="H494" i="26"/>
  <c r="F494" i="26"/>
  <c r="L493" i="26"/>
  <c r="J493" i="26"/>
  <c r="H493" i="26"/>
  <c r="F493" i="26"/>
  <c r="L492" i="26"/>
  <c r="J492" i="26"/>
  <c r="H492" i="26"/>
  <c r="F492" i="26"/>
  <c r="L491" i="26"/>
  <c r="J491" i="26"/>
  <c r="H491" i="26"/>
  <c r="F491" i="26"/>
  <c r="L490" i="26"/>
  <c r="J490" i="26"/>
  <c r="H490" i="26"/>
  <c r="F490" i="26"/>
  <c r="L489" i="26"/>
  <c r="J489" i="26"/>
  <c r="H489" i="26"/>
  <c r="F489" i="26"/>
  <c r="L488" i="26"/>
  <c r="J488" i="26"/>
  <c r="H488" i="26"/>
  <c r="F488" i="26"/>
  <c r="L487" i="26"/>
  <c r="J487" i="26"/>
  <c r="H487" i="26"/>
  <c r="F487" i="26"/>
  <c r="L486" i="26"/>
  <c r="J486" i="26"/>
  <c r="H486" i="26"/>
  <c r="F486" i="26"/>
  <c r="L485" i="26"/>
  <c r="J485" i="26"/>
  <c r="H485" i="26"/>
  <c r="F485" i="26"/>
  <c r="L484" i="26"/>
  <c r="J484" i="26"/>
  <c r="H484" i="26"/>
  <c r="F484" i="26"/>
  <c r="L483" i="26"/>
  <c r="J483" i="26"/>
  <c r="H483" i="26"/>
  <c r="F483" i="26"/>
  <c r="L482" i="26"/>
  <c r="J482" i="26"/>
  <c r="H482" i="26"/>
  <c r="F482" i="26"/>
  <c r="L481" i="26"/>
  <c r="J481" i="26"/>
  <c r="H481" i="26"/>
  <c r="F481" i="26"/>
  <c r="L480" i="26"/>
  <c r="J480" i="26"/>
  <c r="H480" i="26"/>
  <c r="F480" i="26"/>
  <c r="L479" i="26"/>
  <c r="J479" i="26"/>
  <c r="H479" i="26"/>
  <c r="F479" i="26"/>
  <c r="L478" i="26"/>
  <c r="J478" i="26"/>
  <c r="H478" i="26"/>
  <c r="F478" i="26"/>
  <c r="L477" i="26"/>
  <c r="J477" i="26"/>
  <c r="H477" i="26"/>
  <c r="F477" i="26"/>
  <c r="L476" i="26"/>
  <c r="J476" i="26"/>
  <c r="H476" i="26"/>
  <c r="F476" i="26"/>
  <c r="L475" i="26"/>
  <c r="J475" i="26"/>
  <c r="H475" i="26"/>
  <c r="F475" i="26"/>
  <c r="L474" i="26"/>
  <c r="J474" i="26"/>
  <c r="H474" i="26"/>
  <c r="F474" i="26"/>
  <c r="L473" i="26"/>
  <c r="J473" i="26"/>
  <c r="H473" i="26"/>
  <c r="F473" i="26"/>
  <c r="L472" i="26"/>
  <c r="J472" i="26"/>
  <c r="H472" i="26"/>
  <c r="F472" i="26"/>
  <c r="L471" i="26"/>
  <c r="J471" i="26"/>
  <c r="H471" i="26"/>
  <c r="F471" i="26"/>
  <c r="L470" i="26"/>
  <c r="J470" i="26"/>
  <c r="H470" i="26"/>
  <c r="F470" i="26"/>
  <c r="L469" i="26"/>
  <c r="J469" i="26"/>
  <c r="H469" i="26"/>
  <c r="F469" i="26"/>
  <c r="L468" i="26"/>
  <c r="J468" i="26"/>
  <c r="H468" i="26"/>
  <c r="F468" i="26"/>
  <c r="L467" i="26"/>
  <c r="J467" i="26"/>
  <c r="H467" i="26"/>
  <c r="F467" i="26"/>
  <c r="L466" i="26"/>
  <c r="J466" i="26"/>
  <c r="H466" i="26"/>
  <c r="F466" i="26"/>
  <c r="L465" i="26"/>
  <c r="J465" i="26"/>
  <c r="H465" i="26"/>
  <c r="F465" i="26"/>
  <c r="L464" i="26"/>
  <c r="J464" i="26"/>
  <c r="H464" i="26"/>
  <c r="F464" i="26"/>
  <c r="L463" i="26"/>
  <c r="J463" i="26"/>
  <c r="H463" i="26"/>
  <c r="F463" i="26"/>
  <c r="L462" i="26"/>
  <c r="J462" i="26"/>
  <c r="H462" i="26"/>
  <c r="F462" i="26"/>
  <c r="L461" i="26"/>
  <c r="J461" i="26"/>
  <c r="H461" i="26"/>
  <c r="F461" i="26"/>
  <c r="L460" i="26"/>
  <c r="J460" i="26"/>
  <c r="H460" i="26"/>
  <c r="F460" i="26"/>
  <c r="L459" i="26"/>
  <c r="J459" i="26"/>
  <c r="H459" i="26"/>
  <c r="F459" i="26"/>
  <c r="L458" i="26"/>
  <c r="J458" i="26"/>
  <c r="H458" i="26"/>
  <c r="F458" i="26"/>
  <c r="L457" i="26"/>
  <c r="J457" i="26"/>
  <c r="H457" i="26"/>
  <c r="F457" i="26"/>
  <c r="L456" i="26"/>
  <c r="J456" i="26"/>
  <c r="H456" i="26"/>
  <c r="F456" i="26"/>
  <c r="L455" i="26"/>
  <c r="J455" i="26"/>
  <c r="H455" i="26"/>
  <c r="F455" i="26"/>
  <c r="L454" i="26"/>
  <c r="J454" i="26"/>
  <c r="H454" i="26"/>
  <c r="F454" i="26"/>
  <c r="L453" i="26"/>
  <c r="J453" i="26"/>
  <c r="H453" i="26"/>
  <c r="F453" i="26"/>
  <c r="L452" i="26"/>
  <c r="J452" i="26"/>
  <c r="H452" i="26"/>
  <c r="F452" i="26"/>
  <c r="L451" i="26"/>
  <c r="J451" i="26"/>
  <c r="H451" i="26"/>
  <c r="F451" i="26"/>
  <c r="L450" i="26"/>
  <c r="J450" i="26"/>
  <c r="H450" i="26"/>
  <c r="F450" i="26"/>
  <c r="L449" i="26"/>
  <c r="J449" i="26"/>
  <c r="H449" i="26"/>
  <c r="F449" i="26"/>
  <c r="L448" i="26"/>
  <c r="J448" i="26"/>
  <c r="H448" i="26"/>
  <c r="F448" i="26"/>
  <c r="L447" i="26"/>
  <c r="J447" i="26"/>
  <c r="H447" i="26"/>
  <c r="F447" i="26"/>
  <c r="L446" i="26"/>
  <c r="J446" i="26"/>
  <c r="H446" i="26"/>
  <c r="F446" i="26"/>
  <c r="L445" i="26"/>
  <c r="J445" i="26"/>
  <c r="H445" i="26"/>
  <c r="F445" i="26"/>
  <c r="L444" i="26"/>
  <c r="J444" i="26"/>
  <c r="H444" i="26"/>
  <c r="F444" i="26"/>
  <c r="L443" i="26"/>
  <c r="J443" i="26"/>
  <c r="H443" i="26"/>
  <c r="F443" i="26"/>
  <c r="L442" i="26"/>
  <c r="J442" i="26"/>
  <c r="H442" i="26"/>
  <c r="F442" i="26"/>
  <c r="L441" i="26"/>
  <c r="J441" i="26"/>
  <c r="H441" i="26"/>
  <c r="F441" i="26"/>
  <c r="L440" i="26"/>
  <c r="J440" i="26"/>
  <c r="H440" i="26"/>
  <c r="F440" i="26"/>
  <c r="L439" i="26"/>
  <c r="J439" i="26"/>
  <c r="H439" i="26"/>
  <c r="F439" i="26"/>
  <c r="L438" i="26"/>
  <c r="J438" i="26"/>
  <c r="H438" i="26"/>
  <c r="F438" i="26"/>
  <c r="L437" i="26"/>
  <c r="J437" i="26"/>
  <c r="H437" i="26"/>
  <c r="F437" i="26"/>
  <c r="L436" i="26"/>
  <c r="J436" i="26"/>
  <c r="H436" i="26"/>
  <c r="F436" i="26"/>
  <c r="L435" i="26"/>
  <c r="J435" i="26"/>
  <c r="H435" i="26"/>
  <c r="F435" i="26"/>
  <c r="L434" i="26"/>
  <c r="J434" i="26"/>
  <c r="H434" i="26"/>
  <c r="F434" i="26"/>
  <c r="L433" i="26"/>
  <c r="J433" i="26"/>
  <c r="H433" i="26"/>
  <c r="F433" i="26"/>
  <c r="L432" i="26"/>
  <c r="J432" i="26"/>
  <c r="H432" i="26"/>
  <c r="F432" i="26"/>
  <c r="L431" i="26"/>
  <c r="J431" i="26"/>
  <c r="H431" i="26"/>
  <c r="F431" i="26"/>
  <c r="L430" i="26"/>
  <c r="J430" i="26"/>
  <c r="H430" i="26"/>
  <c r="F430" i="26"/>
  <c r="L429" i="26"/>
  <c r="J429" i="26"/>
  <c r="H429" i="26"/>
  <c r="F429" i="26"/>
  <c r="L428" i="26"/>
  <c r="J428" i="26"/>
  <c r="H428" i="26"/>
  <c r="F428" i="26"/>
  <c r="L427" i="26"/>
  <c r="J427" i="26"/>
  <c r="H427" i="26"/>
  <c r="F427" i="26"/>
  <c r="L426" i="26"/>
  <c r="J426" i="26"/>
  <c r="H426" i="26"/>
  <c r="F426" i="26"/>
  <c r="L425" i="26"/>
  <c r="J425" i="26"/>
  <c r="H425" i="26"/>
  <c r="F425" i="26"/>
  <c r="L424" i="26"/>
  <c r="J424" i="26"/>
  <c r="H424" i="26"/>
  <c r="F424" i="26"/>
  <c r="L423" i="26"/>
  <c r="J423" i="26"/>
  <c r="H423" i="26"/>
  <c r="F423" i="26"/>
  <c r="L422" i="26"/>
  <c r="J422" i="26"/>
  <c r="H422" i="26"/>
  <c r="F422" i="26"/>
  <c r="L421" i="26"/>
  <c r="J421" i="26"/>
  <c r="H421" i="26"/>
  <c r="F421" i="26"/>
  <c r="L420" i="26"/>
  <c r="J420" i="26"/>
  <c r="H420" i="26"/>
  <c r="F420" i="26"/>
  <c r="L419" i="26"/>
  <c r="J419" i="26"/>
  <c r="H419" i="26"/>
  <c r="F419" i="26"/>
  <c r="L418" i="26"/>
  <c r="J418" i="26"/>
  <c r="H418" i="26"/>
  <c r="F418" i="26"/>
  <c r="L417" i="26"/>
  <c r="J417" i="26"/>
  <c r="H417" i="26"/>
  <c r="F417" i="26"/>
  <c r="L416" i="26"/>
  <c r="J416" i="26"/>
  <c r="H416" i="26"/>
  <c r="F416" i="26"/>
  <c r="L415" i="26"/>
  <c r="J415" i="26"/>
  <c r="H415" i="26"/>
  <c r="F415" i="26"/>
  <c r="L414" i="26"/>
  <c r="J414" i="26"/>
  <c r="H414" i="26"/>
  <c r="F414" i="26"/>
  <c r="L413" i="26"/>
  <c r="J413" i="26"/>
  <c r="H413" i="26"/>
  <c r="F413" i="26"/>
  <c r="L412" i="26"/>
  <c r="J412" i="26"/>
  <c r="H412" i="26"/>
  <c r="F412" i="26"/>
  <c r="L411" i="26"/>
  <c r="J411" i="26"/>
  <c r="H411" i="26"/>
  <c r="F411" i="26"/>
  <c r="L410" i="26"/>
  <c r="J410" i="26"/>
  <c r="H410" i="26"/>
  <c r="F410" i="26"/>
  <c r="L409" i="26"/>
  <c r="J409" i="26"/>
  <c r="H409" i="26"/>
  <c r="F409" i="26"/>
  <c r="L408" i="26"/>
  <c r="J408" i="26"/>
  <c r="H408" i="26"/>
  <c r="F408" i="26"/>
  <c r="L407" i="26"/>
  <c r="J407" i="26"/>
  <c r="H407" i="26"/>
  <c r="F407" i="26"/>
  <c r="L406" i="26"/>
  <c r="J406" i="26"/>
  <c r="H406" i="26"/>
  <c r="F406" i="26"/>
  <c r="L405" i="26"/>
  <c r="J405" i="26"/>
  <c r="H405" i="26"/>
  <c r="F405" i="26"/>
  <c r="L404" i="26"/>
  <c r="J404" i="26"/>
  <c r="H404" i="26"/>
  <c r="F404" i="26"/>
  <c r="L403" i="26"/>
  <c r="J403" i="26"/>
  <c r="H403" i="26"/>
  <c r="F403" i="26"/>
  <c r="L402" i="26"/>
  <c r="J402" i="26"/>
  <c r="H402" i="26"/>
  <c r="F402" i="26"/>
  <c r="L401" i="26"/>
  <c r="J401" i="26"/>
  <c r="H401" i="26"/>
  <c r="F401" i="26"/>
  <c r="L400" i="26"/>
  <c r="J400" i="26"/>
  <c r="H400" i="26"/>
  <c r="F400" i="26"/>
  <c r="L399" i="26"/>
  <c r="J399" i="26"/>
  <c r="H399" i="26"/>
  <c r="F399" i="26"/>
  <c r="L398" i="26"/>
  <c r="J398" i="26"/>
  <c r="H398" i="26"/>
  <c r="F398" i="26"/>
  <c r="L397" i="26"/>
  <c r="J397" i="26"/>
  <c r="H397" i="26"/>
  <c r="F397" i="26"/>
  <c r="L396" i="26"/>
  <c r="J396" i="26"/>
  <c r="H396" i="26"/>
  <c r="F396" i="26"/>
  <c r="L395" i="26"/>
  <c r="J395" i="26"/>
  <c r="H395" i="26"/>
  <c r="F395" i="26"/>
  <c r="L394" i="26"/>
  <c r="J394" i="26"/>
  <c r="H394" i="26"/>
  <c r="F394" i="26"/>
  <c r="L393" i="26"/>
  <c r="J393" i="26"/>
  <c r="H393" i="26"/>
  <c r="F393" i="26"/>
  <c r="L392" i="26"/>
  <c r="J392" i="26"/>
  <c r="H392" i="26"/>
  <c r="F392" i="26"/>
  <c r="L391" i="26"/>
  <c r="J391" i="26"/>
  <c r="H391" i="26"/>
  <c r="F391" i="26"/>
  <c r="L390" i="26"/>
  <c r="J390" i="26"/>
  <c r="H390" i="26"/>
  <c r="F390" i="26"/>
  <c r="L389" i="26"/>
  <c r="J389" i="26"/>
  <c r="H389" i="26"/>
  <c r="F389" i="26"/>
  <c r="L388" i="26"/>
  <c r="J388" i="26"/>
  <c r="H388" i="26"/>
  <c r="F388" i="26"/>
  <c r="L387" i="26"/>
  <c r="J387" i="26"/>
  <c r="H387" i="26"/>
  <c r="F387" i="26"/>
  <c r="L386" i="26"/>
  <c r="J386" i="26"/>
  <c r="H386" i="26"/>
  <c r="F386" i="26"/>
  <c r="L385" i="26"/>
  <c r="J385" i="26"/>
  <c r="H385" i="26"/>
  <c r="F385" i="26"/>
  <c r="L384" i="26"/>
  <c r="J384" i="26"/>
  <c r="H384" i="26"/>
  <c r="F384" i="26"/>
  <c r="L383" i="26"/>
  <c r="J383" i="26"/>
  <c r="H383" i="26"/>
  <c r="F383" i="26"/>
  <c r="L382" i="26"/>
  <c r="J382" i="26"/>
  <c r="H382" i="26"/>
  <c r="F382" i="26"/>
  <c r="L381" i="26"/>
  <c r="J381" i="26"/>
  <c r="H381" i="26"/>
  <c r="F381" i="26"/>
  <c r="L380" i="26"/>
  <c r="J380" i="26"/>
  <c r="H380" i="26"/>
  <c r="F380" i="26"/>
  <c r="L379" i="26"/>
  <c r="J379" i="26"/>
  <c r="H379" i="26"/>
  <c r="F379" i="26"/>
  <c r="L378" i="26"/>
  <c r="J378" i="26"/>
  <c r="H378" i="26"/>
  <c r="F378" i="26"/>
  <c r="L377" i="26"/>
  <c r="J377" i="26"/>
  <c r="H377" i="26"/>
  <c r="F377" i="26"/>
  <c r="L376" i="26"/>
  <c r="J376" i="26"/>
  <c r="H376" i="26"/>
  <c r="F376" i="26"/>
  <c r="L375" i="26"/>
  <c r="J375" i="26"/>
  <c r="H375" i="26"/>
  <c r="F375" i="26"/>
  <c r="L374" i="26"/>
  <c r="J374" i="26"/>
  <c r="H374" i="26"/>
  <c r="F374" i="26"/>
  <c r="L373" i="26"/>
  <c r="J373" i="26"/>
  <c r="H373" i="26"/>
  <c r="F373" i="26"/>
  <c r="L372" i="26"/>
  <c r="J372" i="26"/>
  <c r="H372" i="26"/>
  <c r="F372" i="26"/>
  <c r="L371" i="26"/>
  <c r="J371" i="26"/>
  <c r="H371" i="26"/>
  <c r="F371" i="26"/>
  <c r="L370" i="26"/>
  <c r="J370" i="26"/>
  <c r="H370" i="26"/>
  <c r="F370" i="26"/>
  <c r="L369" i="26"/>
  <c r="J369" i="26"/>
  <c r="H369" i="26"/>
  <c r="F369" i="26"/>
  <c r="L368" i="26"/>
  <c r="J368" i="26"/>
  <c r="H368" i="26"/>
  <c r="F368" i="26"/>
  <c r="L367" i="26"/>
  <c r="J367" i="26"/>
  <c r="H367" i="26"/>
  <c r="F367" i="26"/>
  <c r="L366" i="26"/>
  <c r="J366" i="26"/>
  <c r="H366" i="26"/>
  <c r="F366" i="26"/>
  <c r="L365" i="26"/>
  <c r="J365" i="26"/>
  <c r="H365" i="26"/>
  <c r="F365" i="26"/>
  <c r="L364" i="26"/>
  <c r="J364" i="26"/>
  <c r="H364" i="26"/>
  <c r="F364" i="26"/>
  <c r="L363" i="26"/>
  <c r="J363" i="26"/>
  <c r="H363" i="26"/>
  <c r="F363" i="26"/>
  <c r="L362" i="26"/>
  <c r="J362" i="26"/>
  <c r="H362" i="26"/>
  <c r="F362" i="26"/>
  <c r="L361" i="26"/>
  <c r="J361" i="26"/>
  <c r="H361" i="26"/>
  <c r="F361" i="26"/>
  <c r="L360" i="26"/>
  <c r="J360" i="26"/>
  <c r="H360" i="26"/>
  <c r="F360" i="26"/>
  <c r="L359" i="26"/>
  <c r="J359" i="26"/>
  <c r="H359" i="26"/>
  <c r="F359" i="26"/>
  <c r="L358" i="26"/>
  <c r="J358" i="26"/>
  <c r="H358" i="26"/>
  <c r="F358" i="26"/>
  <c r="L357" i="26"/>
  <c r="J357" i="26"/>
  <c r="H357" i="26"/>
  <c r="F357" i="26"/>
  <c r="L356" i="26"/>
  <c r="J356" i="26"/>
  <c r="H356" i="26"/>
  <c r="F356" i="26"/>
  <c r="L355" i="26"/>
  <c r="J355" i="26"/>
  <c r="H355" i="26"/>
  <c r="F355" i="26"/>
  <c r="L354" i="26"/>
  <c r="J354" i="26"/>
  <c r="H354" i="26"/>
  <c r="F354" i="26"/>
  <c r="L353" i="26"/>
  <c r="J353" i="26"/>
  <c r="H353" i="26"/>
  <c r="F353" i="26"/>
  <c r="L352" i="26"/>
  <c r="J352" i="26"/>
  <c r="H352" i="26"/>
  <c r="F352" i="26"/>
  <c r="L351" i="26"/>
  <c r="J351" i="26"/>
  <c r="H351" i="26"/>
  <c r="F351" i="26"/>
  <c r="L350" i="26"/>
  <c r="J350" i="26"/>
  <c r="H350" i="26"/>
  <c r="F350" i="26"/>
  <c r="L349" i="26"/>
  <c r="J349" i="26"/>
  <c r="H349" i="26"/>
  <c r="F349" i="26"/>
  <c r="L348" i="26"/>
  <c r="J348" i="26"/>
  <c r="H348" i="26"/>
  <c r="F348" i="26"/>
  <c r="L347" i="26"/>
  <c r="J347" i="26"/>
  <c r="H347" i="26"/>
  <c r="F347" i="26"/>
  <c r="L346" i="26"/>
  <c r="J346" i="26"/>
  <c r="H346" i="26"/>
  <c r="F346" i="26"/>
  <c r="L345" i="26"/>
  <c r="J345" i="26"/>
  <c r="H345" i="26"/>
  <c r="F345" i="26"/>
  <c r="L344" i="26"/>
  <c r="J344" i="26"/>
  <c r="H344" i="26"/>
  <c r="F344" i="26"/>
  <c r="L343" i="26"/>
  <c r="J343" i="26"/>
  <c r="H343" i="26"/>
  <c r="F343" i="26"/>
  <c r="L342" i="26"/>
  <c r="J342" i="26"/>
  <c r="H342" i="26"/>
  <c r="F342" i="26"/>
  <c r="L341" i="26"/>
  <c r="J341" i="26"/>
  <c r="H341" i="26"/>
  <c r="F341" i="26"/>
  <c r="L340" i="26"/>
  <c r="J340" i="26"/>
  <c r="H340" i="26"/>
  <c r="F340" i="26"/>
  <c r="L339" i="26"/>
  <c r="J339" i="26"/>
  <c r="H339" i="26"/>
  <c r="F339" i="26"/>
  <c r="L338" i="26"/>
  <c r="J338" i="26"/>
  <c r="H338" i="26"/>
  <c r="F338" i="26"/>
  <c r="L337" i="26"/>
  <c r="J337" i="26"/>
  <c r="H337" i="26"/>
  <c r="F337" i="26"/>
  <c r="L336" i="26"/>
  <c r="J336" i="26"/>
  <c r="H336" i="26"/>
  <c r="F336" i="26"/>
  <c r="L335" i="26"/>
  <c r="J335" i="26"/>
  <c r="H335" i="26"/>
  <c r="F335" i="26"/>
  <c r="L334" i="26"/>
  <c r="J334" i="26"/>
  <c r="H334" i="26"/>
  <c r="F334" i="26"/>
  <c r="L333" i="26"/>
  <c r="J333" i="26"/>
  <c r="H333" i="26"/>
  <c r="F333" i="26"/>
  <c r="L332" i="26"/>
  <c r="J332" i="26"/>
  <c r="H332" i="26"/>
  <c r="F332" i="26"/>
  <c r="L331" i="26"/>
  <c r="J331" i="26"/>
  <c r="H331" i="26"/>
  <c r="F331" i="26"/>
  <c r="L330" i="26"/>
  <c r="J330" i="26"/>
  <c r="H330" i="26"/>
  <c r="F330" i="26"/>
  <c r="L329" i="26"/>
  <c r="J329" i="26"/>
  <c r="H329" i="26"/>
  <c r="F329" i="26"/>
  <c r="L328" i="26"/>
  <c r="J328" i="26"/>
  <c r="H328" i="26"/>
  <c r="F328" i="26"/>
  <c r="L327" i="26"/>
  <c r="J327" i="26"/>
  <c r="H327" i="26"/>
  <c r="F327" i="26"/>
  <c r="L326" i="26"/>
  <c r="J326" i="26"/>
  <c r="H326" i="26"/>
  <c r="F326" i="26"/>
  <c r="L325" i="26"/>
  <c r="J325" i="26"/>
  <c r="H325" i="26"/>
  <c r="F325" i="26"/>
  <c r="L324" i="26"/>
  <c r="J324" i="26"/>
  <c r="H324" i="26"/>
  <c r="F324" i="26"/>
  <c r="L323" i="26"/>
  <c r="J323" i="26"/>
  <c r="H323" i="26"/>
  <c r="F323" i="26"/>
  <c r="L322" i="26"/>
  <c r="J322" i="26"/>
  <c r="H322" i="26"/>
  <c r="F322" i="26"/>
  <c r="L321" i="26"/>
  <c r="J321" i="26"/>
  <c r="H321" i="26"/>
  <c r="F321" i="26"/>
  <c r="L320" i="26"/>
  <c r="J320" i="26"/>
  <c r="H320" i="26"/>
  <c r="F320" i="26"/>
  <c r="L319" i="26"/>
  <c r="J319" i="26"/>
  <c r="H319" i="26"/>
  <c r="F319" i="26"/>
  <c r="L318" i="26"/>
  <c r="J318" i="26"/>
  <c r="H318" i="26"/>
  <c r="F318" i="26"/>
  <c r="L317" i="26"/>
  <c r="J317" i="26"/>
  <c r="H317" i="26"/>
  <c r="F317" i="26"/>
  <c r="L316" i="26"/>
  <c r="J316" i="26"/>
  <c r="H316" i="26"/>
  <c r="F316" i="26"/>
  <c r="L315" i="26"/>
  <c r="J315" i="26"/>
  <c r="H315" i="26"/>
  <c r="F315" i="26"/>
  <c r="L314" i="26"/>
  <c r="J314" i="26"/>
  <c r="H314" i="26"/>
  <c r="F314" i="26"/>
  <c r="L313" i="26"/>
  <c r="J313" i="26"/>
  <c r="H313" i="26"/>
  <c r="F313" i="26"/>
  <c r="L312" i="26"/>
  <c r="J312" i="26"/>
  <c r="H312" i="26"/>
  <c r="F312" i="26"/>
  <c r="L311" i="26"/>
  <c r="J311" i="26"/>
  <c r="H311" i="26"/>
  <c r="F311" i="26"/>
  <c r="L310" i="26"/>
  <c r="J310" i="26"/>
  <c r="H310" i="26"/>
  <c r="F310" i="26"/>
  <c r="L309" i="26"/>
  <c r="J309" i="26"/>
  <c r="H309" i="26"/>
  <c r="F309" i="26"/>
  <c r="L308" i="26"/>
  <c r="J308" i="26"/>
  <c r="H308" i="26"/>
  <c r="F308" i="26"/>
  <c r="L307" i="26"/>
  <c r="J307" i="26"/>
  <c r="H307" i="26"/>
  <c r="F307" i="26"/>
  <c r="L306" i="26"/>
  <c r="J306" i="26"/>
  <c r="H306" i="26"/>
  <c r="F306" i="26"/>
  <c r="L305" i="26"/>
  <c r="J305" i="26"/>
  <c r="H305" i="26"/>
  <c r="F305" i="26"/>
  <c r="L304" i="26"/>
  <c r="J304" i="26"/>
  <c r="H304" i="26"/>
  <c r="F304" i="26"/>
  <c r="L303" i="26"/>
  <c r="J303" i="26"/>
  <c r="H303" i="26"/>
  <c r="F303" i="26"/>
  <c r="L302" i="26"/>
  <c r="J302" i="26"/>
  <c r="H302" i="26"/>
  <c r="F302" i="26"/>
  <c r="L301" i="26"/>
  <c r="J301" i="26"/>
  <c r="H301" i="26"/>
  <c r="F301" i="26"/>
  <c r="L300" i="26"/>
  <c r="J300" i="26"/>
  <c r="H300" i="26"/>
  <c r="F300" i="26"/>
  <c r="L299" i="26"/>
  <c r="J299" i="26"/>
  <c r="H299" i="26"/>
  <c r="F299" i="26"/>
  <c r="L298" i="26"/>
  <c r="J298" i="26"/>
  <c r="H298" i="26"/>
  <c r="F298" i="26"/>
  <c r="L297" i="26"/>
  <c r="J297" i="26"/>
  <c r="H297" i="26"/>
  <c r="F297" i="26"/>
  <c r="L296" i="26"/>
  <c r="J296" i="26"/>
  <c r="H296" i="26"/>
  <c r="F296" i="26"/>
  <c r="L295" i="26"/>
  <c r="J295" i="26"/>
  <c r="H295" i="26"/>
  <c r="F295" i="26"/>
  <c r="L294" i="26"/>
  <c r="J294" i="26"/>
  <c r="H294" i="26"/>
  <c r="F294" i="26"/>
  <c r="L293" i="26"/>
  <c r="J293" i="26"/>
  <c r="H293" i="26"/>
  <c r="F293" i="26"/>
  <c r="L292" i="26"/>
  <c r="J292" i="26"/>
  <c r="H292" i="26"/>
  <c r="F292" i="26"/>
  <c r="L291" i="26"/>
  <c r="J291" i="26"/>
  <c r="H291" i="26"/>
  <c r="F291" i="26"/>
  <c r="L290" i="26"/>
  <c r="J290" i="26"/>
  <c r="H290" i="26"/>
  <c r="F290" i="26"/>
  <c r="L289" i="26"/>
  <c r="J289" i="26"/>
  <c r="H289" i="26"/>
  <c r="F289" i="26"/>
  <c r="L288" i="26"/>
  <c r="J288" i="26"/>
  <c r="H288" i="26"/>
  <c r="F288" i="26"/>
  <c r="L287" i="26"/>
  <c r="J287" i="26"/>
  <c r="H287" i="26"/>
  <c r="F287" i="26"/>
  <c r="L286" i="26"/>
  <c r="J286" i="26"/>
  <c r="H286" i="26"/>
  <c r="F286" i="26"/>
  <c r="L285" i="26"/>
  <c r="J285" i="26"/>
  <c r="H285" i="26"/>
  <c r="F285" i="26"/>
  <c r="L284" i="26"/>
  <c r="J284" i="26"/>
  <c r="H284" i="26"/>
  <c r="F284" i="26"/>
  <c r="L283" i="26"/>
  <c r="J283" i="26"/>
  <c r="H283" i="26"/>
  <c r="F283" i="26"/>
  <c r="L282" i="26"/>
  <c r="J282" i="26"/>
  <c r="H282" i="26"/>
  <c r="F282" i="26"/>
  <c r="L281" i="26"/>
  <c r="J281" i="26"/>
  <c r="H281" i="26"/>
  <c r="F281" i="26"/>
  <c r="L280" i="26"/>
  <c r="J280" i="26"/>
  <c r="H280" i="26"/>
  <c r="F280" i="26"/>
  <c r="L279" i="26"/>
  <c r="J279" i="26"/>
  <c r="H279" i="26"/>
  <c r="F279" i="26"/>
  <c r="L278" i="26"/>
  <c r="J278" i="26"/>
  <c r="H278" i="26"/>
  <c r="F278" i="26"/>
  <c r="L277" i="26"/>
  <c r="J277" i="26"/>
  <c r="H277" i="26"/>
  <c r="F277" i="26"/>
  <c r="L276" i="26"/>
  <c r="J276" i="26"/>
  <c r="H276" i="26"/>
  <c r="F276" i="26"/>
  <c r="L275" i="26"/>
  <c r="J275" i="26"/>
  <c r="H275" i="26"/>
  <c r="F275" i="26"/>
  <c r="L274" i="26"/>
  <c r="J274" i="26"/>
  <c r="H274" i="26"/>
  <c r="F274" i="26"/>
  <c r="L273" i="26"/>
  <c r="J273" i="26"/>
  <c r="H273" i="26"/>
  <c r="F273" i="26"/>
  <c r="L272" i="26"/>
  <c r="J272" i="26"/>
  <c r="H272" i="26"/>
  <c r="F272" i="26"/>
  <c r="L271" i="26"/>
  <c r="J271" i="26"/>
  <c r="H271" i="26"/>
  <c r="F271" i="26"/>
  <c r="L270" i="26"/>
  <c r="J270" i="26"/>
  <c r="H270" i="26"/>
  <c r="F270" i="26"/>
  <c r="L269" i="26"/>
  <c r="J269" i="26"/>
  <c r="H269" i="26"/>
  <c r="F269" i="26"/>
  <c r="L268" i="26"/>
  <c r="J268" i="26"/>
  <c r="H268" i="26"/>
  <c r="F268" i="26"/>
  <c r="L267" i="26"/>
  <c r="J267" i="26"/>
  <c r="H267" i="26"/>
  <c r="F267" i="26"/>
  <c r="L266" i="26"/>
  <c r="J266" i="26"/>
  <c r="H266" i="26"/>
  <c r="F266" i="26"/>
  <c r="L265" i="26"/>
  <c r="J265" i="26"/>
  <c r="H265" i="26"/>
  <c r="F265" i="26"/>
  <c r="L264" i="26"/>
  <c r="J264" i="26"/>
  <c r="H264" i="26"/>
  <c r="F264" i="26"/>
  <c r="L263" i="26"/>
  <c r="J263" i="26"/>
  <c r="H263" i="26"/>
  <c r="F263" i="26"/>
  <c r="L262" i="26"/>
  <c r="J262" i="26"/>
  <c r="H262" i="26"/>
  <c r="F262" i="26"/>
  <c r="L261" i="26"/>
  <c r="J261" i="26"/>
  <c r="H261" i="26"/>
  <c r="F261" i="26"/>
  <c r="L260" i="26"/>
  <c r="J260" i="26"/>
  <c r="H260" i="26"/>
  <c r="F260" i="26"/>
  <c r="L259" i="26"/>
  <c r="J259" i="26"/>
  <c r="H259" i="26"/>
  <c r="F259" i="26"/>
  <c r="L258" i="26"/>
  <c r="J258" i="26"/>
  <c r="H258" i="26"/>
  <c r="F258" i="26"/>
  <c r="L257" i="26"/>
  <c r="J257" i="26"/>
  <c r="H257" i="26"/>
  <c r="F257" i="26"/>
  <c r="L256" i="26"/>
  <c r="J256" i="26"/>
  <c r="H256" i="26"/>
  <c r="F256" i="26"/>
  <c r="L255" i="26"/>
  <c r="J255" i="26"/>
  <c r="H255" i="26"/>
  <c r="F255" i="26"/>
  <c r="L254" i="26"/>
  <c r="J254" i="26"/>
  <c r="H254" i="26"/>
  <c r="F254" i="26"/>
  <c r="L253" i="26"/>
  <c r="J253" i="26"/>
  <c r="H253" i="26"/>
  <c r="F253" i="26"/>
  <c r="L252" i="26"/>
  <c r="J252" i="26"/>
  <c r="H252" i="26"/>
  <c r="F252" i="26"/>
  <c r="L251" i="26"/>
  <c r="J251" i="26"/>
  <c r="H251" i="26"/>
  <c r="F251" i="26"/>
  <c r="L250" i="26"/>
  <c r="J250" i="26"/>
  <c r="H250" i="26"/>
  <c r="F250" i="26"/>
  <c r="L249" i="26"/>
  <c r="J249" i="26"/>
  <c r="H249" i="26"/>
  <c r="F249" i="26"/>
  <c r="L248" i="26"/>
  <c r="J248" i="26"/>
  <c r="H248" i="26"/>
  <c r="F248" i="26"/>
  <c r="L247" i="26"/>
  <c r="J247" i="26"/>
  <c r="H247" i="26"/>
  <c r="F247" i="26"/>
  <c r="L246" i="26"/>
  <c r="J246" i="26"/>
  <c r="H246" i="26"/>
  <c r="F246" i="26"/>
  <c r="L245" i="26"/>
  <c r="J245" i="26"/>
  <c r="H245" i="26"/>
  <c r="F245" i="26"/>
  <c r="L244" i="26"/>
  <c r="J244" i="26"/>
  <c r="H244" i="26"/>
  <c r="F244" i="26"/>
  <c r="L243" i="26"/>
  <c r="J243" i="26"/>
  <c r="H243" i="26"/>
  <c r="F243" i="26"/>
  <c r="L242" i="26"/>
  <c r="J242" i="26"/>
  <c r="H242" i="26"/>
  <c r="F242" i="26"/>
  <c r="L241" i="26"/>
  <c r="J241" i="26"/>
  <c r="H241" i="26"/>
  <c r="F241" i="26"/>
  <c r="L240" i="26"/>
  <c r="J240" i="26"/>
  <c r="H240" i="26"/>
  <c r="F240" i="26"/>
  <c r="L239" i="26"/>
  <c r="J239" i="26"/>
  <c r="H239" i="26"/>
  <c r="F239" i="26"/>
  <c r="L238" i="26"/>
  <c r="J238" i="26"/>
  <c r="H238" i="26"/>
  <c r="F238" i="26"/>
  <c r="L237" i="26"/>
  <c r="J237" i="26"/>
  <c r="H237" i="26"/>
  <c r="F237" i="26"/>
  <c r="L236" i="26"/>
  <c r="J236" i="26"/>
  <c r="H236" i="26"/>
  <c r="F236" i="26"/>
  <c r="L235" i="26"/>
  <c r="J235" i="26"/>
  <c r="H235" i="26"/>
  <c r="F235" i="26"/>
  <c r="L234" i="26"/>
  <c r="J234" i="26"/>
  <c r="H234" i="26"/>
  <c r="F234" i="26"/>
  <c r="L233" i="26"/>
  <c r="J233" i="26"/>
  <c r="H233" i="26"/>
  <c r="F233" i="26"/>
  <c r="L232" i="26"/>
  <c r="J232" i="26"/>
  <c r="H232" i="26"/>
  <c r="F232" i="26"/>
  <c r="L231" i="26"/>
  <c r="J231" i="26"/>
  <c r="H231" i="26"/>
  <c r="F231" i="26"/>
  <c r="L230" i="26"/>
  <c r="J230" i="26"/>
  <c r="H230" i="26"/>
  <c r="F230" i="26"/>
  <c r="L229" i="26"/>
  <c r="J229" i="26"/>
  <c r="H229" i="26"/>
  <c r="F229" i="26"/>
  <c r="L228" i="26"/>
  <c r="J228" i="26"/>
  <c r="H228" i="26"/>
  <c r="F228" i="26"/>
  <c r="L227" i="26"/>
  <c r="J227" i="26"/>
  <c r="H227" i="26"/>
  <c r="F227" i="26"/>
  <c r="L226" i="26"/>
  <c r="J226" i="26"/>
  <c r="H226" i="26"/>
  <c r="F226" i="26"/>
  <c r="L225" i="26"/>
  <c r="J225" i="26"/>
  <c r="H225" i="26"/>
  <c r="F225" i="26"/>
  <c r="L224" i="26"/>
  <c r="J224" i="26"/>
  <c r="H224" i="26"/>
  <c r="F224" i="26"/>
  <c r="L223" i="26"/>
  <c r="J223" i="26"/>
  <c r="H223" i="26"/>
  <c r="F223" i="26"/>
  <c r="L222" i="26"/>
  <c r="J222" i="26"/>
  <c r="H222" i="26"/>
  <c r="F222" i="26"/>
  <c r="L221" i="26"/>
  <c r="J221" i="26"/>
  <c r="H221" i="26"/>
  <c r="F221" i="26"/>
  <c r="L220" i="26"/>
  <c r="J220" i="26"/>
  <c r="H220" i="26"/>
  <c r="F220" i="26"/>
  <c r="L219" i="26"/>
  <c r="J219" i="26"/>
  <c r="H219" i="26"/>
  <c r="F219" i="26"/>
  <c r="L218" i="26"/>
  <c r="J218" i="26"/>
  <c r="H218" i="26"/>
  <c r="F218" i="26"/>
  <c r="L217" i="26"/>
  <c r="J217" i="26"/>
  <c r="H217" i="26"/>
  <c r="F217" i="26"/>
  <c r="L216" i="26"/>
  <c r="J216" i="26"/>
  <c r="H216" i="26"/>
  <c r="F216" i="26"/>
  <c r="L215" i="26"/>
  <c r="J215" i="26"/>
  <c r="H215" i="26"/>
  <c r="F215" i="26"/>
  <c r="L214" i="26"/>
  <c r="J214" i="26"/>
  <c r="H214" i="26"/>
  <c r="F214" i="26"/>
  <c r="L213" i="26"/>
  <c r="J213" i="26"/>
  <c r="H213" i="26"/>
  <c r="F213" i="26"/>
  <c r="L212" i="26"/>
  <c r="J212" i="26"/>
  <c r="H212" i="26"/>
  <c r="F212" i="26"/>
  <c r="L211" i="26"/>
  <c r="J211" i="26"/>
  <c r="H211" i="26"/>
  <c r="F211" i="26"/>
  <c r="L210" i="26"/>
  <c r="J210" i="26"/>
  <c r="H210" i="26"/>
  <c r="F210" i="26"/>
  <c r="L209" i="26"/>
  <c r="J209" i="26"/>
  <c r="H209" i="26"/>
  <c r="F209" i="26"/>
  <c r="L208" i="26"/>
  <c r="J208" i="26"/>
  <c r="H208" i="26"/>
  <c r="F208" i="26"/>
  <c r="L207" i="26"/>
  <c r="J207" i="26"/>
  <c r="H207" i="26"/>
  <c r="F207" i="26"/>
  <c r="L206" i="26"/>
  <c r="J206" i="26"/>
  <c r="H206" i="26"/>
  <c r="F206" i="26"/>
  <c r="L205" i="26"/>
  <c r="J205" i="26"/>
  <c r="H205" i="26"/>
  <c r="F205" i="26"/>
  <c r="L204" i="26"/>
  <c r="J204" i="26"/>
  <c r="H204" i="26"/>
  <c r="F204" i="26"/>
  <c r="L203" i="26"/>
  <c r="J203" i="26"/>
  <c r="H203" i="26"/>
  <c r="F203" i="26"/>
  <c r="L202" i="26"/>
  <c r="J202" i="26"/>
  <c r="H202" i="26"/>
  <c r="F202" i="26"/>
  <c r="L201" i="26"/>
  <c r="J201" i="26"/>
  <c r="H201" i="26"/>
  <c r="F201" i="26"/>
  <c r="L200" i="26"/>
  <c r="J200" i="26"/>
  <c r="H200" i="26"/>
  <c r="F200" i="26"/>
  <c r="L199" i="26"/>
  <c r="J199" i="26"/>
  <c r="H199" i="26"/>
  <c r="F199" i="26"/>
  <c r="L198" i="26"/>
  <c r="J198" i="26"/>
  <c r="H198" i="26"/>
  <c r="F198" i="26"/>
  <c r="L197" i="26"/>
  <c r="J197" i="26"/>
  <c r="H197" i="26"/>
  <c r="F197" i="26"/>
  <c r="L196" i="26"/>
  <c r="J196" i="26"/>
  <c r="H196" i="26"/>
  <c r="F196" i="26"/>
  <c r="L195" i="26"/>
  <c r="J195" i="26"/>
  <c r="H195" i="26"/>
  <c r="F195" i="26"/>
  <c r="L194" i="26"/>
  <c r="J194" i="26"/>
  <c r="H194" i="26"/>
  <c r="F194" i="26"/>
  <c r="L193" i="26"/>
  <c r="J193" i="26"/>
  <c r="H193" i="26"/>
  <c r="F193" i="26"/>
  <c r="L192" i="26"/>
  <c r="J192" i="26"/>
  <c r="H192" i="26"/>
  <c r="F192" i="26"/>
  <c r="L191" i="26"/>
  <c r="J191" i="26"/>
  <c r="H191" i="26"/>
  <c r="F191" i="26"/>
  <c r="L190" i="26"/>
  <c r="J190" i="26"/>
  <c r="H190" i="26"/>
  <c r="F190" i="26"/>
  <c r="L189" i="26"/>
  <c r="J189" i="26"/>
  <c r="H189" i="26"/>
  <c r="F189" i="26"/>
  <c r="L188" i="26"/>
  <c r="J188" i="26"/>
  <c r="H188" i="26"/>
  <c r="F188" i="26"/>
  <c r="L187" i="26"/>
  <c r="J187" i="26"/>
  <c r="H187" i="26"/>
  <c r="F187" i="26"/>
  <c r="L186" i="26"/>
  <c r="J186" i="26"/>
  <c r="H186" i="26"/>
  <c r="F186" i="26"/>
  <c r="L185" i="26"/>
  <c r="J185" i="26"/>
  <c r="H185" i="26"/>
  <c r="F185" i="26"/>
  <c r="L184" i="26"/>
  <c r="J184" i="26"/>
  <c r="H184" i="26"/>
  <c r="F184" i="26"/>
  <c r="L183" i="26"/>
  <c r="J183" i="26"/>
  <c r="H183" i="26"/>
  <c r="F183" i="26"/>
  <c r="L182" i="26"/>
  <c r="J182" i="26"/>
  <c r="H182" i="26"/>
  <c r="F182" i="26"/>
  <c r="L181" i="26"/>
  <c r="J181" i="26"/>
  <c r="H181" i="26"/>
  <c r="F181" i="26"/>
  <c r="L180" i="26"/>
  <c r="J180" i="26"/>
  <c r="H180" i="26"/>
  <c r="F180" i="26"/>
  <c r="L179" i="26"/>
  <c r="J179" i="26"/>
  <c r="H179" i="26"/>
  <c r="F179" i="26"/>
  <c r="L178" i="26"/>
  <c r="J178" i="26"/>
  <c r="H178" i="26"/>
  <c r="F178" i="26"/>
  <c r="L177" i="26"/>
  <c r="J177" i="26"/>
  <c r="H177" i="26"/>
  <c r="F177" i="26"/>
  <c r="L176" i="26"/>
  <c r="J176" i="26"/>
  <c r="H176" i="26"/>
  <c r="F176" i="26"/>
  <c r="L175" i="26"/>
  <c r="J175" i="26"/>
  <c r="H175" i="26"/>
  <c r="F175" i="26"/>
  <c r="L174" i="26"/>
  <c r="J174" i="26"/>
  <c r="H174" i="26"/>
  <c r="F174" i="26"/>
  <c r="L173" i="26"/>
  <c r="J173" i="26"/>
  <c r="H173" i="26"/>
  <c r="F173" i="26"/>
  <c r="L172" i="26"/>
  <c r="J172" i="26"/>
  <c r="H172" i="26"/>
  <c r="F172" i="26"/>
  <c r="L171" i="26"/>
  <c r="J171" i="26"/>
  <c r="H171" i="26"/>
  <c r="F171" i="26"/>
  <c r="L170" i="26"/>
  <c r="J170" i="26"/>
  <c r="H170" i="26"/>
  <c r="F170" i="26"/>
  <c r="L169" i="26"/>
  <c r="J169" i="26"/>
  <c r="H169" i="26"/>
  <c r="F169" i="26"/>
  <c r="L168" i="26"/>
  <c r="J168" i="26"/>
  <c r="H168" i="26"/>
  <c r="F168" i="26"/>
  <c r="L167" i="26"/>
  <c r="J167" i="26"/>
  <c r="H167" i="26"/>
  <c r="F167" i="26"/>
  <c r="L166" i="26"/>
  <c r="J166" i="26"/>
  <c r="H166" i="26"/>
  <c r="F166" i="26"/>
  <c r="L165" i="26"/>
  <c r="J165" i="26"/>
  <c r="H165" i="26"/>
  <c r="F165" i="26"/>
  <c r="L164" i="26"/>
  <c r="J164" i="26"/>
  <c r="H164" i="26"/>
  <c r="F164" i="26"/>
  <c r="L163" i="26"/>
  <c r="J163" i="26"/>
  <c r="H163" i="26"/>
  <c r="F163" i="26"/>
  <c r="L162" i="26"/>
  <c r="J162" i="26"/>
  <c r="H162" i="26"/>
  <c r="F162" i="26"/>
  <c r="L161" i="26"/>
  <c r="J161" i="26"/>
  <c r="H161" i="26"/>
  <c r="F161" i="26"/>
  <c r="L160" i="26"/>
  <c r="J160" i="26"/>
  <c r="H160" i="26"/>
  <c r="F160" i="26"/>
  <c r="L159" i="26"/>
  <c r="J159" i="26"/>
  <c r="H159" i="26"/>
  <c r="F159" i="26"/>
  <c r="L158" i="26"/>
  <c r="J158" i="26"/>
  <c r="H158" i="26"/>
  <c r="F158" i="26"/>
  <c r="L157" i="26"/>
  <c r="J157" i="26"/>
  <c r="H157" i="26"/>
  <c r="F157" i="26"/>
  <c r="L156" i="26"/>
  <c r="J156" i="26"/>
  <c r="H156" i="26"/>
  <c r="F156" i="26"/>
  <c r="L155" i="26"/>
  <c r="J155" i="26"/>
  <c r="H155" i="26"/>
  <c r="F155" i="26"/>
  <c r="L154" i="26"/>
  <c r="J154" i="26"/>
  <c r="H154" i="26"/>
  <c r="F154" i="26"/>
  <c r="L153" i="26"/>
  <c r="J153" i="26"/>
  <c r="H153" i="26"/>
  <c r="F153" i="26"/>
  <c r="L152" i="26"/>
  <c r="J152" i="26"/>
  <c r="H152" i="26"/>
  <c r="F152" i="26"/>
  <c r="L151" i="26"/>
  <c r="J151" i="26"/>
  <c r="H151" i="26"/>
  <c r="F151" i="26"/>
  <c r="L150" i="26"/>
  <c r="J150" i="26"/>
  <c r="H150" i="26"/>
  <c r="F150" i="26"/>
  <c r="L149" i="26"/>
  <c r="J149" i="26"/>
  <c r="H149" i="26"/>
  <c r="F149" i="26"/>
  <c r="L148" i="26"/>
  <c r="J148" i="26"/>
  <c r="H148" i="26"/>
  <c r="F148" i="26"/>
  <c r="L147" i="26"/>
  <c r="J147" i="26"/>
  <c r="H147" i="26"/>
  <c r="F147" i="26"/>
  <c r="L146" i="26"/>
  <c r="J146" i="26"/>
  <c r="H146" i="26"/>
  <c r="F146" i="26"/>
  <c r="L145" i="26"/>
  <c r="J145" i="26"/>
  <c r="H145" i="26"/>
  <c r="F145" i="26"/>
  <c r="L144" i="26"/>
  <c r="J144" i="26"/>
  <c r="H144" i="26"/>
  <c r="F144" i="26"/>
  <c r="L143" i="26"/>
  <c r="J143" i="26"/>
  <c r="H143" i="26"/>
  <c r="F143" i="26"/>
  <c r="L142" i="26"/>
  <c r="J142" i="26"/>
  <c r="H142" i="26"/>
  <c r="F142" i="26"/>
  <c r="L141" i="26"/>
  <c r="J141" i="26"/>
  <c r="H141" i="26"/>
  <c r="F141" i="26"/>
  <c r="L140" i="26"/>
  <c r="J140" i="26"/>
  <c r="H140" i="26"/>
  <c r="F140" i="26"/>
  <c r="L139" i="26"/>
  <c r="J139" i="26"/>
  <c r="H139" i="26"/>
  <c r="F139" i="26"/>
  <c r="L138" i="26"/>
  <c r="J138" i="26"/>
  <c r="H138" i="26"/>
  <c r="F138" i="26"/>
  <c r="L137" i="26"/>
  <c r="J137" i="26"/>
  <c r="H137" i="26"/>
  <c r="F137" i="26"/>
  <c r="L136" i="26"/>
  <c r="J136" i="26"/>
  <c r="H136" i="26"/>
  <c r="F136" i="26"/>
  <c r="L135" i="26"/>
  <c r="J135" i="26"/>
  <c r="H135" i="26"/>
  <c r="F135" i="26"/>
  <c r="L134" i="26"/>
  <c r="J134" i="26"/>
  <c r="H134" i="26"/>
  <c r="F134" i="26"/>
  <c r="L133" i="26"/>
  <c r="J133" i="26"/>
  <c r="H133" i="26"/>
  <c r="F133" i="26"/>
  <c r="L132" i="26"/>
  <c r="J132" i="26"/>
  <c r="H132" i="26"/>
  <c r="F132" i="26"/>
  <c r="L131" i="26"/>
  <c r="J131" i="26"/>
  <c r="H131" i="26"/>
  <c r="F131" i="26"/>
  <c r="L130" i="26"/>
  <c r="J130" i="26"/>
  <c r="H130" i="26"/>
  <c r="F130" i="26"/>
  <c r="L129" i="26"/>
  <c r="J129" i="26"/>
  <c r="H129" i="26"/>
  <c r="F129" i="26"/>
  <c r="L128" i="26"/>
  <c r="J128" i="26"/>
  <c r="H128" i="26"/>
  <c r="F128" i="26"/>
  <c r="L127" i="26"/>
  <c r="J127" i="26"/>
  <c r="H127" i="26"/>
  <c r="F127" i="26"/>
  <c r="L126" i="26"/>
  <c r="J126" i="26"/>
  <c r="H126" i="26"/>
  <c r="F126" i="26"/>
  <c r="L125" i="26"/>
  <c r="J125" i="26"/>
  <c r="H125" i="26"/>
  <c r="F125" i="26"/>
  <c r="L124" i="26"/>
  <c r="J124" i="26"/>
  <c r="H124" i="26"/>
  <c r="F124" i="26"/>
  <c r="L123" i="26"/>
  <c r="J123" i="26"/>
  <c r="H123" i="26"/>
  <c r="F123" i="26"/>
  <c r="L122" i="26"/>
  <c r="J122" i="26"/>
  <c r="H122" i="26"/>
  <c r="F122" i="26"/>
  <c r="L121" i="26"/>
  <c r="J121" i="26"/>
  <c r="H121" i="26"/>
  <c r="F121" i="26"/>
  <c r="L120" i="26"/>
  <c r="J120" i="26"/>
  <c r="H120" i="26"/>
  <c r="F120" i="26"/>
  <c r="L119" i="26"/>
  <c r="J119" i="26"/>
  <c r="H119" i="26"/>
  <c r="F119" i="26"/>
  <c r="L118" i="26"/>
  <c r="J118" i="26"/>
  <c r="H118" i="26"/>
  <c r="F118" i="26"/>
  <c r="L117" i="26"/>
  <c r="J117" i="26"/>
  <c r="H117" i="26"/>
  <c r="F117" i="26"/>
  <c r="L116" i="26"/>
  <c r="J116" i="26"/>
  <c r="H116" i="26"/>
  <c r="F116" i="26"/>
  <c r="L115" i="26"/>
  <c r="J115" i="26"/>
  <c r="H115" i="26"/>
  <c r="F115" i="26"/>
  <c r="L114" i="26"/>
  <c r="J114" i="26"/>
  <c r="H114" i="26"/>
  <c r="F114" i="26"/>
  <c r="L113" i="26"/>
  <c r="J113" i="26"/>
  <c r="H113" i="26"/>
  <c r="F113" i="26"/>
  <c r="L112" i="26"/>
  <c r="J112" i="26"/>
  <c r="H112" i="26"/>
  <c r="F112" i="26"/>
  <c r="L111" i="26"/>
  <c r="J111" i="26"/>
  <c r="H111" i="26"/>
  <c r="F111" i="26"/>
  <c r="L110" i="26"/>
  <c r="J110" i="26"/>
  <c r="H110" i="26"/>
  <c r="F110" i="26"/>
  <c r="L109" i="26"/>
  <c r="J109" i="26"/>
  <c r="H109" i="26"/>
  <c r="F109" i="26"/>
  <c r="L108" i="26"/>
  <c r="J108" i="26"/>
  <c r="H108" i="26"/>
  <c r="F108" i="26"/>
  <c r="L107" i="26"/>
  <c r="J107" i="26"/>
  <c r="H107" i="26"/>
  <c r="F107" i="26"/>
  <c r="L106" i="26"/>
  <c r="J106" i="26"/>
  <c r="H106" i="26"/>
  <c r="F106" i="26"/>
  <c r="L105" i="26"/>
  <c r="J105" i="26"/>
  <c r="H105" i="26"/>
  <c r="F105" i="26"/>
  <c r="L104" i="26"/>
  <c r="J104" i="26"/>
  <c r="H104" i="26"/>
  <c r="F104" i="26"/>
  <c r="L103" i="26"/>
  <c r="J103" i="26"/>
  <c r="H103" i="26"/>
  <c r="F103" i="26"/>
  <c r="L102" i="26"/>
  <c r="J102" i="26"/>
  <c r="H102" i="26"/>
  <c r="F102" i="26"/>
  <c r="L101" i="26"/>
  <c r="J101" i="26"/>
  <c r="H101" i="26"/>
  <c r="F101" i="26"/>
  <c r="L100" i="26"/>
  <c r="J100" i="26"/>
  <c r="H100" i="26"/>
  <c r="F100" i="26"/>
  <c r="L99" i="26"/>
  <c r="J99" i="26"/>
  <c r="H99" i="26"/>
  <c r="F99" i="26"/>
  <c r="L98" i="26"/>
  <c r="J98" i="26"/>
  <c r="H98" i="26"/>
  <c r="F98" i="26"/>
  <c r="L97" i="26"/>
  <c r="J97" i="26"/>
  <c r="H97" i="26"/>
  <c r="F97" i="26"/>
  <c r="L96" i="26"/>
  <c r="J96" i="26"/>
  <c r="H96" i="26"/>
  <c r="F96" i="26"/>
  <c r="L95" i="26"/>
  <c r="J95" i="26"/>
  <c r="H95" i="26"/>
  <c r="F95" i="26"/>
  <c r="L94" i="26"/>
  <c r="J94" i="26"/>
  <c r="H94" i="26"/>
  <c r="F94" i="26"/>
  <c r="L93" i="26"/>
  <c r="J93" i="26"/>
  <c r="H93" i="26"/>
  <c r="F93" i="26"/>
  <c r="L92" i="26"/>
  <c r="J92" i="26"/>
  <c r="H92" i="26"/>
  <c r="F92" i="26"/>
  <c r="L91" i="26"/>
  <c r="J91" i="26"/>
  <c r="H91" i="26"/>
  <c r="F91" i="26"/>
  <c r="L90" i="26"/>
  <c r="J90" i="26"/>
  <c r="H90" i="26"/>
  <c r="F90" i="26"/>
  <c r="L89" i="26"/>
  <c r="J89" i="26"/>
  <c r="H89" i="26"/>
  <c r="F89" i="26"/>
  <c r="L88" i="26"/>
  <c r="J88" i="26"/>
  <c r="H88" i="26"/>
  <c r="F88" i="26"/>
  <c r="L87" i="26"/>
  <c r="J87" i="26"/>
  <c r="H87" i="26"/>
  <c r="F87" i="26"/>
  <c r="L86" i="26"/>
  <c r="J86" i="26"/>
  <c r="H86" i="26"/>
  <c r="F86" i="26"/>
  <c r="L85" i="26"/>
  <c r="J85" i="26"/>
  <c r="H85" i="26"/>
  <c r="F85" i="26"/>
  <c r="L84" i="26"/>
  <c r="J84" i="26"/>
  <c r="H84" i="26"/>
  <c r="F84" i="26"/>
  <c r="L83" i="26"/>
  <c r="J83" i="26"/>
  <c r="H83" i="26"/>
  <c r="F83" i="26"/>
  <c r="L82" i="26"/>
  <c r="J82" i="26"/>
  <c r="H82" i="26"/>
  <c r="F82" i="26"/>
  <c r="L81" i="26"/>
  <c r="J81" i="26"/>
  <c r="H81" i="26"/>
  <c r="F81" i="26"/>
  <c r="L80" i="26"/>
  <c r="J80" i="26"/>
  <c r="H80" i="26"/>
  <c r="F80" i="26"/>
  <c r="L79" i="26"/>
  <c r="J79" i="26"/>
  <c r="H79" i="26"/>
  <c r="F79" i="26"/>
  <c r="L78" i="26"/>
  <c r="J78" i="26"/>
  <c r="H78" i="26"/>
  <c r="F78" i="26"/>
  <c r="L77" i="26"/>
  <c r="J77" i="26"/>
  <c r="H77" i="26"/>
  <c r="F77" i="26"/>
  <c r="L76" i="26"/>
  <c r="J76" i="26"/>
  <c r="H76" i="26"/>
  <c r="F76" i="26"/>
  <c r="L75" i="26"/>
  <c r="J75" i="26"/>
  <c r="H75" i="26"/>
  <c r="F75" i="26"/>
  <c r="L74" i="26"/>
  <c r="J74" i="26"/>
  <c r="H74" i="26"/>
  <c r="F74" i="26"/>
  <c r="L73" i="26"/>
  <c r="J73" i="26"/>
  <c r="H73" i="26"/>
  <c r="F73" i="26"/>
  <c r="L72" i="26"/>
  <c r="J72" i="26"/>
  <c r="H72" i="26"/>
  <c r="F72" i="26"/>
  <c r="L71" i="26"/>
  <c r="J71" i="26"/>
  <c r="H71" i="26"/>
  <c r="F71" i="26"/>
  <c r="L70" i="26"/>
  <c r="J70" i="26"/>
  <c r="H70" i="26"/>
  <c r="F70" i="26"/>
  <c r="L69" i="26"/>
  <c r="J69" i="26"/>
  <c r="H69" i="26"/>
  <c r="F69" i="26"/>
  <c r="L68" i="26"/>
  <c r="J68" i="26"/>
  <c r="H68" i="26"/>
  <c r="F68" i="26"/>
  <c r="L67" i="26"/>
  <c r="J67" i="26"/>
  <c r="H67" i="26"/>
  <c r="F67" i="26"/>
  <c r="L66" i="26"/>
  <c r="J66" i="26"/>
  <c r="H66" i="26"/>
  <c r="F66" i="26"/>
  <c r="L65" i="26"/>
  <c r="J65" i="26"/>
  <c r="H65" i="26"/>
  <c r="F65" i="26"/>
  <c r="L64" i="26"/>
  <c r="J64" i="26"/>
  <c r="H64" i="26"/>
  <c r="F64" i="26"/>
  <c r="L63" i="26"/>
  <c r="J63" i="26"/>
  <c r="H63" i="26"/>
  <c r="F63" i="26"/>
  <c r="L62" i="26"/>
  <c r="J62" i="26"/>
  <c r="H62" i="26"/>
  <c r="F62" i="26"/>
  <c r="L61" i="26"/>
  <c r="J61" i="26"/>
  <c r="H61" i="26"/>
  <c r="F61" i="26"/>
  <c r="L60" i="26"/>
  <c r="J60" i="26"/>
  <c r="H60" i="26"/>
  <c r="F60" i="26"/>
  <c r="L59" i="26"/>
  <c r="J59" i="26"/>
  <c r="H59" i="26"/>
  <c r="F59" i="26"/>
  <c r="L58" i="26"/>
  <c r="J58" i="26"/>
  <c r="H58" i="26"/>
  <c r="F58" i="26"/>
  <c r="L57" i="26"/>
  <c r="J57" i="26"/>
  <c r="H57" i="26"/>
  <c r="F57" i="26"/>
  <c r="L56" i="26"/>
  <c r="J56" i="26"/>
  <c r="H56" i="26"/>
  <c r="F56" i="26"/>
  <c r="L55" i="26"/>
  <c r="J55" i="26"/>
  <c r="H55" i="26"/>
  <c r="F55" i="26"/>
  <c r="L54" i="26"/>
  <c r="J54" i="26"/>
  <c r="H54" i="26"/>
  <c r="F54" i="26"/>
  <c r="L53" i="26"/>
  <c r="J53" i="26"/>
  <c r="H53" i="26"/>
  <c r="F53" i="26"/>
  <c r="L52" i="26"/>
  <c r="J52" i="26"/>
  <c r="H52" i="26"/>
  <c r="F52" i="26"/>
  <c r="L51" i="26"/>
  <c r="J51" i="26"/>
  <c r="H51" i="26"/>
  <c r="F51" i="26"/>
  <c r="L50" i="26"/>
  <c r="J50" i="26"/>
  <c r="H50" i="26"/>
  <c r="F50" i="26"/>
  <c r="L49" i="26"/>
  <c r="J49" i="26"/>
  <c r="H49" i="26"/>
  <c r="F49" i="26"/>
  <c r="L48" i="26"/>
  <c r="J48" i="26"/>
  <c r="H48" i="26"/>
  <c r="F48" i="26"/>
  <c r="L47" i="26"/>
  <c r="J47" i="26"/>
  <c r="H47" i="26"/>
  <c r="F47" i="26"/>
  <c r="L46" i="26"/>
  <c r="J46" i="26"/>
  <c r="H46" i="26"/>
  <c r="F46" i="26"/>
  <c r="L45" i="26"/>
  <c r="J45" i="26"/>
  <c r="H45" i="26"/>
  <c r="F45" i="26"/>
  <c r="L44" i="26"/>
  <c r="J44" i="26"/>
  <c r="H44" i="26"/>
  <c r="F44" i="26"/>
  <c r="L43" i="26"/>
  <c r="J43" i="26"/>
  <c r="H43" i="26"/>
  <c r="F43" i="26"/>
  <c r="L42" i="26"/>
  <c r="J42" i="26"/>
  <c r="H42" i="26"/>
  <c r="F42" i="26"/>
  <c r="L41" i="26"/>
  <c r="J41" i="26"/>
  <c r="H41" i="26"/>
  <c r="F41" i="26"/>
  <c r="L40" i="26"/>
  <c r="J40" i="26"/>
  <c r="H40" i="26"/>
  <c r="F40" i="26"/>
  <c r="L39" i="26"/>
  <c r="J39" i="26"/>
  <c r="H39" i="26"/>
  <c r="F39" i="26"/>
  <c r="L38" i="26"/>
  <c r="J38" i="26"/>
  <c r="H38" i="26"/>
  <c r="F38" i="26"/>
  <c r="L37" i="26"/>
  <c r="J37" i="26"/>
  <c r="H37" i="26"/>
  <c r="F37" i="26"/>
  <c r="L36" i="26"/>
  <c r="J36" i="26"/>
  <c r="H36" i="26"/>
  <c r="F36" i="26"/>
  <c r="L35" i="26"/>
  <c r="J35" i="26"/>
  <c r="H35" i="26"/>
  <c r="F35" i="26"/>
  <c r="L34" i="26"/>
  <c r="J34" i="26"/>
  <c r="H34" i="26"/>
  <c r="F34" i="26"/>
  <c r="L33" i="26"/>
  <c r="J33" i="26"/>
  <c r="H33" i="26"/>
  <c r="F33" i="26"/>
  <c r="L32" i="26"/>
  <c r="J32" i="26"/>
  <c r="H32" i="26"/>
  <c r="F32" i="26"/>
  <c r="L31" i="26"/>
  <c r="J31" i="26"/>
  <c r="H31" i="26"/>
  <c r="F31" i="26"/>
  <c r="L30" i="26"/>
  <c r="J30" i="26"/>
  <c r="H30" i="26"/>
  <c r="F30" i="26"/>
  <c r="L29" i="26"/>
  <c r="J29" i="26"/>
  <c r="H29" i="26"/>
  <c r="F29" i="26"/>
  <c r="L28" i="26"/>
  <c r="J28" i="26"/>
  <c r="H28" i="26"/>
  <c r="F28" i="26"/>
  <c r="L27" i="26"/>
  <c r="J27" i="26"/>
  <c r="H27" i="26"/>
  <c r="F27" i="26"/>
  <c r="L26" i="26"/>
  <c r="J26" i="26"/>
  <c r="H26" i="26"/>
  <c r="F26" i="26"/>
  <c r="L25" i="26"/>
  <c r="J25" i="26"/>
  <c r="H25" i="26"/>
  <c r="F25" i="26"/>
  <c r="L24" i="26"/>
  <c r="J24" i="26"/>
  <c r="H24" i="26"/>
  <c r="F24" i="26"/>
  <c r="L23" i="26"/>
  <c r="J23" i="26"/>
  <c r="H23" i="26"/>
  <c r="F23" i="26"/>
  <c r="L22" i="26"/>
  <c r="J22" i="26"/>
  <c r="H22" i="26"/>
  <c r="F22" i="26"/>
  <c r="L21" i="26"/>
  <c r="J21" i="26"/>
  <c r="H21" i="26"/>
  <c r="F21" i="26"/>
  <c r="L20" i="26"/>
  <c r="J20" i="26"/>
  <c r="H20" i="26"/>
  <c r="F20" i="26"/>
  <c r="L19" i="26"/>
  <c r="J19" i="26"/>
  <c r="H19" i="26"/>
  <c r="F19" i="26"/>
  <c r="L18" i="26"/>
  <c r="J18" i="26"/>
  <c r="H18" i="26"/>
  <c r="F18" i="26"/>
  <c r="L17" i="26"/>
  <c r="J17" i="26"/>
  <c r="H17" i="26"/>
  <c r="F17" i="26"/>
  <c r="L16" i="26"/>
  <c r="J16" i="26"/>
  <c r="H16" i="26"/>
  <c r="F16" i="26"/>
  <c r="L15" i="26"/>
  <c r="J15" i="26"/>
  <c r="H15" i="26"/>
  <c r="F15" i="26"/>
  <c r="L14" i="26"/>
  <c r="J14" i="26"/>
  <c r="H14" i="26"/>
  <c r="F14" i="26"/>
  <c r="L13" i="26"/>
  <c r="J13" i="26"/>
  <c r="H13" i="26"/>
  <c r="F13" i="26"/>
  <c r="L12" i="26"/>
  <c r="J12" i="26"/>
  <c r="H12" i="26"/>
  <c r="F12" i="26"/>
  <c r="L11" i="26"/>
  <c r="J11" i="26"/>
  <c r="H11" i="26"/>
  <c r="F11" i="26"/>
  <c r="L10" i="26"/>
  <c r="J10" i="26"/>
  <c r="H10" i="26"/>
  <c r="F10" i="26"/>
  <c r="L9" i="26"/>
  <c r="J9" i="26"/>
  <c r="H9" i="26"/>
  <c r="F9" i="26"/>
  <c r="L8" i="26"/>
  <c r="J8" i="26"/>
  <c r="H8" i="26"/>
  <c r="F8" i="26"/>
  <c r="L7" i="26"/>
  <c r="J7" i="26"/>
  <c r="H7" i="26"/>
  <c r="F7" i="26"/>
  <c r="L6" i="26"/>
  <c r="J6" i="26"/>
  <c r="H6" i="26"/>
  <c r="F6" i="26"/>
  <c r="L5" i="26"/>
  <c r="J5" i="26"/>
  <c r="H5" i="26"/>
  <c r="F5" i="26"/>
  <c r="L4" i="26"/>
  <c r="J4" i="26"/>
  <c r="H4" i="26"/>
  <c r="F4" i="26"/>
  <c r="L3" i="26"/>
  <c r="K3" i="26" s="1"/>
  <c r="K4" i="26" s="1"/>
  <c r="K5" i="26" s="1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K90" i="26" s="1"/>
  <c r="K91" i="26" s="1"/>
  <c r="K92" i="26" s="1"/>
  <c r="K93" i="26" s="1"/>
  <c r="K94" i="26" s="1"/>
  <c r="K95" i="26" s="1"/>
  <c r="K96" i="26" s="1"/>
  <c r="K97" i="26" s="1"/>
  <c r="K98" i="26" s="1"/>
  <c r="K99" i="26" s="1"/>
  <c r="K100" i="26" s="1"/>
  <c r="K101" i="26" s="1"/>
  <c r="K102" i="26" s="1"/>
  <c r="K103" i="26" s="1"/>
  <c r="K104" i="26" s="1"/>
  <c r="K105" i="26" s="1"/>
  <c r="K106" i="26" s="1"/>
  <c r="K107" i="26" s="1"/>
  <c r="K108" i="26" s="1"/>
  <c r="K109" i="26" s="1"/>
  <c r="K110" i="26" s="1"/>
  <c r="K111" i="26" s="1"/>
  <c r="K112" i="26" s="1"/>
  <c r="K113" i="26" s="1"/>
  <c r="K114" i="26" s="1"/>
  <c r="K115" i="26" s="1"/>
  <c r="K116" i="26" s="1"/>
  <c r="K117" i="26" s="1"/>
  <c r="K118" i="26" s="1"/>
  <c r="K119" i="26" s="1"/>
  <c r="K120" i="26" s="1"/>
  <c r="K121" i="26" s="1"/>
  <c r="K122" i="26" s="1"/>
  <c r="K123" i="26" s="1"/>
  <c r="K124" i="26" s="1"/>
  <c r="K125" i="26" s="1"/>
  <c r="K126" i="26" s="1"/>
  <c r="K127" i="26" s="1"/>
  <c r="K128" i="26" s="1"/>
  <c r="K129" i="26" s="1"/>
  <c r="K130" i="26" s="1"/>
  <c r="K131" i="26" s="1"/>
  <c r="K132" i="26" s="1"/>
  <c r="K133" i="26" s="1"/>
  <c r="K134" i="26" s="1"/>
  <c r="K135" i="26" s="1"/>
  <c r="K136" i="26" s="1"/>
  <c r="K137" i="26" s="1"/>
  <c r="K138" i="26" s="1"/>
  <c r="K139" i="26" s="1"/>
  <c r="K140" i="26" s="1"/>
  <c r="K141" i="26" s="1"/>
  <c r="K142" i="26" s="1"/>
  <c r="K143" i="26" s="1"/>
  <c r="K144" i="26" s="1"/>
  <c r="K145" i="26" s="1"/>
  <c r="K146" i="26" s="1"/>
  <c r="K147" i="26" s="1"/>
  <c r="K148" i="26" s="1"/>
  <c r="K149" i="26" s="1"/>
  <c r="K150" i="26" s="1"/>
  <c r="K151" i="26" s="1"/>
  <c r="K152" i="26" s="1"/>
  <c r="K153" i="26" s="1"/>
  <c r="K154" i="26" s="1"/>
  <c r="K155" i="26" s="1"/>
  <c r="K156" i="26" s="1"/>
  <c r="K157" i="26" s="1"/>
  <c r="K158" i="26" s="1"/>
  <c r="K159" i="26" s="1"/>
  <c r="K160" i="26" s="1"/>
  <c r="K161" i="26" s="1"/>
  <c r="K162" i="26" s="1"/>
  <c r="K163" i="26" s="1"/>
  <c r="K164" i="26" s="1"/>
  <c r="K165" i="26" s="1"/>
  <c r="K166" i="26" s="1"/>
  <c r="K167" i="26" s="1"/>
  <c r="K168" i="26" s="1"/>
  <c r="K169" i="26" s="1"/>
  <c r="K170" i="26" s="1"/>
  <c r="K171" i="26" s="1"/>
  <c r="K172" i="26" s="1"/>
  <c r="K173" i="26" s="1"/>
  <c r="K174" i="26" s="1"/>
  <c r="K175" i="26" s="1"/>
  <c r="K176" i="26" s="1"/>
  <c r="K177" i="26" s="1"/>
  <c r="K178" i="26" s="1"/>
  <c r="K179" i="26" s="1"/>
  <c r="K180" i="26" s="1"/>
  <c r="K181" i="26" s="1"/>
  <c r="K182" i="26" s="1"/>
  <c r="K183" i="26" s="1"/>
  <c r="K184" i="26" s="1"/>
  <c r="K185" i="26" s="1"/>
  <c r="K186" i="26" s="1"/>
  <c r="K187" i="26" s="1"/>
  <c r="K188" i="26" s="1"/>
  <c r="K189" i="26" s="1"/>
  <c r="K190" i="26" s="1"/>
  <c r="K191" i="26" s="1"/>
  <c r="K192" i="26" s="1"/>
  <c r="K193" i="26" s="1"/>
  <c r="K194" i="26" s="1"/>
  <c r="K195" i="26" s="1"/>
  <c r="K196" i="26" s="1"/>
  <c r="K197" i="26" s="1"/>
  <c r="K198" i="26" s="1"/>
  <c r="K199" i="26" s="1"/>
  <c r="K200" i="26" s="1"/>
  <c r="K201" i="26" s="1"/>
  <c r="K202" i="26" s="1"/>
  <c r="K203" i="26" s="1"/>
  <c r="K204" i="26" s="1"/>
  <c r="K205" i="26" s="1"/>
  <c r="K206" i="26" s="1"/>
  <c r="K207" i="26" s="1"/>
  <c r="K208" i="26" s="1"/>
  <c r="K209" i="26" s="1"/>
  <c r="K210" i="26" s="1"/>
  <c r="K211" i="26" s="1"/>
  <c r="K212" i="26" s="1"/>
  <c r="K213" i="26" s="1"/>
  <c r="K214" i="26" s="1"/>
  <c r="K215" i="26" s="1"/>
  <c r="K216" i="26" s="1"/>
  <c r="K217" i="26" s="1"/>
  <c r="K218" i="26" s="1"/>
  <c r="K219" i="26" s="1"/>
  <c r="K220" i="26" s="1"/>
  <c r="K221" i="26" s="1"/>
  <c r="K222" i="26" s="1"/>
  <c r="K223" i="26" s="1"/>
  <c r="K224" i="26" s="1"/>
  <c r="K225" i="26" s="1"/>
  <c r="K226" i="26" s="1"/>
  <c r="K227" i="26" s="1"/>
  <c r="K228" i="26" s="1"/>
  <c r="K229" i="26" s="1"/>
  <c r="K230" i="26" s="1"/>
  <c r="K231" i="26" s="1"/>
  <c r="K232" i="26" s="1"/>
  <c r="K233" i="26" s="1"/>
  <c r="K234" i="26" s="1"/>
  <c r="K235" i="26" s="1"/>
  <c r="K236" i="26" s="1"/>
  <c r="K237" i="26" s="1"/>
  <c r="K238" i="26" s="1"/>
  <c r="K239" i="26" s="1"/>
  <c r="K240" i="26" s="1"/>
  <c r="K241" i="26" s="1"/>
  <c r="K242" i="26" s="1"/>
  <c r="K243" i="26" s="1"/>
  <c r="K244" i="26" s="1"/>
  <c r="K245" i="26" s="1"/>
  <c r="K246" i="26" s="1"/>
  <c r="K247" i="26" s="1"/>
  <c r="K248" i="26" s="1"/>
  <c r="K249" i="26" s="1"/>
  <c r="K250" i="26" s="1"/>
  <c r="K251" i="26" s="1"/>
  <c r="K252" i="26" s="1"/>
  <c r="K253" i="26" s="1"/>
  <c r="K254" i="26" s="1"/>
  <c r="K255" i="26" s="1"/>
  <c r="K256" i="26" s="1"/>
  <c r="K257" i="26" s="1"/>
  <c r="K258" i="26" s="1"/>
  <c r="K259" i="26" s="1"/>
  <c r="K260" i="26" s="1"/>
  <c r="K261" i="26" s="1"/>
  <c r="K262" i="26" s="1"/>
  <c r="K263" i="26" s="1"/>
  <c r="K264" i="26" s="1"/>
  <c r="K265" i="26" s="1"/>
  <c r="K266" i="26" s="1"/>
  <c r="K267" i="26" s="1"/>
  <c r="K268" i="26" s="1"/>
  <c r="K269" i="26" s="1"/>
  <c r="K270" i="26" s="1"/>
  <c r="K271" i="26" s="1"/>
  <c r="K272" i="26" s="1"/>
  <c r="K273" i="26" s="1"/>
  <c r="K274" i="26" s="1"/>
  <c r="K275" i="26" s="1"/>
  <c r="K276" i="26" s="1"/>
  <c r="K277" i="26" s="1"/>
  <c r="K278" i="26" s="1"/>
  <c r="K279" i="26" s="1"/>
  <c r="K280" i="26" s="1"/>
  <c r="K281" i="26" s="1"/>
  <c r="K282" i="26" s="1"/>
  <c r="K283" i="26" s="1"/>
  <c r="K284" i="26" s="1"/>
  <c r="K285" i="26" s="1"/>
  <c r="K286" i="26" s="1"/>
  <c r="K287" i="26" s="1"/>
  <c r="K288" i="26" s="1"/>
  <c r="K289" i="26" s="1"/>
  <c r="K290" i="26" s="1"/>
  <c r="K291" i="26" s="1"/>
  <c r="K292" i="26" s="1"/>
  <c r="K293" i="26" s="1"/>
  <c r="K294" i="26" s="1"/>
  <c r="K295" i="26" s="1"/>
  <c r="K296" i="26" s="1"/>
  <c r="K297" i="26" s="1"/>
  <c r="K298" i="26" s="1"/>
  <c r="K299" i="26" s="1"/>
  <c r="K300" i="26" s="1"/>
  <c r="K301" i="26" s="1"/>
  <c r="K302" i="26" s="1"/>
  <c r="K303" i="26" s="1"/>
  <c r="K304" i="26" s="1"/>
  <c r="K305" i="26" s="1"/>
  <c r="K306" i="26" s="1"/>
  <c r="K307" i="26" s="1"/>
  <c r="K308" i="26" s="1"/>
  <c r="K309" i="26" s="1"/>
  <c r="K310" i="26" s="1"/>
  <c r="K311" i="26" s="1"/>
  <c r="K312" i="26" s="1"/>
  <c r="K313" i="26" s="1"/>
  <c r="K314" i="26" s="1"/>
  <c r="K315" i="26" s="1"/>
  <c r="K316" i="26" s="1"/>
  <c r="K317" i="26" s="1"/>
  <c r="K318" i="26" s="1"/>
  <c r="K319" i="26" s="1"/>
  <c r="K320" i="26" s="1"/>
  <c r="K321" i="26" s="1"/>
  <c r="K322" i="26" s="1"/>
  <c r="K323" i="26" s="1"/>
  <c r="K324" i="26" s="1"/>
  <c r="K325" i="26" s="1"/>
  <c r="K326" i="26" s="1"/>
  <c r="K327" i="26" s="1"/>
  <c r="K328" i="26" s="1"/>
  <c r="K329" i="26" s="1"/>
  <c r="K330" i="26" s="1"/>
  <c r="K331" i="26" s="1"/>
  <c r="K332" i="26" s="1"/>
  <c r="K333" i="26" s="1"/>
  <c r="K334" i="26" s="1"/>
  <c r="K335" i="26" s="1"/>
  <c r="K336" i="26" s="1"/>
  <c r="K337" i="26" s="1"/>
  <c r="K338" i="26" s="1"/>
  <c r="K339" i="26" s="1"/>
  <c r="K340" i="26" s="1"/>
  <c r="K341" i="26" s="1"/>
  <c r="K342" i="26" s="1"/>
  <c r="K343" i="26" s="1"/>
  <c r="K344" i="26" s="1"/>
  <c r="K345" i="26" s="1"/>
  <c r="K346" i="26" s="1"/>
  <c r="K347" i="26" s="1"/>
  <c r="K348" i="26" s="1"/>
  <c r="K349" i="26" s="1"/>
  <c r="K350" i="26" s="1"/>
  <c r="K351" i="26" s="1"/>
  <c r="K352" i="26" s="1"/>
  <c r="K353" i="26" s="1"/>
  <c r="K354" i="26" s="1"/>
  <c r="K355" i="26" s="1"/>
  <c r="K356" i="26" s="1"/>
  <c r="K357" i="26" s="1"/>
  <c r="K358" i="26" s="1"/>
  <c r="K359" i="26" s="1"/>
  <c r="K360" i="26" s="1"/>
  <c r="K361" i="26" s="1"/>
  <c r="K362" i="26" s="1"/>
  <c r="K363" i="26" s="1"/>
  <c r="K364" i="26" s="1"/>
  <c r="K365" i="26" s="1"/>
  <c r="K366" i="26" s="1"/>
  <c r="K367" i="26" s="1"/>
  <c r="K368" i="26" s="1"/>
  <c r="K369" i="26" s="1"/>
  <c r="K370" i="26" s="1"/>
  <c r="K371" i="26" s="1"/>
  <c r="K372" i="26" s="1"/>
  <c r="K373" i="26" s="1"/>
  <c r="K374" i="26" s="1"/>
  <c r="K375" i="26" s="1"/>
  <c r="K376" i="26" s="1"/>
  <c r="K377" i="26" s="1"/>
  <c r="K378" i="26" s="1"/>
  <c r="K379" i="26" s="1"/>
  <c r="K380" i="26" s="1"/>
  <c r="K381" i="26" s="1"/>
  <c r="K382" i="26" s="1"/>
  <c r="K383" i="26" s="1"/>
  <c r="K384" i="26" s="1"/>
  <c r="K385" i="26" s="1"/>
  <c r="K386" i="26" s="1"/>
  <c r="K387" i="26" s="1"/>
  <c r="K388" i="26" s="1"/>
  <c r="K389" i="26" s="1"/>
  <c r="K390" i="26" s="1"/>
  <c r="K391" i="26" s="1"/>
  <c r="K392" i="26" s="1"/>
  <c r="K393" i="26" s="1"/>
  <c r="K394" i="26" s="1"/>
  <c r="K395" i="26" s="1"/>
  <c r="K396" i="26" s="1"/>
  <c r="K397" i="26" s="1"/>
  <c r="K398" i="26" s="1"/>
  <c r="K399" i="26" s="1"/>
  <c r="K400" i="26" s="1"/>
  <c r="K401" i="26" s="1"/>
  <c r="K402" i="26" s="1"/>
  <c r="K403" i="26" s="1"/>
  <c r="K404" i="26" s="1"/>
  <c r="K405" i="26" s="1"/>
  <c r="K406" i="26" s="1"/>
  <c r="K407" i="26" s="1"/>
  <c r="K408" i="26" s="1"/>
  <c r="K409" i="26" s="1"/>
  <c r="K410" i="26" s="1"/>
  <c r="K411" i="26" s="1"/>
  <c r="K412" i="26" s="1"/>
  <c r="K413" i="26" s="1"/>
  <c r="K414" i="26" s="1"/>
  <c r="K415" i="26" s="1"/>
  <c r="K416" i="26" s="1"/>
  <c r="K417" i="26" s="1"/>
  <c r="K418" i="26" s="1"/>
  <c r="K419" i="26" s="1"/>
  <c r="K420" i="26" s="1"/>
  <c r="K421" i="26" s="1"/>
  <c r="K422" i="26" s="1"/>
  <c r="K423" i="26" s="1"/>
  <c r="K424" i="26" s="1"/>
  <c r="K425" i="26" s="1"/>
  <c r="K426" i="26" s="1"/>
  <c r="K427" i="26" s="1"/>
  <c r="K428" i="26" s="1"/>
  <c r="K429" i="26" s="1"/>
  <c r="K430" i="26" s="1"/>
  <c r="K431" i="26" s="1"/>
  <c r="K432" i="26" s="1"/>
  <c r="K433" i="26" s="1"/>
  <c r="K434" i="26" s="1"/>
  <c r="K435" i="26" s="1"/>
  <c r="K436" i="26" s="1"/>
  <c r="K437" i="26" s="1"/>
  <c r="K438" i="26" s="1"/>
  <c r="K439" i="26" s="1"/>
  <c r="K440" i="26" s="1"/>
  <c r="K441" i="26" s="1"/>
  <c r="K442" i="26" s="1"/>
  <c r="K443" i="26" s="1"/>
  <c r="K444" i="26" s="1"/>
  <c r="K445" i="26" s="1"/>
  <c r="K446" i="26" s="1"/>
  <c r="K447" i="26" s="1"/>
  <c r="K448" i="26" s="1"/>
  <c r="K449" i="26" s="1"/>
  <c r="K450" i="26" s="1"/>
  <c r="K451" i="26" s="1"/>
  <c r="K452" i="26" s="1"/>
  <c r="K453" i="26" s="1"/>
  <c r="K454" i="26" s="1"/>
  <c r="K455" i="26" s="1"/>
  <c r="K456" i="26" s="1"/>
  <c r="K457" i="26" s="1"/>
  <c r="K458" i="26" s="1"/>
  <c r="K459" i="26" s="1"/>
  <c r="K460" i="26" s="1"/>
  <c r="K461" i="26" s="1"/>
  <c r="K462" i="26" s="1"/>
  <c r="K463" i="26" s="1"/>
  <c r="K464" i="26" s="1"/>
  <c r="K465" i="26" s="1"/>
  <c r="K466" i="26" s="1"/>
  <c r="K467" i="26" s="1"/>
  <c r="K468" i="26" s="1"/>
  <c r="K469" i="26" s="1"/>
  <c r="K470" i="26" s="1"/>
  <c r="K471" i="26" s="1"/>
  <c r="K472" i="26" s="1"/>
  <c r="K473" i="26" s="1"/>
  <c r="K474" i="26" s="1"/>
  <c r="K475" i="26" s="1"/>
  <c r="K476" i="26" s="1"/>
  <c r="K477" i="26" s="1"/>
  <c r="K478" i="26" s="1"/>
  <c r="K479" i="26" s="1"/>
  <c r="K480" i="26" s="1"/>
  <c r="K481" i="26" s="1"/>
  <c r="K482" i="26" s="1"/>
  <c r="K483" i="26" s="1"/>
  <c r="K484" i="26" s="1"/>
  <c r="K485" i="26" s="1"/>
  <c r="K486" i="26" s="1"/>
  <c r="K487" i="26" s="1"/>
  <c r="K488" i="26" s="1"/>
  <c r="K489" i="26" s="1"/>
  <c r="K490" i="26" s="1"/>
  <c r="K491" i="26" s="1"/>
  <c r="K492" i="26" s="1"/>
  <c r="K493" i="26" s="1"/>
  <c r="K494" i="26" s="1"/>
  <c r="K495" i="26" s="1"/>
  <c r="K496" i="26" s="1"/>
  <c r="K497" i="26" s="1"/>
  <c r="K498" i="26" s="1"/>
  <c r="K499" i="26" s="1"/>
  <c r="K500" i="26" s="1"/>
  <c r="K501" i="26" s="1"/>
  <c r="K502" i="26" s="1"/>
  <c r="K503" i="26" s="1"/>
  <c r="K504" i="26" s="1"/>
  <c r="K505" i="26" s="1"/>
  <c r="K506" i="26" s="1"/>
  <c r="K507" i="26" s="1"/>
  <c r="K508" i="26" s="1"/>
  <c r="K509" i="26" s="1"/>
  <c r="K510" i="26" s="1"/>
  <c r="K511" i="26" s="1"/>
  <c r="K512" i="26" s="1"/>
  <c r="K513" i="26" s="1"/>
  <c r="K514" i="26" s="1"/>
  <c r="K515" i="26" s="1"/>
  <c r="K516" i="26" s="1"/>
  <c r="K517" i="26" s="1"/>
  <c r="K518" i="26" s="1"/>
  <c r="K519" i="26" s="1"/>
  <c r="K520" i="26" s="1"/>
  <c r="K521" i="26" s="1"/>
  <c r="K522" i="26" s="1"/>
  <c r="K523" i="26" s="1"/>
  <c r="K524" i="26" s="1"/>
  <c r="K525" i="26" s="1"/>
  <c r="K526" i="26" s="1"/>
  <c r="K527" i="26" s="1"/>
  <c r="K528" i="26" s="1"/>
  <c r="K529" i="26" s="1"/>
  <c r="K530" i="26" s="1"/>
  <c r="K531" i="26" s="1"/>
  <c r="K532" i="26" s="1"/>
  <c r="K533" i="26" s="1"/>
  <c r="K534" i="26" s="1"/>
  <c r="K535" i="26" s="1"/>
  <c r="K536" i="26" s="1"/>
  <c r="K537" i="26" s="1"/>
  <c r="K538" i="26" s="1"/>
  <c r="K539" i="26" s="1"/>
  <c r="K540" i="26" s="1"/>
  <c r="K541" i="26" s="1"/>
  <c r="K542" i="26" s="1"/>
  <c r="K543" i="26" s="1"/>
  <c r="K544" i="26" s="1"/>
  <c r="K545" i="26" s="1"/>
  <c r="K546" i="26" s="1"/>
  <c r="K547" i="26" s="1"/>
  <c r="K548" i="26" s="1"/>
  <c r="K549" i="26" s="1"/>
  <c r="K550" i="26" s="1"/>
  <c r="K551" i="26" s="1"/>
  <c r="K552" i="26" s="1"/>
  <c r="K553" i="26" s="1"/>
  <c r="K554" i="26" s="1"/>
  <c r="K555" i="26" s="1"/>
  <c r="K556" i="26" s="1"/>
  <c r="K557" i="26" s="1"/>
  <c r="K558" i="26" s="1"/>
  <c r="K559" i="26" s="1"/>
  <c r="K560" i="26" s="1"/>
  <c r="K561" i="26" s="1"/>
  <c r="K562" i="26" s="1"/>
  <c r="K563" i="26" s="1"/>
  <c r="K564" i="26" s="1"/>
  <c r="K565" i="26" s="1"/>
  <c r="K566" i="26" s="1"/>
  <c r="K567" i="26" s="1"/>
  <c r="K568" i="26" s="1"/>
  <c r="K569" i="26" s="1"/>
  <c r="K570" i="26" s="1"/>
  <c r="K571" i="26" s="1"/>
  <c r="K572" i="26" s="1"/>
  <c r="K573" i="26" s="1"/>
  <c r="K574" i="26" s="1"/>
  <c r="K575" i="26" s="1"/>
  <c r="K576" i="26" s="1"/>
  <c r="K577" i="26" s="1"/>
  <c r="K578" i="26" s="1"/>
  <c r="K579" i="26" s="1"/>
  <c r="K580" i="26" s="1"/>
  <c r="K581" i="26" s="1"/>
  <c r="K582" i="26" s="1"/>
  <c r="K583" i="26" s="1"/>
  <c r="K584" i="26" s="1"/>
  <c r="K585" i="26" s="1"/>
  <c r="K586" i="26" s="1"/>
  <c r="K587" i="26" s="1"/>
  <c r="K588" i="26" s="1"/>
  <c r="K589" i="26" s="1"/>
  <c r="K590" i="26" s="1"/>
  <c r="K591" i="26" s="1"/>
  <c r="K592" i="26" s="1"/>
  <c r="K593" i="26" s="1"/>
  <c r="K594" i="26" s="1"/>
  <c r="K595" i="26" s="1"/>
  <c r="K596" i="26" s="1"/>
  <c r="K597" i="26" s="1"/>
  <c r="K598" i="26" s="1"/>
  <c r="K599" i="26" s="1"/>
  <c r="K600" i="26" s="1"/>
  <c r="K601" i="26" s="1"/>
  <c r="K602" i="26" s="1"/>
  <c r="K603" i="26" s="1"/>
  <c r="K604" i="26" s="1"/>
  <c r="K605" i="26" s="1"/>
  <c r="K606" i="26" s="1"/>
  <c r="K607" i="26" s="1"/>
  <c r="K608" i="26" s="1"/>
  <c r="K609" i="26" s="1"/>
  <c r="K610" i="26" s="1"/>
  <c r="K611" i="26" s="1"/>
  <c r="K612" i="26" s="1"/>
  <c r="K613" i="26" s="1"/>
  <c r="K614" i="26" s="1"/>
  <c r="K615" i="26" s="1"/>
  <c r="K616" i="26" s="1"/>
  <c r="K617" i="26" s="1"/>
  <c r="K618" i="26" s="1"/>
  <c r="K619" i="26" s="1"/>
  <c r="K620" i="26" s="1"/>
  <c r="K621" i="26" s="1"/>
  <c r="K622" i="26" s="1"/>
  <c r="K623" i="26" s="1"/>
  <c r="K624" i="26" s="1"/>
  <c r="K625" i="26" s="1"/>
  <c r="K626" i="26" s="1"/>
  <c r="K627" i="26" s="1"/>
  <c r="K628" i="26" s="1"/>
  <c r="K629" i="26" s="1"/>
  <c r="K630" i="26" s="1"/>
  <c r="K631" i="26" s="1"/>
  <c r="K632" i="26" s="1"/>
  <c r="K633" i="26" s="1"/>
  <c r="K634" i="26" s="1"/>
  <c r="K635" i="26" s="1"/>
  <c r="K636" i="26" s="1"/>
  <c r="K637" i="26" s="1"/>
  <c r="K638" i="26" s="1"/>
  <c r="K639" i="26" s="1"/>
  <c r="K640" i="26" s="1"/>
  <c r="K641" i="26" s="1"/>
  <c r="K642" i="26" s="1"/>
  <c r="K643" i="26" s="1"/>
  <c r="K644" i="26" s="1"/>
  <c r="K645" i="26" s="1"/>
  <c r="K646" i="26" s="1"/>
  <c r="K647" i="26" s="1"/>
  <c r="K648" i="26" s="1"/>
  <c r="K649" i="26" s="1"/>
  <c r="K650" i="26" s="1"/>
  <c r="K651" i="26" s="1"/>
  <c r="K652" i="26" s="1"/>
  <c r="K653" i="26" s="1"/>
  <c r="K654" i="26" s="1"/>
  <c r="K655" i="26" s="1"/>
  <c r="K656" i="26" s="1"/>
  <c r="K657" i="26" s="1"/>
  <c r="K658" i="26" s="1"/>
  <c r="K659" i="26" s="1"/>
  <c r="K660" i="26" s="1"/>
  <c r="K661" i="26" s="1"/>
  <c r="K662" i="26" s="1"/>
  <c r="K663" i="26" s="1"/>
  <c r="K664" i="26" s="1"/>
  <c r="K665" i="26" s="1"/>
  <c r="K666" i="26" s="1"/>
  <c r="K667" i="26" s="1"/>
  <c r="K668" i="26" s="1"/>
  <c r="K669" i="26" s="1"/>
  <c r="K670" i="26" s="1"/>
  <c r="K671" i="26" s="1"/>
  <c r="K672" i="26" s="1"/>
  <c r="K673" i="26" s="1"/>
  <c r="K674" i="26" s="1"/>
  <c r="K675" i="26" s="1"/>
  <c r="K676" i="26" s="1"/>
  <c r="K677" i="26" s="1"/>
  <c r="K678" i="26" s="1"/>
  <c r="K679" i="26" s="1"/>
  <c r="K680" i="26" s="1"/>
  <c r="K681" i="26" s="1"/>
  <c r="K682" i="26" s="1"/>
  <c r="K683" i="26" s="1"/>
  <c r="K684" i="26" s="1"/>
  <c r="K685" i="26" s="1"/>
  <c r="K686" i="26" s="1"/>
  <c r="K687" i="26" s="1"/>
  <c r="K688" i="26" s="1"/>
  <c r="K689" i="26" s="1"/>
  <c r="K690" i="26" s="1"/>
  <c r="K691" i="26" s="1"/>
  <c r="K692" i="26" s="1"/>
  <c r="K693" i="26" s="1"/>
  <c r="K694" i="26" s="1"/>
  <c r="K695" i="26" s="1"/>
  <c r="K696" i="26" s="1"/>
  <c r="K697" i="26" s="1"/>
  <c r="K698" i="26" s="1"/>
  <c r="K699" i="26" s="1"/>
  <c r="K700" i="26" s="1"/>
  <c r="K701" i="26" s="1"/>
  <c r="K702" i="26" s="1"/>
  <c r="K703" i="26" s="1"/>
  <c r="K704" i="26" s="1"/>
  <c r="K705" i="26" s="1"/>
  <c r="K706" i="26" s="1"/>
  <c r="K707" i="26" s="1"/>
  <c r="K708" i="26" s="1"/>
  <c r="K709" i="26" s="1"/>
  <c r="K710" i="26" s="1"/>
  <c r="K711" i="26" s="1"/>
  <c r="K712" i="26" s="1"/>
  <c r="K713" i="26" s="1"/>
  <c r="K714" i="26" s="1"/>
  <c r="K715" i="26" s="1"/>
  <c r="K716" i="26" s="1"/>
  <c r="K717" i="26" s="1"/>
  <c r="K718" i="26" s="1"/>
  <c r="K719" i="26" s="1"/>
  <c r="K720" i="26" s="1"/>
  <c r="K721" i="26" s="1"/>
  <c r="K722" i="26" s="1"/>
  <c r="K723" i="26" s="1"/>
  <c r="K724" i="26" s="1"/>
  <c r="K725" i="26" s="1"/>
  <c r="K726" i="26" s="1"/>
  <c r="K727" i="26" s="1"/>
  <c r="K728" i="26" s="1"/>
  <c r="K729" i="26" s="1"/>
  <c r="K730" i="26" s="1"/>
  <c r="K731" i="26" s="1"/>
  <c r="K732" i="26" s="1"/>
  <c r="K733" i="26" s="1"/>
  <c r="K734" i="26" s="1"/>
  <c r="K735" i="26" s="1"/>
  <c r="K736" i="26" s="1"/>
  <c r="K737" i="26" s="1"/>
  <c r="K738" i="26" s="1"/>
  <c r="K739" i="26" s="1"/>
  <c r="K740" i="26" s="1"/>
  <c r="K741" i="26" s="1"/>
  <c r="K742" i="26" s="1"/>
  <c r="K743" i="26" s="1"/>
  <c r="K744" i="26" s="1"/>
  <c r="K745" i="26" s="1"/>
  <c r="K746" i="26" s="1"/>
  <c r="K747" i="26" s="1"/>
  <c r="K748" i="26" s="1"/>
  <c r="K749" i="26" s="1"/>
  <c r="K750" i="26" s="1"/>
  <c r="K751" i="26" s="1"/>
  <c r="K752" i="26" s="1"/>
  <c r="K753" i="26" s="1"/>
  <c r="K754" i="26" s="1"/>
  <c r="K755" i="26" s="1"/>
  <c r="K756" i="26" s="1"/>
  <c r="K757" i="26" s="1"/>
  <c r="K758" i="26" s="1"/>
  <c r="K759" i="26" s="1"/>
  <c r="K760" i="26" s="1"/>
  <c r="K761" i="26" s="1"/>
  <c r="K762" i="26" s="1"/>
  <c r="K763" i="26" s="1"/>
  <c r="K764" i="26" s="1"/>
  <c r="K765" i="26" s="1"/>
  <c r="K766" i="26" s="1"/>
  <c r="K767" i="26" s="1"/>
  <c r="K768" i="26" s="1"/>
  <c r="K769" i="26" s="1"/>
  <c r="K770" i="26" s="1"/>
  <c r="K771" i="26" s="1"/>
  <c r="K772" i="26" s="1"/>
  <c r="K773" i="26" s="1"/>
  <c r="K774" i="26" s="1"/>
  <c r="K775" i="26" s="1"/>
  <c r="K776" i="26" s="1"/>
  <c r="K777" i="26" s="1"/>
  <c r="K778" i="26" s="1"/>
  <c r="K779" i="26" s="1"/>
  <c r="K780" i="26" s="1"/>
  <c r="K781" i="26" s="1"/>
  <c r="K782" i="26" s="1"/>
  <c r="K783" i="26" s="1"/>
  <c r="K784" i="26" s="1"/>
  <c r="K785" i="26" s="1"/>
  <c r="K786" i="26" s="1"/>
  <c r="K787" i="26" s="1"/>
  <c r="K788" i="26" s="1"/>
  <c r="K789" i="26" s="1"/>
  <c r="K790" i="26" s="1"/>
  <c r="K791" i="26" s="1"/>
  <c r="K792" i="26" s="1"/>
  <c r="K793" i="26" s="1"/>
  <c r="K794" i="26" s="1"/>
  <c r="K795" i="26" s="1"/>
  <c r="K796" i="26" s="1"/>
  <c r="K797" i="26" s="1"/>
  <c r="K798" i="26" s="1"/>
  <c r="K799" i="26" s="1"/>
  <c r="K800" i="26" s="1"/>
  <c r="K801" i="26" s="1"/>
  <c r="K802" i="26" s="1"/>
  <c r="K803" i="26" s="1"/>
  <c r="K804" i="26" s="1"/>
  <c r="K805" i="26" s="1"/>
  <c r="K806" i="26" s="1"/>
  <c r="K807" i="26" s="1"/>
  <c r="K808" i="26" s="1"/>
  <c r="K809" i="26" s="1"/>
  <c r="K810" i="26" s="1"/>
  <c r="K811" i="26" s="1"/>
  <c r="K812" i="26" s="1"/>
  <c r="K813" i="26" s="1"/>
  <c r="K814" i="26" s="1"/>
  <c r="K815" i="26" s="1"/>
  <c r="K816" i="26" s="1"/>
  <c r="K817" i="26" s="1"/>
  <c r="K818" i="26" s="1"/>
  <c r="K819" i="26" s="1"/>
  <c r="K820" i="26" s="1"/>
  <c r="K821" i="26" s="1"/>
  <c r="K822" i="26" s="1"/>
  <c r="K823" i="26" s="1"/>
  <c r="K824" i="26" s="1"/>
  <c r="K825" i="26" s="1"/>
  <c r="K826" i="26" s="1"/>
  <c r="K827" i="26" s="1"/>
  <c r="K828" i="26" s="1"/>
  <c r="K829" i="26" s="1"/>
  <c r="K830" i="26" s="1"/>
  <c r="K831" i="26" s="1"/>
  <c r="K832" i="26" s="1"/>
  <c r="K833" i="26" s="1"/>
  <c r="K834" i="26" s="1"/>
  <c r="K835" i="26" s="1"/>
  <c r="K836" i="26" s="1"/>
  <c r="K837" i="26" s="1"/>
  <c r="K838" i="26" s="1"/>
  <c r="K839" i="26" s="1"/>
  <c r="K840" i="26" s="1"/>
  <c r="K841" i="26" s="1"/>
  <c r="K842" i="26" s="1"/>
  <c r="K843" i="26" s="1"/>
  <c r="K844" i="26" s="1"/>
  <c r="K845" i="26" s="1"/>
  <c r="K846" i="26" s="1"/>
  <c r="K847" i="26" s="1"/>
  <c r="K848" i="26" s="1"/>
  <c r="K849" i="26" s="1"/>
  <c r="K850" i="26" s="1"/>
  <c r="K851" i="26" s="1"/>
  <c r="K852" i="26" s="1"/>
  <c r="K853" i="26" s="1"/>
  <c r="K854" i="26" s="1"/>
  <c r="K855" i="26" s="1"/>
  <c r="K856" i="26" s="1"/>
  <c r="K857" i="26" s="1"/>
  <c r="K858" i="26" s="1"/>
  <c r="K859" i="26" s="1"/>
  <c r="K860" i="26" s="1"/>
  <c r="K861" i="26" s="1"/>
  <c r="K862" i="26" s="1"/>
  <c r="K863" i="26" s="1"/>
  <c r="K864" i="26" s="1"/>
  <c r="K865" i="26" s="1"/>
  <c r="K866" i="26" s="1"/>
  <c r="K867" i="26" s="1"/>
  <c r="K868" i="26" s="1"/>
  <c r="K869" i="26" s="1"/>
  <c r="K870" i="26" s="1"/>
  <c r="K871" i="26" s="1"/>
  <c r="K872" i="26" s="1"/>
  <c r="K873" i="26" s="1"/>
  <c r="K874" i="26" s="1"/>
  <c r="K875" i="26" s="1"/>
  <c r="K876" i="26" s="1"/>
  <c r="K877" i="26" s="1"/>
  <c r="K878" i="26" s="1"/>
  <c r="K879" i="26" s="1"/>
  <c r="K880" i="26" s="1"/>
  <c r="J3" i="26"/>
  <c r="I3" i="26" s="1"/>
  <c r="I4" i="26" s="1"/>
  <c r="I5" i="26" s="1"/>
  <c r="I6" i="26" s="1"/>
  <c r="I7" i="26" s="1"/>
  <c r="I8" i="26" s="1"/>
  <c r="I9" i="26" s="1"/>
  <c r="I10" i="26" s="1"/>
  <c r="I11" i="26" s="1"/>
  <c r="I12" i="26" s="1"/>
  <c r="I13" i="26" s="1"/>
  <c r="I14" i="26" s="1"/>
  <c r="I15" i="26" s="1"/>
  <c r="I16" i="26" s="1"/>
  <c r="I17" i="26" s="1"/>
  <c r="I18" i="26" s="1"/>
  <c r="I19" i="26" s="1"/>
  <c r="I20" i="26" s="1"/>
  <c r="I21" i="26" s="1"/>
  <c r="I22" i="26" s="1"/>
  <c r="I23" i="26" s="1"/>
  <c r="I24" i="26" s="1"/>
  <c r="I25" i="26" s="1"/>
  <c r="I26" i="26" s="1"/>
  <c r="I27" i="26" s="1"/>
  <c r="I28" i="26" s="1"/>
  <c r="I29" i="26" s="1"/>
  <c r="I30" i="26" s="1"/>
  <c r="I31" i="26" s="1"/>
  <c r="I32" i="26" s="1"/>
  <c r="I33" i="26" s="1"/>
  <c r="I34" i="26" s="1"/>
  <c r="I35" i="26" s="1"/>
  <c r="I36" i="26" s="1"/>
  <c r="I37" i="26" s="1"/>
  <c r="I38" i="26" s="1"/>
  <c r="I39" i="26" s="1"/>
  <c r="I40" i="26" s="1"/>
  <c r="I41" i="26" s="1"/>
  <c r="I42" i="26" s="1"/>
  <c r="I43" i="26" s="1"/>
  <c r="I44" i="26" s="1"/>
  <c r="I45" i="26" s="1"/>
  <c r="I46" i="26" s="1"/>
  <c r="I47" i="26" s="1"/>
  <c r="I48" i="26" s="1"/>
  <c r="I49" i="26" s="1"/>
  <c r="I50" i="26" s="1"/>
  <c r="I51" i="26" s="1"/>
  <c r="I52" i="26" s="1"/>
  <c r="I53" i="26" s="1"/>
  <c r="I54" i="26" s="1"/>
  <c r="I55" i="26" s="1"/>
  <c r="I56" i="26" s="1"/>
  <c r="I57" i="26" s="1"/>
  <c r="I58" i="26" s="1"/>
  <c r="I59" i="26" s="1"/>
  <c r="I60" i="26" s="1"/>
  <c r="I61" i="26" s="1"/>
  <c r="I62" i="26" s="1"/>
  <c r="I63" i="26" s="1"/>
  <c r="I64" i="26" s="1"/>
  <c r="I65" i="26" s="1"/>
  <c r="I66" i="26" s="1"/>
  <c r="I67" i="26" s="1"/>
  <c r="I68" i="26" s="1"/>
  <c r="I69" i="26" s="1"/>
  <c r="I70" i="26" s="1"/>
  <c r="I71" i="26" s="1"/>
  <c r="I72" i="26" s="1"/>
  <c r="I73" i="26" s="1"/>
  <c r="I74" i="26" s="1"/>
  <c r="I75" i="26" s="1"/>
  <c r="I76" i="26" s="1"/>
  <c r="I77" i="26" s="1"/>
  <c r="I78" i="26" s="1"/>
  <c r="I79" i="26" s="1"/>
  <c r="I80" i="26" s="1"/>
  <c r="I81" i="26" s="1"/>
  <c r="I82" i="26" s="1"/>
  <c r="I83" i="26" s="1"/>
  <c r="I84" i="26" s="1"/>
  <c r="I85" i="26" s="1"/>
  <c r="I86" i="26" s="1"/>
  <c r="I87" i="26" s="1"/>
  <c r="I88" i="26" s="1"/>
  <c r="I89" i="26" s="1"/>
  <c r="I90" i="26" s="1"/>
  <c r="I91" i="26" s="1"/>
  <c r="I92" i="26" s="1"/>
  <c r="I93" i="26" s="1"/>
  <c r="I94" i="26" s="1"/>
  <c r="I95" i="26" s="1"/>
  <c r="I96" i="26" s="1"/>
  <c r="I97" i="26" s="1"/>
  <c r="I98" i="26" s="1"/>
  <c r="I99" i="26" s="1"/>
  <c r="I100" i="26" s="1"/>
  <c r="I101" i="26" s="1"/>
  <c r="I102" i="26" s="1"/>
  <c r="I103" i="26" s="1"/>
  <c r="I104" i="26" s="1"/>
  <c r="I105" i="26" s="1"/>
  <c r="I106" i="26" s="1"/>
  <c r="I107" i="26" s="1"/>
  <c r="I108" i="26" s="1"/>
  <c r="I109" i="26" s="1"/>
  <c r="I110" i="26" s="1"/>
  <c r="I111" i="26" s="1"/>
  <c r="I112" i="26" s="1"/>
  <c r="I113" i="26" s="1"/>
  <c r="I114" i="26" s="1"/>
  <c r="I115" i="26" s="1"/>
  <c r="I116" i="26" s="1"/>
  <c r="I117" i="26" s="1"/>
  <c r="I118" i="26" s="1"/>
  <c r="I119" i="26" s="1"/>
  <c r="I120" i="26" s="1"/>
  <c r="I121" i="26" s="1"/>
  <c r="I122" i="26" s="1"/>
  <c r="I123" i="26" s="1"/>
  <c r="I124" i="26" s="1"/>
  <c r="I125" i="26" s="1"/>
  <c r="I126" i="26" s="1"/>
  <c r="I127" i="26" s="1"/>
  <c r="I128" i="26" s="1"/>
  <c r="I129" i="26" s="1"/>
  <c r="I130" i="26" s="1"/>
  <c r="I131" i="26" s="1"/>
  <c r="I132" i="26" s="1"/>
  <c r="I133" i="26" s="1"/>
  <c r="I134" i="26" s="1"/>
  <c r="I135" i="26" s="1"/>
  <c r="I136" i="26" s="1"/>
  <c r="I137" i="26" s="1"/>
  <c r="I138" i="26" s="1"/>
  <c r="I139" i="26" s="1"/>
  <c r="I140" i="26" s="1"/>
  <c r="I141" i="26" s="1"/>
  <c r="I142" i="26" s="1"/>
  <c r="I143" i="26" s="1"/>
  <c r="I144" i="26" s="1"/>
  <c r="I145" i="26" s="1"/>
  <c r="I146" i="26" s="1"/>
  <c r="I147" i="26" s="1"/>
  <c r="I148" i="26" s="1"/>
  <c r="I149" i="26" s="1"/>
  <c r="I150" i="26" s="1"/>
  <c r="I151" i="26" s="1"/>
  <c r="I152" i="26" s="1"/>
  <c r="I153" i="26" s="1"/>
  <c r="I154" i="26" s="1"/>
  <c r="I155" i="26" s="1"/>
  <c r="I156" i="26" s="1"/>
  <c r="I157" i="26" s="1"/>
  <c r="I158" i="26" s="1"/>
  <c r="I159" i="26" s="1"/>
  <c r="I160" i="26" s="1"/>
  <c r="I161" i="26" s="1"/>
  <c r="I162" i="26" s="1"/>
  <c r="I163" i="26" s="1"/>
  <c r="I164" i="26" s="1"/>
  <c r="I165" i="26" s="1"/>
  <c r="I166" i="26" s="1"/>
  <c r="I167" i="26" s="1"/>
  <c r="I168" i="26" s="1"/>
  <c r="I169" i="26" s="1"/>
  <c r="I170" i="26" s="1"/>
  <c r="I171" i="26" s="1"/>
  <c r="I172" i="26" s="1"/>
  <c r="I173" i="26" s="1"/>
  <c r="I174" i="26" s="1"/>
  <c r="I175" i="26" s="1"/>
  <c r="I176" i="26" s="1"/>
  <c r="I177" i="26" s="1"/>
  <c r="I178" i="26" s="1"/>
  <c r="I179" i="26" s="1"/>
  <c r="I180" i="26" s="1"/>
  <c r="I181" i="26" s="1"/>
  <c r="I182" i="26" s="1"/>
  <c r="I183" i="26" s="1"/>
  <c r="I184" i="26" s="1"/>
  <c r="I185" i="26" s="1"/>
  <c r="I186" i="26" s="1"/>
  <c r="I187" i="26" s="1"/>
  <c r="I188" i="26" s="1"/>
  <c r="I189" i="26" s="1"/>
  <c r="I190" i="26" s="1"/>
  <c r="I191" i="26" s="1"/>
  <c r="I192" i="26" s="1"/>
  <c r="I193" i="26" s="1"/>
  <c r="I194" i="26" s="1"/>
  <c r="I195" i="26" s="1"/>
  <c r="I196" i="26" s="1"/>
  <c r="I197" i="26" s="1"/>
  <c r="I198" i="26" s="1"/>
  <c r="I199" i="26" s="1"/>
  <c r="I200" i="26" s="1"/>
  <c r="I201" i="26" s="1"/>
  <c r="I202" i="26" s="1"/>
  <c r="I203" i="26" s="1"/>
  <c r="I204" i="26" s="1"/>
  <c r="I205" i="26" s="1"/>
  <c r="I206" i="26" s="1"/>
  <c r="I207" i="26" s="1"/>
  <c r="I208" i="26" s="1"/>
  <c r="I209" i="26" s="1"/>
  <c r="I210" i="26" s="1"/>
  <c r="I211" i="26" s="1"/>
  <c r="I212" i="26" s="1"/>
  <c r="I213" i="26" s="1"/>
  <c r="I214" i="26" s="1"/>
  <c r="I215" i="26" s="1"/>
  <c r="I216" i="26" s="1"/>
  <c r="I217" i="26" s="1"/>
  <c r="I218" i="26" s="1"/>
  <c r="I219" i="26" s="1"/>
  <c r="I220" i="26" s="1"/>
  <c r="I221" i="26" s="1"/>
  <c r="I222" i="26" s="1"/>
  <c r="I223" i="26" s="1"/>
  <c r="I224" i="26" s="1"/>
  <c r="I225" i="26" s="1"/>
  <c r="I226" i="26" s="1"/>
  <c r="I227" i="26" s="1"/>
  <c r="I228" i="26" s="1"/>
  <c r="I229" i="26" s="1"/>
  <c r="I230" i="26" s="1"/>
  <c r="I231" i="26" s="1"/>
  <c r="I232" i="26" s="1"/>
  <c r="I233" i="26" s="1"/>
  <c r="I234" i="26" s="1"/>
  <c r="I235" i="26" s="1"/>
  <c r="I236" i="26" s="1"/>
  <c r="I237" i="26" s="1"/>
  <c r="I238" i="26" s="1"/>
  <c r="I239" i="26" s="1"/>
  <c r="I240" i="26" s="1"/>
  <c r="I241" i="26" s="1"/>
  <c r="I242" i="26" s="1"/>
  <c r="I243" i="26" s="1"/>
  <c r="I244" i="26" s="1"/>
  <c r="I245" i="26" s="1"/>
  <c r="I246" i="26" s="1"/>
  <c r="I247" i="26" s="1"/>
  <c r="I248" i="26" s="1"/>
  <c r="I249" i="26" s="1"/>
  <c r="I250" i="26" s="1"/>
  <c r="I251" i="26" s="1"/>
  <c r="I252" i="26" s="1"/>
  <c r="I253" i="26" s="1"/>
  <c r="I254" i="26" s="1"/>
  <c r="I255" i="26" s="1"/>
  <c r="I256" i="26" s="1"/>
  <c r="I257" i="26" s="1"/>
  <c r="I258" i="26" s="1"/>
  <c r="I259" i="26" s="1"/>
  <c r="I260" i="26" s="1"/>
  <c r="I261" i="26" s="1"/>
  <c r="I262" i="26" s="1"/>
  <c r="I263" i="26" s="1"/>
  <c r="I264" i="26" s="1"/>
  <c r="I265" i="26" s="1"/>
  <c r="I266" i="26" s="1"/>
  <c r="I267" i="26" s="1"/>
  <c r="I268" i="26" s="1"/>
  <c r="I269" i="26" s="1"/>
  <c r="I270" i="26" s="1"/>
  <c r="I271" i="26" s="1"/>
  <c r="I272" i="26" s="1"/>
  <c r="I273" i="26" s="1"/>
  <c r="I274" i="26" s="1"/>
  <c r="I275" i="26" s="1"/>
  <c r="I276" i="26" s="1"/>
  <c r="I277" i="26" s="1"/>
  <c r="I278" i="26" s="1"/>
  <c r="I279" i="26" s="1"/>
  <c r="I280" i="26" s="1"/>
  <c r="I281" i="26" s="1"/>
  <c r="I282" i="26" s="1"/>
  <c r="I283" i="26" s="1"/>
  <c r="I284" i="26" s="1"/>
  <c r="I285" i="26" s="1"/>
  <c r="I286" i="26" s="1"/>
  <c r="I287" i="26" s="1"/>
  <c r="I288" i="26" s="1"/>
  <c r="I289" i="26" s="1"/>
  <c r="I290" i="26" s="1"/>
  <c r="I291" i="26" s="1"/>
  <c r="I292" i="26" s="1"/>
  <c r="I293" i="26" s="1"/>
  <c r="I294" i="26" s="1"/>
  <c r="I295" i="26" s="1"/>
  <c r="I296" i="26" s="1"/>
  <c r="I297" i="26" s="1"/>
  <c r="I298" i="26" s="1"/>
  <c r="I299" i="26" s="1"/>
  <c r="I300" i="26" s="1"/>
  <c r="I301" i="26" s="1"/>
  <c r="I302" i="26" s="1"/>
  <c r="I303" i="26" s="1"/>
  <c r="I304" i="26" s="1"/>
  <c r="I305" i="26" s="1"/>
  <c r="I306" i="26" s="1"/>
  <c r="I307" i="26" s="1"/>
  <c r="I308" i="26" s="1"/>
  <c r="I309" i="26" s="1"/>
  <c r="I310" i="26" s="1"/>
  <c r="I311" i="26" s="1"/>
  <c r="I312" i="26" s="1"/>
  <c r="I313" i="26" s="1"/>
  <c r="I314" i="26" s="1"/>
  <c r="I315" i="26" s="1"/>
  <c r="I316" i="26" s="1"/>
  <c r="I317" i="26" s="1"/>
  <c r="I318" i="26" s="1"/>
  <c r="I319" i="26" s="1"/>
  <c r="I320" i="26" s="1"/>
  <c r="I321" i="26" s="1"/>
  <c r="I322" i="26" s="1"/>
  <c r="I323" i="26" s="1"/>
  <c r="I324" i="26" s="1"/>
  <c r="I325" i="26" s="1"/>
  <c r="I326" i="26" s="1"/>
  <c r="I327" i="26" s="1"/>
  <c r="I328" i="26" s="1"/>
  <c r="I329" i="26" s="1"/>
  <c r="I330" i="26" s="1"/>
  <c r="I331" i="26" s="1"/>
  <c r="I332" i="26" s="1"/>
  <c r="I333" i="26" s="1"/>
  <c r="I334" i="26" s="1"/>
  <c r="I335" i="26" s="1"/>
  <c r="I336" i="26" s="1"/>
  <c r="I337" i="26" s="1"/>
  <c r="I338" i="26" s="1"/>
  <c r="I339" i="26" s="1"/>
  <c r="I340" i="26" s="1"/>
  <c r="I341" i="26" s="1"/>
  <c r="I342" i="26" s="1"/>
  <c r="I343" i="26" s="1"/>
  <c r="I344" i="26" s="1"/>
  <c r="I345" i="26" s="1"/>
  <c r="I346" i="26" s="1"/>
  <c r="I347" i="26" s="1"/>
  <c r="I348" i="26" s="1"/>
  <c r="I349" i="26" s="1"/>
  <c r="I350" i="26" s="1"/>
  <c r="I351" i="26" s="1"/>
  <c r="I352" i="26" s="1"/>
  <c r="I353" i="26" s="1"/>
  <c r="I354" i="26" s="1"/>
  <c r="I355" i="26" s="1"/>
  <c r="I356" i="26" s="1"/>
  <c r="I357" i="26" s="1"/>
  <c r="I358" i="26" s="1"/>
  <c r="I359" i="26" s="1"/>
  <c r="I360" i="26" s="1"/>
  <c r="I361" i="26" s="1"/>
  <c r="I362" i="26" s="1"/>
  <c r="I363" i="26" s="1"/>
  <c r="I364" i="26" s="1"/>
  <c r="I365" i="26" s="1"/>
  <c r="I366" i="26" s="1"/>
  <c r="I367" i="26" s="1"/>
  <c r="I368" i="26" s="1"/>
  <c r="I369" i="26" s="1"/>
  <c r="I370" i="26" s="1"/>
  <c r="I371" i="26" s="1"/>
  <c r="I372" i="26" s="1"/>
  <c r="I373" i="26" s="1"/>
  <c r="I374" i="26" s="1"/>
  <c r="I375" i="26" s="1"/>
  <c r="I376" i="26" s="1"/>
  <c r="I377" i="26" s="1"/>
  <c r="I378" i="26" s="1"/>
  <c r="I379" i="26" s="1"/>
  <c r="I380" i="26" s="1"/>
  <c r="I381" i="26" s="1"/>
  <c r="I382" i="26" s="1"/>
  <c r="I383" i="26" s="1"/>
  <c r="I384" i="26" s="1"/>
  <c r="I385" i="26" s="1"/>
  <c r="I386" i="26" s="1"/>
  <c r="I387" i="26" s="1"/>
  <c r="I388" i="26" s="1"/>
  <c r="I389" i="26" s="1"/>
  <c r="I390" i="26" s="1"/>
  <c r="I391" i="26" s="1"/>
  <c r="I392" i="26" s="1"/>
  <c r="I393" i="26" s="1"/>
  <c r="I394" i="26" s="1"/>
  <c r="I395" i="26" s="1"/>
  <c r="I396" i="26" s="1"/>
  <c r="I397" i="26" s="1"/>
  <c r="I398" i="26" s="1"/>
  <c r="I399" i="26" s="1"/>
  <c r="I400" i="26" s="1"/>
  <c r="I401" i="26" s="1"/>
  <c r="I402" i="26" s="1"/>
  <c r="I403" i="26" s="1"/>
  <c r="I404" i="26" s="1"/>
  <c r="I405" i="26" s="1"/>
  <c r="I406" i="26" s="1"/>
  <c r="I407" i="26" s="1"/>
  <c r="I408" i="26" s="1"/>
  <c r="I409" i="26" s="1"/>
  <c r="I410" i="26" s="1"/>
  <c r="I411" i="26" s="1"/>
  <c r="I412" i="26" s="1"/>
  <c r="I413" i="26" s="1"/>
  <c r="I414" i="26" s="1"/>
  <c r="I415" i="26" s="1"/>
  <c r="I416" i="26" s="1"/>
  <c r="I417" i="26" s="1"/>
  <c r="I418" i="26" s="1"/>
  <c r="I419" i="26" s="1"/>
  <c r="I420" i="26" s="1"/>
  <c r="I421" i="26" s="1"/>
  <c r="I422" i="26" s="1"/>
  <c r="I423" i="26" s="1"/>
  <c r="I424" i="26" s="1"/>
  <c r="I425" i="26" s="1"/>
  <c r="I426" i="26" s="1"/>
  <c r="I427" i="26" s="1"/>
  <c r="I428" i="26" s="1"/>
  <c r="I429" i="26" s="1"/>
  <c r="I430" i="26" s="1"/>
  <c r="I431" i="26" s="1"/>
  <c r="I432" i="26" s="1"/>
  <c r="I433" i="26" s="1"/>
  <c r="I434" i="26" s="1"/>
  <c r="I435" i="26" s="1"/>
  <c r="I436" i="26" s="1"/>
  <c r="I437" i="26" s="1"/>
  <c r="I438" i="26" s="1"/>
  <c r="I439" i="26" s="1"/>
  <c r="I440" i="26" s="1"/>
  <c r="I441" i="26" s="1"/>
  <c r="I442" i="26" s="1"/>
  <c r="I443" i="26" s="1"/>
  <c r="I444" i="26" s="1"/>
  <c r="I445" i="26" s="1"/>
  <c r="I446" i="26" s="1"/>
  <c r="I447" i="26" s="1"/>
  <c r="I448" i="26" s="1"/>
  <c r="I449" i="26" s="1"/>
  <c r="I450" i="26" s="1"/>
  <c r="I451" i="26" s="1"/>
  <c r="I452" i="26" s="1"/>
  <c r="I453" i="26" s="1"/>
  <c r="I454" i="26" s="1"/>
  <c r="I455" i="26" s="1"/>
  <c r="I456" i="26" s="1"/>
  <c r="I457" i="26" s="1"/>
  <c r="I458" i="26" s="1"/>
  <c r="I459" i="26" s="1"/>
  <c r="I460" i="26" s="1"/>
  <c r="I461" i="26" s="1"/>
  <c r="I462" i="26" s="1"/>
  <c r="I463" i="26" s="1"/>
  <c r="I464" i="26" s="1"/>
  <c r="I465" i="26" s="1"/>
  <c r="I466" i="26" s="1"/>
  <c r="I467" i="26" s="1"/>
  <c r="I468" i="26" s="1"/>
  <c r="I469" i="26" s="1"/>
  <c r="I470" i="26" s="1"/>
  <c r="I471" i="26" s="1"/>
  <c r="I472" i="26" s="1"/>
  <c r="I473" i="26" s="1"/>
  <c r="I474" i="26" s="1"/>
  <c r="I475" i="26" s="1"/>
  <c r="I476" i="26" s="1"/>
  <c r="I477" i="26" s="1"/>
  <c r="I478" i="26" s="1"/>
  <c r="I479" i="26" s="1"/>
  <c r="I480" i="26" s="1"/>
  <c r="I481" i="26" s="1"/>
  <c r="I482" i="26" s="1"/>
  <c r="I483" i="26" s="1"/>
  <c r="I484" i="26" s="1"/>
  <c r="I485" i="26" s="1"/>
  <c r="I486" i="26" s="1"/>
  <c r="I487" i="26" s="1"/>
  <c r="I488" i="26" s="1"/>
  <c r="I489" i="26" s="1"/>
  <c r="I490" i="26" s="1"/>
  <c r="I491" i="26" s="1"/>
  <c r="I492" i="26" s="1"/>
  <c r="I493" i="26" s="1"/>
  <c r="I494" i="26" s="1"/>
  <c r="I495" i="26" s="1"/>
  <c r="I496" i="26" s="1"/>
  <c r="I497" i="26" s="1"/>
  <c r="I498" i="26" s="1"/>
  <c r="I499" i="26" s="1"/>
  <c r="I500" i="26" s="1"/>
  <c r="I501" i="26" s="1"/>
  <c r="I502" i="26" s="1"/>
  <c r="I503" i="26" s="1"/>
  <c r="I504" i="26" s="1"/>
  <c r="I505" i="26" s="1"/>
  <c r="I506" i="26" s="1"/>
  <c r="I507" i="26" s="1"/>
  <c r="I508" i="26" s="1"/>
  <c r="I509" i="26" s="1"/>
  <c r="I510" i="26" s="1"/>
  <c r="I511" i="26" s="1"/>
  <c r="I512" i="26" s="1"/>
  <c r="I513" i="26" s="1"/>
  <c r="I514" i="26" s="1"/>
  <c r="I515" i="26" s="1"/>
  <c r="I516" i="26" s="1"/>
  <c r="I517" i="26" s="1"/>
  <c r="I518" i="26" s="1"/>
  <c r="I519" i="26" s="1"/>
  <c r="I520" i="26" s="1"/>
  <c r="I521" i="26" s="1"/>
  <c r="I522" i="26" s="1"/>
  <c r="I523" i="26" s="1"/>
  <c r="I524" i="26" s="1"/>
  <c r="I525" i="26" s="1"/>
  <c r="I526" i="26" s="1"/>
  <c r="I527" i="26" s="1"/>
  <c r="I528" i="26" s="1"/>
  <c r="I529" i="26" s="1"/>
  <c r="I530" i="26" s="1"/>
  <c r="I531" i="26" s="1"/>
  <c r="I532" i="26" s="1"/>
  <c r="I533" i="26" s="1"/>
  <c r="I534" i="26" s="1"/>
  <c r="I535" i="26" s="1"/>
  <c r="I536" i="26" s="1"/>
  <c r="I537" i="26" s="1"/>
  <c r="I538" i="26" s="1"/>
  <c r="I539" i="26" s="1"/>
  <c r="I540" i="26" s="1"/>
  <c r="I541" i="26" s="1"/>
  <c r="I542" i="26" s="1"/>
  <c r="I543" i="26" s="1"/>
  <c r="I544" i="26" s="1"/>
  <c r="I545" i="26" s="1"/>
  <c r="I546" i="26" s="1"/>
  <c r="I547" i="26" s="1"/>
  <c r="I548" i="26" s="1"/>
  <c r="I549" i="26" s="1"/>
  <c r="I550" i="26" s="1"/>
  <c r="I551" i="26" s="1"/>
  <c r="I552" i="26" s="1"/>
  <c r="I553" i="26" s="1"/>
  <c r="I554" i="26" s="1"/>
  <c r="I555" i="26" s="1"/>
  <c r="I556" i="26" s="1"/>
  <c r="I557" i="26" s="1"/>
  <c r="I558" i="26" s="1"/>
  <c r="I559" i="26" s="1"/>
  <c r="I560" i="26" s="1"/>
  <c r="I561" i="26" s="1"/>
  <c r="I562" i="26" s="1"/>
  <c r="I563" i="26" s="1"/>
  <c r="I564" i="26" s="1"/>
  <c r="I565" i="26" s="1"/>
  <c r="I566" i="26" s="1"/>
  <c r="I567" i="26" s="1"/>
  <c r="I568" i="26" s="1"/>
  <c r="I569" i="26" s="1"/>
  <c r="I570" i="26" s="1"/>
  <c r="I571" i="26" s="1"/>
  <c r="I572" i="26" s="1"/>
  <c r="I573" i="26" s="1"/>
  <c r="I574" i="26" s="1"/>
  <c r="I575" i="26" s="1"/>
  <c r="I576" i="26" s="1"/>
  <c r="I577" i="26" s="1"/>
  <c r="I578" i="26" s="1"/>
  <c r="I579" i="26" s="1"/>
  <c r="I580" i="26" s="1"/>
  <c r="I581" i="26" s="1"/>
  <c r="I582" i="26" s="1"/>
  <c r="I583" i="26" s="1"/>
  <c r="I584" i="26" s="1"/>
  <c r="I585" i="26" s="1"/>
  <c r="I586" i="26" s="1"/>
  <c r="I587" i="26" s="1"/>
  <c r="I588" i="26" s="1"/>
  <c r="I589" i="26" s="1"/>
  <c r="I590" i="26" s="1"/>
  <c r="I591" i="26" s="1"/>
  <c r="I592" i="26" s="1"/>
  <c r="I593" i="26" s="1"/>
  <c r="I594" i="26" s="1"/>
  <c r="I595" i="26" s="1"/>
  <c r="I596" i="26" s="1"/>
  <c r="I597" i="26" s="1"/>
  <c r="I598" i="26" s="1"/>
  <c r="I599" i="26" s="1"/>
  <c r="I600" i="26" s="1"/>
  <c r="I601" i="26" s="1"/>
  <c r="I602" i="26" s="1"/>
  <c r="I603" i="26" s="1"/>
  <c r="I604" i="26" s="1"/>
  <c r="I605" i="26" s="1"/>
  <c r="I606" i="26" s="1"/>
  <c r="I607" i="26" s="1"/>
  <c r="I608" i="26" s="1"/>
  <c r="I609" i="26" s="1"/>
  <c r="I610" i="26" s="1"/>
  <c r="I611" i="26" s="1"/>
  <c r="I612" i="26" s="1"/>
  <c r="I613" i="26" s="1"/>
  <c r="I614" i="26" s="1"/>
  <c r="I615" i="26" s="1"/>
  <c r="I616" i="26" s="1"/>
  <c r="I617" i="26" s="1"/>
  <c r="I618" i="26" s="1"/>
  <c r="I619" i="26" s="1"/>
  <c r="I620" i="26" s="1"/>
  <c r="I621" i="26" s="1"/>
  <c r="I622" i="26" s="1"/>
  <c r="I623" i="26" s="1"/>
  <c r="I624" i="26" s="1"/>
  <c r="I625" i="26" s="1"/>
  <c r="I626" i="26" s="1"/>
  <c r="I627" i="26" s="1"/>
  <c r="I628" i="26" s="1"/>
  <c r="I629" i="26" s="1"/>
  <c r="I630" i="26" s="1"/>
  <c r="I631" i="26" s="1"/>
  <c r="I632" i="26" s="1"/>
  <c r="I633" i="26" s="1"/>
  <c r="I634" i="26" s="1"/>
  <c r="I635" i="26" s="1"/>
  <c r="I636" i="26" s="1"/>
  <c r="I637" i="26" s="1"/>
  <c r="I638" i="26" s="1"/>
  <c r="I639" i="26" s="1"/>
  <c r="I640" i="26" s="1"/>
  <c r="I641" i="26" s="1"/>
  <c r="I642" i="26" s="1"/>
  <c r="I643" i="26" s="1"/>
  <c r="I644" i="26" s="1"/>
  <c r="I645" i="26" s="1"/>
  <c r="I646" i="26" s="1"/>
  <c r="I647" i="26" s="1"/>
  <c r="I648" i="26" s="1"/>
  <c r="I649" i="26" s="1"/>
  <c r="I650" i="26" s="1"/>
  <c r="I651" i="26" s="1"/>
  <c r="I652" i="26" s="1"/>
  <c r="I653" i="26" s="1"/>
  <c r="I654" i="26" s="1"/>
  <c r="I655" i="26" s="1"/>
  <c r="I656" i="26" s="1"/>
  <c r="I657" i="26" s="1"/>
  <c r="I658" i="26" s="1"/>
  <c r="I659" i="26" s="1"/>
  <c r="I660" i="26" s="1"/>
  <c r="I661" i="26" s="1"/>
  <c r="I662" i="26" s="1"/>
  <c r="I663" i="26" s="1"/>
  <c r="I664" i="26" s="1"/>
  <c r="I665" i="26" s="1"/>
  <c r="I666" i="26" s="1"/>
  <c r="I667" i="26" s="1"/>
  <c r="I668" i="26" s="1"/>
  <c r="I669" i="26" s="1"/>
  <c r="I670" i="26" s="1"/>
  <c r="I671" i="26" s="1"/>
  <c r="I672" i="26" s="1"/>
  <c r="I673" i="26" s="1"/>
  <c r="I674" i="26" s="1"/>
  <c r="I675" i="26" s="1"/>
  <c r="I676" i="26" s="1"/>
  <c r="I677" i="26" s="1"/>
  <c r="I678" i="26" s="1"/>
  <c r="I679" i="26" s="1"/>
  <c r="I680" i="26" s="1"/>
  <c r="I681" i="26" s="1"/>
  <c r="I682" i="26" s="1"/>
  <c r="I683" i="26" s="1"/>
  <c r="I684" i="26" s="1"/>
  <c r="I685" i="26" s="1"/>
  <c r="I686" i="26" s="1"/>
  <c r="I687" i="26" s="1"/>
  <c r="I688" i="26" s="1"/>
  <c r="I689" i="26" s="1"/>
  <c r="I690" i="26" s="1"/>
  <c r="I691" i="26" s="1"/>
  <c r="I692" i="26" s="1"/>
  <c r="I693" i="26" s="1"/>
  <c r="I694" i="26" s="1"/>
  <c r="I695" i="26" s="1"/>
  <c r="I696" i="26" s="1"/>
  <c r="I697" i="26" s="1"/>
  <c r="I698" i="26" s="1"/>
  <c r="I699" i="26" s="1"/>
  <c r="I700" i="26" s="1"/>
  <c r="I701" i="26" s="1"/>
  <c r="I702" i="26" s="1"/>
  <c r="I703" i="26" s="1"/>
  <c r="I704" i="26" s="1"/>
  <c r="I705" i="26" s="1"/>
  <c r="I706" i="26" s="1"/>
  <c r="I707" i="26" s="1"/>
  <c r="I708" i="26" s="1"/>
  <c r="I709" i="26" s="1"/>
  <c r="I710" i="26" s="1"/>
  <c r="I711" i="26" s="1"/>
  <c r="I712" i="26" s="1"/>
  <c r="I713" i="26" s="1"/>
  <c r="I714" i="26" s="1"/>
  <c r="I715" i="26" s="1"/>
  <c r="I716" i="26" s="1"/>
  <c r="I717" i="26" s="1"/>
  <c r="I718" i="26" s="1"/>
  <c r="I719" i="26" s="1"/>
  <c r="I720" i="26" s="1"/>
  <c r="I721" i="26" s="1"/>
  <c r="I722" i="26" s="1"/>
  <c r="I723" i="26" s="1"/>
  <c r="I724" i="26" s="1"/>
  <c r="I725" i="26" s="1"/>
  <c r="I726" i="26" s="1"/>
  <c r="I727" i="26" s="1"/>
  <c r="I728" i="26" s="1"/>
  <c r="I729" i="26" s="1"/>
  <c r="I730" i="26" s="1"/>
  <c r="I731" i="26" s="1"/>
  <c r="I732" i="26" s="1"/>
  <c r="I733" i="26" s="1"/>
  <c r="I734" i="26" s="1"/>
  <c r="I735" i="26" s="1"/>
  <c r="I736" i="26" s="1"/>
  <c r="I737" i="26" s="1"/>
  <c r="I738" i="26" s="1"/>
  <c r="I739" i="26" s="1"/>
  <c r="I740" i="26" s="1"/>
  <c r="I741" i="26" s="1"/>
  <c r="I742" i="26" s="1"/>
  <c r="I743" i="26" s="1"/>
  <c r="I744" i="26" s="1"/>
  <c r="I745" i="26" s="1"/>
  <c r="I746" i="26" s="1"/>
  <c r="I747" i="26" s="1"/>
  <c r="I748" i="26" s="1"/>
  <c r="I749" i="26" s="1"/>
  <c r="I750" i="26" s="1"/>
  <c r="I751" i="26" s="1"/>
  <c r="I752" i="26" s="1"/>
  <c r="I753" i="26" s="1"/>
  <c r="I754" i="26" s="1"/>
  <c r="I755" i="26" s="1"/>
  <c r="I756" i="26" s="1"/>
  <c r="I757" i="26" s="1"/>
  <c r="I758" i="26" s="1"/>
  <c r="I759" i="26" s="1"/>
  <c r="I760" i="26" s="1"/>
  <c r="I761" i="26" s="1"/>
  <c r="I762" i="26" s="1"/>
  <c r="I763" i="26" s="1"/>
  <c r="I764" i="26" s="1"/>
  <c r="I765" i="26" s="1"/>
  <c r="I766" i="26" s="1"/>
  <c r="I767" i="26" s="1"/>
  <c r="I768" i="26" s="1"/>
  <c r="I769" i="26" s="1"/>
  <c r="I770" i="26" s="1"/>
  <c r="I771" i="26" s="1"/>
  <c r="I772" i="26" s="1"/>
  <c r="I773" i="26" s="1"/>
  <c r="I774" i="26" s="1"/>
  <c r="I775" i="26" s="1"/>
  <c r="I776" i="26" s="1"/>
  <c r="I777" i="26" s="1"/>
  <c r="I778" i="26" s="1"/>
  <c r="I779" i="26" s="1"/>
  <c r="I780" i="26" s="1"/>
  <c r="I781" i="26" s="1"/>
  <c r="I782" i="26" s="1"/>
  <c r="I783" i="26" s="1"/>
  <c r="I784" i="26" s="1"/>
  <c r="I785" i="26" s="1"/>
  <c r="I786" i="26" s="1"/>
  <c r="I787" i="26" s="1"/>
  <c r="I788" i="26" s="1"/>
  <c r="I789" i="26" s="1"/>
  <c r="I790" i="26" s="1"/>
  <c r="I791" i="26" s="1"/>
  <c r="I792" i="26" s="1"/>
  <c r="I793" i="26" s="1"/>
  <c r="I794" i="26" s="1"/>
  <c r="I795" i="26" s="1"/>
  <c r="I796" i="26" s="1"/>
  <c r="I797" i="26" s="1"/>
  <c r="I798" i="26" s="1"/>
  <c r="I799" i="26" s="1"/>
  <c r="I800" i="26" s="1"/>
  <c r="I801" i="26" s="1"/>
  <c r="I802" i="26" s="1"/>
  <c r="I803" i="26" s="1"/>
  <c r="I804" i="26" s="1"/>
  <c r="I805" i="26" s="1"/>
  <c r="I806" i="26" s="1"/>
  <c r="I807" i="26" s="1"/>
  <c r="I808" i="26" s="1"/>
  <c r="I809" i="26" s="1"/>
  <c r="I810" i="26" s="1"/>
  <c r="I811" i="26" s="1"/>
  <c r="I812" i="26" s="1"/>
  <c r="I813" i="26" s="1"/>
  <c r="I814" i="26" s="1"/>
  <c r="I815" i="26" s="1"/>
  <c r="I816" i="26" s="1"/>
  <c r="I817" i="26" s="1"/>
  <c r="I818" i="26" s="1"/>
  <c r="I819" i="26" s="1"/>
  <c r="I820" i="26" s="1"/>
  <c r="I821" i="26" s="1"/>
  <c r="I822" i="26" s="1"/>
  <c r="I823" i="26" s="1"/>
  <c r="I824" i="26" s="1"/>
  <c r="I825" i="26" s="1"/>
  <c r="I826" i="26" s="1"/>
  <c r="I827" i="26" s="1"/>
  <c r="I828" i="26" s="1"/>
  <c r="I829" i="26" s="1"/>
  <c r="I830" i="26" s="1"/>
  <c r="I831" i="26" s="1"/>
  <c r="I832" i="26" s="1"/>
  <c r="I833" i="26" s="1"/>
  <c r="I834" i="26" s="1"/>
  <c r="I835" i="26" s="1"/>
  <c r="I836" i="26" s="1"/>
  <c r="I837" i="26" s="1"/>
  <c r="I838" i="26" s="1"/>
  <c r="I839" i="26" s="1"/>
  <c r="I840" i="26" s="1"/>
  <c r="I841" i="26" s="1"/>
  <c r="I842" i="26" s="1"/>
  <c r="I843" i="26" s="1"/>
  <c r="I844" i="26" s="1"/>
  <c r="I845" i="26" s="1"/>
  <c r="I846" i="26" s="1"/>
  <c r="I847" i="26" s="1"/>
  <c r="I848" i="26" s="1"/>
  <c r="I849" i="26" s="1"/>
  <c r="I850" i="26" s="1"/>
  <c r="I851" i="26" s="1"/>
  <c r="I852" i="26" s="1"/>
  <c r="I853" i="26" s="1"/>
  <c r="I854" i="26" s="1"/>
  <c r="I855" i="26" s="1"/>
  <c r="I856" i="26" s="1"/>
  <c r="I857" i="26" s="1"/>
  <c r="I858" i="26" s="1"/>
  <c r="I859" i="26" s="1"/>
  <c r="I860" i="26" s="1"/>
  <c r="I861" i="26" s="1"/>
  <c r="I862" i="26" s="1"/>
  <c r="I863" i="26" s="1"/>
  <c r="I864" i="26" s="1"/>
  <c r="I865" i="26" s="1"/>
  <c r="I866" i="26" s="1"/>
  <c r="I867" i="26" s="1"/>
  <c r="I868" i="26" s="1"/>
  <c r="I869" i="26" s="1"/>
  <c r="I870" i="26" s="1"/>
  <c r="I871" i="26" s="1"/>
  <c r="I872" i="26" s="1"/>
  <c r="I873" i="26" s="1"/>
  <c r="I874" i="26" s="1"/>
  <c r="I875" i="26" s="1"/>
  <c r="I876" i="26" s="1"/>
  <c r="I877" i="26" s="1"/>
  <c r="I878" i="26" s="1"/>
  <c r="I879" i="26" s="1"/>
  <c r="I880" i="26" s="1"/>
  <c r="H3" i="26"/>
  <c r="G3" i="26" s="1"/>
  <c r="G4" i="26" s="1"/>
  <c r="G5" i="26" s="1"/>
  <c r="G6" i="26" s="1"/>
  <c r="G7" i="26" s="1"/>
  <c r="G8" i="26" s="1"/>
  <c r="G9" i="26" s="1"/>
  <c r="G10" i="26" s="1"/>
  <c r="G11" i="26" s="1"/>
  <c r="G12" i="26" s="1"/>
  <c r="G13" i="26" s="1"/>
  <c r="G14" i="26" s="1"/>
  <c r="G15" i="26" s="1"/>
  <c r="G16" i="26" s="1"/>
  <c r="G17" i="26" s="1"/>
  <c r="G18" i="26" s="1"/>
  <c r="G19" i="26" s="1"/>
  <c r="G20" i="26" s="1"/>
  <c r="G21" i="26" s="1"/>
  <c r="G22" i="26" s="1"/>
  <c r="G23" i="26" s="1"/>
  <c r="G24" i="26" s="1"/>
  <c r="G25" i="26" s="1"/>
  <c r="G26" i="26" s="1"/>
  <c r="G27" i="26" s="1"/>
  <c r="G28" i="26" s="1"/>
  <c r="G29" i="26" s="1"/>
  <c r="G30" i="26" s="1"/>
  <c r="G31" i="26" s="1"/>
  <c r="G32" i="26" s="1"/>
  <c r="G33" i="26" s="1"/>
  <c r="G34" i="26" s="1"/>
  <c r="G35" i="26" s="1"/>
  <c r="G36" i="26" s="1"/>
  <c r="G37" i="26" s="1"/>
  <c r="G38" i="26" s="1"/>
  <c r="G39" i="26" s="1"/>
  <c r="G40" i="26" s="1"/>
  <c r="G41" i="26" s="1"/>
  <c r="G42" i="26" s="1"/>
  <c r="G43" i="26" s="1"/>
  <c r="G44" i="26" s="1"/>
  <c r="G45" i="26" s="1"/>
  <c r="G46" i="26" s="1"/>
  <c r="G47" i="26" s="1"/>
  <c r="G48" i="26" s="1"/>
  <c r="G49" i="26" s="1"/>
  <c r="G50" i="26" s="1"/>
  <c r="G51" i="26" s="1"/>
  <c r="G52" i="26" s="1"/>
  <c r="G53" i="26" s="1"/>
  <c r="G54" i="26" s="1"/>
  <c r="G55" i="26" s="1"/>
  <c r="G56" i="26" s="1"/>
  <c r="G57" i="26" s="1"/>
  <c r="G58" i="26" s="1"/>
  <c r="G59" i="26" s="1"/>
  <c r="G60" i="26" s="1"/>
  <c r="G61" i="26" s="1"/>
  <c r="G62" i="26" s="1"/>
  <c r="G63" i="26" s="1"/>
  <c r="G64" i="26" s="1"/>
  <c r="G65" i="26" s="1"/>
  <c r="G66" i="26" s="1"/>
  <c r="G67" i="26" s="1"/>
  <c r="G68" i="26" s="1"/>
  <c r="G69" i="26" s="1"/>
  <c r="G70" i="26" s="1"/>
  <c r="G71" i="26" s="1"/>
  <c r="G72" i="26" s="1"/>
  <c r="G73" i="26" s="1"/>
  <c r="G74" i="26" s="1"/>
  <c r="G75" i="26" s="1"/>
  <c r="G76" i="26" s="1"/>
  <c r="G77" i="26" s="1"/>
  <c r="G78" i="26" s="1"/>
  <c r="G79" i="26" s="1"/>
  <c r="G80" i="26" s="1"/>
  <c r="G81" i="26" s="1"/>
  <c r="G82" i="26" s="1"/>
  <c r="G83" i="26" s="1"/>
  <c r="G84" i="26" s="1"/>
  <c r="G85" i="26" s="1"/>
  <c r="G86" i="26" s="1"/>
  <c r="G87" i="26" s="1"/>
  <c r="G88" i="26" s="1"/>
  <c r="G89" i="26" s="1"/>
  <c r="G90" i="26" s="1"/>
  <c r="G91" i="26" s="1"/>
  <c r="G92" i="26" s="1"/>
  <c r="G93" i="26" s="1"/>
  <c r="G94" i="26" s="1"/>
  <c r="G95" i="26" s="1"/>
  <c r="G96" i="26" s="1"/>
  <c r="G97" i="26" s="1"/>
  <c r="G98" i="26" s="1"/>
  <c r="G99" i="26" s="1"/>
  <c r="G100" i="26" s="1"/>
  <c r="G101" i="26" s="1"/>
  <c r="G102" i="26" s="1"/>
  <c r="G103" i="26" s="1"/>
  <c r="G104" i="26" s="1"/>
  <c r="G105" i="26" s="1"/>
  <c r="G106" i="26" s="1"/>
  <c r="G107" i="26" s="1"/>
  <c r="G108" i="26" s="1"/>
  <c r="G109" i="26" s="1"/>
  <c r="G110" i="26" s="1"/>
  <c r="G111" i="26" s="1"/>
  <c r="G112" i="26" s="1"/>
  <c r="G113" i="26" s="1"/>
  <c r="G114" i="26" s="1"/>
  <c r="G115" i="26" s="1"/>
  <c r="G116" i="26" s="1"/>
  <c r="G117" i="26" s="1"/>
  <c r="G118" i="26" s="1"/>
  <c r="G119" i="26" s="1"/>
  <c r="G120" i="26" s="1"/>
  <c r="G121" i="26" s="1"/>
  <c r="G122" i="26" s="1"/>
  <c r="G123" i="26" s="1"/>
  <c r="G124" i="26" s="1"/>
  <c r="G125" i="26" s="1"/>
  <c r="G126" i="26" s="1"/>
  <c r="G127" i="26" s="1"/>
  <c r="G128" i="26" s="1"/>
  <c r="G129" i="26" s="1"/>
  <c r="G130" i="26" s="1"/>
  <c r="G131" i="26" s="1"/>
  <c r="G132" i="26" s="1"/>
  <c r="G133" i="26" s="1"/>
  <c r="G134" i="26" s="1"/>
  <c r="G135" i="26" s="1"/>
  <c r="G136" i="26" s="1"/>
  <c r="G137" i="26" s="1"/>
  <c r="G138" i="26" s="1"/>
  <c r="G139" i="26" s="1"/>
  <c r="G140" i="26" s="1"/>
  <c r="G141" i="26" s="1"/>
  <c r="G142" i="26" s="1"/>
  <c r="G143" i="26" s="1"/>
  <c r="G144" i="26" s="1"/>
  <c r="G145" i="26" s="1"/>
  <c r="G146" i="26" s="1"/>
  <c r="G147" i="26" s="1"/>
  <c r="G148" i="26" s="1"/>
  <c r="G149" i="26" s="1"/>
  <c r="G150" i="26" s="1"/>
  <c r="G151" i="26" s="1"/>
  <c r="G152" i="26" s="1"/>
  <c r="G153" i="26" s="1"/>
  <c r="G154" i="26" s="1"/>
  <c r="G155" i="26" s="1"/>
  <c r="G156" i="26" s="1"/>
  <c r="G157" i="26" s="1"/>
  <c r="G158" i="26" s="1"/>
  <c r="G159" i="26" s="1"/>
  <c r="G160" i="26" s="1"/>
  <c r="G161" i="26" s="1"/>
  <c r="G162" i="26" s="1"/>
  <c r="G163" i="26" s="1"/>
  <c r="G164" i="26" s="1"/>
  <c r="G165" i="26" s="1"/>
  <c r="G166" i="26" s="1"/>
  <c r="G167" i="26" s="1"/>
  <c r="G168" i="26" s="1"/>
  <c r="G169" i="26" s="1"/>
  <c r="G170" i="26" s="1"/>
  <c r="G171" i="26" s="1"/>
  <c r="G172" i="26" s="1"/>
  <c r="G173" i="26" s="1"/>
  <c r="G174" i="26" s="1"/>
  <c r="G175" i="26" s="1"/>
  <c r="G176" i="26" s="1"/>
  <c r="G177" i="26" s="1"/>
  <c r="G178" i="26" s="1"/>
  <c r="G179" i="26" s="1"/>
  <c r="G180" i="26" s="1"/>
  <c r="G181" i="26" s="1"/>
  <c r="G182" i="26" s="1"/>
  <c r="G183" i="26" s="1"/>
  <c r="G184" i="26" s="1"/>
  <c r="G185" i="26" s="1"/>
  <c r="G186" i="26" s="1"/>
  <c r="G187" i="26" s="1"/>
  <c r="G188" i="26" s="1"/>
  <c r="G189" i="26" s="1"/>
  <c r="G190" i="26" s="1"/>
  <c r="G191" i="26" s="1"/>
  <c r="G192" i="26" s="1"/>
  <c r="G193" i="26" s="1"/>
  <c r="G194" i="26" s="1"/>
  <c r="G195" i="26" s="1"/>
  <c r="G196" i="26" s="1"/>
  <c r="G197" i="26" s="1"/>
  <c r="G198" i="26" s="1"/>
  <c r="G199" i="26" s="1"/>
  <c r="G200" i="26" s="1"/>
  <c r="G201" i="26" s="1"/>
  <c r="G202" i="26" s="1"/>
  <c r="G203" i="26" s="1"/>
  <c r="G204" i="26" s="1"/>
  <c r="G205" i="26" s="1"/>
  <c r="G206" i="26" s="1"/>
  <c r="G207" i="26" s="1"/>
  <c r="G208" i="26" s="1"/>
  <c r="G209" i="26" s="1"/>
  <c r="G210" i="26" s="1"/>
  <c r="G211" i="26" s="1"/>
  <c r="G212" i="26" s="1"/>
  <c r="G213" i="26" s="1"/>
  <c r="G214" i="26" s="1"/>
  <c r="G215" i="26" s="1"/>
  <c r="G216" i="26" s="1"/>
  <c r="G217" i="26" s="1"/>
  <c r="G218" i="26" s="1"/>
  <c r="G219" i="26" s="1"/>
  <c r="G220" i="26" s="1"/>
  <c r="G221" i="26" s="1"/>
  <c r="G222" i="26" s="1"/>
  <c r="G223" i="26" s="1"/>
  <c r="G224" i="26" s="1"/>
  <c r="G225" i="26" s="1"/>
  <c r="G226" i="26" s="1"/>
  <c r="G227" i="26" s="1"/>
  <c r="G228" i="26" s="1"/>
  <c r="G229" i="26" s="1"/>
  <c r="G230" i="26" s="1"/>
  <c r="G231" i="26" s="1"/>
  <c r="G232" i="26" s="1"/>
  <c r="G233" i="26" s="1"/>
  <c r="G234" i="26" s="1"/>
  <c r="G235" i="26" s="1"/>
  <c r="G236" i="26" s="1"/>
  <c r="G237" i="26" s="1"/>
  <c r="G238" i="26" s="1"/>
  <c r="G239" i="26" s="1"/>
  <c r="G240" i="26" s="1"/>
  <c r="G241" i="26" s="1"/>
  <c r="G242" i="26" s="1"/>
  <c r="G243" i="26" s="1"/>
  <c r="G244" i="26" s="1"/>
  <c r="G245" i="26" s="1"/>
  <c r="G246" i="26" s="1"/>
  <c r="G247" i="26" s="1"/>
  <c r="G248" i="26" s="1"/>
  <c r="G249" i="26" s="1"/>
  <c r="G250" i="26" s="1"/>
  <c r="G251" i="26" s="1"/>
  <c r="G252" i="26" s="1"/>
  <c r="G253" i="26" s="1"/>
  <c r="G254" i="26" s="1"/>
  <c r="G255" i="26" s="1"/>
  <c r="G256" i="26" s="1"/>
  <c r="G257" i="26" s="1"/>
  <c r="G258" i="26" s="1"/>
  <c r="G259" i="26" s="1"/>
  <c r="G260" i="26" s="1"/>
  <c r="G261" i="26" s="1"/>
  <c r="G262" i="26" s="1"/>
  <c r="G263" i="26" s="1"/>
  <c r="G264" i="26" s="1"/>
  <c r="G265" i="26" s="1"/>
  <c r="G266" i="26" s="1"/>
  <c r="G267" i="26" s="1"/>
  <c r="G268" i="26" s="1"/>
  <c r="G269" i="26" s="1"/>
  <c r="G270" i="26" s="1"/>
  <c r="G271" i="26" s="1"/>
  <c r="G272" i="26" s="1"/>
  <c r="G273" i="26" s="1"/>
  <c r="G274" i="26" s="1"/>
  <c r="G275" i="26" s="1"/>
  <c r="G276" i="26" s="1"/>
  <c r="G277" i="26" s="1"/>
  <c r="G278" i="26" s="1"/>
  <c r="G279" i="26" s="1"/>
  <c r="G280" i="26" s="1"/>
  <c r="G281" i="26" s="1"/>
  <c r="G282" i="26" s="1"/>
  <c r="G283" i="26" s="1"/>
  <c r="G284" i="26" s="1"/>
  <c r="G285" i="26" s="1"/>
  <c r="G286" i="26" s="1"/>
  <c r="G287" i="26" s="1"/>
  <c r="G288" i="26" s="1"/>
  <c r="G289" i="26" s="1"/>
  <c r="G290" i="26" s="1"/>
  <c r="G291" i="26" s="1"/>
  <c r="G292" i="26" s="1"/>
  <c r="G293" i="26" s="1"/>
  <c r="G294" i="26" s="1"/>
  <c r="G295" i="26" s="1"/>
  <c r="G296" i="26" s="1"/>
  <c r="G297" i="26" s="1"/>
  <c r="G298" i="26" s="1"/>
  <c r="G299" i="26" s="1"/>
  <c r="G300" i="26" s="1"/>
  <c r="G301" i="26" s="1"/>
  <c r="G302" i="26" s="1"/>
  <c r="G303" i="26" s="1"/>
  <c r="G304" i="26" s="1"/>
  <c r="G305" i="26" s="1"/>
  <c r="G306" i="26" s="1"/>
  <c r="G307" i="26" s="1"/>
  <c r="G308" i="26" s="1"/>
  <c r="G309" i="26" s="1"/>
  <c r="G310" i="26" s="1"/>
  <c r="G311" i="26" s="1"/>
  <c r="G312" i="26" s="1"/>
  <c r="G313" i="26" s="1"/>
  <c r="G314" i="26" s="1"/>
  <c r="G315" i="26" s="1"/>
  <c r="G316" i="26" s="1"/>
  <c r="G317" i="26" s="1"/>
  <c r="G318" i="26" s="1"/>
  <c r="G319" i="26" s="1"/>
  <c r="G320" i="26" s="1"/>
  <c r="G321" i="26" s="1"/>
  <c r="G322" i="26" s="1"/>
  <c r="G323" i="26" s="1"/>
  <c r="G324" i="26" s="1"/>
  <c r="G325" i="26" s="1"/>
  <c r="G326" i="26" s="1"/>
  <c r="G327" i="26" s="1"/>
  <c r="G328" i="26" s="1"/>
  <c r="G329" i="26" s="1"/>
  <c r="G330" i="26" s="1"/>
  <c r="G331" i="26" s="1"/>
  <c r="G332" i="26" s="1"/>
  <c r="G333" i="26" s="1"/>
  <c r="G334" i="26" s="1"/>
  <c r="G335" i="26" s="1"/>
  <c r="G336" i="26" s="1"/>
  <c r="G337" i="26" s="1"/>
  <c r="G338" i="26" s="1"/>
  <c r="G339" i="26" s="1"/>
  <c r="G340" i="26" s="1"/>
  <c r="G341" i="26" s="1"/>
  <c r="G342" i="26" s="1"/>
  <c r="G343" i="26" s="1"/>
  <c r="G344" i="26" s="1"/>
  <c r="G345" i="26" s="1"/>
  <c r="G346" i="26" s="1"/>
  <c r="G347" i="26" s="1"/>
  <c r="G348" i="26" s="1"/>
  <c r="G349" i="26" s="1"/>
  <c r="G350" i="26" s="1"/>
  <c r="G351" i="26" s="1"/>
  <c r="G352" i="26" s="1"/>
  <c r="G353" i="26" s="1"/>
  <c r="G354" i="26" s="1"/>
  <c r="G355" i="26" s="1"/>
  <c r="G356" i="26" s="1"/>
  <c r="G357" i="26" s="1"/>
  <c r="G358" i="26" s="1"/>
  <c r="G359" i="26" s="1"/>
  <c r="G360" i="26" s="1"/>
  <c r="G361" i="26" s="1"/>
  <c r="G362" i="26" s="1"/>
  <c r="G363" i="26" s="1"/>
  <c r="G364" i="26" s="1"/>
  <c r="G365" i="26" s="1"/>
  <c r="G366" i="26" s="1"/>
  <c r="G367" i="26" s="1"/>
  <c r="G368" i="26" s="1"/>
  <c r="G369" i="26" s="1"/>
  <c r="G370" i="26" s="1"/>
  <c r="G371" i="26" s="1"/>
  <c r="G372" i="26" s="1"/>
  <c r="G373" i="26" s="1"/>
  <c r="G374" i="26" s="1"/>
  <c r="G375" i="26" s="1"/>
  <c r="G376" i="26" s="1"/>
  <c r="G377" i="26" s="1"/>
  <c r="G378" i="26" s="1"/>
  <c r="G379" i="26" s="1"/>
  <c r="G380" i="26" s="1"/>
  <c r="G381" i="26" s="1"/>
  <c r="G382" i="26" s="1"/>
  <c r="G383" i="26" s="1"/>
  <c r="G384" i="26" s="1"/>
  <c r="G385" i="26" s="1"/>
  <c r="G386" i="26" s="1"/>
  <c r="G387" i="26" s="1"/>
  <c r="G388" i="26" s="1"/>
  <c r="G389" i="26" s="1"/>
  <c r="G390" i="26" s="1"/>
  <c r="G391" i="26" s="1"/>
  <c r="G392" i="26" s="1"/>
  <c r="G393" i="26" s="1"/>
  <c r="G394" i="26" s="1"/>
  <c r="G395" i="26" s="1"/>
  <c r="G396" i="26" s="1"/>
  <c r="G397" i="26" s="1"/>
  <c r="G398" i="26" s="1"/>
  <c r="G399" i="26" s="1"/>
  <c r="G400" i="26" s="1"/>
  <c r="G401" i="26" s="1"/>
  <c r="G402" i="26" s="1"/>
  <c r="G403" i="26" s="1"/>
  <c r="G404" i="26" s="1"/>
  <c r="G405" i="26" s="1"/>
  <c r="G406" i="26" s="1"/>
  <c r="G407" i="26" s="1"/>
  <c r="G408" i="26" s="1"/>
  <c r="G409" i="26" s="1"/>
  <c r="G410" i="26" s="1"/>
  <c r="G411" i="26" s="1"/>
  <c r="G412" i="26" s="1"/>
  <c r="G413" i="26" s="1"/>
  <c r="G414" i="26" s="1"/>
  <c r="G415" i="26" s="1"/>
  <c r="G416" i="26" s="1"/>
  <c r="G417" i="26" s="1"/>
  <c r="G418" i="26" s="1"/>
  <c r="G419" i="26" s="1"/>
  <c r="G420" i="26" s="1"/>
  <c r="G421" i="26" s="1"/>
  <c r="G422" i="26" s="1"/>
  <c r="G423" i="26" s="1"/>
  <c r="G424" i="26" s="1"/>
  <c r="G425" i="26" s="1"/>
  <c r="G426" i="26" s="1"/>
  <c r="G427" i="26" s="1"/>
  <c r="G428" i="26" s="1"/>
  <c r="G429" i="26" s="1"/>
  <c r="G430" i="26" s="1"/>
  <c r="G431" i="26" s="1"/>
  <c r="G432" i="26" s="1"/>
  <c r="G433" i="26" s="1"/>
  <c r="G434" i="26" s="1"/>
  <c r="G435" i="26" s="1"/>
  <c r="G436" i="26" s="1"/>
  <c r="G437" i="26" s="1"/>
  <c r="G438" i="26" s="1"/>
  <c r="G439" i="26" s="1"/>
  <c r="G440" i="26" s="1"/>
  <c r="G441" i="26" s="1"/>
  <c r="G442" i="26" s="1"/>
  <c r="G443" i="26" s="1"/>
  <c r="G444" i="26" s="1"/>
  <c r="G445" i="26" s="1"/>
  <c r="G446" i="26" s="1"/>
  <c r="G447" i="26" s="1"/>
  <c r="G448" i="26" s="1"/>
  <c r="G449" i="26" s="1"/>
  <c r="G450" i="26" s="1"/>
  <c r="G451" i="26" s="1"/>
  <c r="G452" i="26" s="1"/>
  <c r="G453" i="26" s="1"/>
  <c r="G454" i="26" s="1"/>
  <c r="G455" i="26" s="1"/>
  <c r="G456" i="26" s="1"/>
  <c r="G457" i="26" s="1"/>
  <c r="G458" i="26" s="1"/>
  <c r="G459" i="26" s="1"/>
  <c r="G460" i="26" s="1"/>
  <c r="G461" i="26" s="1"/>
  <c r="G462" i="26" s="1"/>
  <c r="G463" i="26" s="1"/>
  <c r="G464" i="26" s="1"/>
  <c r="G465" i="26" s="1"/>
  <c r="G466" i="26" s="1"/>
  <c r="G467" i="26" s="1"/>
  <c r="G468" i="26" s="1"/>
  <c r="G469" i="26" s="1"/>
  <c r="G470" i="26" s="1"/>
  <c r="G471" i="26" s="1"/>
  <c r="G472" i="26" s="1"/>
  <c r="G473" i="26" s="1"/>
  <c r="G474" i="26" s="1"/>
  <c r="G475" i="26" s="1"/>
  <c r="G476" i="26" s="1"/>
  <c r="G477" i="26" s="1"/>
  <c r="G478" i="26" s="1"/>
  <c r="G479" i="26" s="1"/>
  <c r="G480" i="26" s="1"/>
  <c r="G481" i="26" s="1"/>
  <c r="G482" i="26" s="1"/>
  <c r="G483" i="26" s="1"/>
  <c r="G484" i="26" s="1"/>
  <c r="G485" i="26" s="1"/>
  <c r="G486" i="26" s="1"/>
  <c r="G487" i="26" s="1"/>
  <c r="G488" i="26" s="1"/>
  <c r="G489" i="26" s="1"/>
  <c r="G490" i="26" s="1"/>
  <c r="G491" i="26" s="1"/>
  <c r="G492" i="26" s="1"/>
  <c r="G493" i="26" s="1"/>
  <c r="G494" i="26" s="1"/>
  <c r="G495" i="26" s="1"/>
  <c r="G496" i="26" s="1"/>
  <c r="G497" i="26" s="1"/>
  <c r="G498" i="26" s="1"/>
  <c r="G499" i="26" s="1"/>
  <c r="G500" i="26" s="1"/>
  <c r="G501" i="26" s="1"/>
  <c r="G502" i="26" s="1"/>
  <c r="G503" i="26" s="1"/>
  <c r="G504" i="26" s="1"/>
  <c r="G505" i="26" s="1"/>
  <c r="G506" i="26" s="1"/>
  <c r="G507" i="26" s="1"/>
  <c r="G508" i="26" s="1"/>
  <c r="G509" i="26" s="1"/>
  <c r="G510" i="26" s="1"/>
  <c r="G511" i="26" s="1"/>
  <c r="G512" i="26" s="1"/>
  <c r="G513" i="26" s="1"/>
  <c r="G514" i="26" s="1"/>
  <c r="G515" i="26" s="1"/>
  <c r="G516" i="26" s="1"/>
  <c r="G517" i="26" s="1"/>
  <c r="G518" i="26" s="1"/>
  <c r="G519" i="26" s="1"/>
  <c r="G520" i="26" s="1"/>
  <c r="G521" i="26" s="1"/>
  <c r="G522" i="26" s="1"/>
  <c r="G523" i="26" s="1"/>
  <c r="G524" i="26" s="1"/>
  <c r="G525" i="26" s="1"/>
  <c r="G526" i="26" s="1"/>
  <c r="G527" i="26" s="1"/>
  <c r="G528" i="26" s="1"/>
  <c r="G529" i="26" s="1"/>
  <c r="G530" i="26" s="1"/>
  <c r="G531" i="26" s="1"/>
  <c r="G532" i="26" s="1"/>
  <c r="G533" i="26" s="1"/>
  <c r="G534" i="26" s="1"/>
  <c r="G535" i="26" s="1"/>
  <c r="G536" i="26" s="1"/>
  <c r="G537" i="26" s="1"/>
  <c r="G538" i="26" s="1"/>
  <c r="G539" i="26" s="1"/>
  <c r="G540" i="26" s="1"/>
  <c r="G541" i="26" s="1"/>
  <c r="G542" i="26" s="1"/>
  <c r="G543" i="26" s="1"/>
  <c r="G544" i="26" s="1"/>
  <c r="G545" i="26" s="1"/>
  <c r="G546" i="26" s="1"/>
  <c r="G547" i="26" s="1"/>
  <c r="G548" i="26" s="1"/>
  <c r="G549" i="26" s="1"/>
  <c r="G550" i="26" s="1"/>
  <c r="G551" i="26" s="1"/>
  <c r="G552" i="26" s="1"/>
  <c r="G553" i="26" s="1"/>
  <c r="G554" i="26" s="1"/>
  <c r="G555" i="26" s="1"/>
  <c r="G556" i="26" s="1"/>
  <c r="G557" i="26" s="1"/>
  <c r="G558" i="26" s="1"/>
  <c r="G559" i="26" s="1"/>
  <c r="G560" i="26" s="1"/>
  <c r="G561" i="26" s="1"/>
  <c r="G562" i="26" s="1"/>
  <c r="G563" i="26" s="1"/>
  <c r="G564" i="26" s="1"/>
  <c r="G565" i="26" s="1"/>
  <c r="G566" i="26" s="1"/>
  <c r="G567" i="26" s="1"/>
  <c r="G568" i="26" s="1"/>
  <c r="G569" i="26" s="1"/>
  <c r="G570" i="26" s="1"/>
  <c r="G571" i="26" s="1"/>
  <c r="G572" i="26" s="1"/>
  <c r="G573" i="26" s="1"/>
  <c r="G574" i="26" s="1"/>
  <c r="G575" i="26" s="1"/>
  <c r="G576" i="26" s="1"/>
  <c r="G577" i="26" s="1"/>
  <c r="G578" i="26" s="1"/>
  <c r="G579" i="26" s="1"/>
  <c r="G580" i="26" s="1"/>
  <c r="G581" i="26" s="1"/>
  <c r="G582" i="26" s="1"/>
  <c r="G583" i="26" s="1"/>
  <c r="G584" i="26" s="1"/>
  <c r="G585" i="26" s="1"/>
  <c r="G586" i="26" s="1"/>
  <c r="G587" i="26" s="1"/>
  <c r="G588" i="26" s="1"/>
  <c r="G589" i="26" s="1"/>
  <c r="G590" i="26" s="1"/>
  <c r="G591" i="26" s="1"/>
  <c r="G592" i="26" s="1"/>
  <c r="G593" i="26" s="1"/>
  <c r="G594" i="26" s="1"/>
  <c r="G595" i="26" s="1"/>
  <c r="G596" i="26" s="1"/>
  <c r="G597" i="26" s="1"/>
  <c r="G598" i="26" s="1"/>
  <c r="G599" i="26" s="1"/>
  <c r="G600" i="26" s="1"/>
  <c r="G601" i="26" s="1"/>
  <c r="G602" i="26" s="1"/>
  <c r="G603" i="26" s="1"/>
  <c r="G604" i="26" s="1"/>
  <c r="G605" i="26" s="1"/>
  <c r="G606" i="26" s="1"/>
  <c r="G607" i="26" s="1"/>
  <c r="G608" i="26" s="1"/>
  <c r="G609" i="26" s="1"/>
  <c r="G610" i="26" s="1"/>
  <c r="G611" i="26" s="1"/>
  <c r="G612" i="26" s="1"/>
  <c r="G613" i="26" s="1"/>
  <c r="G614" i="26" s="1"/>
  <c r="G615" i="26" s="1"/>
  <c r="G616" i="26" s="1"/>
  <c r="G617" i="26" s="1"/>
  <c r="G618" i="26" s="1"/>
  <c r="G619" i="26" s="1"/>
  <c r="G620" i="26" s="1"/>
  <c r="G621" i="26" s="1"/>
  <c r="G622" i="26" s="1"/>
  <c r="G623" i="26" s="1"/>
  <c r="G624" i="26" s="1"/>
  <c r="G625" i="26" s="1"/>
  <c r="G626" i="26" s="1"/>
  <c r="G627" i="26" s="1"/>
  <c r="G628" i="26" s="1"/>
  <c r="G629" i="26" s="1"/>
  <c r="G630" i="26" s="1"/>
  <c r="G631" i="26" s="1"/>
  <c r="G632" i="26" s="1"/>
  <c r="G633" i="26" s="1"/>
  <c r="G634" i="26" s="1"/>
  <c r="G635" i="26" s="1"/>
  <c r="G636" i="26" s="1"/>
  <c r="G637" i="26" s="1"/>
  <c r="G638" i="26" s="1"/>
  <c r="G639" i="26" s="1"/>
  <c r="G640" i="26" s="1"/>
  <c r="G641" i="26" s="1"/>
  <c r="G642" i="26" s="1"/>
  <c r="G643" i="26" s="1"/>
  <c r="G644" i="26" s="1"/>
  <c r="G645" i="26" s="1"/>
  <c r="G646" i="26" s="1"/>
  <c r="G647" i="26" s="1"/>
  <c r="G648" i="26" s="1"/>
  <c r="G649" i="26" s="1"/>
  <c r="G650" i="26" s="1"/>
  <c r="G651" i="26" s="1"/>
  <c r="G652" i="26" s="1"/>
  <c r="G653" i="26" s="1"/>
  <c r="G654" i="26" s="1"/>
  <c r="G655" i="26" s="1"/>
  <c r="G656" i="26" s="1"/>
  <c r="G657" i="26" s="1"/>
  <c r="G658" i="26" s="1"/>
  <c r="G659" i="26" s="1"/>
  <c r="G660" i="26" s="1"/>
  <c r="G661" i="26" s="1"/>
  <c r="G662" i="26" s="1"/>
  <c r="G663" i="26" s="1"/>
  <c r="G664" i="26" s="1"/>
  <c r="G665" i="26" s="1"/>
  <c r="G666" i="26" s="1"/>
  <c r="G667" i="26" s="1"/>
  <c r="G668" i="26" s="1"/>
  <c r="G669" i="26" s="1"/>
  <c r="G670" i="26" s="1"/>
  <c r="G671" i="26" s="1"/>
  <c r="G672" i="26" s="1"/>
  <c r="G673" i="26" s="1"/>
  <c r="G674" i="26" s="1"/>
  <c r="G675" i="26" s="1"/>
  <c r="G676" i="26" s="1"/>
  <c r="G677" i="26" s="1"/>
  <c r="G678" i="26" s="1"/>
  <c r="G679" i="26" s="1"/>
  <c r="G680" i="26" s="1"/>
  <c r="G681" i="26" s="1"/>
  <c r="G682" i="26" s="1"/>
  <c r="G683" i="26" s="1"/>
  <c r="G684" i="26" s="1"/>
  <c r="G685" i="26" s="1"/>
  <c r="G686" i="26" s="1"/>
  <c r="G687" i="26" s="1"/>
  <c r="G688" i="26" s="1"/>
  <c r="G689" i="26" s="1"/>
  <c r="G690" i="26" s="1"/>
  <c r="G691" i="26" s="1"/>
  <c r="G692" i="26" s="1"/>
  <c r="G693" i="26" s="1"/>
  <c r="G694" i="26" s="1"/>
  <c r="G695" i="26" s="1"/>
  <c r="G696" i="26" s="1"/>
  <c r="G697" i="26" s="1"/>
  <c r="G698" i="26" s="1"/>
  <c r="G699" i="26" s="1"/>
  <c r="G700" i="26" s="1"/>
  <c r="G701" i="26" s="1"/>
  <c r="G702" i="26" s="1"/>
  <c r="G703" i="26" s="1"/>
  <c r="G704" i="26" s="1"/>
  <c r="G705" i="26" s="1"/>
  <c r="G706" i="26" s="1"/>
  <c r="G707" i="26" s="1"/>
  <c r="G708" i="26" s="1"/>
  <c r="G709" i="26" s="1"/>
  <c r="G710" i="26" s="1"/>
  <c r="G711" i="26" s="1"/>
  <c r="G712" i="26" s="1"/>
  <c r="G713" i="26" s="1"/>
  <c r="G714" i="26" s="1"/>
  <c r="G715" i="26" s="1"/>
  <c r="G716" i="26" s="1"/>
  <c r="G717" i="26" s="1"/>
  <c r="G718" i="26" s="1"/>
  <c r="G719" i="26" s="1"/>
  <c r="G720" i="26" s="1"/>
  <c r="G721" i="26" s="1"/>
  <c r="G722" i="26" s="1"/>
  <c r="G723" i="26" s="1"/>
  <c r="G724" i="26" s="1"/>
  <c r="G725" i="26" s="1"/>
  <c r="G726" i="26" s="1"/>
  <c r="G727" i="26" s="1"/>
  <c r="G728" i="26" s="1"/>
  <c r="G729" i="26" s="1"/>
  <c r="G730" i="26" s="1"/>
  <c r="G731" i="26" s="1"/>
  <c r="G732" i="26" s="1"/>
  <c r="G733" i="26" s="1"/>
  <c r="G734" i="26" s="1"/>
  <c r="G735" i="26" s="1"/>
  <c r="G736" i="26" s="1"/>
  <c r="G737" i="26" s="1"/>
  <c r="G738" i="26" s="1"/>
  <c r="G739" i="26" s="1"/>
  <c r="G740" i="26" s="1"/>
  <c r="G741" i="26" s="1"/>
  <c r="G742" i="26" s="1"/>
  <c r="G743" i="26" s="1"/>
  <c r="G744" i="26" s="1"/>
  <c r="G745" i="26" s="1"/>
  <c r="G746" i="26" s="1"/>
  <c r="G747" i="26" s="1"/>
  <c r="G748" i="26" s="1"/>
  <c r="G749" i="26" s="1"/>
  <c r="G750" i="26" s="1"/>
  <c r="G751" i="26" s="1"/>
  <c r="G752" i="26" s="1"/>
  <c r="G753" i="26" s="1"/>
  <c r="G754" i="26" s="1"/>
  <c r="G755" i="26" s="1"/>
  <c r="G756" i="26" s="1"/>
  <c r="G757" i="26" s="1"/>
  <c r="G758" i="26" s="1"/>
  <c r="G759" i="26" s="1"/>
  <c r="G760" i="26" s="1"/>
  <c r="G761" i="26" s="1"/>
  <c r="G762" i="26" s="1"/>
  <c r="G763" i="26" s="1"/>
  <c r="G764" i="26" s="1"/>
  <c r="G765" i="26" s="1"/>
  <c r="G766" i="26" s="1"/>
  <c r="G767" i="26" s="1"/>
  <c r="G768" i="26" s="1"/>
  <c r="G769" i="26" s="1"/>
  <c r="G770" i="26" s="1"/>
  <c r="G771" i="26" s="1"/>
  <c r="G772" i="26" s="1"/>
  <c r="G773" i="26" s="1"/>
  <c r="G774" i="26" s="1"/>
  <c r="G775" i="26" s="1"/>
  <c r="G776" i="26" s="1"/>
  <c r="G777" i="26" s="1"/>
  <c r="G778" i="26" s="1"/>
  <c r="G779" i="26" s="1"/>
  <c r="G780" i="26" s="1"/>
  <c r="G781" i="26" s="1"/>
  <c r="G782" i="26" s="1"/>
  <c r="G783" i="26" s="1"/>
  <c r="G784" i="26" s="1"/>
  <c r="G785" i="26" s="1"/>
  <c r="G786" i="26" s="1"/>
  <c r="G787" i="26" s="1"/>
  <c r="G788" i="26" s="1"/>
  <c r="G789" i="26" s="1"/>
  <c r="G790" i="26" s="1"/>
  <c r="G791" i="26" s="1"/>
  <c r="G792" i="26" s="1"/>
  <c r="G793" i="26" s="1"/>
  <c r="G794" i="26" s="1"/>
  <c r="G795" i="26" s="1"/>
  <c r="G796" i="26" s="1"/>
  <c r="G797" i="26" s="1"/>
  <c r="G798" i="26" s="1"/>
  <c r="G799" i="26" s="1"/>
  <c r="G800" i="26" s="1"/>
  <c r="G801" i="26" s="1"/>
  <c r="G802" i="26" s="1"/>
  <c r="G803" i="26" s="1"/>
  <c r="G804" i="26" s="1"/>
  <c r="G805" i="26" s="1"/>
  <c r="G806" i="26" s="1"/>
  <c r="G807" i="26" s="1"/>
  <c r="G808" i="26" s="1"/>
  <c r="G809" i="26" s="1"/>
  <c r="G810" i="26" s="1"/>
  <c r="G811" i="26" s="1"/>
  <c r="G812" i="26" s="1"/>
  <c r="G813" i="26" s="1"/>
  <c r="G814" i="26" s="1"/>
  <c r="G815" i="26" s="1"/>
  <c r="G816" i="26" s="1"/>
  <c r="G817" i="26" s="1"/>
  <c r="G818" i="26" s="1"/>
  <c r="G819" i="26" s="1"/>
  <c r="G820" i="26" s="1"/>
  <c r="G821" i="26" s="1"/>
  <c r="G822" i="26" s="1"/>
  <c r="G823" i="26" s="1"/>
  <c r="G824" i="26" s="1"/>
  <c r="G825" i="26" s="1"/>
  <c r="G826" i="26" s="1"/>
  <c r="G827" i="26" s="1"/>
  <c r="G828" i="26" s="1"/>
  <c r="G829" i="26" s="1"/>
  <c r="G830" i="26" s="1"/>
  <c r="G831" i="26" s="1"/>
  <c r="G832" i="26" s="1"/>
  <c r="G833" i="26" s="1"/>
  <c r="G834" i="26" s="1"/>
  <c r="G835" i="26" s="1"/>
  <c r="G836" i="26" s="1"/>
  <c r="G837" i="26" s="1"/>
  <c r="G838" i="26" s="1"/>
  <c r="G839" i="26" s="1"/>
  <c r="G840" i="26" s="1"/>
  <c r="G841" i="26" s="1"/>
  <c r="G842" i="26" s="1"/>
  <c r="G843" i="26" s="1"/>
  <c r="G844" i="26" s="1"/>
  <c r="G845" i="26" s="1"/>
  <c r="G846" i="26" s="1"/>
  <c r="G847" i="26" s="1"/>
  <c r="G848" i="26" s="1"/>
  <c r="G849" i="26" s="1"/>
  <c r="G850" i="26" s="1"/>
  <c r="G851" i="26" s="1"/>
  <c r="G852" i="26" s="1"/>
  <c r="G853" i="26" s="1"/>
  <c r="G854" i="26" s="1"/>
  <c r="G855" i="26" s="1"/>
  <c r="G856" i="26" s="1"/>
  <c r="G857" i="26" s="1"/>
  <c r="G858" i="26" s="1"/>
  <c r="G859" i="26" s="1"/>
  <c r="G860" i="26" s="1"/>
  <c r="G861" i="26" s="1"/>
  <c r="G862" i="26" s="1"/>
  <c r="G863" i="26" s="1"/>
  <c r="G864" i="26" s="1"/>
  <c r="G865" i="26" s="1"/>
  <c r="G866" i="26" s="1"/>
  <c r="G867" i="26" s="1"/>
  <c r="G868" i="26" s="1"/>
  <c r="G869" i="26" s="1"/>
  <c r="G870" i="26" s="1"/>
  <c r="G871" i="26" s="1"/>
  <c r="G872" i="26" s="1"/>
  <c r="G873" i="26" s="1"/>
  <c r="G874" i="26" s="1"/>
  <c r="G875" i="26" s="1"/>
  <c r="G876" i="26" s="1"/>
  <c r="G877" i="26" s="1"/>
  <c r="G878" i="26" s="1"/>
  <c r="G879" i="26" s="1"/>
  <c r="G880" i="26" s="1"/>
  <c r="F3" i="26"/>
  <c r="E3" i="26" s="1"/>
  <c r="E4" i="26" s="1"/>
  <c r="E5" i="26" s="1"/>
  <c r="E6" i="26" s="1"/>
  <c r="E7" i="26" s="1"/>
  <c r="E8" i="26" s="1"/>
  <c r="E9" i="26" s="1"/>
  <c r="E10" i="26" s="1"/>
  <c r="E11" i="26" s="1"/>
  <c r="E12" i="26" s="1"/>
  <c r="E13" i="26" s="1"/>
  <c r="E14" i="26" s="1"/>
  <c r="E15" i="26" s="1"/>
  <c r="E16" i="26" s="1"/>
  <c r="E17" i="26" s="1"/>
  <c r="E18" i="26" s="1"/>
  <c r="E19" i="26" s="1"/>
  <c r="E20" i="26" s="1"/>
  <c r="E21" i="26" s="1"/>
  <c r="E22" i="26" s="1"/>
  <c r="E23" i="26" s="1"/>
  <c r="E24" i="26" s="1"/>
  <c r="E25" i="26" s="1"/>
  <c r="E26" i="26" s="1"/>
  <c r="E27" i="26" s="1"/>
  <c r="E28" i="26" s="1"/>
  <c r="E29" i="26" s="1"/>
  <c r="E30" i="26" s="1"/>
  <c r="E31" i="26" s="1"/>
  <c r="E32" i="26" s="1"/>
  <c r="E33" i="26" s="1"/>
  <c r="E34" i="26" s="1"/>
  <c r="E35" i="26" s="1"/>
  <c r="E36" i="26" s="1"/>
  <c r="E37" i="26" s="1"/>
  <c r="E38" i="26" s="1"/>
  <c r="E39" i="26" s="1"/>
  <c r="E40" i="26" s="1"/>
  <c r="E41" i="26" s="1"/>
  <c r="E42" i="26" s="1"/>
  <c r="E43" i="26" s="1"/>
  <c r="E44" i="26" s="1"/>
  <c r="E45" i="26" s="1"/>
  <c r="E46" i="26" s="1"/>
  <c r="E47" i="26" s="1"/>
  <c r="E48" i="26" s="1"/>
  <c r="E49" i="26" s="1"/>
  <c r="E50" i="26" s="1"/>
  <c r="E51" i="26" s="1"/>
  <c r="E52" i="26" s="1"/>
  <c r="E53" i="26" s="1"/>
  <c r="E54" i="26" s="1"/>
  <c r="E55" i="26" s="1"/>
  <c r="E56" i="26" s="1"/>
  <c r="E57" i="26" s="1"/>
  <c r="E58" i="26" s="1"/>
  <c r="E59" i="26" s="1"/>
  <c r="E60" i="26" s="1"/>
  <c r="E61" i="26" s="1"/>
  <c r="E62" i="26" s="1"/>
  <c r="E63" i="26" s="1"/>
  <c r="E64" i="26" s="1"/>
  <c r="E65" i="26" s="1"/>
  <c r="E66" i="26" s="1"/>
  <c r="E67" i="26" s="1"/>
  <c r="E68" i="26" s="1"/>
  <c r="E69" i="26" s="1"/>
  <c r="E70" i="26" s="1"/>
  <c r="E71" i="26" s="1"/>
  <c r="E72" i="26" s="1"/>
  <c r="E73" i="26" s="1"/>
  <c r="E74" i="26" s="1"/>
  <c r="E75" i="26" s="1"/>
  <c r="E76" i="26" s="1"/>
  <c r="E77" i="26" s="1"/>
  <c r="E78" i="26" s="1"/>
  <c r="E79" i="26" s="1"/>
  <c r="E80" i="26" s="1"/>
  <c r="E81" i="26" s="1"/>
  <c r="E82" i="26" s="1"/>
  <c r="E83" i="26" s="1"/>
  <c r="E84" i="26" s="1"/>
  <c r="E85" i="26" s="1"/>
  <c r="E86" i="26" s="1"/>
  <c r="E87" i="26" s="1"/>
  <c r="E88" i="26" s="1"/>
  <c r="E89" i="26" s="1"/>
  <c r="E90" i="26" s="1"/>
  <c r="E91" i="26" s="1"/>
  <c r="E92" i="26" s="1"/>
  <c r="E93" i="26" s="1"/>
  <c r="E94" i="26" s="1"/>
  <c r="E95" i="26" s="1"/>
  <c r="E96" i="26" s="1"/>
  <c r="E97" i="26" s="1"/>
  <c r="E98" i="26" s="1"/>
  <c r="E99" i="26" s="1"/>
  <c r="E100" i="26" s="1"/>
  <c r="E101" i="26" s="1"/>
  <c r="E102" i="26" s="1"/>
  <c r="E103" i="26" s="1"/>
  <c r="E104" i="26" s="1"/>
  <c r="E105" i="26" s="1"/>
  <c r="E106" i="26" s="1"/>
  <c r="E107" i="26" s="1"/>
  <c r="E108" i="26" s="1"/>
  <c r="E109" i="26" s="1"/>
  <c r="E110" i="26" s="1"/>
  <c r="E111" i="26" s="1"/>
  <c r="E112" i="26" s="1"/>
  <c r="E113" i="26" s="1"/>
  <c r="E114" i="26" s="1"/>
  <c r="E115" i="26" s="1"/>
  <c r="E116" i="26" s="1"/>
  <c r="E117" i="26" s="1"/>
  <c r="E118" i="26" s="1"/>
  <c r="E119" i="26" s="1"/>
  <c r="E120" i="26" s="1"/>
  <c r="E121" i="26" s="1"/>
  <c r="E122" i="26" s="1"/>
  <c r="E123" i="26" s="1"/>
  <c r="E124" i="26" s="1"/>
  <c r="E125" i="26" s="1"/>
  <c r="E126" i="26" s="1"/>
  <c r="E127" i="26" s="1"/>
  <c r="E128" i="26" s="1"/>
  <c r="E129" i="26" s="1"/>
  <c r="E130" i="26" s="1"/>
  <c r="E131" i="26" s="1"/>
  <c r="E132" i="26" s="1"/>
  <c r="E133" i="26" s="1"/>
  <c r="E134" i="26" s="1"/>
  <c r="E135" i="26" s="1"/>
  <c r="E136" i="26" s="1"/>
  <c r="E137" i="26" s="1"/>
  <c r="E138" i="26" s="1"/>
  <c r="E139" i="26" s="1"/>
  <c r="E140" i="26" s="1"/>
  <c r="E141" i="26" s="1"/>
  <c r="E142" i="26" s="1"/>
  <c r="E143" i="26" s="1"/>
  <c r="E144" i="26" s="1"/>
  <c r="E145" i="26" s="1"/>
  <c r="E146" i="26" s="1"/>
  <c r="E147" i="26" s="1"/>
  <c r="E148" i="26" s="1"/>
  <c r="E149" i="26" s="1"/>
  <c r="E150" i="26" s="1"/>
  <c r="E151" i="26" s="1"/>
  <c r="E152" i="26" s="1"/>
  <c r="E153" i="26" s="1"/>
  <c r="E154" i="26" s="1"/>
  <c r="E155" i="26" s="1"/>
  <c r="E156" i="26" s="1"/>
  <c r="E157" i="26" s="1"/>
  <c r="E158" i="26" s="1"/>
  <c r="E159" i="26" s="1"/>
  <c r="E160" i="26" s="1"/>
  <c r="E161" i="26" s="1"/>
  <c r="E162" i="26" s="1"/>
  <c r="E163" i="26" s="1"/>
  <c r="E164" i="26" s="1"/>
  <c r="E165" i="26" s="1"/>
  <c r="E166" i="26" s="1"/>
  <c r="E167" i="26" s="1"/>
  <c r="E168" i="26" s="1"/>
  <c r="E169" i="26" s="1"/>
  <c r="E170" i="26" s="1"/>
  <c r="E171" i="26" s="1"/>
  <c r="E172" i="26" s="1"/>
  <c r="E173" i="26" s="1"/>
  <c r="E174" i="26" s="1"/>
  <c r="E175" i="26" s="1"/>
  <c r="E176" i="26" s="1"/>
  <c r="E177" i="26" s="1"/>
  <c r="E178" i="26" s="1"/>
  <c r="E179" i="26" s="1"/>
  <c r="E180" i="26" s="1"/>
  <c r="E181" i="26" s="1"/>
  <c r="E182" i="26" s="1"/>
  <c r="E183" i="26" s="1"/>
  <c r="E184" i="26" s="1"/>
  <c r="E185" i="26" s="1"/>
  <c r="E186" i="26" s="1"/>
  <c r="E187" i="26" s="1"/>
  <c r="E188" i="26" s="1"/>
  <c r="E189" i="26" s="1"/>
  <c r="E190" i="26" s="1"/>
  <c r="E191" i="26" s="1"/>
  <c r="E192" i="26" s="1"/>
  <c r="E193" i="26" s="1"/>
  <c r="E194" i="26" s="1"/>
  <c r="E195" i="26" s="1"/>
  <c r="E196" i="26" s="1"/>
  <c r="E197" i="26" s="1"/>
  <c r="E198" i="26" s="1"/>
  <c r="E199" i="26" s="1"/>
  <c r="E200" i="26" s="1"/>
  <c r="E201" i="26" s="1"/>
  <c r="E202" i="26" s="1"/>
  <c r="E203" i="26" s="1"/>
  <c r="E204" i="26" s="1"/>
  <c r="E205" i="26" s="1"/>
  <c r="E206" i="26" s="1"/>
  <c r="E207" i="26" s="1"/>
  <c r="E208" i="26" s="1"/>
  <c r="E209" i="26" s="1"/>
  <c r="E210" i="26" s="1"/>
  <c r="E211" i="26" s="1"/>
  <c r="E212" i="26" s="1"/>
  <c r="E213" i="26" s="1"/>
  <c r="E214" i="26" s="1"/>
  <c r="E215" i="26" s="1"/>
  <c r="E216" i="26" s="1"/>
  <c r="E217" i="26" s="1"/>
  <c r="E218" i="26" s="1"/>
  <c r="E219" i="26" s="1"/>
  <c r="E220" i="26" s="1"/>
  <c r="E221" i="26" s="1"/>
  <c r="E222" i="26" s="1"/>
  <c r="E223" i="26" s="1"/>
  <c r="E224" i="26" s="1"/>
  <c r="E225" i="26" s="1"/>
  <c r="E226" i="26" s="1"/>
  <c r="E227" i="26" s="1"/>
  <c r="E228" i="26" s="1"/>
  <c r="E229" i="26" s="1"/>
  <c r="E230" i="26" s="1"/>
  <c r="E231" i="26" s="1"/>
  <c r="E232" i="26" s="1"/>
  <c r="E233" i="26" s="1"/>
  <c r="E234" i="26" s="1"/>
  <c r="E235" i="26" s="1"/>
  <c r="E236" i="26" s="1"/>
  <c r="E237" i="26" s="1"/>
  <c r="E238" i="26" s="1"/>
  <c r="E239" i="26" s="1"/>
  <c r="E240" i="26" s="1"/>
  <c r="E241" i="26" s="1"/>
  <c r="E242" i="26" s="1"/>
  <c r="E243" i="26" s="1"/>
  <c r="E244" i="26" s="1"/>
  <c r="E245" i="26" s="1"/>
  <c r="E246" i="26" s="1"/>
  <c r="E247" i="26" s="1"/>
  <c r="E248" i="26" s="1"/>
  <c r="E249" i="26" s="1"/>
  <c r="E250" i="26" s="1"/>
  <c r="E251" i="26" s="1"/>
  <c r="E252" i="26" s="1"/>
  <c r="E253" i="26" s="1"/>
  <c r="E254" i="26" s="1"/>
  <c r="E255" i="26" s="1"/>
  <c r="E256" i="26" s="1"/>
  <c r="E257" i="26" s="1"/>
  <c r="E258" i="26" s="1"/>
  <c r="E259" i="26" s="1"/>
  <c r="E260" i="26" s="1"/>
  <c r="E261" i="26" s="1"/>
  <c r="E262" i="26" s="1"/>
  <c r="E263" i="26" s="1"/>
  <c r="E264" i="26" s="1"/>
  <c r="E265" i="26" s="1"/>
  <c r="E266" i="26" s="1"/>
  <c r="E267" i="26" s="1"/>
  <c r="E268" i="26" s="1"/>
  <c r="E269" i="26" s="1"/>
  <c r="E270" i="26" s="1"/>
  <c r="E271" i="26" s="1"/>
  <c r="E272" i="26" s="1"/>
  <c r="E273" i="26" s="1"/>
  <c r="E274" i="26" s="1"/>
  <c r="E275" i="26" s="1"/>
  <c r="E276" i="26" s="1"/>
  <c r="E277" i="26" s="1"/>
  <c r="E278" i="26" s="1"/>
  <c r="E279" i="26" s="1"/>
  <c r="E280" i="26" s="1"/>
  <c r="E281" i="26" s="1"/>
  <c r="E282" i="26" s="1"/>
  <c r="E283" i="26" s="1"/>
  <c r="E284" i="26" s="1"/>
  <c r="E285" i="26" s="1"/>
  <c r="E286" i="26" s="1"/>
  <c r="E287" i="26" s="1"/>
  <c r="E288" i="26" s="1"/>
  <c r="E289" i="26" s="1"/>
  <c r="E290" i="26" s="1"/>
  <c r="E291" i="26" s="1"/>
  <c r="E292" i="26" s="1"/>
  <c r="E293" i="26" s="1"/>
  <c r="E294" i="26" s="1"/>
  <c r="E295" i="26" s="1"/>
  <c r="E296" i="26" s="1"/>
  <c r="E297" i="26" s="1"/>
  <c r="E298" i="26" s="1"/>
  <c r="E299" i="26" s="1"/>
  <c r="E300" i="26" s="1"/>
  <c r="E301" i="26" s="1"/>
  <c r="E302" i="26" s="1"/>
  <c r="E303" i="26" s="1"/>
  <c r="E304" i="26" s="1"/>
  <c r="E305" i="26" s="1"/>
  <c r="E306" i="26" s="1"/>
  <c r="E307" i="26" s="1"/>
  <c r="E308" i="26" s="1"/>
  <c r="E309" i="26" s="1"/>
  <c r="E310" i="26" s="1"/>
  <c r="E311" i="26" s="1"/>
  <c r="E312" i="26" s="1"/>
  <c r="E313" i="26" s="1"/>
  <c r="E314" i="26" s="1"/>
  <c r="E315" i="26" s="1"/>
  <c r="E316" i="26" s="1"/>
  <c r="E317" i="26" s="1"/>
  <c r="E318" i="26" s="1"/>
  <c r="E319" i="26" s="1"/>
  <c r="E320" i="26" s="1"/>
  <c r="E321" i="26" s="1"/>
  <c r="E322" i="26" s="1"/>
  <c r="E323" i="26" s="1"/>
  <c r="E324" i="26" s="1"/>
  <c r="E325" i="26" s="1"/>
  <c r="E326" i="26" s="1"/>
  <c r="E327" i="26" s="1"/>
  <c r="E328" i="26" s="1"/>
  <c r="E329" i="26" s="1"/>
  <c r="E330" i="26" s="1"/>
  <c r="E331" i="26" s="1"/>
  <c r="E332" i="26" s="1"/>
  <c r="E333" i="26" s="1"/>
  <c r="E334" i="26" s="1"/>
  <c r="E335" i="26" s="1"/>
  <c r="E336" i="26" s="1"/>
  <c r="E337" i="26" s="1"/>
  <c r="E338" i="26" s="1"/>
  <c r="E339" i="26" s="1"/>
  <c r="E340" i="26" s="1"/>
  <c r="E341" i="26" s="1"/>
  <c r="E342" i="26" s="1"/>
  <c r="E343" i="26" s="1"/>
  <c r="E344" i="26" s="1"/>
  <c r="E345" i="26" s="1"/>
  <c r="E346" i="26" s="1"/>
  <c r="E347" i="26" s="1"/>
  <c r="E348" i="26" s="1"/>
  <c r="E349" i="26" s="1"/>
  <c r="E350" i="26" s="1"/>
  <c r="E351" i="26" s="1"/>
  <c r="E352" i="26" s="1"/>
  <c r="E353" i="26" s="1"/>
  <c r="E354" i="26" s="1"/>
  <c r="E355" i="26" s="1"/>
  <c r="E356" i="26" s="1"/>
  <c r="E357" i="26" s="1"/>
  <c r="E358" i="26" s="1"/>
  <c r="E359" i="26" s="1"/>
  <c r="E360" i="26" s="1"/>
  <c r="E361" i="26" s="1"/>
  <c r="E362" i="26" s="1"/>
  <c r="E363" i="26" s="1"/>
  <c r="E364" i="26" s="1"/>
  <c r="E365" i="26" s="1"/>
  <c r="E366" i="26" s="1"/>
  <c r="E367" i="26" s="1"/>
  <c r="E368" i="26" s="1"/>
  <c r="E369" i="26" s="1"/>
  <c r="E370" i="26" s="1"/>
  <c r="E371" i="26" s="1"/>
  <c r="E372" i="26" s="1"/>
  <c r="E373" i="26" s="1"/>
  <c r="E374" i="26" s="1"/>
  <c r="E375" i="26" s="1"/>
  <c r="E376" i="26" s="1"/>
  <c r="E377" i="26" s="1"/>
  <c r="E378" i="26" s="1"/>
  <c r="E379" i="26" s="1"/>
  <c r="E380" i="26" s="1"/>
  <c r="E381" i="26" s="1"/>
  <c r="E382" i="26" s="1"/>
  <c r="E383" i="26" s="1"/>
  <c r="E384" i="26" s="1"/>
  <c r="E385" i="26" s="1"/>
  <c r="E386" i="26" s="1"/>
  <c r="E387" i="26" s="1"/>
  <c r="E388" i="26" s="1"/>
  <c r="E389" i="26" s="1"/>
  <c r="E390" i="26" s="1"/>
  <c r="E391" i="26" s="1"/>
  <c r="E392" i="26" s="1"/>
  <c r="E393" i="26" s="1"/>
  <c r="E394" i="26" s="1"/>
  <c r="E395" i="26" s="1"/>
  <c r="E396" i="26" s="1"/>
  <c r="E397" i="26" s="1"/>
  <c r="E398" i="26" s="1"/>
  <c r="E399" i="26" s="1"/>
  <c r="E400" i="26" s="1"/>
  <c r="E401" i="26" s="1"/>
  <c r="E402" i="26" s="1"/>
  <c r="E403" i="26" s="1"/>
  <c r="E404" i="26" s="1"/>
  <c r="E405" i="26" s="1"/>
  <c r="E406" i="26" s="1"/>
  <c r="E407" i="26" s="1"/>
  <c r="E408" i="26" s="1"/>
  <c r="E409" i="26" s="1"/>
  <c r="E410" i="26" s="1"/>
  <c r="E411" i="26" s="1"/>
  <c r="E412" i="26" s="1"/>
  <c r="E413" i="26" s="1"/>
  <c r="E414" i="26" s="1"/>
  <c r="E415" i="26" s="1"/>
  <c r="E416" i="26" s="1"/>
  <c r="E417" i="26" s="1"/>
  <c r="E418" i="26" s="1"/>
  <c r="E419" i="26" s="1"/>
  <c r="E420" i="26" s="1"/>
  <c r="E421" i="26" s="1"/>
  <c r="E422" i="26" s="1"/>
  <c r="E423" i="26" s="1"/>
  <c r="E424" i="26" s="1"/>
  <c r="E425" i="26" s="1"/>
  <c r="E426" i="26" s="1"/>
  <c r="E427" i="26" s="1"/>
  <c r="E428" i="26" s="1"/>
  <c r="E429" i="26" s="1"/>
  <c r="E430" i="26" s="1"/>
  <c r="E431" i="26" s="1"/>
  <c r="E432" i="26" s="1"/>
  <c r="E433" i="26" s="1"/>
  <c r="E434" i="26" s="1"/>
  <c r="E435" i="26" s="1"/>
  <c r="E436" i="26" s="1"/>
  <c r="E437" i="26" s="1"/>
  <c r="E438" i="26" s="1"/>
  <c r="E439" i="26" s="1"/>
  <c r="E440" i="26" s="1"/>
  <c r="E441" i="26" s="1"/>
  <c r="E442" i="26" s="1"/>
  <c r="E443" i="26" s="1"/>
  <c r="E444" i="26" s="1"/>
  <c r="E445" i="26" s="1"/>
  <c r="E446" i="26" s="1"/>
  <c r="E447" i="26" s="1"/>
  <c r="E448" i="26" s="1"/>
  <c r="E449" i="26" s="1"/>
  <c r="E450" i="26" s="1"/>
  <c r="E451" i="26" s="1"/>
  <c r="E452" i="26" s="1"/>
  <c r="E453" i="26" s="1"/>
  <c r="E454" i="26" s="1"/>
  <c r="E455" i="26" s="1"/>
  <c r="E456" i="26" s="1"/>
  <c r="E457" i="26" s="1"/>
  <c r="E458" i="26" s="1"/>
  <c r="E459" i="26" s="1"/>
  <c r="E460" i="26" s="1"/>
  <c r="E461" i="26" s="1"/>
  <c r="E462" i="26" s="1"/>
  <c r="E463" i="26" s="1"/>
  <c r="E464" i="26" s="1"/>
  <c r="E465" i="26" s="1"/>
  <c r="E466" i="26" s="1"/>
  <c r="E467" i="26" s="1"/>
  <c r="E468" i="26" s="1"/>
  <c r="E469" i="26" s="1"/>
  <c r="E470" i="26" s="1"/>
  <c r="E471" i="26" s="1"/>
  <c r="E472" i="26" s="1"/>
  <c r="E473" i="26" s="1"/>
  <c r="E474" i="26" s="1"/>
  <c r="E475" i="26" s="1"/>
  <c r="E476" i="26" s="1"/>
  <c r="E477" i="26" s="1"/>
  <c r="E478" i="26" s="1"/>
  <c r="E479" i="26" s="1"/>
  <c r="E480" i="26" s="1"/>
  <c r="E481" i="26" s="1"/>
  <c r="E482" i="26" s="1"/>
  <c r="E483" i="26" s="1"/>
  <c r="E484" i="26" s="1"/>
  <c r="E485" i="26" s="1"/>
  <c r="E486" i="26" s="1"/>
  <c r="E487" i="26" s="1"/>
  <c r="E488" i="26" s="1"/>
  <c r="E489" i="26" s="1"/>
  <c r="E490" i="26" s="1"/>
  <c r="E491" i="26" s="1"/>
  <c r="E492" i="26" s="1"/>
  <c r="E493" i="26" s="1"/>
  <c r="E494" i="26" s="1"/>
  <c r="E495" i="26" s="1"/>
  <c r="E496" i="26" s="1"/>
  <c r="E497" i="26" s="1"/>
  <c r="E498" i="26" s="1"/>
  <c r="E499" i="26" s="1"/>
  <c r="E500" i="26" s="1"/>
  <c r="E501" i="26" s="1"/>
  <c r="E502" i="26" s="1"/>
  <c r="E503" i="26" s="1"/>
  <c r="E504" i="26" s="1"/>
  <c r="E505" i="26" s="1"/>
  <c r="E506" i="26" s="1"/>
  <c r="E507" i="26" s="1"/>
  <c r="E508" i="26" s="1"/>
  <c r="E509" i="26" s="1"/>
  <c r="E510" i="26" s="1"/>
  <c r="E511" i="26" s="1"/>
  <c r="E512" i="26" s="1"/>
  <c r="E513" i="26" s="1"/>
  <c r="E514" i="26" s="1"/>
  <c r="E515" i="26" s="1"/>
  <c r="E516" i="26" s="1"/>
  <c r="E517" i="26" s="1"/>
  <c r="E518" i="26" s="1"/>
  <c r="E519" i="26" s="1"/>
  <c r="E520" i="26" s="1"/>
  <c r="E521" i="26" s="1"/>
  <c r="E522" i="26" s="1"/>
  <c r="E523" i="26" s="1"/>
  <c r="E524" i="26" s="1"/>
  <c r="E525" i="26" s="1"/>
  <c r="E526" i="26" s="1"/>
  <c r="E527" i="26" s="1"/>
  <c r="E528" i="26" s="1"/>
  <c r="E529" i="26" s="1"/>
  <c r="E530" i="26" s="1"/>
  <c r="E531" i="26" s="1"/>
  <c r="E532" i="26" s="1"/>
  <c r="E533" i="26" s="1"/>
  <c r="E534" i="26" s="1"/>
  <c r="E535" i="26" s="1"/>
  <c r="E536" i="26" s="1"/>
  <c r="E537" i="26" s="1"/>
  <c r="E538" i="26" s="1"/>
  <c r="E539" i="26" s="1"/>
  <c r="E540" i="26" s="1"/>
  <c r="E541" i="26" s="1"/>
  <c r="E542" i="26" s="1"/>
  <c r="E543" i="26" s="1"/>
  <c r="E544" i="26" s="1"/>
  <c r="E545" i="26" s="1"/>
  <c r="E546" i="26" s="1"/>
  <c r="E547" i="26" s="1"/>
  <c r="E548" i="26" s="1"/>
  <c r="E549" i="26" s="1"/>
  <c r="E550" i="26" s="1"/>
  <c r="E551" i="26" s="1"/>
  <c r="E552" i="26" s="1"/>
  <c r="E553" i="26" s="1"/>
  <c r="E554" i="26" s="1"/>
  <c r="E555" i="26" s="1"/>
  <c r="E556" i="26" s="1"/>
  <c r="E557" i="26" s="1"/>
  <c r="E558" i="26" s="1"/>
  <c r="E559" i="26" s="1"/>
  <c r="E560" i="26" s="1"/>
  <c r="E561" i="26" s="1"/>
  <c r="E562" i="26" s="1"/>
  <c r="E563" i="26" s="1"/>
  <c r="E564" i="26" s="1"/>
  <c r="E565" i="26" s="1"/>
  <c r="E566" i="26" s="1"/>
  <c r="E567" i="26" s="1"/>
  <c r="E568" i="26" s="1"/>
  <c r="E569" i="26" s="1"/>
  <c r="E570" i="26" s="1"/>
  <c r="E571" i="26" s="1"/>
  <c r="E572" i="26" s="1"/>
  <c r="E573" i="26" s="1"/>
  <c r="E574" i="26" s="1"/>
  <c r="E575" i="26" s="1"/>
  <c r="E576" i="26" s="1"/>
  <c r="E577" i="26" s="1"/>
  <c r="E578" i="26" s="1"/>
  <c r="E579" i="26" s="1"/>
  <c r="E580" i="26" s="1"/>
  <c r="E581" i="26" s="1"/>
  <c r="E582" i="26" s="1"/>
  <c r="E583" i="26" s="1"/>
  <c r="E584" i="26" s="1"/>
  <c r="E585" i="26" s="1"/>
  <c r="E586" i="26" s="1"/>
  <c r="E587" i="26" s="1"/>
  <c r="E588" i="26" s="1"/>
  <c r="E589" i="26" s="1"/>
  <c r="E590" i="26" s="1"/>
  <c r="E591" i="26" s="1"/>
  <c r="E592" i="26" s="1"/>
  <c r="E593" i="26" s="1"/>
  <c r="E594" i="26" s="1"/>
  <c r="E595" i="26" s="1"/>
  <c r="E596" i="26" s="1"/>
  <c r="E597" i="26" s="1"/>
  <c r="E598" i="26" s="1"/>
  <c r="E599" i="26" s="1"/>
  <c r="E600" i="26" s="1"/>
  <c r="E601" i="26" s="1"/>
  <c r="E602" i="26" s="1"/>
  <c r="E603" i="26" s="1"/>
  <c r="E604" i="26" s="1"/>
  <c r="E605" i="26" s="1"/>
  <c r="E606" i="26" s="1"/>
  <c r="E607" i="26" s="1"/>
  <c r="E608" i="26" s="1"/>
  <c r="E609" i="26" s="1"/>
  <c r="E610" i="26" s="1"/>
  <c r="E611" i="26" s="1"/>
  <c r="E612" i="26" s="1"/>
  <c r="E613" i="26" s="1"/>
  <c r="E614" i="26" s="1"/>
  <c r="E615" i="26" s="1"/>
  <c r="E616" i="26" s="1"/>
  <c r="E617" i="26" s="1"/>
  <c r="E618" i="26" s="1"/>
  <c r="E619" i="26" s="1"/>
  <c r="E620" i="26" s="1"/>
  <c r="E621" i="26" s="1"/>
  <c r="E622" i="26" s="1"/>
  <c r="E623" i="26" s="1"/>
  <c r="E624" i="26" s="1"/>
  <c r="E625" i="26" s="1"/>
  <c r="E626" i="26" s="1"/>
  <c r="E627" i="26" s="1"/>
  <c r="E628" i="26" s="1"/>
  <c r="E629" i="26" s="1"/>
  <c r="E630" i="26" s="1"/>
  <c r="E631" i="26" s="1"/>
  <c r="E632" i="26" s="1"/>
  <c r="E633" i="26" s="1"/>
  <c r="E634" i="26" s="1"/>
  <c r="E635" i="26" s="1"/>
  <c r="E636" i="26" s="1"/>
  <c r="E637" i="26" s="1"/>
  <c r="E638" i="26" s="1"/>
  <c r="E639" i="26" s="1"/>
  <c r="E640" i="26" s="1"/>
  <c r="E641" i="26" s="1"/>
  <c r="E642" i="26" s="1"/>
  <c r="E643" i="26" s="1"/>
  <c r="E644" i="26" s="1"/>
  <c r="E645" i="26" s="1"/>
  <c r="E646" i="26" s="1"/>
  <c r="E647" i="26" s="1"/>
  <c r="E648" i="26" s="1"/>
  <c r="E649" i="26" s="1"/>
  <c r="E650" i="26" s="1"/>
  <c r="E651" i="26" s="1"/>
  <c r="E652" i="26" s="1"/>
  <c r="E653" i="26" s="1"/>
  <c r="E654" i="26" s="1"/>
  <c r="E655" i="26" s="1"/>
  <c r="E656" i="26" s="1"/>
  <c r="E657" i="26" s="1"/>
  <c r="E658" i="26" s="1"/>
  <c r="E659" i="26" s="1"/>
  <c r="E660" i="26" s="1"/>
  <c r="E661" i="26" s="1"/>
  <c r="E662" i="26" s="1"/>
  <c r="E663" i="26" s="1"/>
  <c r="E664" i="26" s="1"/>
  <c r="E665" i="26" s="1"/>
  <c r="E666" i="26" s="1"/>
  <c r="E667" i="26" s="1"/>
  <c r="E668" i="26" s="1"/>
  <c r="E669" i="26" s="1"/>
  <c r="E670" i="26" s="1"/>
  <c r="E671" i="26" s="1"/>
  <c r="E672" i="26" s="1"/>
  <c r="E673" i="26" s="1"/>
  <c r="E674" i="26" s="1"/>
  <c r="E675" i="26" s="1"/>
  <c r="E676" i="26" s="1"/>
  <c r="E677" i="26" s="1"/>
  <c r="E678" i="26" s="1"/>
  <c r="E679" i="26" s="1"/>
  <c r="E680" i="26" s="1"/>
  <c r="E681" i="26" s="1"/>
  <c r="E682" i="26" s="1"/>
  <c r="E683" i="26" s="1"/>
  <c r="E684" i="26" s="1"/>
  <c r="E685" i="26" s="1"/>
  <c r="E686" i="26" s="1"/>
  <c r="E687" i="26" s="1"/>
  <c r="E688" i="26" s="1"/>
  <c r="E689" i="26" s="1"/>
  <c r="E690" i="26" s="1"/>
  <c r="E691" i="26" s="1"/>
  <c r="E692" i="26" s="1"/>
  <c r="E693" i="26" s="1"/>
  <c r="E694" i="26" s="1"/>
  <c r="E695" i="26" s="1"/>
  <c r="E696" i="26" s="1"/>
  <c r="E697" i="26" s="1"/>
  <c r="E698" i="26" s="1"/>
  <c r="E699" i="26" s="1"/>
  <c r="E700" i="26" s="1"/>
  <c r="E701" i="26" s="1"/>
  <c r="E702" i="26" s="1"/>
  <c r="E703" i="26" s="1"/>
  <c r="E704" i="26" s="1"/>
  <c r="E705" i="26" s="1"/>
  <c r="E706" i="26" s="1"/>
  <c r="E707" i="26" s="1"/>
  <c r="E708" i="26" s="1"/>
  <c r="E709" i="26" s="1"/>
  <c r="E710" i="26" s="1"/>
  <c r="E711" i="26" s="1"/>
  <c r="E712" i="26" s="1"/>
  <c r="E713" i="26" s="1"/>
  <c r="E714" i="26" s="1"/>
  <c r="E715" i="26" s="1"/>
  <c r="E716" i="26" s="1"/>
  <c r="E717" i="26" s="1"/>
  <c r="E718" i="26" s="1"/>
  <c r="E719" i="26" s="1"/>
  <c r="E720" i="26" s="1"/>
  <c r="E721" i="26" s="1"/>
  <c r="E722" i="26" s="1"/>
  <c r="E723" i="26" s="1"/>
  <c r="E724" i="26" s="1"/>
  <c r="E725" i="26" s="1"/>
  <c r="E726" i="26" s="1"/>
  <c r="E727" i="26" s="1"/>
  <c r="E728" i="26" s="1"/>
  <c r="E729" i="26" s="1"/>
  <c r="E730" i="26" s="1"/>
  <c r="E731" i="26" s="1"/>
  <c r="E732" i="26" s="1"/>
  <c r="E733" i="26" s="1"/>
  <c r="E734" i="26" s="1"/>
  <c r="E735" i="26" s="1"/>
  <c r="E736" i="26" s="1"/>
  <c r="E737" i="26" s="1"/>
  <c r="E738" i="26" s="1"/>
  <c r="E739" i="26" s="1"/>
  <c r="E740" i="26" s="1"/>
  <c r="E741" i="26" s="1"/>
  <c r="E742" i="26" s="1"/>
  <c r="E743" i="26" s="1"/>
  <c r="E744" i="26" s="1"/>
  <c r="E745" i="26" s="1"/>
  <c r="E746" i="26" s="1"/>
  <c r="E747" i="26" s="1"/>
  <c r="E748" i="26" s="1"/>
  <c r="E749" i="26" s="1"/>
  <c r="E750" i="26" s="1"/>
  <c r="E751" i="26" s="1"/>
  <c r="E752" i="26" s="1"/>
  <c r="E753" i="26" s="1"/>
  <c r="E754" i="26" s="1"/>
  <c r="E755" i="26" s="1"/>
  <c r="E756" i="26" s="1"/>
  <c r="E757" i="26" s="1"/>
  <c r="E758" i="26" s="1"/>
  <c r="E759" i="26" s="1"/>
  <c r="E760" i="26" s="1"/>
  <c r="E761" i="26" s="1"/>
  <c r="E762" i="26" s="1"/>
  <c r="E763" i="26" s="1"/>
  <c r="E764" i="26" s="1"/>
  <c r="E765" i="26" s="1"/>
  <c r="E766" i="26" s="1"/>
  <c r="E767" i="26" s="1"/>
  <c r="E768" i="26" s="1"/>
  <c r="E769" i="26" s="1"/>
  <c r="E770" i="26" s="1"/>
  <c r="E771" i="26" s="1"/>
  <c r="E772" i="26" s="1"/>
  <c r="E773" i="26" s="1"/>
  <c r="E774" i="26" s="1"/>
  <c r="E775" i="26" s="1"/>
  <c r="E776" i="26" s="1"/>
  <c r="E777" i="26" s="1"/>
  <c r="E778" i="26" s="1"/>
  <c r="E779" i="26" s="1"/>
  <c r="E780" i="26" s="1"/>
  <c r="E781" i="26" s="1"/>
  <c r="E782" i="26" s="1"/>
  <c r="E783" i="26" s="1"/>
  <c r="E784" i="26" s="1"/>
  <c r="E785" i="26" s="1"/>
  <c r="E786" i="26" s="1"/>
  <c r="E787" i="26" s="1"/>
  <c r="E788" i="26" s="1"/>
  <c r="E789" i="26" s="1"/>
  <c r="E790" i="26" s="1"/>
  <c r="E791" i="26" s="1"/>
  <c r="E792" i="26" s="1"/>
  <c r="E793" i="26" s="1"/>
  <c r="E794" i="26" s="1"/>
  <c r="E795" i="26" s="1"/>
  <c r="E796" i="26" s="1"/>
  <c r="E797" i="26" s="1"/>
  <c r="E798" i="26" s="1"/>
  <c r="E799" i="26" s="1"/>
  <c r="E800" i="26" s="1"/>
  <c r="E801" i="26" s="1"/>
  <c r="E802" i="26" s="1"/>
  <c r="E803" i="26" s="1"/>
  <c r="E804" i="26" s="1"/>
  <c r="E805" i="26" s="1"/>
  <c r="E806" i="26" s="1"/>
  <c r="E807" i="26" s="1"/>
  <c r="E808" i="26" s="1"/>
  <c r="E809" i="26" s="1"/>
  <c r="E810" i="26" s="1"/>
  <c r="E811" i="26" s="1"/>
  <c r="E812" i="26" s="1"/>
  <c r="E813" i="26" s="1"/>
  <c r="E814" i="26" s="1"/>
  <c r="E815" i="26" s="1"/>
  <c r="E816" i="26" s="1"/>
  <c r="E817" i="26" s="1"/>
  <c r="E818" i="26" s="1"/>
  <c r="E819" i="26" s="1"/>
  <c r="E820" i="26" s="1"/>
  <c r="E821" i="26" s="1"/>
  <c r="E822" i="26" s="1"/>
  <c r="E823" i="26" s="1"/>
  <c r="E824" i="26" s="1"/>
  <c r="E825" i="26" s="1"/>
  <c r="E826" i="26" s="1"/>
  <c r="E827" i="26" s="1"/>
  <c r="E828" i="26" s="1"/>
  <c r="E829" i="26" s="1"/>
  <c r="E830" i="26" s="1"/>
  <c r="E831" i="26" s="1"/>
  <c r="E832" i="26" s="1"/>
  <c r="E833" i="26" s="1"/>
  <c r="E834" i="26" s="1"/>
  <c r="E835" i="26" s="1"/>
  <c r="E836" i="26" s="1"/>
  <c r="E837" i="26" s="1"/>
  <c r="E838" i="26" s="1"/>
  <c r="E839" i="26" s="1"/>
  <c r="E840" i="26" s="1"/>
  <c r="E841" i="26" s="1"/>
  <c r="E842" i="26" s="1"/>
  <c r="E843" i="26" s="1"/>
  <c r="E844" i="26" s="1"/>
  <c r="E845" i="26" s="1"/>
  <c r="E846" i="26" s="1"/>
  <c r="E847" i="26" s="1"/>
  <c r="E848" i="26" s="1"/>
  <c r="E849" i="26" s="1"/>
  <c r="E850" i="26" s="1"/>
  <c r="E851" i="26" s="1"/>
  <c r="E852" i="26" s="1"/>
  <c r="E853" i="26" s="1"/>
  <c r="E854" i="26" s="1"/>
  <c r="E855" i="26" s="1"/>
  <c r="E856" i="26" s="1"/>
  <c r="E857" i="26" s="1"/>
  <c r="E858" i="26" s="1"/>
  <c r="E859" i="26" s="1"/>
  <c r="E860" i="26" s="1"/>
  <c r="E861" i="26" s="1"/>
  <c r="E862" i="26" s="1"/>
  <c r="E863" i="26" s="1"/>
  <c r="E864" i="26" s="1"/>
  <c r="E865" i="26" s="1"/>
  <c r="E866" i="26" s="1"/>
  <c r="E867" i="26" s="1"/>
  <c r="E868" i="26" s="1"/>
  <c r="E869" i="26" s="1"/>
  <c r="E870" i="26" s="1"/>
  <c r="E871" i="26" s="1"/>
  <c r="E872" i="26" s="1"/>
  <c r="E873" i="26" s="1"/>
  <c r="E874" i="26" s="1"/>
  <c r="E875" i="26" s="1"/>
  <c r="E876" i="26" s="1"/>
  <c r="E877" i="26" s="1"/>
  <c r="E878" i="26" s="1"/>
  <c r="E879" i="26" s="1"/>
  <c r="E880" i="26" s="1"/>
  <c r="E11" i="18"/>
  <c r="L880" i="25"/>
  <c r="J880" i="25"/>
  <c r="H880" i="25"/>
  <c r="F880" i="25"/>
  <c r="L879" i="25"/>
  <c r="J879" i="25"/>
  <c r="H879" i="25"/>
  <c r="F879" i="25"/>
  <c r="L878" i="25"/>
  <c r="J878" i="25"/>
  <c r="H878" i="25"/>
  <c r="F878" i="25"/>
  <c r="L877" i="25"/>
  <c r="J877" i="25"/>
  <c r="H877" i="25"/>
  <c r="F877" i="25"/>
  <c r="L876" i="25"/>
  <c r="J876" i="25"/>
  <c r="H876" i="25"/>
  <c r="F876" i="25"/>
  <c r="L875" i="25"/>
  <c r="J875" i="25"/>
  <c r="H875" i="25"/>
  <c r="F875" i="25"/>
  <c r="L874" i="25"/>
  <c r="J874" i="25"/>
  <c r="H874" i="25"/>
  <c r="F874" i="25"/>
  <c r="L873" i="25"/>
  <c r="J873" i="25"/>
  <c r="H873" i="25"/>
  <c r="F873" i="25"/>
  <c r="L872" i="25"/>
  <c r="J872" i="25"/>
  <c r="H872" i="25"/>
  <c r="F872" i="25"/>
  <c r="L871" i="25"/>
  <c r="J871" i="25"/>
  <c r="H871" i="25"/>
  <c r="F871" i="25"/>
  <c r="L870" i="25"/>
  <c r="J870" i="25"/>
  <c r="H870" i="25"/>
  <c r="F870" i="25"/>
  <c r="L869" i="25"/>
  <c r="J869" i="25"/>
  <c r="H869" i="25"/>
  <c r="F869" i="25"/>
  <c r="L868" i="25"/>
  <c r="J868" i="25"/>
  <c r="H868" i="25"/>
  <c r="F868" i="25"/>
  <c r="L867" i="25"/>
  <c r="J867" i="25"/>
  <c r="H867" i="25"/>
  <c r="F867" i="25"/>
  <c r="L866" i="25"/>
  <c r="J866" i="25"/>
  <c r="H866" i="25"/>
  <c r="F866" i="25"/>
  <c r="L865" i="25"/>
  <c r="J865" i="25"/>
  <c r="H865" i="25"/>
  <c r="F865" i="25"/>
  <c r="L864" i="25"/>
  <c r="J864" i="25"/>
  <c r="H864" i="25"/>
  <c r="F864" i="25"/>
  <c r="L863" i="25"/>
  <c r="J863" i="25"/>
  <c r="H863" i="25"/>
  <c r="F863" i="25"/>
  <c r="L862" i="25"/>
  <c r="J862" i="25"/>
  <c r="H862" i="25"/>
  <c r="F862" i="25"/>
  <c r="L861" i="25"/>
  <c r="J861" i="25"/>
  <c r="H861" i="25"/>
  <c r="F861" i="25"/>
  <c r="L860" i="25"/>
  <c r="J860" i="25"/>
  <c r="H860" i="25"/>
  <c r="F860" i="25"/>
  <c r="L859" i="25"/>
  <c r="J859" i="25"/>
  <c r="H859" i="25"/>
  <c r="F859" i="25"/>
  <c r="L858" i="25"/>
  <c r="J858" i="25"/>
  <c r="H858" i="25"/>
  <c r="F858" i="25"/>
  <c r="L857" i="25"/>
  <c r="J857" i="25"/>
  <c r="H857" i="25"/>
  <c r="F857" i="25"/>
  <c r="L856" i="25"/>
  <c r="J856" i="25"/>
  <c r="H856" i="25"/>
  <c r="F856" i="25"/>
  <c r="L855" i="25"/>
  <c r="J855" i="25"/>
  <c r="H855" i="25"/>
  <c r="F855" i="25"/>
  <c r="L854" i="25"/>
  <c r="J854" i="25"/>
  <c r="H854" i="25"/>
  <c r="F854" i="25"/>
  <c r="L853" i="25"/>
  <c r="J853" i="25"/>
  <c r="H853" i="25"/>
  <c r="F853" i="25"/>
  <c r="L852" i="25"/>
  <c r="J852" i="25"/>
  <c r="H852" i="25"/>
  <c r="F852" i="25"/>
  <c r="L851" i="25"/>
  <c r="J851" i="25"/>
  <c r="H851" i="25"/>
  <c r="F851" i="25"/>
  <c r="L850" i="25"/>
  <c r="J850" i="25"/>
  <c r="H850" i="25"/>
  <c r="F850" i="25"/>
  <c r="L849" i="25"/>
  <c r="J849" i="25"/>
  <c r="H849" i="25"/>
  <c r="F849" i="25"/>
  <c r="L848" i="25"/>
  <c r="J848" i="25"/>
  <c r="H848" i="25"/>
  <c r="F848" i="25"/>
  <c r="L847" i="25"/>
  <c r="J847" i="25"/>
  <c r="H847" i="25"/>
  <c r="F847" i="25"/>
  <c r="L846" i="25"/>
  <c r="J846" i="25"/>
  <c r="H846" i="25"/>
  <c r="F846" i="25"/>
  <c r="L845" i="25"/>
  <c r="J845" i="25"/>
  <c r="H845" i="25"/>
  <c r="F845" i="25"/>
  <c r="L844" i="25"/>
  <c r="J844" i="25"/>
  <c r="H844" i="25"/>
  <c r="F844" i="25"/>
  <c r="L843" i="25"/>
  <c r="J843" i="25"/>
  <c r="H843" i="25"/>
  <c r="F843" i="25"/>
  <c r="L842" i="25"/>
  <c r="J842" i="25"/>
  <c r="H842" i="25"/>
  <c r="F842" i="25"/>
  <c r="L841" i="25"/>
  <c r="J841" i="25"/>
  <c r="H841" i="25"/>
  <c r="F841" i="25"/>
  <c r="L840" i="25"/>
  <c r="J840" i="25"/>
  <c r="H840" i="25"/>
  <c r="F840" i="25"/>
  <c r="L839" i="25"/>
  <c r="J839" i="25"/>
  <c r="H839" i="25"/>
  <c r="F839" i="25"/>
  <c r="L838" i="25"/>
  <c r="J838" i="25"/>
  <c r="H838" i="25"/>
  <c r="F838" i="25"/>
  <c r="L837" i="25"/>
  <c r="J837" i="25"/>
  <c r="H837" i="25"/>
  <c r="F837" i="25"/>
  <c r="L836" i="25"/>
  <c r="J836" i="25"/>
  <c r="H836" i="25"/>
  <c r="F836" i="25"/>
  <c r="L835" i="25"/>
  <c r="J835" i="25"/>
  <c r="H835" i="25"/>
  <c r="F835" i="25"/>
  <c r="L834" i="25"/>
  <c r="J834" i="25"/>
  <c r="H834" i="25"/>
  <c r="F834" i="25"/>
  <c r="L833" i="25"/>
  <c r="J833" i="25"/>
  <c r="H833" i="25"/>
  <c r="F833" i="25"/>
  <c r="L832" i="25"/>
  <c r="J832" i="25"/>
  <c r="H832" i="25"/>
  <c r="F832" i="25"/>
  <c r="L831" i="25"/>
  <c r="J831" i="25"/>
  <c r="H831" i="25"/>
  <c r="F831" i="25"/>
  <c r="L830" i="25"/>
  <c r="J830" i="25"/>
  <c r="H830" i="25"/>
  <c r="F830" i="25"/>
  <c r="L829" i="25"/>
  <c r="J829" i="25"/>
  <c r="H829" i="25"/>
  <c r="F829" i="25"/>
  <c r="L828" i="25"/>
  <c r="J828" i="25"/>
  <c r="H828" i="25"/>
  <c r="F828" i="25"/>
  <c r="L827" i="25"/>
  <c r="J827" i="25"/>
  <c r="H827" i="25"/>
  <c r="F827" i="25"/>
  <c r="L826" i="25"/>
  <c r="J826" i="25"/>
  <c r="H826" i="25"/>
  <c r="F826" i="25"/>
  <c r="L825" i="25"/>
  <c r="J825" i="25"/>
  <c r="H825" i="25"/>
  <c r="F825" i="25"/>
  <c r="L824" i="25"/>
  <c r="J824" i="25"/>
  <c r="H824" i="25"/>
  <c r="F824" i="25"/>
  <c r="L823" i="25"/>
  <c r="J823" i="25"/>
  <c r="H823" i="25"/>
  <c r="F823" i="25"/>
  <c r="L822" i="25"/>
  <c r="J822" i="25"/>
  <c r="H822" i="25"/>
  <c r="F822" i="25"/>
  <c r="L821" i="25"/>
  <c r="J821" i="25"/>
  <c r="H821" i="25"/>
  <c r="F821" i="25"/>
  <c r="L820" i="25"/>
  <c r="J820" i="25"/>
  <c r="H820" i="25"/>
  <c r="F820" i="25"/>
  <c r="L819" i="25"/>
  <c r="J819" i="25"/>
  <c r="H819" i="25"/>
  <c r="F819" i="25"/>
  <c r="L818" i="25"/>
  <c r="J818" i="25"/>
  <c r="H818" i="25"/>
  <c r="F818" i="25"/>
  <c r="L817" i="25"/>
  <c r="J817" i="25"/>
  <c r="H817" i="25"/>
  <c r="F817" i="25"/>
  <c r="L816" i="25"/>
  <c r="J816" i="25"/>
  <c r="H816" i="25"/>
  <c r="F816" i="25"/>
  <c r="L815" i="25"/>
  <c r="J815" i="25"/>
  <c r="H815" i="25"/>
  <c r="F815" i="25"/>
  <c r="L814" i="25"/>
  <c r="J814" i="25"/>
  <c r="H814" i="25"/>
  <c r="F814" i="25"/>
  <c r="L813" i="25"/>
  <c r="J813" i="25"/>
  <c r="H813" i="25"/>
  <c r="F813" i="25"/>
  <c r="L812" i="25"/>
  <c r="J812" i="25"/>
  <c r="H812" i="25"/>
  <c r="F812" i="25"/>
  <c r="L811" i="25"/>
  <c r="J811" i="25"/>
  <c r="H811" i="25"/>
  <c r="F811" i="25"/>
  <c r="L810" i="25"/>
  <c r="J810" i="25"/>
  <c r="H810" i="25"/>
  <c r="F810" i="25"/>
  <c r="L809" i="25"/>
  <c r="J809" i="25"/>
  <c r="H809" i="25"/>
  <c r="F809" i="25"/>
  <c r="L808" i="25"/>
  <c r="J808" i="25"/>
  <c r="H808" i="25"/>
  <c r="F808" i="25"/>
  <c r="L807" i="25"/>
  <c r="J807" i="25"/>
  <c r="H807" i="25"/>
  <c r="F807" i="25"/>
  <c r="L806" i="25"/>
  <c r="J806" i="25"/>
  <c r="H806" i="25"/>
  <c r="F806" i="25"/>
  <c r="L805" i="25"/>
  <c r="J805" i="25"/>
  <c r="H805" i="25"/>
  <c r="F805" i="25"/>
  <c r="L804" i="25"/>
  <c r="J804" i="25"/>
  <c r="H804" i="25"/>
  <c r="F804" i="25"/>
  <c r="L803" i="25"/>
  <c r="J803" i="25"/>
  <c r="H803" i="25"/>
  <c r="F803" i="25"/>
  <c r="L802" i="25"/>
  <c r="J802" i="25"/>
  <c r="H802" i="25"/>
  <c r="F802" i="25"/>
  <c r="L801" i="25"/>
  <c r="J801" i="25"/>
  <c r="H801" i="25"/>
  <c r="F801" i="25"/>
  <c r="L800" i="25"/>
  <c r="J800" i="25"/>
  <c r="H800" i="25"/>
  <c r="F800" i="25"/>
  <c r="L799" i="25"/>
  <c r="J799" i="25"/>
  <c r="H799" i="25"/>
  <c r="F799" i="25"/>
  <c r="L798" i="25"/>
  <c r="J798" i="25"/>
  <c r="H798" i="25"/>
  <c r="F798" i="25"/>
  <c r="L797" i="25"/>
  <c r="J797" i="25"/>
  <c r="H797" i="25"/>
  <c r="F797" i="25"/>
  <c r="L796" i="25"/>
  <c r="J796" i="25"/>
  <c r="H796" i="25"/>
  <c r="F796" i="25"/>
  <c r="L795" i="25"/>
  <c r="J795" i="25"/>
  <c r="H795" i="25"/>
  <c r="F795" i="25"/>
  <c r="L794" i="25"/>
  <c r="J794" i="25"/>
  <c r="H794" i="25"/>
  <c r="F794" i="25"/>
  <c r="L793" i="25"/>
  <c r="J793" i="25"/>
  <c r="H793" i="25"/>
  <c r="F793" i="25"/>
  <c r="L792" i="25"/>
  <c r="J792" i="25"/>
  <c r="H792" i="25"/>
  <c r="F792" i="25"/>
  <c r="L791" i="25"/>
  <c r="J791" i="25"/>
  <c r="H791" i="25"/>
  <c r="F791" i="25"/>
  <c r="L790" i="25"/>
  <c r="J790" i="25"/>
  <c r="H790" i="25"/>
  <c r="F790" i="25"/>
  <c r="L789" i="25"/>
  <c r="J789" i="25"/>
  <c r="H789" i="25"/>
  <c r="F789" i="25"/>
  <c r="L788" i="25"/>
  <c r="J788" i="25"/>
  <c r="H788" i="25"/>
  <c r="F788" i="25"/>
  <c r="L787" i="25"/>
  <c r="J787" i="25"/>
  <c r="H787" i="25"/>
  <c r="F787" i="25"/>
  <c r="L786" i="25"/>
  <c r="J786" i="25"/>
  <c r="H786" i="25"/>
  <c r="F786" i="25"/>
  <c r="L785" i="25"/>
  <c r="J785" i="25"/>
  <c r="H785" i="25"/>
  <c r="F785" i="25"/>
  <c r="L784" i="25"/>
  <c r="J784" i="25"/>
  <c r="H784" i="25"/>
  <c r="F784" i="25"/>
  <c r="L783" i="25"/>
  <c r="J783" i="25"/>
  <c r="H783" i="25"/>
  <c r="F783" i="25"/>
  <c r="L782" i="25"/>
  <c r="J782" i="25"/>
  <c r="H782" i="25"/>
  <c r="F782" i="25"/>
  <c r="L781" i="25"/>
  <c r="J781" i="25"/>
  <c r="H781" i="25"/>
  <c r="F781" i="25"/>
  <c r="L780" i="25"/>
  <c r="J780" i="25"/>
  <c r="H780" i="25"/>
  <c r="F780" i="25"/>
  <c r="L779" i="25"/>
  <c r="J779" i="25"/>
  <c r="H779" i="25"/>
  <c r="F779" i="25"/>
  <c r="L778" i="25"/>
  <c r="J778" i="25"/>
  <c r="H778" i="25"/>
  <c r="F778" i="25"/>
  <c r="L777" i="25"/>
  <c r="J777" i="25"/>
  <c r="H777" i="25"/>
  <c r="F777" i="25"/>
  <c r="L776" i="25"/>
  <c r="J776" i="25"/>
  <c r="H776" i="25"/>
  <c r="F776" i="25"/>
  <c r="L775" i="25"/>
  <c r="J775" i="25"/>
  <c r="H775" i="25"/>
  <c r="F775" i="25"/>
  <c r="L774" i="25"/>
  <c r="J774" i="25"/>
  <c r="H774" i="25"/>
  <c r="F774" i="25"/>
  <c r="L773" i="25"/>
  <c r="J773" i="25"/>
  <c r="H773" i="25"/>
  <c r="F773" i="25"/>
  <c r="L772" i="25"/>
  <c r="J772" i="25"/>
  <c r="H772" i="25"/>
  <c r="F772" i="25"/>
  <c r="L771" i="25"/>
  <c r="J771" i="25"/>
  <c r="H771" i="25"/>
  <c r="F771" i="25"/>
  <c r="L770" i="25"/>
  <c r="J770" i="25"/>
  <c r="H770" i="25"/>
  <c r="F770" i="25"/>
  <c r="L769" i="25"/>
  <c r="J769" i="25"/>
  <c r="H769" i="25"/>
  <c r="F769" i="25"/>
  <c r="L768" i="25"/>
  <c r="J768" i="25"/>
  <c r="H768" i="25"/>
  <c r="F768" i="25"/>
  <c r="L767" i="25"/>
  <c r="J767" i="25"/>
  <c r="H767" i="25"/>
  <c r="F767" i="25"/>
  <c r="L766" i="25"/>
  <c r="J766" i="25"/>
  <c r="H766" i="25"/>
  <c r="F766" i="25"/>
  <c r="L765" i="25"/>
  <c r="J765" i="25"/>
  <c r="H765" i="25"/>
  <c r="F765" i="25"/>
  <c r="L764" i="25"/>
  <c r="J764" i="25"/>
  <c r="H764" i="25"/>
  <c r="F764" i="25"/>
  <c r="L763" i="25"/>
  <c r="J763" i="25"/>
  <c r="H763" i="25"/>
  <c r="F763" i="25"/>
  <c r="L762" i="25"/>
  <c r="J762" i="25"/>
  <c r="H762" i="25"/>
  <c r="F762" i="25"/>
  <c r="L761" i="25"/>
  <c r="J761" i="25"/>
  <c r="H761" i="25"/>
  <c r="F761" i="25"/>
  <c r="L760" i="25"/>
  <c r="J760" i="25"/>
  <c r="H760" i="25"/>
  <c r="F760" i="25"/>
  <c r="L759" i="25"/>
  <c r="J759" i="25"/>
  <c r="H759" i="25"/>
  <c r="F759" i="25"/>
  <c r="L758" i="25"/>
  <c r="J758" i="25"/>
  <c r="H758" i="25"/>
  <c r="F758" i="25"/>
  <c r="L757" i="25"/>
  <c r="J757" i="25"/>
  <c r="H757" i="25"/>
  <c r="F757" i="25"/>
  <c r="L756" i="25"/>
  <c r="J756" i="25"/>
  <c r="H756" i="25"/>
  <c r="F756" i="25"/>
  <c r="L755" i="25"/>
  <c r="J755" i="25"/>
  <c r="H755" i="25"/>
  <c r="F755" i="25"/>
  <c r="L754" i="25"/>
  <c r="J754" i="25"/>
  <c r="H754" i="25"/>
  <c r="F754" i="25"/>
  <c r="L753" i="25"/>
  <c r="J753" i="25"/>
  <c r="H753" i="25"/>
  <c r="F753" i="25"/>
  <c r="L752" i="25"/>
  <c r="J752" i="25"/>
  <c r="H752" i="25"/>
  <c r="F752" i="25"/>
  <c r="L751" i="25"/>
  <c r="J751" i="25"/>
  <c r="H751" i="25"/>
  <c r="F751" i="25"/>
  <c r="L750" i="25"/>
  <c r="J750" i="25"/>
  <c r="H750" i="25"/>
  <c r="F750" i="25"/>
  <c r="L749" i="25"/>
  <c r="J749" i="25"/>
  <c r="H749" i="25"/>
  <c r="F749" i="25"/>
  <c r="L748" i="25"/>
  <c r="J748" i="25"/>
  <c r="H748" i="25"/>
  <c r="F748" i="25"/>
  <c r="L747" i="25"/>
  <c r="J747" i="25"/>
  <c r="H747" i="25"/>
  <c r="F747" i="25"/>
  <c r="L746" i="25"/>
  <c r="J746" i="25"/>
  <c r="H746" i="25"/>
  <c r="F746" i="25"/>
  <c r="L745" i="25"/>
  <c r="J745" i="25"/>
  <c r="H745" i="25"/>
  <c r="F745" i="25"/>
  <c r="L744" i="25"/>
  <c r="J744" i="25"/>
  <c r="H744" i="25"/>
  <c r="F744" i="25"/>
  <c r="L743" i="25"/>
  <c r="J743" i="25"/>
  <c r="H743" i="25"/>
  <c r="F743" i="25"/>
  <c r="L742" i="25"/>
  <c r="J742" i="25"/>
  <c r="H742" i="25"/>
  <c r="F742" i="25"/>
  <c r="L741" i="25"/>
  <c r="J741" i="25"/>
  <c r="H741" i="25"/>
  <c r="F741" i="25"/>
  <c r="L740" i="25"/>
  <c r="J740" i="25"/>
  <c r="H740" i="25"/>
  <c r="F740" i="25"/>
  <c r="L739" i="25"/>
  <c r="J739" i="25"/>
  <c r="H739" i="25"/>
  <c r="F739" i="25"/>
  <c r="L738" i="25"/>
  <c r="J738" i="25"/>
  <c r="H738" i="25"/>
  <c r="F738" i="25"/>
  <c r="L737" i="25"/>
  <c r="J737" i="25"/>
  <c r="H737" i="25"/>
  <c r="F737" i="25"/>
  <c r="L736" i="25"/>
  <c r="J736" i="25"/>
  <c r="H736" i="25"/>
  <c r="F736" i="25"/>
  <c r="L735" i="25"/>
  <c r="J735" i="25"/>
  <c r="H735" i="25"/>
  <c r="F735" i="25"/>
  <c r="L734" i="25"/>
  <c r="J734" i="25"/>
  <c r="H734" i="25"/>
  <c r="F734" i="25"/>
  <c r="L733" i="25"/>
  <c r="J733" i="25"/>
  <c r="H733" i="25"/>
  <c r="F733" i="25"/>
  <c r="L732" i="25"/>
  <c r="J732" i="25"/>
  <c r="H732" i="25"/>
  <c r="F732" i="25"/>
  <c r="L731" i="25"/>
  <c r="J731" i="25"/>
  <c r="H731" i="25"/>
  <c r="F731" i="25"/>
  <c r="L730" i="25"/>
  <c r="J730" i="25"/>
  <c r="H730" i="25"/>
  <c r="F730" i="25"/>
  <c r="L729" i="25"/>
  <c r="J729" i="25"/>
  <c r="H729" i="25"/>
  <c r="F729" i="25"/>
  <c r="L728" i="25"/>
  <c r="J728" i="25"/>
  <c r="H728" i="25"/>
  <c r="F728" i="25"/>
  <c r="L727" i="25"/>
  <c r="J727" i="25"/>
  <c r="H727" i="25"/>
  <c r="F727" i="25"/>
  <c r="L726" i="25"/>
  <c r="J726" i="25"/>
  <c r="H726" i="25"/>
  <c r="F726" i="25"/>
  <c r="L725" i="25"/>
  <c r="J725" i="25"/>
  <c r="H725" i="25"/>
  <c r="F725" i="25"/>
  <c r="L724" i="25"/>
  <c r="J724" i="25"/>
  <c r="H724" i="25"/>
  <c r="F724" i="25"/>
  <c r="L723" i="25"/>
  <c r="J723" i="25"/>
  <c r="H723" i="25"/>
  <c r="F723" i="25"/>
  <c r="L722" i="25"/>
  <c r="J722" i="25"/>
  <c r="H722" i="25"/>
  <c r="F722" i="25"/>
  <c r="L721" i="25"/>
  <c r="J721" i="25"/>
  <c r="H721" i="25"/>
  <c r="F721" i="25"/>
  <c r="L720" i="25"/>
  <c r="J720" i="25"/>
  <c r="H720" i="25"/>
  <c r="F720" i="25"/>
  <c r="L719" i="25"/>
  <c r="J719" i="25"/>
  <c r="H719" i="25"/>
  <c r="F719" i="25"/>
  <c r="L718" i="25"/>
  <c r="J718" i="25"/>
  <c r="H718" i="25"/>
  <c r="F718" i="25"/>
  <c r="L717" i="25"/>
  <c r="J717" i="25"/>
  <c r="H717" i="25"/>
  <c r="F717" i="25"/>
  <c r="L716" i="25"/>
  <c r="J716" i="25"/>
  <c r="H716" i="25"/>
  <c r="F716" i="25"/>
  <c r="L715" i="25"/>
  <c r="J715" i="25"/>
  <c r="H715" i="25"/>
  <c r="F715" i="25"/>
  <c r="L714" i="25"/>
  <c r="J714" i="25"/>
  <c r="H714" i="25"/>
  <c r="F714" i="25"/>
  <c r="L713" i="25"/>
  <c r="J713" i="25"/>
  <c r="H713" i="25"/>
  <c r="F713" i="25"/>
  <c r="L712" i="25"/>
  <c r="J712" i="25"/>
  <c r="H712" i="25"/>
  <c r="F712" i="25"/>
  <c r="L711" i="25"/>
  <c r="J711" i="25"/>
  <c r="H711" i="25"/>
  <c r="F711" i="25"/>
  <c r="L710" i="25"/>
  <c r="J710" i="25"/>
  <c r="H710" i="25"/>
  <c r="F710" i="25"/>
  <c r="L709" i="25"/>
  <c r="J709" i="25"/>
  <c r="H709" i="25"/>
  <c r="F709" i="25"/>
  <c r="L708" i="25"/>
  <c r="J708" i="25"/>
  <c r="H708" i="25"/>
  <c r="F708" i="25"/>
  <c r="L707" i="25"/>
  <c r="J707" i="25"/>
  <c r="H707" i="25"/>
  <c r="F707" i="25"/>
  <c r="L706" i="25"/>
  <c r="J706" i="25"/>
  <c r="H706" i="25"/>
  <c r="F706" i="25"/>
  <c r="L705" i="25"/>
  <c r="J705" i="25"/>
  <c r="H705" i="25"/>
  <c r="F705" i="25"/>
  <c r="L704" i="25"/>
  <c r="J704" i="25"/>
  <c r="H704" i="25"/>
  <c r="F704" i="25"/>
  <c r="L703" i="25"/>
  <c r="J703" i="25"/>
  <c r="H703" i="25"/>
  <c r="F703" i="25"/>
  <c r="L702" i="25"/>
  <c r="J702" i="25"/>
  <c r="H702" i="25"/>
  <c r="F702" i="25"/>
  <c r="L701" i="25"/>
  <c r="J701" i="25"/>
  <c r="H701" i="25"/>
  <c r="F701" i="25"/>
  <c r="L700" i="25"/>
  <c r="J700" i="25"/>
  <c r="H700" i="25"/>
  <c r="F700" i="25"/>
  <c r="L699" i="25"/>
  <c r="J699" i="25"/>
  <c r="H699" i="25"/>
  <c r="F699" i="25"/>
  <c r="L698" i="25"/>
  <c r="J698" i="25"/>
  <c r="H698" i="25"/>
  <c r="F698" i="25"/>
  <c r="L697" i="25"/>
  <c r="J697" i="25"/>
  <c r="H697" i="25"/>
  <c r="F697" i="25"/>
  <c r="L696" i="25"/>
  <c r="J696" i="25"/>
  <c r="H696" i="25"/>
  <c r="F696" i="25"/>
  <c r="L695" i="25"/>
  <c r="J695" i="25"/>
  <c r="H695" i="25"/>
  <c r="F695" i="25"/>
  <c r="L694" i="25"/>
  <c r="J694" i="25"/>
  <c r="H694" i="25"/>
  <c r="F694" i="25"/>
  <c r="L693" i="25"/>
  <c r="J693" i="25"/>
  <c r="H693" i="25"/>
  <c r="F693" i="25"/>
  <c r="L692" i="25"/>
  <c r="J692" i="25"/>
  <c r="H692" i="25"/>
  <c r="F692" i="25"/>
  <c r="L691" i="25"/>
  <c r="J691" i="25"/>
  <c r="H691" i="25"/>
  <c r="F691" i="25"/>
  <c r="L690" i="25"/>
  <c r="J690" i="25"/>
  <c r="H690" i="25"/>
  <c r="F690" i="25"/>
  <c r="L689" i="25"/>
  <c r="J689" i="25"/>
  <c r="H689" i="25"/>
  <c r="F689" i="25"/>
  <c r="L688" i="25"/>
  <c r="J688" i="25"/>
  <c r="H688" i="25"/>
  <c r="F688" i="25"/>
  <c r="L687" i="25"/>
  <c r="J687" i="25"/>
  <c r="H687" i="25"/>
  <c r="F687" i="25"/>
  <c r="L686" i="25"/>
  <c r="J686" i="25"/>
  <c r="H686" i="25"/>
  <c r="F686" i="25"/>
  <c r="L685" i="25"/>
  <c r="J685" i="25"/>
  <c r="H685" i="25"/>
  <c r="F685" i="25"/>
  <c r="L684" i="25"/>
  <c r="J684" i="25"/>
  <c r="H684" i="25"/>
  <c r="F684" i="25"/>
  <c r="L683" i="25"/>
  <c r="J683" i="25"/>
  <c r="H683" i="25"/>
  <c r="F683" i="25"/>
  <c r="L682" i="25"/>
  <c r="J682" i="25"/>
  <c r="H682" i="25"/>
  <c r="F682" i="25"/>
  <c r="L681" i="25"/>
  <c r="J681" i="25"/>
  <c r="H681" i="25"/>
  <c r="F681" i="25"/>
  <c r="L680" i="25"/>
  <c r="J680" i="25"/>
  <c r="H680" i="25"/>
  <c r="F680" i="25"/>
  <c r="L679" i="25"/>
  <c r="J679" i="25"/>
  <c r="H679" i="25"/>
  <c r="F679" i="25"/>
  <c r="L678" i="25"/>
  <c r="J678" i="25"/>
  <c r="H678" i="25"/>
  <c r="F678" i="25"/>
  <c r="L677" i="25"/>
  <c r="J677" i="25"/>
  <c r="H677" i="25"/>
  <c r="F677" i="25"/>
  <c r="L676" i="25"/>
  <c r="J676" i="25"/>
  <c r="H676" i="25"/>
  <c r="F676" i="25"/>
  <c r="L675" i="25"/>
  <c r="J675" i="25"/>
  <c r="H675" i="25"/>
  <c r="F675" i="25"/>
  <c r="L674" i="25"/>
  <c r="J674" i="25"/>
  <c r="H674" i="25"/>
  <c r="F674" i="25"/>
  <c r="L673" i="25"/>
  <c r="J673" i="25"/>
  <c r="H673" i="25"/>
  <c r="F673" i="25"/>
  <c r="L672" i="25"/>
  <c r="J672" i="25"/>
  <c r="H672" i="25"/>
  <c r="F672" i="25"/>
  <c r="L671" i="25"/>
  <c r="J671" i="25"/>
  <c r="H671" i="25"/>
  <c r="F671" i="25"/>
  <c r="L670" i="25"/>
  <c r="J670" i="25"/>
  <c r="H670" i="25"/>
  <c r="F670" i="25"/>
  <c r="L669" i="25"/>
  <c r="J669" i="25"/>
  <c r="H669" i="25"/>
  <c r="F669" i="25"/>
  <c r="L668" i="25"/>
  <c r="J668" i="25"/>
  <c r="H668" i="25"/>
  <c r="F668" i="25"/>
  <c r="L667" i="25"/>
  <c r="J667" i="25"/>
  <c r="H667" i="25"/>
  <c r="F667" i="25"/>
  <c r="L666" i="25"/>
  <c r="J666" i="25"/>
  <c r="H666" i="25"/>
  <c r="F666" i="25"/>
  <c r="L665" i="25"/>
  <c r="J665" i="25"/>
  <c r="H665" i="25"/>
  <c r="F665" i="25"/>
  <c r="L664" i="25"/>
  <c r="J664" i="25"/>
  <c r="H664" i="25"/>
  <c r="F664" i="25"/>
  <c r="L663" i="25"/>
  <c r="J663" i="25"/>
  <c r="H663" i="25"/>
  <c r="F663" i="25"/>
  <c r="L662" i="25"/>
  <c r="J662" i="25"/>
  <c r="H662" i="25"/>
  <c r="F662" i="25"/>
  <c r="L661" i="25"/>
  <c r="J661" i="25"/>
  <c r="H661" i="25"/>
  <c r="F661" i="25"/>
  <c r="L660" i="25"/>
  <c r="J660" i="25"/>
  <c r="H660" i="25"/>
  <c r="F660" i="25"/>
  <c r="L659" i="25"/>
  <c r="J659" i="25"/>
  <c r="H659" i="25"/>
  <c r="F659" i="25"/>
  <c r="L658" i="25"/>
  <c r="J658" i="25"/>
  <c r="H658" i="25"/>
  <c r="F658" i="25"/>
  <c r="L657" i="25"/>
  <c r="J657" i="25"/>
  <c r="H657" i="25"/>
  <c r="F657" i="25"/>
  <c r="L656" i="25"/>
  <c r="J656" i="25"/>
  <c r="H656" i="25"/>
  <c r="F656" i="25"/>
  <c r="L655" i="25"/>
  <c r="J655" i="25"/>
  <c r="H655" i="25"/>
  <c r="F655" i="25"/>
  <c r="L654" i="25"/>
  <c r="J654" i="25"/>
  <c r="H654" i="25"/>
  <c r="F654" i="25"/>
  <c r="L653" i="25"/>
  <c r="J653" i="25"/>
  <c r="H653" i="25"/>
  <c r="F653" i="25"/>
  <c r="L652" i="25"/>
  <c r="J652" i="25"/>
  <c r="H652" i="25"/>
  <c r="F652" i="25"/>
  <c r="L651" i="25"/>
  <c r="J651" i="25"/>
  <c r="H651" i="25"/>
  <c r="F651" i="25"/>
  <c r="L650" i="25"/>
  <c r="J650" i="25"/>
  <c r="H650" i="25"/>
  <c r="F650" i="25"/>
  <c r="L649" i="25"/>
  <c r="J649" i="25"/>
  <c r="H649" i="25"/>
  <c r="F649" i="25"/>
  <c r="L648" i="25"/>
  <c r="J648" i="25"/>
  <c r="H648" i="25"/>
  <c r="F648" i="25"/>
  <c r="L647" i="25"/>
  <c r="J647" i="25"/>
  <c r="H647" i="25"/>
  <c r="F647" i="25"/>
  <c r="L646" i="25"/>
  <c r="J646" i="25"/>
  <c r="H646" i="25"/>
  <c r="F646" i="25"/>
  <c r="L645" i="25"/>
  <c r="J645" i="25"/>
  <c r="H645" i="25"/>
  <c r="F645" i="25"/>
  <c r="L644" i="25"/>
  <c r="J644" i="25"/>
  <c r="H644" i="25"/>
  <c r="F644" i="25"/>
  <c r="L643" i="25"/>
  <c r="J643" i="25"/>
  <c r="H643" i="25"/>
  <c r="F643" i="25"/>
  <c r="L642" i="25"/>
  <c r="J642" i="25"/>
  <c r="H642" i="25"/>
  <c r="F642" i="25"/>
  <c r="L641" i="25"/>
  <c r="J641" i="25"/>
  <c r="H641" i="25"/>
  <c r="F641" i="25"/>
  <c r="L640" i="25"/>
  <c r="J640" i="25"/>
  <c r="H640" i="25"/>
  <c r="F640" i="25"/>
  <c r="L639" i="25"/>
  <c r="J639" i="25"/>
  <c r="H639" i="25"/>
  <c r="F639" i="25"/>
  <c r="L638" i="25"/>
  <c r="J638" i="25"/>
  <c r="H638" i="25"/>
  <c r="F638" i="25"/>
  <c r="L637" i="25"/>
  <c r="J637" i="25"/>
  <c r="H637" i="25"/>
  <c r="F637" i="25"/>
  <c r="L636" i="25"/>
  <c r="J636" i="25"/>
  <c r="H636" i="25"/>
  <c r="F636" i="25"/>
  <c r="L635" i="25"/>
  <c r="J635" i="25"/>
  <c r="H635" i="25"/>
  <c r="F635" i="25"/>
  <c r="L634" i="25"/>
  <c r="J634" i="25"/>
  <c r="H634" i="25"/>
  <c r="F634" i="25"/>
  <c r="L633" i="25"/>
  <c r="J633" i="25"/>
  <c r="H633" i="25"/>
  <c r="F633" i="25"/>
  <c r="L632" i="25"/>
  <c r="J632" i="25"/>
  <c r="H632" i="25"/>
  <c r="F632" i="25"/>
  <c r="L631" i="25"/>
  <c r="J631" i="25"/>
  <c r="H631" i="25"/>
  <c r="F631" i="25"/>
  <c r="L630" i="25"/>
  <c r="J630" i="25"/>
  <c r="H630" i="25"/>
  <c r="F630" i="25"/>
  <c r="L629" i="25"/>
  <c r="J629" i="25"/>
  <c r="H629" i="25"/>
  <c r="F629" i="25"/>
  <c r="L628" i="25"/>
  <c r="J628" i="25"/>
  <c r="H628" i="25"/>
  <c r="F628" i="25"/>
  <c r="L627" i="25"/>
  <c r="J627" i="25"/>
  <c r="H627" i="25"/>
  <c r="F627" i="25"/>
  <c r="L626" i="25"/>
  <c r="J626" i="25"/>
  <c r="H626" i="25"/>
  <c r="F626" i="25"/>
  <c r="L625" i="25"/>
  <c r="J625" i="25"/>
  <c r="H625" i="25"/>
  <c r="F625" i="25"/>
  <c r="L624" i="25"/>
  <c r="J624" i="25"/>
  <c r="H624" i="25"/>
  <c r="F624" i="25"/>
  <c r="L623" i="25"/>
  <c r="J623" i="25"/>
  <c r="H623" i="25"/>
  <c r="F623" i="25"/>
  <c r="L622" i="25"/>
  <c r="J622" i="25"/>
  <c r="H622" i="25"/>
  <c r="F622" i="25"/>
  <c r="L621" i="25"/>
  <c r="J621" i="25"/>
  <c r="H621" i="25"/>
  <c r="F621" i="25"/>
  <c r="L620" i="25"/>
  <c r="J620" i="25"/>
  <c r="H620" i="25"/>
  <c r="F620" i="25"/>
  <c r="L619" i="25"/>
  <c r="J619" i="25"/>
  <c r="H619" i="25"/>
  <c r="F619" i="25"/>
  <c r="L618" i="25"/>
  <c r="J618" i="25"/>
  <c r="H618" i="25"/>
  <c r="F618" i="25"/>
  <c r="L617" i="25"/>
  <c r="J617" i="25"/>
  <c r="H617" i="25"/>
  <c r="F617" i="25"/>
  <c r="L616" i="25"/>
  <c r="J616" i="25"/>
  <c r="H616" i="25"/>
  <c r="F616" i="25"/>
  <c r="L615" i="25"/>
  <c r="J615" i="25"/>
  <c r="H615" i="25"/>
  <c r="F615" i="25"/>
  <c r="L614" i="25"/>
  <c r="J614" i="25"/>
  <c r="H614" i="25"/>
  <c r="F614" i="25"/>
  <c r="L613" i="25"/>
  <c r="J613" i="25"/>
  <c r="H613" i="25"/>
  <c r="F613" i="25"/>
  <c r="L612" i="25"/>
  <c r="J612" i="25"/>
  <c r="H612" i="25"/>
  <c r="F612" i="25"/>
  <c r="L611" i="25"/>
  <c r="J611" i="25"/>
  <c r="H611" i="25"/>
  <c r="F611" i="25"/>
  <c r="L610" i="25"/>
  <c r="J610" i="25"/>
  <c r="H610" i="25"/>
  <c r="F610" i="25"/>
  <c r="L609" i="25"/>
  <c r="J609" i="25"/>
  <c r="H609" i="25"/>
  <c r="F609" i="25"/>
  <c r="L608" i="25"/>
  <c r="J608" i="25"/>
  <c r="H608" i="25"/>
  <c r="F608" i="25"/>
  <c r="L607" i="25"/>
  <c r="J607" i="25"/>
  <c r="H607" i="25"/>
  <c r="F607" i="25"/>
  <c r="L606" i="25"/>
  <c r="J606" i="25"/>
  <c r="H606" i="25"/>
  <c r="F606" i="25"/>
  <c r="L605" i="25"/>
  <c r="J605" i="25"/>
  <c r="H605" i="25"/>
  <c r="F605" i="25"/>
  <c r="L604" i="25"/>
  <c r="J604" i="25"/>
  <c r="H604" i="25"/>
  <c r="F604" i="25"/>
  <c r="L603" i="25"/>
  <c r="J603" i="25"/>
  <c r="H603" i="25"/>
  <c r="F603" i="25"/>
  <c r="L602" i="25"/>
  <c r="J602" i="25"/>
  <c r="H602" i="25"/>
  <c r="F602" i="25"/>
  <c r="L601" i="25"/>
  <c r="J601" i="25"/>
  <c r="H601" i="25"/>
  <c r="F601" i="25"/>
  <c r="L600" i="25"/>
  <c r="J600" i="25"/>
  <c r="H600" i="25"/>
  <c r="F600" i="25"/>
  <c r="L599" i="25"/>
  <c r="J599" i="25"/>
  <c r="H599" i="25"/>
  <c r="F599" i="25"/>
  <c r="L598" i="25"/>
  <c r="J598" i="25"/>
  <c r="H598" i="25"/>
  <c r="F598" i="25"/>
  <c r="L597" i="25"/>
  <c r="J597" i="25"/>
  <c r="H597" i="25"/>
  <c r="F597" i="25"/>
  <c r="L596" i="25"/>
  <c r="J596" i="25"/>
  <c r="H596" i="25"/>
  <c r="F596" i="25"/>
  <c r="L595" i="25"/>
  <c r="J595" i="25"/>
  <c r="H595" i="25"/>
  <c r="F595" i="25"/>
  <c r="L594" i="25"/>
  <c r="J594" i="25"/>
  <c r="H594" i="25"/>
  <c r="F594" i="25"/>
  <c r="L593" i="25"/>
  <c r="J593" i="25"/>
  <c r="H593" i="25"/>
  <c r="F593" i="25"/>
  <c r="L592" i="25"/>
  <c r="J592" i="25"/>
  <c r="H592" i="25"/>
  <c r="F592" i="25"/>
  <c r="L591" i="25"/>
  <c r="J591" i="25"/>
  <c r="H591" i="25"/>
  <c r="F591" i="25"/>
  <c r="L590" i="25"/>
  <c r="J590" i="25"/>
  <c r="H590" i="25"/>
  <c r="F590" i="25"/>
  <c r="L589" i="25"/>
  <c r="J589" i="25"/>
  <c r="H589" i="25"/>
  <c r="F589" i="25"/>
  <c r="L588" i="25"/>
  <c r="J588" i="25"/>
  <c r="H588" i="25"/>
  <c r="F588" i="25"/>
  <c r="L587" i="25"/>
  <c r="J587" i="25"/>
  <c r="H587" i="25"/>
  <c r="F587" i="25"/>
  <c r="L586" i="25"/>
  <c r="J586" i="25"/>
  <c r="H586" i="25"/>
  <c r="F586" i="25"/>
  <c r="L585" i="25"/>
  <c r="J585" i="25"/>
  <c r="H585" i="25"/>
  <c r="F585" i="25"/>
  <c r="L584" i="25"/>
  <c r="J584" i="25"/>
  <c r="H584" i="25"/>
  <c r="F584" i="25"/>
  <c r="L583" i="25"/>
  <c r="J583" i="25"/>
  <c r="H583" i="25"/>
  <c r="F583" i="25"/>
  <c r="L582" i="25"/>
  <c r="J582" i="25"/>
  <c r="H582" i="25"/>
  <c r="F582" i="25"/>
  <c r="L581" i="25"/>
  <c r="J581" i="25"/>
  <c r="H581" i="25"/>
  <c r="F581" i="25"/>
  <c r="L580" i="25"/>
  <c r="J580" i="25"/>
  <c r="H580" i="25"/>
  <c r="F580" i="25"/>
  <c r="L579" i="25"/>
  <c r="J579" i="25"/>
  <c r="H579" i="25"/>
  <c r="F579" i="25"/>
  <c r="L578" i="25"/>
  <c r="J578" i="25"/>
  <c r="H578" i="25"/>
  <c r="F578" i="25"/>
  <c r="L577" i="25"/>
  <c r="J577" i="25"/>
  <c r="H577" i="25"/>
  <c r="F577" i="25"/>
  <c r="L576" i="25"/>
  <c r="J576" i="25"/>
  <c r="H576" i="25"/>
  <c r="F576" i="25"/>
  <c r="L575" i="25"/>
  <c r="J575" i="25"/>
  <c r="H575" i="25"/>
  <c r="F575" i="25"/>
  <c r="L574" i="25"/>
  <c r="J574" i="25"/>
  <c r="H574" i="25"/>
  <c r="F574" i="25"/>
  <c r="L573" i="25"/>
  <c r="J573" i="25"/>
  <c r="H573" i="25"/>
  <c r="F573" i="25"/>
  <c r="L572" i="25"/>
  <c r="J572" i="25"/>
  <c r="H572" i="25"/>
  <c r="F572" i="25"/>
  <c r="L571" i="25"/>
  <c r="J571" i="25"/>
  <c r="H571" i="25"/>
  <c r="F571" i="25"/>
  <c r="L570" i="25"/>
  <c r="J570" i="25"/>
  <c r="H570" i="25"/>
  <c r="F570" i="25"/>
  <c r="L569" i="25"/>
  <c r="J569" i="25"/>
  <c r="H569" i="25"/>
  <c r="F569" i="25"/>
  <c r="L568" i="25"/>
  <c r="J568" i="25"/>
  <c r="H568" i="25"/>
  <c r="F568" i="25"/>
  <c r="L567" i="25"/>
  <c r="J567" i="25"/>
  <c r="H567" i="25"/>
  <c r="F567" i="25"/>
  <c r="L566" i="25"/>
  <c r="J566" i="25"/>
  <c r="H566" i="25"/>
  <c r="F566" i="25"/>
  <c r="L565" i="25"/>
  <c r="J565" i="25"/>
  <c r="H565" i="25"/>
  <c r="F565" i="25"/>
  <c r="L564" i="25"/>
  <c r="J564" i="25"/>
  <c r="H564" i="25"/>
  <c r="F564" i="25"/>
  <c r="L563" i="25"/>
  <c r="J563" i="25"/>
  <c r="H563" i="25"/>
  <c r="F563" i="25"/>
  <c r="L562" i="25"/>
  <c r="J562" i="25"/>
  <c r="H562" i="25"/>
  <c r="F562" i="25"/>
  <c r="L561" i="25"/>
  <c r="J561" i="25"/>
  <c r="H561" i="25"/>
  <c r="F561" i="25"/>
  <c r="L560" i="25"/>
  <c r="J560" i="25"/>
  <c r="H560" i="25"/>
  <c r="F560" i="25"/>
  <c r="L559" i="25"/>
  <c r="J559" i="25"/>
  <c r="H559" i="25"/>
  <c r="F559" i="25"/>
  <c r="L558" i="25"/>
  <c r="J558" i="25"/>
  <c r="H558" i="25"/>
  <c r="F558" i="25"/>
  <c r="L557" i="25"/>
  <c r="J557" i="25"/>
  <c r="H557" i="25"/>
  <c r="F557" i="25"/>
  <c r="L556" i="25"/>
  <c r="J556" i="25"/>
  <c r="H556" i="25"/>
  <c r="F556" i="25"/>
  <c r="L555" i="25"/>
  <c r="J555" i="25"/>
  <c r="H555" i="25"/>
  <c r="F555" i="25"/>
  <c r="L554" i="25"/>
  <c r="J554" i="25"/>
  <c r="H554" i="25"/>
  <c r="F554" i="25"/>
  <c r="L553" i="25"/>
  <c r="J553" i="25"/>
  <c r="H553" i="25"/>
  <c r="F553" i="25"/>
  <c r="L552" i="25"/>
  <c r="J552" i="25"/>
  <c r="H552" i="25"/>
  <c r="F552" i="25"/>
  <c r="L551" i="25"/>
  <c r="J551" i="25"/>
  <c r="H551" i="25"/>
  <c r="F551" i="25"/>
  <c r="L550" i="25"/>
  <c r="J550" i="25"/>
  <c r="H550" i="25"/>
  <c r="F550" i="25"/>
  <c r="L549" i="25"/>
  <c r="J549" i="25"/>
  <c r="H549" i="25"/>
  <c r="F549" i="25"/>
  <c r="L548" i="25"/>
  <c r="J548" i="25"/>
  <c r="H548" i="25"/>
  <c r="F548" i="25"/>
  <c r="L547" i="25"/>
  <c r="J547" i="25"/>
  <c r="H547" i="25"/>
  <c r="F547" i="25"/>
  <c r="L546" i="25"/>
  <c r="J546" i="25"/>
  <c r="H546" i="25"/>
  <c r="F546" i="25"/>
  <c r="L545" i="25"/>
  <c r="J545" i="25"/>
  <c r="H545" i="25"/>
  <c r="F545" i="25"/>
  <c r="L544" i="25"/>
  <c r="J544" i="25"/>
  <c r="H544" i="25"/>
  <c r="F544" i="25"/>
  <c r="L543" i="25"/>
  <c r="J543" i="25"/>
  <c r="H543" i="25"/>
  <c r="F543" i="25"/>
  <c r="L542" i="25"/>
  <c r="J542" i="25"/>
  <c r="H542" i="25"/>
  <c r="F542" i="25"/>
  <c r="L541" i="25"/>
  <c r="J541" i="25"/>
  <c r="H541" i="25"/>
  <c r="F541" i="25"/>
  <c r="L540" i="25"/>
  <c r="J540" i="25"/>
  <c r="H540" i="25"/>
  <c r="F540" i="25"/>
  <c r="L539" i="25"/>
  <c r="J539" i="25"/>
  <c r="H539" i="25"/>
  <c r="F539" i="25"/>
  <c r="L538" i="25"/>
  <c r="J538" i="25"/>
  <c r="H538" i="25"/>
  <c r="F538" i="25"/>
  <c r="L537" i="25"/>
  <c r="J537" i="25"/>
  <c r="H537" i="25"/>
  <c r="F537" i="25"/>
  <c r="L536" i="25"/>
  <c r="J536" i="25"/>
  <c r="H536" i="25"/>
  <c r="F536" i="25"/>
  <c r="L535" i="25"/>
  <c r="J535" i="25"/>
  <c r="H535" i="25"/>
  <c r="F535" i="25"/>
  <c r="L534" i="25"/>
  <c r="J534" i="25"/>
  <c r="H534" i="25"/>
  <c r="F534" i="25"/>
  <c r="L533" i="25"/>
  <c r="J533" i="25"/>
  <c r="H533" i="25"/>
  <c r="F533" i="25"/>
  <c r="L532" i="25"/>
  <c r="J532" i="25"/>
  <c r="H532" i="25"/>
  <c r="F532" i="25"/>
  <c r="L531" i="25"/>
  <c r="J531" i="25"/>
  <c r="H531" i="25"/>
  <c r="F531" i="25"/>
  <c r="L530" i="25"/>
  <c r="J530" i="25"/>
  <c r="H530" i="25"/>
  <c r="F530" i="25"/>
  <c r="L529" i="25"/>
  <c r="J529" i="25"/>
  <c r="H529" i="25"/>
  <c r="F529" i="25"/>
  <c r="L528" i="25"/>
  <c r="J528" i="25"/>
  <c r="H528" i="25"/>
  <c r="F528" i="25"/>
  <c r="L527" i="25"/>
  <c r="J527" i="25"/>
  <c r="H527" i="25"/>
  <c r="F527" i="25"/>
  <c r="L526" i="25"/>
  <c r="J526" i="25"/>
  <c r="H526" i="25"/>
  <c r="F526" i="25"/>
  <c r="L525" i="25"/>
  <c r="J525" i="25"/>
  <c r="H525" i="25"/>
  <c r="F525" i="25"/>
  <c r="L524" i="25"/>
  <c r="J524" i="25"/>
  <c r="H524" i="25"/>
  <c r="F524" i="25"/>
  <c r="L523" i="25"/>
  <c r="J523" i="25"/>
  <c r="H523" i="25"/>
  <c r="F523" i="25"/>
  <c r="L522" i="25"/>
  <c r="J522" i="25"/>
  <c r="H522" i="25"/>
  <c r="F522" i="25"/>
  <c r="L521" i="25"/>
  <c r="J521" i="25"/>
  <c r="H521" i="25"/>
  <c r="F521" i="25"/>
  <c r="L520" i="25"/>
  <c r="J520" i="25"/>
  <c r="H520" i="25"/>
  <c r="F520" i="25"/>
  <c r="L519" i="25"/>
  <c r="J519" i="25"/>
  <c r="H519" i="25"/>
  <c r="F519" i="25"/>
  <c r="L518" i="25"/>
  <c r="J518" i="25"/>
  <c r="H518" i="25"/>
  <c r="F518" i="25"/>
  <c r="L517" i="25"/>
  <c r="J517" i="25"/>
  <c r="H517" i="25"/>
  <c r="F517" i="25"/>
  <c r="L516" i="25"/>
  <c r="J516" i="25"/>
  <c r="H516" i="25"/>
  <c r="F516" i="25"/>
  <c r="L515" i="25"/>
  <c r="J515" i="25"/>
  <c r="H515" i="25"/>
  <c r="F515" i="25"/>
  <c r="L514" i="25"/>
  <c r="J514" i="25"/>
  <c r="H514" i="25"/>
  <c r="F514" i="25"/>
  <c r="L513" i="25"/>
  <c r="J513" i="25"/>
  <c r="H513" i="25"/>
  <c r="F513" i="25"/>
  <c r="L512" i="25"/>
  <c r="J512" i="25"/>
  <c r="H512" i="25"/>
  <c r="F512" i="25"/>
  <c r="L511" i="25"/>
  <c r="J511" i="25"/>
  <c r="H511" i="25"/>
  <c r="F511" i="25"/>
  <c r="L510" i="25"/>
  <c r="J510" i="25"/>
  <c r="H510" i="25"/>
  <c r="F510" i="25"/>
  <c r="L509" i="25"/>
  <c r="J509" i="25"/>
  <c r="H509" i="25"/>
  <c r="F509" i="25"/>
  <c r="L508" i="25"/>
  <c r="J508" i="25"/>
  <c r="H508" i="25"/>
  <c r="F508" i="25"/>
  <c r="L507" i="25"/>
  <c r="J507" i="25"/>
  <c r="H507" i="25"/>
  <c r="F507" i="25"/>
  <c r="L506" i="25"/>
  <c r="J506" i="25"/>
  <c r="H506" i="25"/>
  <c r="F506" i="25"/>
  <c r="L505" i="25"/>
  <c r="J505" i="25"/>
  <c r="H505" i="25"/>
  <c r="F505" i="25"/>
  <c r="L504" i="25"/>
  <c r="J504" i="25"/>
  <c r="H504" i="25"/>
  <c r="F504" i="25"/>
  <c r="L503" i="25"/>
  <c r="J503" i="25"/>
  <c r="H503" i="25"/>
  <c r="F503" i="25"/>
  <c r="L502" i="25"/>
  <c r="J502" i="25"/>
  <c r="H502" i="25"/>
  <c r="F502" i="25"/>
  <c r="L501" i="25"/>
  <c r="J501" i="25"/>
  <c r="H501" i="25"/>
  <c r="F501" i="25"/>
  <c r="L500" i="25"/>
  <c r="J500" i="25"/>
  <c r="H500" i="25"/>
  <c r="F500" i="25"/>
  <c r="L499" i="25"/>
  <c r="J499" i="25"/>
  <c r="H499" i="25"/>
  <c r="F499" i="25"/>
  <c r="L498" i="25"/>
  <c r="J498" i="25"/>
  <c r="H498" i="25"/>
  <c r="F498" i="25"/>
  <c r="L497" i="25"/>
  <c r="J497" i="25"/>
  <c r="H497" i="25"/>
  <c r="F497" i="25"/>
  <c r="L496" i="25"/>
  <c r="J496" i="25"/>
  <c r="H496" i="25"/>
  <c r="F496" i="25"/>
  <c r="L495" i="25"/>
  <c r="J495" i="25"/>
  <c r="H495" i="25"/>
  <c r="F495" i="25"/>
  <c r="L494" i="25"/>
  <c r="J494" i="25"/>
  <c r="H494" i="25"/>
  <c r="F494" i="25"/>
  <c r="L493" i="25"/>
  <c r="J493" i="25"/>
  <c r="H493" i="25"/>
  <c r="F493" i="25"/>
  <c r="L492" i="25"/>
  <c r="J492" i="25"/>
  <c r="H492" i="25"/>
  <c r="F492" i="25"/>
  <c r="L491" i="25"/>
  <c r="J491" i="25"/>
  <c r="H491" i="25"/>
  <c r="F491" i="25"/>
  <c r="L490" i="25"/>
  <c r="J490" i="25"/>
  <c r="H490" i="25"/>
  <c r="F490" i="25"/>
  <c r="L489" i="25"/>
  <c r="J489" i="25"/>
  <c r="H489" i="25"/>
  <c r="F489" i="25"/>
  <c r="L488" i="25"/>
  <c r="J488" i="25"/>
  <c r="H488" i="25"/>
  <c r="F488" i="25"/>
  <c r="L487" i="25"/>
  <c r="J487" i="25"/>
  <c r="H487" i="25"/>
  <c r="F487" i="25"/>
  <c r="L486" i="25"/>
  <c r="J486" i="25"/>
  <c r="H486" i="25"/>
  <c r="F486" i="25"/>
  <c r="L485" i="25"/>
  <c r="J485" i="25"/>
  <c r="H485" i="25"/>
  <c r="F485" i="25"/>
  <c r="L484" i="25"/>
  <c r="J484" i="25"/>
  <c r="H484" i="25"/>
  <c r="F484" i="25"/>
  <c r="L483" i="25"/>
  <c r="J483" i="25"/>
  <c r="H483" i="25"/>
  <c r="F483" i="25"/>
  <c r="L482" i="25"/>
  <c r="J482" i="25"/>
  <c r="H482" i="25"/>
  <c r="F482" i="25"/>
  <c r="L481" i="25"/>
  <c r="J481" i="25"/>
  <c r="H481" i="25"/>
  <c r="F481" i="25"/>
  <c r="L480" i="25"/>
  <c r="J480" i="25"/>
  <c r="H480" i="25"/>
  <c r="F480" i="25"/>
  <c r="L479" i="25"/>
  <c r="J479" i="25"/>
  <c r="H479" i="25"/>
  <c r="F479" i="25"/>
  <c r="L478" i="25"/>
  <c r="J478" i="25"/>
  <c r="H478" i="25"/>
  <c r="F478" i="25"/>
  <c r="L477" i="25"/>
  <c r="J477" i="25"/>
  <c r="H477" i="25"/>
  <c r="F477" i="25"/>
  <c r="L476" i="25"/>
  <c r="J476" i="25"/>
  <c r="H476" i="25"/>
  <c r="F476" i="25"/>
  <c r="L475" i="25"/>
  <c r="J475" i="25"/>
  <c r="H475" i="25"/>
  <c r="F475" i="25"/>
  <c r="L474" i="25"/>
  <c r="J474" i="25"/>
  <c r="H474" i="25"/>
  <c r="F474" i="25"/>
  <c r="L473" i="25"/>
  <c r="J473" i="25"/>
  <c r="H473" i="25"/>
  <c r="F473" i="25"/>
  <c r="L472" i="25"/>
  <c r="J472" i="25"/>
  <c r="H472" i="25"/>
  <c r="F472" i="25"/>
  <c r="L471" i="25"/>
  <c r="J471" i="25"/>
  <c r="H471" i="25"/>
  <c r="F471" i="25"/>
  <c r="L470" i="25"/>
  <c r="J470" i="25"/>
  <c r="H470" i="25"/>
  <c r="F470" i="25"/>
  <c r="L469" i="25"/>
  <c r="J469" i="25"/>
  <c r="H469" i="25"/>
  <c r="F469" i="25"/>
  <c r="L468" i="25"/>
  <c r="J468" i="25"/>
  <c r="H468" i="25"/>
  <c r="F468" i="25"/>
  <c r="L467" i="25"/>
  <c r="J467" i="25"/>
  <c r="H467" i="25"/>
  <c r="F467" i="25"/>
  <c r="L466" i="25"/>
  <c r="J466" i="25"/>
  <c r="H466" i="25"/>
  <c r="F466" i="25"/>
  <c r="L465" i="25"/>
  <c r="J465" i="25"/>
  <c r="H465" i="25"/>
  <c r="F465" i="25"/>
  <c r="L464" i="25"/>
  <c r="J464" i="25"/>
  <c r="H464" i="25"/>
  <c r="F464" i="25"/>
  <c r="L463" i="25"/>
  <c r="J463" i="25"/>
  <c r="H463" i="25"/>
  <c r="F463" i="25"/>
  <c r="L462" i="25"/>
  <c r="J462" i="25"/>
  <c r="H462" i="25"/>
  <c r="F462" i="25"/>
  <c r="L461" i="25"/>
  <c r="J461" i="25"/>
  <c r="H461" i="25"/>
  <c r="F461" i="25"/>
  <c r="L460" i="25"/>
  <c r="J460" i="25"/>
  <c r="H460" i="25"/>
  <c r="F460" i="25"/>
  <c r="L459" i="25"/>
  <c r="J459" i="25"/>
  <c r="H459" i="25"/>
  <c r="F459" i="25"/>
  <c r="L458" i="25"/>
  <c r="J458" i="25"/>
  <c r="H458" i="25"/>
  <c r="F458" i="25"/>
  <c r="L457" i="25"/>
  <c r="J457" i="25"/>
  <c r="H457" i="25"/>
  <c r="F457" i="25"/>
  <c r="L456" i="25"/>
  <c r="J456" i="25"/>
  <c r="H456" i="25"/>
  <c r="F456" i="25"/>
  <c r="L455" i="25"/>
  <c r="J455" i="25"/>
  <c r="H455" i="25"/>
  <c r="F455" i="25"/>
  <c r="L454" i="25"/>
  <c r="J454" i="25"/>
  <c r="H454" i="25"/>
  <c r="F454" i="25"/>
  <c r="L453" i="25"/>
  <c r="J453" i="25"/>
  <c r="H453" i="25"/>
  <c r="F453" i="25"/>
  <c r="L452" i="25"/>
  <c r="J452" i="25"/>
  <c r="H452" i="25"/>
  <c r="F452" i="25"/>
  <c r="L451" i="25"/>
  <c r="J451" i="25"/>
  <c r="H451" i="25"/>
  <c r="F451" i="25"/>
  <c r="L450" i="25"/>
  <c r="J450" i="25"/>
  <c r="H450" i="25"/>
  <c r="F450" i="25"/>
  <c r="L449" i="25"/>
  <c r="J449" i="25"/>
  <c r="H449" i="25"/>
  <c r="F449" i="25"/>
  <c r="L448" i="25"/>
  <c r="J448" i="25"/>
  <c r="H448" i="25"/>
  <c r="F448" i="25"/>
  <c r="L447" i="25"/>
  <c r="J447" i="25"/>
  <c r="H447" i="25"/>
  <c r="F447" i="25"/>
  <c r="L446" i="25"/>
  <c r="J446" i="25"/>
  <c r="H446" i="25"/>
  <c r="F446" i="25"/>
  <c r="L445" i="25"/>
  <c r="J445" i="25"/>
  <c r="H445" i="25"/>
  <c r="F445" i="25"/>
  <c r="L444" i="25"/>
  <c r="J444" i="25"/>
  <c r="H444" i="25"/>
  <c r="F444" i="25"/>
  <c r="L443" i="25"/>
  <c r="J443" i="25"/>
  <c r="H443" i="25"/>
  <c r="F443" i="25"/>
  <c r="L442" i="25"/>
  <c r="J442" i="25"/>
  <c r="H442" i="25"/>
  <c r="F442" i="25"/>
  <c r="L441" i="25"/>
  <c r="J441" i="25"/>
  <c r="H441" i="25"/>
  <c r="F441" i="25"/>
  <c r="L440" i="25"/>
  <c r="J440" i="25"/>
  <c r="H440" i="25"/>
  <c r="F440" i="25"/>
  <c r="L439" i="25"/>
  <c r="J439" i="25"/>
  <c r="H439" i="25"/>
  <c r="F439" i="25"/>
  <c r="L438" i="25"/>
  <c r="J438" i="25"/>
  <c r="H438" i="25"/>
  <c r="F438" i="25"/>
  <c r="L437" i="25"/>
  <c r="J437" i="25"/>
  <c r="H437" i="25"/>
  <c r="F437" i="25"/>
  <c r="L436" i="25"/>
  <c r="J436" i="25"/>
  <c r="H436" i="25"/>
  <c r="F436" i="25"/>
  <c r="L435" i="25"/>
  <c r="J435" i="25"/>
  <c r="H435" i="25"/>
  <c r="F435" i="25"/>
  <c r="L434" i="25"/>
  <c r="J434" i="25"/>
  <c r="H434" i="25"/>
  <c r="F434" i="25"/>
  <c r="L433" i="25"/>
  <c r="J433" i="25"/>
  <c r="H433" i="25"/>
  <c r="F433" i="25"/>
  <c r="L432" i="25"/>
  <c r="J432" i="25"/>
  <c r="H432" i="25"/>
  <c r="F432" i="25"/>
  <c r="L431" i="25"/>
  <c r="J431" i="25"/>
  <c r="H431" i="25"/>
  <c r="F431" i="25"/>
  <c r="L430" i="25"/>
  <c r="J430" i="25"/>
  <c r="H430" i="25"/>
  <c r="F430" i="25"/>
  <c r="L429" i="25"/>
  <c r="J429" i="25"/>
  <c r="H429" i="25"/>
  <c r="F429" i="25"/>
  <c r="L428" i="25"/>
  <c r="J428" i="25"/>
  <c r="H428" i="25"/>
  <c r="F428" i="25"/>
  <c r="L427" i="25"/>
  <c r="J427" i="25"/>
  <c r="H427" i="25"/>
  <c r="F427" i="25"/>
  <c r="L426" i="25"/>
  <c r="J426" i="25"/>
  <c r="H426" i="25"/>
  <c r="F426" i="25"/>
  <c r="L425" i="25"/>
  <c r="J425" i="25"/>
  <c r="H425" i="25"/>
  <c r="F425" i="25"/>
  <c r="L424" i="25"/>
  <c r="J424" i="25"/>
  <c r="H424" i="25"/>
  <c r="F424" i="25"/>
  <c r="L423" i="25"/>
  <c r="J423" i="25"/>
  <c r="H423" i="25"/>
  <c r="F423" i="25"/>
  <c r="L422" i="25"/>
  <c r="J422" i="25"/>
  <c r="H422" i="25"/>
  <c r="F422" i="25"/>
  <c r="L421" i="25"/>
  <c r="J421" i="25"/>
  <c r="H421" i="25"/>
  <c r="F421" i="25"/>
  <c r="L420" i="25"/>
  <c r="J420" i="25"/>
  <c r="H420" i="25"/>
  <c r="F420" i="25"/>
  <c r="L419" i="25"/>
  <c r="J419" i="25"/>
  <c r="H419" i="25"/>
  <c r="F419" i="25"/>
  <c r="L418" i="25"/>
  <c r="J418" i="25"/>
  <c r="H418" i="25"/>
  <c r="F418" i="25"/>
  <c r="L417" i="25"/>
  <c r="J417" i="25"/>
  <c r="H417" i="25"/>
  <c r="F417" i="25"/>
  <c r="L416" i="25"/>
  <c r="J416" i="25"/>
  <c r="H416" i="25"/>
  <c r="F416" i="25"/>
  <c r="L415" i="25"/>
  <c r="J415" i="25"/>
  <c r="H415" i="25"/>
  <c r="F415" i="25"/>
  <c r="L414" i="25"/>
  <c r="J414" i="25"/>
  <c r="H414" i="25"/>
  <c r="F414" i="25"/>
  <c r="L413" i="25"/>
  <c r="J413" i="25"/>
  <c r="H413" i="25"/>
  <c r="F413" i="25"/>
  <c r="L412" i="25"/>
  <c r="J412" i="25"/>
  <c r="H412" i="25"/>
  <c r="F412" i="25"/>
  <c r="L411" i="25"/>
  <c r="J411" i="25"/>
  <c r="H411" i="25"/>
  <c r="F411" i="25"/>
  <c r="L410" i="25"/>
  <c r="J410" i="25"/>
  <c r="H410" i="25"/>
  <c r="F410" i="25"/>
  <c r="L409" i="25"/>
  <c r="J409" i="25"/>
  <c r="H409" i="25"/>
  <c r="F409" i="25"/>
  <c r="L408" i="25"/>
  <c r="J408" i="25"/>
  <c r="H408" i="25"/>
  <c r="F408" i="25"/>
  <c r="L407" i="25"/>
  <c r="J407" i="25"/>
  <c r="H407" i="25"/>
  <c r="F407" i="25"/>
  <c r="L406" i="25"/>
  <c r="J406" i="25"/>
  <c r="H406" i="25"/>
  <c r="F406" i="25"/>
  <c r="L405" i="25"/>
  <c r="J405" i="25"/>
  <c r="H405" i="25"/>
  <c r="F405" i="25"/>
  <c r="L404" i="25"/>
  <c r="J404" i="25"/>
  <c r="H404" i="25"/>
  <c r="F404" i="25"/>
  <c r="L403" i="25"/>
  <c r="J403" i="25"/>
  <c r="H403" i="25"/>
  <c r="F403" i="25"/>
  <c r="L402" i="25"/>
  <c r="J402" i="25"/>
  <c r="H402" i="25"/>
  <c r="F402" i="25"/>
  <c r="L401" i="25"/>
  <c r="J401" i="25"/>
  <c r="H401" i="25"/>
  <c r="F401" i="25"/>
  <c r="L400" i="25"/>
  <c r="J400" i="25"/>
  <c r="H400" i="25"/>
  <c r="F400" i="25"/>
  <c r="L399" i="25"/>
  <c r="J399" i="25"/>
  <c r="H399" i="25"/>
  <c r="F399" i="25"/>
  <c r="L398" i="25"/>
  <c r="J398" i="25"/>
  <c r="H398" i="25"/>
  <c r="F398" i="25"/>
  <c r="L397" i="25"/>
  <c r="J397" i="25"/>
  <c r="H397" i="25"/>
  <c r="F397" i="25"/>
  <c r="L396" i="25"/>
  <c r="J396" i="25"/>
  <c r="H396" i="25"/>
  <c r="F396" i="25"/>
  <c r="L395" i="25"/>
  <c r="J395" i="25"/>
  <c r="H395" i="25"/>
  <c r="F395" i="25"/>
  <c r="L394" i="25"/>
  <c r="J394" i="25"/>
  <c r="H394" i="25"/>
  <c r="F394" i="25"/>
  <c r="L393" i="25"/>
  <c r="J393" i="25"/>
  <c r="H393" i="25"/>
  <c r="F393" i="25"/>
  <c r="L392" i="25"/>
  <c r="J392" i="25"/>
  <c r="H392" i="25"/>
  <c r="F392" i="25"/>
  <c r="L391" i="25"/>
  <c r="J391" i="25"/>
  <c r="H391" i="25"/>
  <c r="F391" i="25"/>
  <c r="L390" i="25"/>
  <c r="J390" i="25"/>
  <c r="H390" i="25"/>
  <c r="F390" i="25"/>
  <c r="L389" i="25"/>
  <c r="J389" i="25"/>
  <c r="H389" i="25"/>
  <c r="F389" i="25"/>
  <c r="L388" i="25"/>
  <c r="J388" i="25"/>
  <c r="H388" i="25"/>
  <c r="F388" i="25"/>
  <c r="L387" i="25"/>
  <c r="J387" i="25"/>
  <c r="H387" i="25"/>
  <c r="F387" i="25"/>
  <c r="L386" i="25"/>
  <c r="J386" i="25"/>
  <c r="H386" i="25"/>
  <c r="F386" i="25"/>
  <c r="L385" i="25"/>
  <c r="J385" i="25"/>
  <c r="H385" i="25"/>
  <c r="F385" i="25"/>
  <c r="L384" i="25"/>
  <c r="J384" i="25"/>
  <c r="H384" i="25"/>
  <c r="F384" i="25"/>
  <c r="L383" i="25"/>
  <c r="J383" i="25"/>
  <c r="H383" i="25"/>
  <c r="F383" i="25"/>
  <c r="L382" i="25"/>
  <c r="J382" i="25"/>
  <c r="H382" i="25"/>
  <c r="F382" i="25"/>
  <c r="L381" i="25"/>
  <c r="J381" i="25"/>
  <c r="H381" i="25"/>
  <c r="F381" i="25"/>
  <c r="L380" i="25"/>
  <c r="J380" i="25"/>
  <c r="H380" i="25"/>
  <c r="F380" i="25"/>
  <c r="L379" i="25"/>
  <c r="J379" i="25"/>
  <c r="H379" i="25"/>
  <c r="F379" i="25"/>
  <c r="L378" i="25"/>
  <c r="J378" i="25"/>
  <c r="H378" i="25"/>
  <c r="F378" i="25"/>
  <c r="L377" i="25"/>
  <c r="J377" i="25"/>
  <c r="H377" i="25"/>
  <c r="F377" i="25"/>
  <c r="L376" i="25"/>
  <c r="J376" i="25"/>
  <c r="H376" i="25"/>
  <c r="F376" i="25"/>
  <c r="L375" i="25"/>
  <c r="J375" i="25"/>
  <c r="H375" i="25"/>
  <c r="F375" i="25"/>
  <c r="L374" i="25"/>
  <c r="J374" i="25"/>
  <c r="H374" i="25"/>
  <c r="F374" i="25"/>
  <c r="L373" i="25"/>
  <c r="J373" i="25"/>
  <c r="H373" i="25"/>
  <c r="F373" i="25"/>
  <c r="L372" i="25"/>
  <c r="J372" i="25"/>
  <c r="H372" i="25"/>
  <c r="F372" i="25"/>
  <c r="L371" i="25"/>
  <c r="J371" i="25"/>
  <c r="H371" i="25"/>
  <c r="F371" i="25"/>
  <c r="L370" i="25"/>
  <c r="J370" i="25"/>
  <c r="H370" i="25"/>
  <c r="F370" i="25"/>
  <c r="L369" i="25"/>
  <c r="J369" i="25"/>
  <c r="H369" i="25"/>
  <c r="F369" i="25"/>
  <c r="L368" i="25"/>
  <c r="J368" i="25"/>
  <c r="H368" i="25"/>
  <c r="F368" i="25"/>
  <c r="L367" i="25"/>
  <c r="J367" i="25"/>
  <c r="H367" i="25"/>
  <c r="F367" i="25"/>
  <c r="L366" i="25"/>
  <c r="J366" i="25"/>
  <c r="H366" i="25"/>
  <c r="F366" i="25"/>
  <c r="L365" i="25"/>
  <c r="J365" i="25"/>
  <c r="H365" i="25"/>
  <c r="F365" i="25"/>
  <c r="L364" i="25"/>
  <c r="J364" i="25"/>
  <c r="H364" i="25"/>
  <c r="F364" i="25"/>
  <c r="L363" i="25"/>
  <c r="J363" i="25"/>
  <c r="H363" i="25"/>
  <c r="F363" i="25"/>
  <c r="L362" i="25"/>
  <c r="J362" i="25"/>
  <c r="H362" i="25"/>
  <c r="F362" i="25"/>
  <c r="L361" i="25"/>
  <c r="J361" i="25"/>
  <c r="H361" i="25"/>
  <c r="F361" i="25"/>
  <c r="L360" i="25"/>
  <c r="J360" i="25"/>
  <c r="H360" i="25"/>
  <c r="F360" i="25"/>
  <c r="L359" i="25"/>
  <c r="J359" i="25"/>
  <c r="H359" i="25"/>
  <c r="F359" i="25"/>
  <c r="L358" i="25"/>
  <c r="J358" i="25"/>
  <c r="H358" i="25"/>
  <c r="F358" i="25"/>
  <c r="L357" i="25"/>
  <c r="J357" i="25"/>
  <c r="H357" i="25"/>
  <c r="F357" i="25"/>
  <c r="L356" i="25"/>
  <c r="J356" i="25"/>
  <c r="H356" i="25"/>
  <c r="F356" i="25"/>
  <c r="L355" i="25"/>
  <c r="J355" i="25"/>
  <c r="H355" i="25"/>
  <c r="F355" i="25"/>
  <c r="L354" i="25"/>
  <c r="J354" i="25"/>
  <c r="H354" i="25"/>
  <c r="F354" i="25"/>
  <c r="L353" i="25"/>
  <c r="J353" i="25"/>
  <c r="H353" i="25"/>
  <c r="F353" i="25"/>
  <c r="L352" i="25"/>
  <c r="J352" i="25"/>
  <c r="H352" i="25"/>
  <c r="F352" i="25"/>
  <c r="L351" i="25"/>
  <c r="J351" i="25"/>
  <c r="H351" i="25"/>
  <c r="F351" i="25"/>
  <c r="L350" i="25"/>
  <c r="J350" i="25"/>
  <c r="H350" i="25"/>
  <c r="F350" i="25"/>
  <c r="L349" i="25"/>
  <c r="J349" i="25"/>
  <c r="H349" i="25"/>
  <c r="F349" i="25"/>
  <c r="L348" i="25"/>
  <c r="J348" i="25"/>
  <c r="H348" i="25"/>
  <c r="F348" i="25"/>
  <c r="L347" i="25"/>
  <c r="J347" i="25"/>
  <c r="H347" i="25"/>
  <c r="F347" i="25"/>
  <c r="L346" i="25"/>
  <c r="J346" i="25"/>
  <c r="H346" i="25"/>
  <c r="F346" i="25"/>
  <c r="L345" i="25"/>
  <c r="J345" i="25"/>
  <c r="H345" i="25"/>
  <c r="F345" i="25"/>
  <c r="L344" i="25"/>
  <c r="J344" i="25"/>
  <c r="H344" i="25"/>
  <c r="F344" i="25"/>
  <c r="L343" i="25"/>
  <c r="J343" i="25"/>
  <c r="H343" i="25"/>
  <c r="F343" i="25"/>
  <c r="L342" i="25"/>
  <c r="J342" i="25"/>
  <c r="H342" i="25"/>
  <c r="F342" i="25"/>
  <c r="L341" i="25"/>
  <c r="J341" i="25"/>
  <c r="H341" i="25"/>
  <c r="F341" i="25"/>
  <c r="L340" i="25"/>
  <c r="J340" i="25"/>
  <c r="H340" i="25"/>
  <c r="F340" i="25"/>
  <c r="L339" i="25"/>
  <c r="J339" i="25"/>
  <c r="H339" i="25"/>
  <c r="F339" i="25"/>
  <c r="L338" i="25"/>
  <c r="J338" i="25"/>
  <c r="H338" i="25"/>
  <c r="F338" i="25"/>
  <c r="L337" i="25"/>
  <c r="J337" i="25"/>
  <c r="H337" i="25"/>
  <c r="F337" i="25"/>
  <c r="L336" i="25"/>
  <c r="J336" i="25"/>
  <c r="H336" i="25"/>
  <c r="F336" i="25"/>
  <c r="L335" i="25"/>
  <c r="J335" i="25"/>
  <c r="H335" i="25"/>
  <c r="F335" i="25"/>
  <c r="L334" i="25"/>
  <c r="J334" i="25"/>
  <c r="H334" i="25"/>
  <c r="F334" i="25"/>
  <c r="L333" i="25"/>
  <c r="J333" i="25"/>
  <c r="H333" i="25"/>
  <c r="F333" i="25"/>
  <c r="L332" i="25"/>
  <c r="J332" i="25"/>
  <c r="H332" i="25"/>
  <c r="F332" i="25"/>
  <c r="L331" i="25"/>
  <c r="J331" i="25"/>
  <c r="H331" i="25"/>
  <c r="F331" i="25"/>
  <c r="L330" i="25"/>
  <c r="J330" i="25"/>
  <c r="H330" i="25"/>
  <c r="F330" i="25"/>
  <c r="L329" i="25"/>
  <c r="J329" i="25"/>
  <c r="H329" i="25"/>
  <c r="F329" i="25"/>
  <c r="L328" i="25"/>
  <c r="J328" i="25"/>
  <c r="H328" i="25"/>
  <c r="F328" i="25"/>
  <c r="L327" i="25"/>
  <c r="J327" i="25"/>
  <c r="H327" i="25"/>
  <c r="F327" i="25"/>
  <c r="L326" i="25"/>
  <c r="J326" i="25"/>
  <c r="H326" i="25"/>
  <c r="F326" i="25"/>
  <c r="L325" i="25"/>
  <c r="J325" i="25"/>
  <c r="H325" i="25"/>
  <c r="F325" i="25"/>
  <c r="L324" i="25"/>
  <c r="J324" i="25"/>
  <c r="H324" i="25"/>
  <c r="F324" i="25"/>
  <c r="L323" i="25"/>
  <c r="J323" i="25"/>
  <c r="H323" i="25"/>
  <c r="F323" i="25"/>
  <c r="L322" i="25"/>
  <c r="J322" i="25"/>
  <c r="H322" i="25"/>
  <c r="F322" i="25"/>
  <c r="L321" i="25"/>
  <c r="J321" i="25"/>
  <c r="H321" i="25"/>
  <c r="F321" i="25"/>
  <c r="L320" i="25"/>
  <c r="J320" i="25"/>
  <c r="H320" i="25"/>
  <c r="F320" i="25"/>
  <c r="L319" i="25"/>
  <c r="J319" i="25"/>
  <c r="H319" i="25"/>
  <c r="F319" i="25"/>
  <c r="L318" i="25"/>
  <c r="J318" i="25"/>
  <c r="H318" i="25"/>
  <c r="F318" i="25"/>
  <c r="L317" i="25"/>
  <c r="J317" i="25"/>
  <c r="H317" i="25"/>
  <c r="F317" i="25"/>
  <c r="L316" i="25"/>
  <c r="J316" i="25"/>
  <c r="H316" i="25"/>
  <c r="F316" i="25"/>
  <c r="L315" i="25"/>
  <c r="J315" i="25"/>
  <c r="H315" i="25"/>
  <c r="F315" i="25"/>
  <c r="L314" i="25"/>
  <c r="J314" i="25"/>
  <c r="H314" i="25"/>
  <c r="F314" i="25"/>
  <c r="L313" i="25"/>
  <c r="J313" i="25"/>
  <c r="H313" i="25"/>
  <c r="F313" i="25"/>
  <c r="L312" i="25"/>
  <c r="J312" i="25"/>
  <c r="H312" i="25"/>
  <c r="F312" i="25"/>
  <c r="L311" i="25"/>
  <c r="J311" i="25"/>
  <c r="H311" i="25"/>
  <c r="F311" i="25"/>
  <c r="L310" i="25"/>
  <c r="J310" i="25"/>
  <c r="H310" i="25"/>
  <c r="F310" i="25"/>
  <c r="L309" i="25"/>
  <c r="J309" i="25"/>
  <c r="H309" i="25"/>
  <c r="F309" i="25"/>
  <c r="L308" i="25"/>
  <c r="J308" i="25"/>
  <c r="H308" i="25"/>
  <c r="F308" i="25"/>
  <c r="L307" i="25"/>
  <c r="J307" i="25"/>
  <c r="H307" i="25"/>
  <c r="F307" i="25"/>
  <c r="L306" i="25"/>
  <c r="J306" i="25"/>
  <c r="H306" i="25"/>
  <c r="F306" i="25"/>
  <c r="L305" i="25"/>
  <c r="J305" i="25"/>
  <c r="H305" i="25"/>
  <c r="F305" i="25"/>
  <c r="L304" i="25"/>
  <c r="J304" i="25"/>
  <c r="H304" i="25"/>
  <c r="F304" i="25"/>
  <c r="L303" i="25"/>
  <c r="J303" i="25"/>
  <c r="H303" i="25"/>
  <c r="F303" i="25"/>
  <c r="L302" i="25"/>
  <c r="J302" i="25"/>
  <c r="H302" i="25"/>
  <c r="F302" i="25"/>
  <c r="L301" i="25"/>
  <c r="J301" i="25"/>
  <c r="H301" i="25"/>
  <c r="F301" i="25"/>
  <c r="L300" i="25"/>
  <c r="J300" i="25"/>
  <c r="H300" i="25"/>
  <c r="F300" i="25"/>
  <c r="L299" i="25"/>
  <c r="J299" i="25"/>
  <c r="H299" i="25"/>
  <c r="F299" i="25"/>
  <c r="L298" i="25"/>
  <c r="J298" i="25"/>
  <c r="H298" i="25"/>
  <c r="F298" i="25"/>
  <c r="L297" i="25"/>
  <c r="J297" i="25"/>
  <c r="H297" i="25"/>
  <c r="F297" i="25"/>
  <c r="L296" i="25"/>
  <c r="J296" i="25"/>
  <c r="H296" i="25"/>
  <c r="F296" i="25"/>
  <c r="L295" i="25"/>
  <c r="J295" i="25"/>
  <c r="H295" i="25"/>
  <c r="F295" i="25"/>
  <c r="L294" i="25"/>
  <c r="J294" i="25"/>
  <c r="H294" i="25"/>
  <c r="F294" i="25"/>
  <c r="L293" i="25"/>
  <c r="J293" i="25"/>
  <c r="H293" i="25"/>
  <c r="F293" i="25"/>
  <c r="L292" i="25"/>
  <c r="J292" i="25"/>
  <c r="H292" i="25"/>
  <c r="F292" i="25"/>
  <c r="L291" i="25"/>
  <c r="J291" i="25"/>
  <c r="H291" i="25"/>
  <c r="F291" i="25"/>
  <c r="L290" i="25"/>
  <c r="J290" i="25"/>
  <c r="H290" i="25"/>
  <c r="F290" i="25"/>
  <c r="L289" i="25"/>
  <c r="J289" i="25"/>
  <c r="H289" i="25"/>
  <c r="F289" i="25"/>
  <c r="L288" i="25"/>
  <c r="J288" i="25"/>
  <c r="H288" i="25"/>
  <c r="F288" i="25"/>
  <c r="L287" i="25"/>
  <c r="J287" i="25"/>
  <c r="H287" i="25"/>
  <c r="F287" i="25"/>
  <c r="L286" i="25"/>
  <c r="J286" i="25"/>
  <c r="H286" i="25"/>
  <c r="F286" i="25"/>
  <c r="L285" i="25"/>
  <c r="J285" i="25"/>
  <c r="H285" i="25"/>
  <c r="F285" i="25"/>
  <c r="L284" i="25"/>
  <c r="J284" i="25"/>
  <c r="H284" i="25"/>
  <c r="F284" i="25"/>
  <c r="L283" i="25"/>
  <c r="J283" i="25"/>
  <c r="H283" i="25"/>
  <c r="F283" i="25"/>
  <c r="L282" i="25"/>
  <c r="J282" i="25"/>
  <c r="H282" i="25"/>
  <c r="F282" i="25"/>
  <c r="L281" i="25"/>
  <c r="J281" i="25"/>
  <c r="H281" i="25"/>
  <c r="F281" i="25"/>
  <c r="L280" i="25"/>
  <c r="J280" i="25"/>
  <c r="H280" i="25"/>
  <c r="F280" i="25"/>
  <c r="L279" i="25"/>
  <c r="J279" i="25"/>
  <c r="H279" i="25"/>
  <c r="F279" i="25"/>
  <c r="L278" i="25"/>
  <c r="J278" i="25"/>
  <c r="H278" i="25"/>
  <c r="F278" i="25"/>
  <c r="L277" i="25"/>
  <c r="J277" i="25"/>
  <c r="H277" i="25"/>
  <c r="F277" i="25"/>
  <c r="L276" i="25"/>
  <c r="J276" i="25"/>
  <c r="H276" i="25"/>
  <c r="F276" i="25"/>
  <c r="L275" i="25"/>
  <c r="J275" i="25"/>
  <c r="H275" i="25"/>
  <c r="F275" i="25"/>
  <c r="L274" i="25"/>
  <c r="J274" i="25"/>
  <c r="H274" i="25"/>
  <c r="F274" i="25"/>
  <c r="L273" i="25"/>
  <c r="J273" i="25"/>
  <c r="H273" i="25"/>
  <c r="F273" i="25"/>
  <c r="L272" i="25"/>
  <c r="J272" i="25"/>
  <c r="H272" i="25"/>
  <c r="F272" i="25"/>
  <c r="L271" i="25"/>
  <c r="J271" i="25"/>
  <c r="H271" i="25"/>
  <c r="F271" i="25"/>
  <c r="L270" i="25"/>
  <c r="J270" i="25"/>
  <c r="H270" i="25"/>
  <c r="F270" i="25"/>
  <c r="L269" i="25"/>
  <c r="J269" i="25"/>
  <c r="H269" i="25"/>
  <c r="F269" i="25"/>
  <c r="L268" i="25"/>
  <c r="J268" i="25"/>
  <c r="H268" i="25"/>
  <c r="F268" i="25"/>
  <c r="L267" i="25"/>
  <c r="J267" i="25"/>
  <c r="H267" i="25"/>
  <c r="F267" i="25"/>
  <c r="L266" i="25"/>
  <c r="J266" i="25"/>
  <c r="H266" i="25"/>
  <c r="F266" i="25"/>
  <c r="L265" i="25"/>
  <c r="J265" i="25"/>
  <c r="H265" i="25"/>
  <c r="F265" i="25"/>
  <c r="L264" i="25"/>
  <c r="J264" i="25"/>
  <c r="H264" i="25"/>
  <c r="F264" i="25"/>
  <c r="L263" i="25"/>
  <c r="J263" i="25"/>
  <c r="H263" i="25"/>
  <c r="F263" i="25"/>
  <c r="L262" i="25"/>
  <c r="J262" i="25"/>
  <c r="H262" i="25"/>
  <c r="F262" i="25"/>
  <c r="L261" i="25"/>
  <c r="J261" i="25"/>
  <c r="H261" i="25"/>
  <c r="F261" i="25"/>
  <c r="L260" i="25"/>
  <c r="J260" i="25"/>
  <c r="H260" i="25"/>
  <c r="F260" i="25"/>
  <c r="L259" i="25"/>
  <c r="J259" i="25"/>
  <c r="H259" i="25"/>
  <c r="F259" i="25"/>
  <c r="L258" i="25"/>
  <c r="J258" i="25"/>
  <c r="H258" i="25"/>
  <c r="F258" i="25"/>
  <c r="L257" i="25"/>
  <c r="J257" i="25"/>
  <c r="H257" i="25"/>
  <c r="F257" i="25"/>
  <c r="L256" i="25"/>
  <c r="J256" i="25"/>
  <c r="H256" i="25"/>
  <c r="F256" i="25"/>
  <c r="L255" i="25"/>
  <c r="J255" i="25"/>
  <c r="H255" i="25"/>
  <c r="F255" i="25"/>
  <c r="L254" i="25"/>
  <c r="J254" i="25"/>
  <c r="H254" i="25"/>
  <c r="F254" i="25"/>
  <c r="L253" i="25"/>
  <c r="J253" i="25"/>
  <c r="H253" i="25"/>
  <c r="F253" i="25"/>
  <c r="L252" i="25"/>
  <c r="J252" i="25"/>
  <c r="H252" i="25"/>
  <c r="F252" i="25"/>
  <c r="L251" i="25"/>
  <c r="J251" i="25"/>
  <c r="H251" i="25"/>
  <c r="F251" i="25"/>
  <c r="L250" i="25"/>
  <c r="J250" i="25"/>
  <c r="H250" i="25"/>
  <c r="F250" i="25"/>
  <c r="L249" i="25"/>
  <c r="J249" i="25"/>
  <c r="H249" i="25"/>
  <c r="F249" i="25"/>
  <c r="L248" i="25"/>
  <c r="J248" i="25"/>
  <c r="H248" i="25"/>
  <c r="F248" i="25"/>
  <c r="L247" i="25"/>
  <c r="J247" i="25"/>
  <c r="H247" i="25"/>
  <c r="F247" i="25"/>
  <c r="L246" i="25"/>
  <c r="J246" i="25"/>
  <c r="H246" i="25"/>
  <c r="F246" i="25"/>
  <c r="L245" i="25"/>
  <c r="J245" i="25"/>
  <c r="H245" i="25"/>
  <c r="F245" i="25"/>
  <c r="L244" i="25"/>
  <c r="J244" i="25"/>
  <c r="H244" i="25"/>
  <c r="F244" i="25"/>
  <c r="L243" i="25"/>
  <c r="J243" i="25"/>
  <c r="H243" i="25"/>
  <c r="F243" i="25"/>
  <c r="L242" i="25"/>
  <c r="J242" i="25"/>
  <c r="H242" i="25"/>
  <c r="F242" i="25"/>
  <c r="L241" i="25"/>
  <c r="J241" i="25"/>
  <c r="H241" i="25"/>
  <c r="F241" i="25"/>
  <c r="L240" i="25"/>
  <c r="J240" i="25"/>
  <c r="H240" i="25"/>
  <c r="F240" i="25"/>
  <c r="L239" i="25"/>
  <c r="J239" i="25"/>
  <c r="H239" i="25"/>
  <c r="F239" i="25"/>
  <c r="L238" i="25"/>
  <c r="J238" i="25"/>
  <c r="H238" i="25"/>
  <c r="F238" i="25"/>
  <c r="L237" i="25"/>
  <c r="J237" i="25"/>
  <c r="H237" i="25"/>
  <c r="F237" i="25"/>
  <c r="L236" i="25"/>
  <c r="J236" i="25"/>
  <c r="H236" i="25"/>
  <c r="F236" i="25"/>
  <c r="L235" i="25"/>
  <c r="J235" i="25"/>
  <c r="H235" i="25"/>
  <c r="F235" i="25"/>
  <c r="L234" i="25"/>
  <c r="J234" i="25"/>
  <c r="H234" i="25"/>
  <c r="F234" i="25"/>
  <c r="L233" i="25"/>
  <c r="J233" i="25"/>
  <c r="H233" i="25"/>
  <c r="F233" i="25"/>
  <c r="L232" i="25"/>
  <c r="J232" i="25"/>
  <c r="H232" i="25"/>
  <c r="F232" i="25"/>
  <c r="L231" i="25"/>
  <c r="J231" i="25"/>
  <c r="H231" i="25"/>
  <c r="F231" i="25"/>
  <c r="L230" i="25"/>
  <c r="J230" i="25"/>
  <c r="H230" i="25"/>
  <c r="F230" i="25"/>
  <c r="L229" i="25"/>
  <c r="J229" i="25"/>
  <c r="H229" i="25"/>
  <c r="F229" i="25"/>
  <c r="L228" i="25"/>
  <c r="J228" i="25"/>
  <c r="H228" i="25"/>
  <c r="F228" i="25"/>
  <c r="L227" i="25"/>
  <c r="J227" i="25"/>
  <c r="H227" i="25"/>
  <c r="F227" i="25"/>
  <c r="L226" i="25"/>
  <c r="J226" i="25"/>
  <c r="H226" i="25"/>
  <c r="F226" i="25"/>
  <c r="L225" i="25"/>
  <c r="J225" i="25"/>
  <c r="H225" i="25"/>
  <c r="F225" i="25"/>
  <c r="L224" i="25"/>
  <c r="J224" i="25"/>
  <c r="H224" i="25"/>
  <c r="F224" i="25"/>
  <c r="L223" i="25"/>
  <c r="J223" i="25"/>
  <c r="H223" i="25"/>
  <c r="F223" i="25"/>
  <c r="L222" i="25"/>
  <c r="J222" i="25"/>
  <c r="H222" i="25"/>
  <c r="F222" i="25"/>
  <c r="L221" i="25"/>
  <c r="J221" i="25"/>
  <c r="H221" i="25"/>
  <c r="F221" i="25"/>
  <c r="L220" i="25"/>
  <c r="J220" i="25"/>
  <c r="H220" i="25"/>
  <c r="F220" i="25"/>
  <c r="L219" i="25"/>
  <c r="J219" i="25"/>
  <c r="H219" i="25"/>
  <c r="F219" i="25"/>
  <c r="L218" i="25"/>
  <c r="J218" i="25"/>
  <c r="H218" i="25"/>
  <c r="F218" i="25"/>
  <c r="L217" i="25"/>
  <c r="J217" i="25"/>
  <c r="H217" i="25"/>
  <c r="F217" i="25"/>
  <c r="L216" i="25"/>
  <c r="J216" i="25"/>
  <c r="H216" i="25"/>
  <c r="F216" i="25"/>
  <c r="L215" i="25"/>
  <c r="J215" i="25"/>
  <c r="H215" i="25"/>
  <c r="F215" i="25"/>
  <c r="L214" i="25"/>
  <c r="J214" i="25"/>
  <c r="H214" i="25"/>
  <c r="F214" i="25"/>
  <c r="L213" i="25"/>
  <c r="J213" i="25"/>
  <c r="H213" i="25"/>
  <c r="F213" i="25"/>
  <c r="L212" i="25"/>
  <c r="J212" i="25"/>
  <c r="H212" i="25"/>
  <c r="F212" i="25"/>
  <c r="L211" i="25"/>
  <c r="J211" i="25"/>
  <c r="H211" i="25"/>
  <c r="F211" i="25"/>
  <c r="L210" i="25"/>
  <c r="J210" i="25"/>
  <c r="H210" i="25"/>
  <c r="F210" i="25"/>
  <c r="L209" i="25"/>
  <c r="J209" i="25"/>
  <c r="H209" i="25"/>
  <c r="F209" i="25"/>
  <c r="L208" i="25"/>
  <c r="J208" i="25"/>
  <c r="H208" i="25"/>
  <c r="F208" i="25"/>
  <c r="L207" i="25"/>
  <c r="J207" i="25"/>
  <c r="H207" i="25"/>
  <c r="F207" i="25"/>
  <c r="L206" i="25"/>
  <c r="J206" i="25"/>
  <c r="H206" i="25"/>
  <c r="F206" i="25"/>
  <c r="L205" i="25"/>
  <c r="J205" i="25"/>
  <c r="H205" i="25"/>
  <c r="F205" i="25"/>
  <c r="L204" i="25"/>
  <c r="J204" i="25"/>
  <c r="H204" i="25"/>
  <c r="F204" i="25"/>
  <c r="L203" i="25"/>
  <c r="J203" i="25"/>
  <c r="H203" i="25"/>
  <c r="F203" i="25"/>
  <c r="L202" i="25"/>
  <c r="J202" i="25"/>
  <c r="H202" i="25"/>
  <c r="F202" i="25"/>
  <c r="L201" i="25"/>
  <c r="J201" i="25"/>
  <c r="H201" i="25"/>
  <c r="F201" i="25"/>
  <c r="L200" i="25"/>
  <c r="J200" i="25"/>
  <c r="H200" i="25"/>
  <c r="F200" i="25"/>
  <c r="L199" i="25"/>
  <c r="J199" i="25"/>
  <c r="H199" i="25"/>
  <c r="F199" i="25"/>
  <c r="L198" i="25"/>
  <c r="J198" i="25"/>
  <c r="H198" i="25"/>
  <c r="F198" i="25"/>
  <c r="L197" i="25"/>
  <c r="J197" i="25"/>
  <c r="H197" i="25"/>
  <c r="F197" i="25"/>
  <c r="L196" i="25"/>
  <c r="J196" i="25"/>
  <c r="H196" i="25"/>
  <c r="F196" i="25"/>
  <c r="L195" i="25"/>
  <c r="J195" i="25"/>
  <c r="H195" i="25"/>
  <c r="F195" i="25"/>
  <c r="L194" i="25"/>
  <c r="J194" i="25"/>
  <c r="H194" i="25"/>
  <c r="F194" i="25"/>
  <c r="L193" i="25"/>
  <c r="J193" i="25"/>
  <c r="H193" i="25"/>
  <c r="F193" i="25"/>
  <c r="L192" i="25"/>
  <c r="J192" i="25"/>
  <c r="H192" i="25"/>
  <c r="F192" i="25"/>
  <c r="L191" i="25"/>
  <c r="J191" i="25"/>
  <c r="H191" i="25"/>
  <c r="F191" i="25"/>
  <c r="L190" i="25"/>
  <c r="J190" i="25"/>
  <c r="H190" i="25"/>
  <c r="F190" i="25"/>
  <c r="L189" i="25"/>
  <c r="J189" i="25"/>
  <c r="H189" i="25"/>
  <c r="F189" i="25"/>
  <c r="L188" i="25"/>
  <c r="J188" i="25"/>
  <c r="H188" i="25"/>
  <c r="F188" i="25"/>
  <c r="L187" i="25"/>
  <c r="J187" i="25"/>
  <c r="H187" i="25"/>
  <c r="F187" i="25"/>
  <c r="L186" i="25"/>
  <c r="J186" i="25"/>
  <c r="H186" i="25"/>
  <c r="F186" i="25"/>
  <c r="L185" i="25"/>
  <c r="J185" i="25"/>
  <c r="H185" i="25"/>
  <c r="F185" i="25"/>
  <c r="L184" i="25"/>
  <c r="J184" i="25"/>
  <c r="H184" i="25"/>
  <c r="F184" i="25"/>
  <c r="L183" i="25"/>
  <c r="J183" i="25"/>
  <c r="H183" i="25"/>
  <c r="F183" i="25"/>
  <c r="L182" i="25"/>
  <c r="J182" i="25"/>
  <c r="H182" i="25"/>
  <c r="F182" i="25"/>
  <c r="L181" i="25"/>
  <c r="J181" i="25"/>
  <c r="H181" i="25"/>
  <c r="F181" i="25"/>
  <c r="L180" i="25"/>
  <c r="J180" i="25"/>
  <c r="H180" i="25"/>
  <c r="F180" i="25"/>
  <c r="L179" i="25"/>
  <c r="J179" i="25"/>
  <c r="H179" i="25"/>
  <c r="F179" i="25"/>
  <c r="L178" i="25"/>
  <c r="J178" i="25"/>
  <c r="H178" i="25"/>
  <c r="F178" i="25"/>
  <c r="L177" i="25"/>
  <c r="J177" i="25"/>
  <c r="H177" i="25"/>
  <c r="F177" i="25"/>
  <c r="L176" i="25"/>
  <c r="J176" i="25"/>
  <c r="H176" i="25"/>
  <c r="F176" i="25"/>
  <c r="L175" i="25"/>
  <c r="J175" i="25"/>
  <c r="H175" i="25"/>
  <c r="F175" i="25"/>
  <c r="L174" i="25"/>
  <c r="J174" i="25"/>
  <c r="H174" i="25"/>
  <c r="F174" i="25"/>
  <c r="L173" i="25"/>
  <c r="J173" i="25"/>
  <c r="H173" i="25"/>
  <c r="F173" i="25"/>
  <c r="L172" i="25"/>
  <c r="J172" i="25"/>
  <c r="H172" i="25"/>
  <c r="F172" i="25"/>
  <c r="L171" i="25"/>
  <c r="J171" i="25"/>
  <c r="H171" i="25"/>
  <c r="F171" i="25"/>
  <c r="L170" i="25"/>
  <c r="J170" i="25"/>
  <c r="H170" i="25"/>
  <c r="F170" i="25"/>
  <c r="L169" i="25"/>
  <c r="J169" i="25"/>
  <c r="H169" i="25"/>
  <c r="F169" i="25"/>
  <c r="L168" i="25"/>
  <c r="J168" i="25"/>
  <c r="H168" i="25"/>
  <c r="F168" i="25"/>
  <c r="L167" i="25"/>
  <c r="J167" i="25"/>
  <c r="H167" i="25"/>
  <c r="F167" i="25"/>
  <c r="L166" i="25"/>
  <c r="J166" i="25"/>
  <c r="H166" i="25"/>
  <c r="F166" i="25"/>
  <c r="L165" i="25"/>
  <c r="J165" i="25"/>
  <c r="H165" i="25"/>
  <c r="F165" i="25"/>
  <c r="L164" i="25"/>
  <c r="J164" i="25"/>
  <c r="H164" i="25"/>
  <c r="F164" i="25"/>
  <c r="L163" i="25"/>
  <c r="J163" i="25"/>
  <c r="H163" i="25"/>
  <c r="F163" i="25"/>
  <c r="L162" i="25"/>
  <c r="J162" i="25"/>
  <c r="H162" i="25"/>
  <c r="F162" i="25"/>
  <c r="L161" i="25"/>
  <c r="J161" i="25"/>
  <c r="H161" i="25"/>
  <c r="F161" i="25"/>
  <c r="L160" i="25"/>
  <c r="J160" i="25"/>
  <c r="H160" i="25"/>
  <c r="F160" i="25"/>
  <c r="L159" i="25"/>
  <c r="J159" i="25"/>
  <c r="H159" i="25"/>
  <c r="F159" i="25"/>
  <c r="L158" i="25"/>
  <c r="J158" i="25"/>
  <c r="H158" i="25"/>
  <c r="F158" i="25"/>
  <c r="L157" i="25"/>
  <c r="J157" i="25"/>
  <c r="H157" i="25"/>
  <c r="F157" i="25"/>
  <c r="L156" i="25"/>
  <c r="J156" i="25"/>
  <c r="H156" i="25"/>
  <c r="F156" i="25"/>
  <c r="L155" i="25"/>
  <c r="J155" i="25"/>
  <c r="H155" i="25"/>
  <c r="F155" i="25"/>
  <c r="L154" i="25"/>
  <c r="J154" i="25"/>
  <c r="H154" i="25"/>
  <c r="F154" i="25"/>
  <c r="L153" i="25"/>
  <c r="J153" i="25"/>
  <c r="H153" i="25"/>
  <c r="F153" i="25"/>
  <c r="L152" i="25"/>
  <c r="J152" i="25"/>
  <c r="H152" i="25"/>
  <c r="F152" i="25"/>
  <c r="L151" i="25"/>
  <c r="J151" i="25"/>
  <c r="H151" i="25"/>
  <c r="F151" i="25"/>
  <c r="L150" i="25"/>
  <c r="J150" i="25"/>
  <c r="H150" i="25"/>
  <c r="F150" i="25"/>
  <c r="L149" i="25"/>
  <c r="J149" i="25"/>
  <c r="H149" i="25"/>
  <c r="F149" i="25"/>
  <c r="L148" i="25"/>
  <c r="J148" i="25"/>
  <c r="H148" i="25"/>
  <c r="F148" i="25"/>
  <c r="L147" i="25"/>
  <c r="J147" i="25"/>
  <c r="H147" i="25"/>
  <c r="F147" i="25"/>
  <c r="L146" i="25"/>
  <c r="J146" i="25"/>
  <c r="H146" i="25"/>
  <c r="F146" i="25"/>
  <c r="L145" i="25"/>
  <c r="J145" i="25"/>
  <c r="H145" i="25"/>
  <c r="F145" i="25"/>
  <c r="L144" i="25"/>
  <c r="J144" i="25"/>
  <c r="H144" i="25"/>
  <c r="F144" i="25"/>
  <c r="L143" i="25"/>
  <c r="J143" i="25"/>
  <c r="H143" i="25"/>
  <c r="F143" i="25"/>
  <c r="L142" i="25"/>
  <c r="J142" i="25"/>
  <c r="H142" i="25"/>
  <c r="F142" i="25"/>
  <c r="L141" i="25"/>
  <c r="J141" i="25"/>
  <c r="H141" i="25"/>
  <c r="F141" i="25"/>
  <c r="L140" i="25"/>
  <c r="J140" i="25"/>
  <c r="H140" i="25"/>
  <c r="F140" i="25"/>
  <c r="L139" i="25"/>
  <c r="J139" i="25"/>
  <c r="H139" i="25"/>
  <c r="F139" i="25"/>
  <c r="L138" i="25"/>
  <c r="J138" i="25"/>
  <c r="H138" i="25"/>
  <c r="F138" i="25"/>
  <c r="L137" i="25"/>
  <c r="J137" i="25"/>
  <c r="H137" i="25"/>
  <c r="F137" i="25"/>
  <c r="L136" i="25"/>
  <c r="J136" i="25"/>
  <c r="H136" i="25"/>
  <c r="F136" i="25"/>
  <c r="L135" i="25"/>
  <c r="J135" i="25"/>
  <c r="H135" i="25"/>
  <c r="F135" i="25"/>
  <c r="L134" i="25"/>
  <c r="J134" i="25"/>
  <c r="H134" i="25"/>
  <c r="F134" i="25"/>
  <c r="L133" i="25"/>
  <c r="J133" i="25"/>
  <c r="H133" i="25"/>
  <c r="F133" i="25"/>
  <c r="L132" i="25"/>
  <c r="J132" i="25"/>
  <c r="H132" i="25"/>
  <c r="F132" i="25"/>
  <c r="L131" i="25"/>
  <c r="J131" i="25"/>
  <c r="H131" i="25"/>
  <c r="F131" i="25"/>
  <c r="L130" i="25"/>
  <c r="J130" i="25"/>
  <c r="H130" i="25"/>
  <c r="F130" i="25"/>
  <c r="L129" i="25"/>
  <c r="J129" i="25"/>
  <c r="H129" i="25"/>
  <c r="F129" i="25"/>
  <c r="L128" i="25"/>
  <c r="J128" i="25"/>
  <c r="H128" i="25"/>
  <c r="F128" i="25"/>
  <c r="L127" i="25"/>
  <c r="J127" i="25"/>
  <c r="H127" i="25"/>
  <c r="F127" i="25"/>
  <c r="L126" i="25"/>
  <c r="J126" i="25"/>
  <c r="H126" i="25"/>
  <c r="F126" i="25"/>
  <c r="L125" i="25"/>
  <c r="J125" i="25"/>
  <c r="H125" i="25"/>
  <c r="F125" i="25"/>
  <c r="L124" i="25"/>
  <c r="J124" i="25"/>
  <c r="H124" i="25"/>
  <c r="F124" i="25"/>
  <c r="L123" i="25"/>
  <c r="J123" i="25"/>
  <c r="H123" i="25"/>
  <c r="F123" i="25"/>
  <c r="L122" i="25"/>
  <c r="J122" i="25"/>
  <c r="H122" i="25"/>
  <c r="F122" i="25"/>
  <c r="L121" i="25"/>
  <c r="J121" i="25"/>
  <c r="H121" i="25"/>
  <c r="F121" i="25"/>
  <c r="L120" i="25"/>
  <c r="J120" i="25"/>
  <c r="H120" i="25"/>
  <c r="F120" i="25"/>
  <c r="L119" i="25"/>
  <c r="J119" i="25"/>
  <c r="H119" i="25"/>
  <c r="F119" i="25"/>
  <c r="L118" i="25"/>
  <c r="J118" i="25"/>
  <c r="H118" i="25"/>
  <c r="F118" i="25"/>
  <c r="L117" i="25"/>
  <c r="J117" i="25"/>
  <c r="H117" i="25"/>
  <c r="F117" i="25"/>
  <c r="L116" i="25"/>
  <c r="J116" i="25"/>
  <c r="H116" i="25"/>
  <c r="F116" i="25"/>
  <c r="L115" i="25"/>
  <c r="J115" i="25"/>
  <c r="H115" i="25"/>
  <c r="F115" i="25"/>
  <c r="L114" i="25"/>
  <c r="J114" i="25"/>
  <c r="H114" i="25"/>
  <c r="F114" i="25"/>
  <c r="L113" i="25"/>
  <c r="J113" i="25"/>
  <c r="H113" i="25"/>
  <c r="F113" i="25"/>
  <c r="L112" i="25"/>
  <c r="J112" i="25"/>
  <c r="H112" i="25"/>
  <c r="F112" i="25"/>
  <c r="L111" i="25"/>
  <c r="J111" i="25"/>
  <c r="H111" i="25"/>
  <c r="F111" i="25"/>
  <c r="L110" i="25"/>
  <c r="J110" i="25"/>
  <c r="H110" i="25"/>
  <c r="F110" i="25"/>
  <c r="L109" i="25"/>
  <c r="J109" i="25"/>
  <c r="H109" i="25"/>
  <c r="F109" i="25"/>
  <c r="L108" i="25"/>
  <c r="J108" i="25"/>
  <c r="H108" i="25"/>
  <c r="F108" i="25"/>
  <c r="L107" i="25"/>
  <c r="J107" i="25"/>
  <c r="H107" i="25"/>
  <c r="F107" i="25"/>
  <c r="L106" i="25"/>
  <c r="J106" i="25"/>
  <c r="H106" i="25"/>
  <c r="F106" i="25"/>
  <c r="L105" i="25"/>
  <c r="J105" i="25"/>
  <c r="H105" i="25"/>
  <c r="F105" i="25"/>
  <c r="L104" i="25"/>
  <c r="J104" i="25"/>
  <c r="H104" i="25"/>
  <c r="F104" i="25"/>
  <c r="L103" i="25"/>
  <c r="J103" i="25"/>
  <c r="H103" i="25"/>
  <c r="F103" i="25"/>
  <c r="L102" i="25"/>
  <c r="J102" i="25"/>
  <c r="H102" i="25"/>
  <c r="F102" i="25"/>
  <c r="L101" i="25"/>
  <c r="J101" i="25"/>
  <c r="H101" i="25"/>
  <c r="F101" i="25"/>
  <c r="L100" i="25"/>
  <c r="J100" i="25"/>
  <c r="H100" i="25"/>
  <c r="F100" i="25"/>
  <c r="L99" i="25"/>
  <c r="J99" i="25"/>
  <c r="H99" i="25"/>
  <c r="F99" i="25"/>
  <c r="L98" i="25"/>
  <c r="J98" i="25"/>
  <c r="H98" i="25"/>
  <c r="F98" i="25"/>
  <c r="L97" i="25"/>
  <c r="J97" i="25"/>
  <c r="H97" i="25"/>
  <c r="F97" i="25"/>
  <c r="L96" i="25"/>
  <c r="J96" i="25"/>
  <c r="H96" i="25"/>
  <c r="F96" i="25"/>
  <c r="L95" i="25"/>
  <c r="J95" i="25"/>
  <c r="H95" i="25"/>
  <c r="F95" i="25"/>
  <c r="L94" i="25"/>
  <c r="J94" i="25"/>
  <c r="H94" i="25"/>
  <c r="F94" i="25"/>
  <c r="L93" i="25"/>
  <c r="J93" i="25"/>
  <c r="H93" i="25"/>
  <c r="F93" i="25"/>
  <c r="L92" i="25"/>
  <c r="J92" i="25"/>
  <c r="H92" i="25"/>
  <c r="F92" i="25"/>
  <c r="L91" i="25"/>
  <c r="J91" i="25"/>
  <c r="H91" i="25"/>
  <c r="F91" i="25"/>
  <c r="L90" i="25"/>
  <c r="J90" i="25"/>
  <c r="H90" i="25"/>
  <c r="F90" i="25"/>
  <c r="L89" i="25"/>
  <c r="J89" i="25"/>
  <c r="H89" i="25"/>
  <c r="F89" i="25"/>
  <c r="L88" i="25"/>
  <c r="J88" i="25"/>
  <c r="H88" i="25"/>
  <c r="F88" i="25"/>
  <c r="L87" i="25"/>
  <c r="J87" i="25"/>
  <c r="H87" i="25"/>
  <c r="F87" i="25"/>
  <c r="L86" i="25"/>
  <c r="J86" i="25"/>
  <c r="H86" i="25"/>
  <c r="F86" i="25"/>
  <c r="L85" i="25"/>
  <c r="J85" i="25"/>
  <c r="H85" i="25"/>
  <c r="F85" i="25"/>
  <c r="L84" i="25"/>
  <c r="J84" i="25"/>
  <c r="H84" i="25"/>
  <c r="F84" i="25"/>
  <c r="L83" i="25"/>
  <c r="J83" i="25"/>
  <c r="H83" i="25"/>
  <c r="F83" i="25"/>
  <c r="L82" i="25"/>
  <c r="J82" i="25"/>
  <c r="H82" i="25"/>
  <c r="F82" i="25"/>
  <c r="L81" i="25"/>
  <c r="J81" i="25"/>
  <c r="H81" i="25"/>
  <c r="F81" i="25"/>
  <c r="L80" i="25"/>
  <c r="J80" i="25"/>
  <c r="H80" i="25"/>
  <c r="F80" i="25"/>
  <c r="L79" i="25"/>
  <c r="J79" i="25"/>
  <c r="H79" i="25"/>
  <c r="F79" i="25"/>
  <c r="L78" i="25"/>
  <c r="J78" i="25"/>
  <c r="H78" i="25"/>
  <c r="F78" i="25"/>
  <c r="L77" i="25"/>
  <c r="J77" i="25"/>
  <c r="H77" i="25"/>
  <c r="F77" i="25"/>
  <c r="L76" i="25"/>
  <c r="J76" i="25"/>
  <c r="H76" i="25"/>
  <c r="F76" i="25"/>
  <c r="L75" i="25"/>
  <c r="J75" i="25"/>
  <c r="H75" i="25"/>
  <c r="F75" i="25"/>
  <c r="L74" i="25"/>
  <c r="J74" i="25"/>
  <c r="H74" i="25"/>
  <c r="F74" i="25"/>
  <c r="L73" i="25"/>
  <c r="J73" i="25"/>
  <c r="H73" i="25"/>
  <c r="F73" i="25"/>
  <c r="L72" i="25"/>
  <c r="J72" i="25"/>
  <c r="H72" i="25"/>
  <c r="F72" i="25"/>
  <c r="L71" i="25"/>
  <c r="J71" i="25"/>
  <c r="H71" i="25"/>
  <c r="F71" i="25"/>
  <c r="L70" i="25"/>
  <c r="J70" i="25"/>
  <c r="H70" i="25"/>
  <c r="F70" i="25"/>
  <c r="L69" i="25"/>
  <c r="J69" i="25"/>
  <c r="H69" i="25"/>
  <c r="F69" i="25"/>
  <c r="L68" i="25"/>
  <c r="J68" i="25"/>
  <c r="H68" i="25"/>
  <c r="F68" i="25"/>
  <c r="L67" i="25"/>
  <c r="J67" i="25"/>
  <c r="H67" i="25"/>
  <c r="F67" i="25"/>
  <c r="L66" i="25"/>
  <c r="J66" i="25"/>
  <c r="H66" i="25"/>
  <c r="F66" i="25"/>
  <c r="L65" i="25"/>
  <c r="J65" i="25"/>
  <c r="H65" i="25"/>
  <c r="F65" i="25"/>
  <c r="L64" i="25"/>
  <c r="J64" i="25"/>
  <c r="H64" i="25"/>
  <c r="F64" i="25"/>
  <c r="L63" i="25"/>
  <c r="J63" i="25"/>
  <c r="H63" i="25"/>
  <c r="F63" i="25"/>
  <c r="L62" i="25"/>
  <c r="J62" i="25"/>
  <c r="H62" i="25"/>
  <c r="F62" i="25"/>
  <c r="L61" i="25"/>
  <c r="J61" i="25"/>
  <c r="H61" i="25"/>
  <c r="F61" i="25"/>
  <c r="L60" i="25"/>
  <c r="J60" i="25"/>
  <c r="H60" i="25"/>
  <c r="F60" i="25"/>
  <c r="L59" i="25"/>
  <c r="J59" i="25"/>
  <c r="H59" i="25"/>
  <c r="F59" i="25"/>
  <c r="L58" i="25"/>
  <c r="J58" i="25"/>
  <c r="H58" i="25"/>
  <c r="F58" i="25"/>
  <c r="L57" i="25"/>
  <c r="J57" i="25"/>
  <c r="H57" i="25"/>
  <c r="F57" i="25"/>
  <c r="L56" i="25"/>
  <c r="J56" i="25"/>
  <c r="H56" i="25"/>
  <c r="F56" i="25"/>
  <c r="L55" i="25"/>
  <c r="J55" i="25"/>
  <c r="H55" i="25"/>
  <c r="F55" i="25"/>
  <c r="L54" i="25"/>
  <c r="J54" i="25"/>
  <c r="H54" i="25"/>
  <c r="F54" i="25"/>
  <c r="L53" i="25"/>
  <c r="J53" i="25"/>
  <c r="H53" i="25"/>
  <c r="F53" i="25"/>
  <c r="L52" i="25"/>
  <c r="J52" i="25"/>
  <c r="H52" i="25"/>
  <c r="F52" i="25"/>
  <c r="L51" i="25"/>
  <c r="J51" i="25"/>
  <c r="H51" i="25"/>
  <c r="F51" i="25"/>
  <c r="L50" i="25"/>
  <c r="J50" i="25"/>
  <c r="H50" i="25"/>
  <c r="F50" i="25"/>
  <c r="L49" i="25"/>
  <c r="J49" i="25"/>
  <c r="H49" i="25"/>
  <c r="F49" i="25"/>
  <c r="L48" i="25"/>
  <c r="J48" i="25"/>
  <c r="H48" i="25"/>
  <c r="F48" i="25"/>
  <c r="L47" i="25"/>
  <c r="J47" i="25"/>
  <c r="H47" i="25"/>
  <c r="F47" i="25"/>
  <c r="L46" i="25"/>
  <c r="J46" i="25"/>
  <c r="H46" i="25"/>
  <c r="F46" i="25"/>
  <c r="L45" i="25"/>
  <c r="J45" i="25"/>
  <c r="H45" i="25"/>
  <c r="F45" i="25"/>
  <c r="L44" i="25"/>
  <c r="J44" i="25"/>
  <c r="H44" i="25"/>
  <c r="F44" i="25"/>
  <c r="L43" i="25"/>
  <c r="J43" i="25"/>
  <c r="H43" i="25"/>
  <c r="F43" i="25"/>
  <c r="L42" i="25"/>
  <c r="J42" i="25"/>
  <c r="H42" i="25"/>
  <c r="F42" i="25"/>
  <c r="L41" i="25"/>
  <c r="J41" i="25"/>
  <c r="H41" i="25"/>
  <c r="F41" i="25"/>
  <c r="L40" i="25"/>
  <c r="J40" i="25"/>
  <c r="H40" i="25"/>
  <c r="F40" i="25"/>
  <c r="L39" i="25"/>
  <c r="J39" i="25"/>
  <c r="H39" i="25"/>
  <c r="F39" i="25"/>
  <c r="L38" i="25"/>
  <c r="J38" i="25"/>
  <c r="H38" i="25"/>
  <c r="F38" i="25"/>
  <c r="L37" i="25"/>
  <c r="J37" i="25"/>
  <c r="H37" i="25"/>
  <c r="F37" i="25"/>
  <c r="L36" i="25"/>
  <c r="J36" i="25"/>
  <c r="H36" i="25"/>
  <c r="F36" i="25"/>
  <c r="L35" i="25"/>
  <c r="J35" i="25"/>
  <c r="H35" i="25"/>
  <c r="F35" i="25"/>
  <c r="L34" i="25"/>
  <c r="J34" i="25"/>
  <c r="H34" i="25"/>
  <c r="F34" i="25"/>
  <c r="L33" i="25"/>
  <c r="J33" i="25"/>
  <c r="H33" i="25"/>
  <c r="F33" i="25"/>
  <c r="L32" i="25"/>
  <c r="J32" i="25"/>
  <c r="H32" i="25"/>
  <c r="F32" i="25"/>
  <c r="L31" i="25"/>
  <c r="J31" i="25"/>
  <c r="H31" i="25"/>
  <c r="F31" i="25"/>
  <c r="L30" i="25"/>
  <c r="J30" i="25"/>
  <c r="H30" i="25"/>
  <c r="F30" i="25"/>
  <c r="L29" i="25"/>
  <c r="J29" i="25"/>
  <c r="H29" i="25"/>
  <c r="F29" i="25"/>
  <c r="L28" i="25"/>
  <c r="J28" i="25"/>
  <c r="H28" i="25"/>
  <c r="F28" i="25"/>
  <c r="L27" i="25"/>
  <c r="J27" i="25"/>
  <c r="H27" i="25"/>
  <c r="F27" i="25"/>
  <c r="L26" i="25"/>
  <c r="J26" i="25"/>
  <c r="H26" i="25"/>
  <c r="F26" i="25"/>
  <c r="L25" i="25"/>
  <c r="J25" i="25"/>
  <c r="H25" i="25"/>
  <c r="F25" i="25"/>
  <c r="L24" i="25"/>
  <c r="J24" i="25"/>
  <c r="H24" i="25"/>
  <c r="F24" i="25"/>
  <c r="L23" i="25"/>
  <c r="J23" i="25"/>
  <c r="H23" i="25"/>
  <c r="F23" i="25"/>
  <c r="L22" i="25"/>
  <c r="J22" i="25"/>
  <c r="H22" i="25"/>
  <c r="F22" i="25"/>
  <c r="L21" i="25"/>
  <c r="J21" i="25"/>
  <c r="H21" i="25"/>
  <c r="F21" i="25"/>
  <c r="L20" i="25"/>
  <c r="J20" i="25"/>
  <c r="H20" i="25"/>
  <c r="F20" i="25"/>
  <c r="L19" i="25"/>
  <c r="J19" i="25"/>
  <c r="H19" i="25"/>
  <c r="F19" i="25"/>
  <c r="L18" i="25"/>
  <c r="J18" i="25"/>
  <c r="H18" i="25"/>
  <c r="F18" i="25"/>
  <c r="L17" i="25"/>
  <c r="J17" i="25"/>
  <c r="H17" i="25"/>
  <c r="F17" i="25"/>
  <c r="L16" i="25"/>
  <c r="J16" i="25"/>
  <c r="H16" i="25"/>
  <c r="F16" i="25"/>
  <c r="L15" i="25"/>
  <c r="J15" i="25"/>
  <c r="H15" i="25"/>
  <c r="F15" i="25"/>
  <c r="L14" i="25"/>
  <c r="J14" i="25"/>
  <c r="H14" i="25"/>
  <c r="F14" i="25"/>
  <c r="L13" i="25"/>
  <c r="J13" i="25"/>
  <c r="H13" i="25"/>
  <c r="F13" i="25"/>
  <c r="L12" i="25"/>
  <c r="J12" i="25"/>
  <c r="H12" i="25"/>
  <c r="F12" i="25"/>
  <c r="L11" i="25"/>
  <c r="J11" i="25"/>
  <c r="H11" i="25"/>
  <c r="F11" i="25"/>
  <c r="L10" i="25"/>
  <c r="J10" i="25"/>
  <c r="H10" i="25"/>
  <c r="F10" i="25"/>
  <c r="L9" i="25"/>
  <c r="J9" i="25"/>
  <c r="H9" i="25"/>
  <c r="F9" i="25"/>
  <c r="L8" i="25"/>
  <c r="J8" i="25"/>
  <c r="H8" i="25"/>
  <c r="F8" i="25"/>
  <c r="L7" i="25"/>
  <c r="J7" i="25"/>
  <c r="H7" i="25"/>
  <c r="F7" i="25"/>
  <c r="L6" i="25"/>
  <c r="J6" i="25"/>
  <c r="H6" i="25"/>
  <c r="F6" i="25"/>
  <c r="L5" i="25"/>
  <c r="J5" i="25"/>
  <c r="H5" i="25"/>
  <c r="F5" i="25"/>
  <c r="L4" i="25"/>
  <c r="J4" i="25"/>
  <c r="H4" i="25"/>
  <c r="F4" i="25"/>
  <c r="L3" i="25"/>
  <c r="K3" i="25" s="1"/>
  <c r="K4" i="25" s="1"/>
  <c r="K5" i="25" s="1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K99" i="25" s="1"/>
  <c r="K100" i="25" s="1"/>
  <c r="K101" i="25" s="1"/>
  <c r="K102" i="25" s="1"/>
  <c r="K103" i="25" s="1"/>
  <c r="K104" i="25" s="1"/>
  <c r="K105" i="25" s="1"/>
  <c r="K106" i="25" s="1"/>
  <c r="K107" i="25" s="1"/>
  <c r="K108" i="25" s="1"/>
  <c r="K109" i="25" s="1"/>
  <c r="K110" i="25" s="1"/>
  <c r="K111" i="25" s="1"/>
  <c r="K112" i="25" s="1"/>
  <c r="K113" i="25" s="1"/>
  <c r="K114" i="25" s="1"/>
  <c r="K115" i="25" s="1"/>
  <c r="K116" i="25" s="1"/>
  <c r="K117" i="25" s="1"/>
  <c r="K118" i="25" s="1"/>
  <c r="K119" i="25" s="1"/>
  <c r="K120" i="25" s="1"/>
  <c r="K121" i="25" s="1"/>
  <c r="K122" i="25" s="1"/>
  <c r="K123" i="25" s="1"/>
  <c r="K124" i="25" s="1"/>
  <c r="K125" i="25" s="1"/>
  <c r="K126" i="25" s="1"/>
  <c r="K127" i="25" s="1"/>
  <c r="K128" i="25" s="1"/>
  <c r="K129" i="25" s="1"/>
  <c r="K130" i="25" s="1"/>
  <c r="K131" i="25" s="1"/>
  <c r="K132" i="25" s="1"/>
  <c r="K133" i="25" s="1"/>
  <c r="K134" i="25" s="1"/>
  <c r="K135" i="25" s="1"/>
  <c r="K136" i="25" s="1"/>
  <c r="K137" i="25" s="1"/>
  <c r="K138" i="25" s="1"/>
  <c r="K139" i="25" s="1"/>
  <c r="K140" i="25" s="1"/>
  <c r="K141" i="25" s="1"/>
  <c r="K142" i="25" s="1"/>
  <c r="K143" i="25" s="1"/>
  <c r="K144" i="25" s="1"/>
  <c r="K145" i="25" s="1"/>
  <c r="K146" i="25" s="1"/>
  <c r="K147" i="25" s="1"/>
  <c r="K148" i="25" s="1"/>
  <c r="K149" i="25" s="1"/>
  <c r="K150" i="25" s="1"/>
  <c r="K151" i="25" s="1"/>
  <c r="K152" i="25" s="1"/>
  <c r="K153" i="25" s="1"/>
  <c r="K154" i="25" s="1"/>
  <c r="K155" i="25" s="1"/>
  <c r="K156" i="25" s="1"/>
  <c r="K157" i="25" s="1"/>
  <c r="K158" i="25" s="1"/>
  <c r="K159" i="25" s="1"/>
  <c r="K160" i="25" s="1"/>
  <c r="K161" i="25" s="1"/>
  <c r="K162" i="25" s="1"/>
  <c r="K163" i="25" s="1"/>
  <c r="K164" i="25" s="1"/>
  <c r="K165" i="25" s="1"/>
  <c r="K166" i="25" s="1"/>
  <c r="K167" i="25" s="1"/>
  <c r="K168" i="25" s="1"/>
  <c r="K169" i="25" s="1"/>
  <c r="K170" i="25" s="1"/>
  <c r="K171" i="25" s="1"/>
  <c r="K172" i="25" s="1"/>
  <c r="K173" i="25" s="1"/>
  <c r="K174" i="25" s="1"/>
  <c r="K175" i="25" s="1"/>
  <c r="K176" i="25" s="1"/>
  <c r="K177" i="25" s="1"/>
  <c r="K178" i="25" s="1"/>
  <c r="K179" i="25" s="1"/>
  <c r="K180" i="25" s="1"/>
  <c r="K181" i="25" s="1"/>
  <c r="K182" i="25" s="1"/>
  <c r="K183" i="25" s="1"/>
  <c r="K184" i="25" s="1"/>
  <c r="K185" i="25" s="1"/>
  <c r="K186" i="25" s="1"/>
  <c r="K187" i="25" s="1"/>
  <c r="K188" i="25" s="1"/>
  <c r="K189" i="25" s="1"/>
  <c r="K190" i="25" s="1"/>
  <c r="K191" i="25" s="1"/>
  <c r="K192" i="25" s="1"/>
  <c r="K193" i="25" s="1"/>
  <c r="K194" i="25" s="1"/>
  <c r="K195" i="25" s="1"/>
  <c r="K196" i="25" s="1"/>
  <c r="K197" i="25" s="1"/>
  <c r="K198" i="25" s="1"/>
  <c r="K199" i="25" s="1"/>
  <c r="K200" i="25" s="1"/>
  <c r="K201" i="25" s="1"/>
  <c r="K202" i="25" s="1"/>
  <c r="K203" i="25" s="1"/>
  <c r="K204" i="25" s="1"/>
  <c r="K205" i="25" s="1"/>
  <c r="K206" i="25" s="1"/>
  <c r="K207" i="25" s="1"/>
  <c r="K208" i="25" s="1"/>
  <c r="K209" i="25" s="1"/>
  <c r="K210" i="25" s="1"/>
  <c r="K211" i="25" s="1"/>
  <c r="K212" i="25" s="1"/>
  <c r="K213" i="25" s="1"/>
  <c r="K214" i="25" s="1"/>
  <c r="K215" i="25" s="1"/>
  <c r="K216" i="25" s="1"/>
  <c r="K217" i="25" s="1"/>
  <c r="K218" i="25" s="1"/>
  <c r="K219" i="25" s="1"/>
  <c r="K220" i="25" s="1"/>
  <c r="K221" i="25" s="1"/>
  <c r="K222" i="25" s="1"/>
  <c r="K223" i="25" s="1"/>
  <c r="K224" i="25" s="1"/>
  <c r="K225" i="25" s="1"/>
  <c r="K226" i="25" s="1"/>
  <c r="K227" i="25" s="1"/>
  <c r="K228" i="25" s="1"/>
  <c r="K229" i="25" s="1"/>
  <c r="K230" i="25" s="1"/>
  <c r="K231" i="25" s="1"/>
  <c r="K232" i="25" s="1"/>
  <c r="K233" i="25" s="1"/>
  <c r="K234" i="25" s="1"/>
  <c r="K235" i="25" s="1"/>
  <c r="K236" i="25" s="1"/>
  <c r="K237" i="25" s="1"/>
  <c r="K238" i="25" s="1"/>
  <c r="K239" i="25" s="1"/>
  <c r="K240" i="25" s="1"/>
  <c r="K241" i="25" s="1"/>
  <c r="K242" i="25" s="1"/>
  <c r="K243" i="25" s="1"/>
  <c r="K244" i="25" s="1"/>
  <c r="K245" i="25" s="1"/>
  <c r="K246" i="25" s="1"/>
  <c r="K247" i="25" s="1"/>
  <c r="K248" i="25" s="1"/>
  <c r="K249" i="25" s="1"/>
  <c r="K250" i="25" s="1"/>
  <c r="K251" i="25" s="1"/>
  <c r="K252" i="25" s="1"/>
  <c r="K253" i="25" s="1"/>
  <c r="K254" i="25" s="1"/>
  <c r="K255" i="25" s="1"/>
  <c r="K256" i="25" s="1"/>
  <c r="K257" i="25" s="1"/>
  <c r="K258" i="25" s="1"/>
  <c r="K259" i="25" s="1"/>
  <c r="K260" i="25" s="1"/>
  <c r="K261" i="25" s="1"/>
  <c r="K262" i="25" s="1"/>
  <c r="K263" i="25" s="1"/>
  <c r="K264" i="25" s="1"/>
  <c r="K265" i="25" s="1"/>
  <c r="K266" i="25" s="1"/>
  <c r="K267" i="25" s="1"/>
  <c r="K268" i="25" s="1"/>
  <c r="K269" i="25" s="1"/>
  <c r="K270" i="25" s="1"/>
  <c r="K271" i="25" s="1"/>
  <c r="K272" i="25" s="1"/>
  <c r="K273" i="25" s="1"/>
  <c r="K274" i="25" s="1"/>
  <c r="K275" i="25" s="1"/>
  <c r="K276" i="25" s="1"/>
  <c r="K277" i="25" s="1"/>
  <c r="K278" i="25" s="1"/>
  <c r="K279" i="25" s="1"/>
  <c r="K280" i="25" s="1"/>
  <c r="K281" i="25" s="1"/>
  <c r="K282" i="25" s="1"/>
  <c r="K283" i="25" s="1"/>
  <c r="K284" i="25" s="1"/>
  <c r="K285" i="25" s="1"/>
  <c r="K286" i="25" s="1"/>
  <c r="K287" i="25" s="1"/>
  <c r="K288" i="25" s="1"/>
  <c r="K289" i="25" s="1"/>
  <c r="K290" i="25" s="1"/>
  <c r="K291" i="25" s="1"/>
  <c r="K292" i="25" s="1"/>
  <c r="K293" i="25" s="1"/>
  <c r="K294" i="25" s="1"/>
  <c r="K295" i="25" s="1"/>
  <c r="K296" i="25" s="1"/>
  <c r="K297" i="25" s="1"/>
  <c r="K298" i="25" s="1"/>
  <c r="K299" i="25" s="1"/>
  <c r="K300" i="25" s="1"/>
  <c r="K301" i="25" s="1"/>
  <c r="K302" i="25" s="1"/>
  <c r="K303" i="25" s="1"/>
  <c r="K304" i="25" s="1"/>
  <c r="K305" i="25" s="1"/>
  <c r="K306" i="25" s="1"/>
  <c r="K307" i="25" s="1"/>
  <c r="K308" i="25" s="1"/>
  <c r="K309" i="25" s="1"/>
  <c r="K310" i="25" s="1"/>
  <c r="K311" i="25" s="1"/>
  <c r="K312" i="25" s="1"/>
  <c r="K313" i="25" s="1"/>
  <c r="K314" i="25" s="1"/>
  <c r="K315" i="25" s="1"/>
  <c r="K316" i="25" s="1"/>
  <c r="K317" i="25" s="1"/>
  <c r="K318" i="25" s="1"/>
  <c r="K319" i="25" s="1"/>
  <c r="K320" i="25" s="1"/>
  <c r="K321" i="25" s="1"/>
  <c r="K322" i="25" s="1"/>
  <c r="K323" i="25" s="1"/>
  <c r="K324" i="25" s="1"/>
  <c r="K325" i="25" s="1"/>
  <c r="K326" i="25" s="1"/>
  <c r="K327" i="25" s="1"/>
  <c r="K328" i="25" s="1"/>
  <c r="K329" i="25" s="1"/>
  <c r="K330" i="25" s="1"/>
  <c r="K331" i="25" s="1"/>
  <c r="K332" i="25" s="1"/>
  <c r="K333" i="25" s="1"/>
  <c r="K334" i="25" s="1"/>
  <c r="K335" i="25" s="1"/>
  <c r="K336" i="25" s="1"/>
  <c r="K337" i="25" s="1"/>
  <c r="K338" i="25" s="1"/>
  <c r="K339" i="25" s="1"/>
  <c r="K340" i="25" s="1"/>
  <c r="K341" i="25" s="1"/>
  <c r="K342" i="25" s="1"/>
  <c r="K343" i="25" s="1"/>
  <c r="K344" i="25" s="1"/>
  <c r="K345" i="25" s="1"/>
  <c r="K346" i="25" s="1"/>
  <c r="K347" i="25" s="1"/>
  <c r="K348" i="25" s="1"/>
  <c r="K349" i="25" s="1"/>
  <c r="K350" i="25" s="1"/>
  <c r="K351" i="25" s="1"/>
  <c r="K352" i="25" s="1"/>
  <c r="K353" i="25" s="1"/>
  <c r="K354" i="25" s="1"/>
  <c r="K355" i="25" s="1"/>
  <c r="K356" i="25" s="1"/>
  <c r="K357" i="25" s="1"/>
  <c r="K358" i="25" s="1"/>
  <c r="K359" i="25" s="1"/>
  <c r="K360" i="25" s="1"/>
  <c r="K361" i="25" s="1"/>
  <c r="K362" i="25" s="1"/>
  <c r="K363" i="25" s="1"/>
  <c r="K364" i="25" s="1"/>
  <c r="K365" i="25" s="1"/>
  <c r="K366" i="25" s="1"/>
  <c r="K367" i="25" s="1"/>
  <c r="K368" i="25" s="1"/>
  <c r="K369" i="25" s="1"/>
  <c r="K370" i="25" s="1"/>
  <c r="K371" i="25" s="1"/>
  <c r="K372" i="25" s="1"/>
  <c r="K373" i="25" s="1"/>
  <c r="K374" i="25" s="1"/>
  <c r="K375" i="25" s="1"/>
  <c r="K376" i="25" s="1"/>
  <c r="K377" i="25" s="1"/>
  <c r="K378" i="25" s="1"/>
  <c r="K379" i="25" s="1"/>
  <c r="K380" i="25" s="1"/>
  <c r="K381" i="25" s="1"/>
  <c r="K382" i="25" s="1"/>
  <c r="K383" i="25" s="1"/>
  <c r="K384" i="25" s="1"/>
  <c r="K385" i="25" s="1"/>
  <c r="K386" i="25" s="1"/>
  <c r="K387" i="25" s="1"/>
  <c r="K388" i="25" s="1"/>
  <c r="K389" i="25" s="1"/>
  <c r="K390" i="25" s="1"/>
  <c r="K391" i="25" s="1"/>
  <c r="K392" i="25" s="1"/>
  <c r="K393" i="25" s="1"/>
  <c r="K394" i="25" s="1"/>
  <c r="K395" i="25" s="1"/>
  <c r="K396" i="25" s="1"/>
  <c r="K397" i="25" s="1"/>
  <c r="K398" i="25" s="1"/>
  <c r="K399" i="25" s="1"/>
  <c r="K400" i="25" s="1"/>
  <c r="K401" i="25" s="1"/>
  <c r="K402" i="25" s="1"/>
  <c r="K403" i="25" s="1"/>
  <c r="K404" i="25" s="1"/>
  <c r="K405" i="25" s="1"/>
  <c r="K406" i="25" s="1"/>
  <c r="K407" i="25" s="1"/>
  <c r="K408" i="25" s="1"/>
  <c r="K409" i="25" s="1"/>
  <c r="K410" i="25" s="1"/>
  <c r="K411" i="25" s="1"/>
  <c r="K412" i="25" s="1"/>
  <c r="K413" i="25" s="1"/>
  <c r="K414" i="25" s="1"/>
  <c r="K415" i="25" s="1"/>
  <c r="K416" i="25" s="1"/>
  <c r="K417" i="25" s="1"/>
  <c r="K418" i="25" s="1"/>
  <c r="K419" i="25" s="1"/>
  <c r="K420" i="25" s="1"/>
  <c r="K421" i="25" s="1"/>
  <c r="K422" i="25" s="1"/>
  <c r="K423" i="25" s="1"/>
  <c r="K424" i="25" s="1"/>
  <c r="K425" i="25" s="1"/>
  <c r="K426" i="25" s="1"/>
  <c r="K427" i="25" s="1"/>
  <c r="K428" i="25" s="1"/>
  <c r="K429" i="25" s="1"/>
  <c r="K430" i="25" s="1"/>
  <c r="K431" i="25" s="1"/>
  <c r="K432" i="25" s="1"/>
  <c r="K433" i="25" s="1"/>
  <c r="K434" i="25" s="1"/>
  <c r="K435" i="25" s="1"/>
  <c r="K436" i="25" s="1"/>
  <c r="K437" i="25" s="1"/>
  <c r="K438" i="25" s="1"/>
  <c r="K439" i="25" s="1"/>
  <c r="K440" i="25" s="1"/>
  <c r="K441" i="25" s="1"/>
  <c r="K442" i="25" s="1"/>
  <c r="K443" i="25" s="1"/>
  <c r="K444" i="25" s="1"/>
  <c r="K445" i="25" s="1"/>
  <c r="K446" i="25" s="1"/>
  <c r="K447" i="25" s="1"/>
  <c r="K448" i="25" s="1"/>
  <c r="K449" i="25" s="1"/>
  <c r="K450" i="25" s="1"/>
  <c r="K451" i="25" s="1"/>
  <c r="K452" i="25" s="1"/>
  <c r="K453" i="25" s="1"/>
  <c r="K454" i="25" s="1"/>
  <c r="K455" i="25" s="1"/>
  <c r="K456" i="25" s="1"/>
  <c r="K457" i="25" s="1"/>
  <c r="K458" i="25" s="1"/>
  <c r="K459" i="25" s="1"/>
  <c r="K460" i="25" s="1"/>
  <c r="K461" i="25" s="1"/>
  <c r="K462" i="25" s="1"/>
  <c r="K463" i="25" s="1"/>
  <c r="K464" i="25" s="1"/>
  <c r="K465" i="25" s="1"/>
  <c r="K466" i="25" s="1"/>
  <c r="K467" i="25" s="1"/>
  <c r="K468" i="25" s="1"/>
  <c r="K469" i="25" s="1"/>
  <c r="K470" i="25" s="1"/>
  <c r="K471" i="25" s="1"/>
  <c r="K472" i="25" s="1"/>
  <c r="K473" i="25" s="1"/>
  <c r="K474" i="25" s="1"/>
  <c r="K475" i="25" s="1"/>
  <c r="K476" i="25" s="1"/>
  <c r="K477" i="25" s="1"/>
  <c r="K478" i="25" s="1"/>
  <c r="K479" i="25" s="1"/>
  <c r="K480" i="25" s="1"/>
  <c r="K481" i="25" s="1"/>
  <c r="K482" i="25" s="1"/>
  <c r="K483" i="25" s="1"/>
  <c r="K484" i="25" s="1"/>
  <c r="K485" i="25" s="1"/>
  <c r="K486" i="25" s="1"/>
  <c r="K487" i="25" s="1"/>
  <c r="K488" i="25" s="1"/>
  <c r="K489" i="25" s="1"/>
  <c r="K490" i="25" s="1"/>
  <c r="K491" i="25" s="1"/>
  <c r="K492" i="25" s="1"/>
  <c r="K493" i="25" s="1"/>
  <c r="K494" i="25" s="1"/>
  <c r="K495" i="25" s="1"/>
  <c r="K496" i="25" s="1"/>
  <c r="K497" i="25" s="1"/>
  <c r="K498" i="25" s="1"/>
  <c r="K499" i="25" s="1"/>
  <c r="K500" i="25" s="1"/>
  <c r="K501" i="25" s="1"/>
  <c r="K502" i="25" s="1"/>
  <c r="K503" i="25" s="1"/>
  <c r="K504" i="25" s="1"/>
  <c r="K505" i="25" s="1"/>
  <c r="K506" i="25" s="1"/>
  <c r="K507" i="25" s="1"/>
  <c r="K508" i="25" s="1"/>
  <c r="K509" i="25" s="1"/>
  <c r="K510" i="25" s="1"/>
  <c r="K511" i="25" s="1"/>
  <c r="K512" i="25" s="1"/>
  <c r="K513" i="25" s="1"/>
  <c r="K514" i="25" s="1"/>
  <c r="K515" i="25" s="1"/>
  <c r="K516" i="25" s="1"/>
  <c r="K517" i="25" s="1"/>
  <c r="K518" i="25" s="1"/>
  <c r="K519" i="25" s="1"/>
  <c r="K520" i="25" s="1"/>
  <c r="K521" i="25" s="1"/>
  <c r="K522" i="25" s="1"/>
  <c r="K523" i="25" s="1"/>
  <c r="K524" i="25" s="1"/>
  <c r="K525" i="25" s="1"/>
  <c r="K526" i="25" s="1"/>
  <c r="K527" i="25" s="1"/>
  <c r="K528" i="25" s="1"/>
  <c r="K529" i="25" s="1"/>
  <c r="K530" i="25" s="1"/>
  <c r="K531" i="25" s="1"/>
  <c r="K532" i="25" s="1"/>
  <c r="K533" i="25" s="1"/>
  <c r="K534" i="25" s="1"/>
  <c r="K535" i="25" s="1"/>
  <c r="K536" i="25" s="1"/>
  <c r="K537" i="25" s="1"/>
  <c r="K538" i="25" s="1"/>
  <c r="K539" i="25" s="1"/>
  <c r="K540" i="25" s="1"/>
  <c r="K541" i="25" s="1"/>
  <c r="K542" i="25" s="1"/>
  <c r="K543" i="25" s="1"/>
  <c r="K544" i="25" s="1"/>
  <c r="K545" i="25" s="1"/>
  <c r="K546" i="25" s="1"/>
  <c r="K547" i="25" s="1"/>
  <c r="K548" i="25" s="1"/>
  <c r="K549" i="25" s="1"/>
  <c r="K550" i="25" s="1"/>
  <c r="K551" i="25" s="1"/>
  <c r="K552" i="25" s="1"/>
  <c r="K553" i="25" s="1"/>
  <c r="K554" i="25" s="1"/>
  <c r="K555" i="25" s="1"/>
  <c r="K556" i="25" s="1"/>
  <c r="K557" i="25" s="1"/>
  <c r="K558" i="25" s="1"/>
  <c r="K559" i="25" s="1"/>
  <c r="K560" i="25" s="1"/>
  <c r="K561" i="25" s="1"/>
  <c r="K562" i="25" s="1"/>
  <c r="K563" i="25" s="1"/>
  <c r="K564" i="25" s="1"/>
  <c r="K565" i="25" s="1"/>
  <c r="K566" i="25" s="1"/>
  <c r="K567" i="25" s="1"/>
  <c r="K568" i="25" s="1"/>
  <c r="K569" i="25" s="1"/>
  <c r="K570" i="25" s="1"/>
  <c r="K571" i="25" s="1"/>
  <c r="K572" i="25" s="1"/>
  <c r="K573" i="25" s="1"/>
  <c r="K574" i="25" s="1"/>
  <c r="K575" i="25" s="1"/>
  <c r="K576" i="25" s="1"/>
  <c r="K577" i="25" s="1"/>
  <c r="K578" i="25" s="1"/>
  <c r="K579" i="25" s="1"/>
  <c r="K580" i="25" s="1"/>
  <c r="K581" i="25" s="1"/>
  <c r="K582" i="25" s="1"/>
  <c r="K583" i="25" s="1"/>
  <c r="K584" i="25" s="1"/>
  <c r="K585" i="25" s="1"/>
  <c r="K586" i="25" s="1"/>
  <c r="K587" i="25" s="1"/>
  <c r="K588" i="25" s="1"/>
  <c r="K589" i="25" s="1"/>
  <c r="K590" i="25" s="1"/>
  <c r="K591" i="25" s="1"/>
  <c r="K592" i="25" s="1"/>
  <c r="K593" i="25" s="1"/>
  <c r="K594" i="25" s="1"/>
  <c r="K595" i="25" s="1"/>
  <c r="K596" i="25" s="1"/>
  <c r="K597" i="25" s="1"/>
  <c r="K598" i="25" s="1"/>
  <c r="K599" i="25" s="1"/>
  <c r="K600" i="25" s="1"/>
  <c r="K601" i="25" s="1"/>
  <c r="K602" i="25" s="1"/>
  <c r="K603" i="25" s="1"/>
  <c r="K604" i="25" s="1"/>
  <c r="K605" i="25" s="1"/>
  <c r="K606" i="25" s="1"/>
  <c r="K607" i="25" s="1"/>
  <c r="K608" i="25" s="1"/>
  <c r="K609" i="25" s="1"/>
  <c r="K610" i="25" s="1"/>
  <c r="K611" i="25" s="1"/>
  <c r="K612" i="25" s="1"/>
  <c r="K613" i="25" s="1"/>
  <c r="K614" i="25" s="1"/>
  <c r="K615" i="25" s="1"/>
  <c r="K616" i="25" s="1"/>
  <c r="K617" i="25" s="1"/>
  <c r="K618" i="25" s="1"/>
  <c r="K619" i="25" s="1"/>
  <c r="K620" i="25" s="1"/>
  <c r="K621" i="25" s="1"/>
  <c r="K622" i="25" s="1"/>
  <c r="K623" i="25" s="1"/>
  <c r="K624" i="25" s="1"/>
  <c r="K625" i="25" s="1"/>
  <c r="K626" i="25" s="1"/>
  <c r="K627" i="25" s="1"/>
  <c r="K628" i="25" s="1"/>
  <c r="K629" i="25" s="1"/>
  <c r="K630" i="25" s="1"/>
  <c r="K631" i="25" s="1"/>
  <c r="K632" i="25" s="1"/>
  <c r="K633" i="25" s="1"/>
  <c r="K634" i="25" s="1"/>
  <c r="K635" i="25" s="1"/>
  <c r="K636" i="25" s="1"/>
  <c r="K637" i="25" s="1"/>
  <c r="K638" i="25" s="1"/>
  <c r="K639" i="25" s="1"/>
  <c r="K640" i="25" s="1"/>
  <c r="K641" i="25" s="1"/>
  <c r="K642" i="25" s="1"/>
  <c r="K643" i="25" s="1"/>
  <c r="K644" i="25" s="1"/>
  <c r="K645" i="25" s="1"/>
  <c r="K646" i="25" s="1"/>
  <c r="K647" i="25" s="1"/>
  <c r="K648" i="25" s="1"/>
  <c r="K649" i="25" s="1"/>
  <c r="K650" i="25" s="1"/>
  <c r="K651" i="25" s="1"/>
  <c r="K652" i="25" s="1"/>
  <c r="K653" i="25" s="1"/>
  <c r="K654" i="25" s="1"/>
  <c r="K655" i="25" s="1"/>
  <c r="K656" i="25" s="1"/>
  <c r="K657" i="25" s="1"/>
  <c r="K658" i="25" s="1"/>
  <c r="K659" i="25" s="1"/>
  <c r="K660" i="25" s="1"/>
  <c r="K661" i="25" s="1"/>
  <c r="K662" i="25" s="1"/>
  <c r="K663" i="25" s="1"/>
  <c r="K664" i="25" s="1"/>
  <c r="K665" i="25" s="1"/>
  <c r="K666" i="25" s="1"/>
  <c r="K667" i="25" s="1"/>
  <c r="K668" i="25" s="1"/>
  <c r="K669" i="25" s="1"/>
  <c r="K670" i="25" s="1"/>
  <c r="K671" i="25" s="1"/>
  <c r="K672" i="25" s="1"/>
  <c r="K673" i="25" s="1"/>
  <c r="K674" i="25" s="1"/>
  <c r="K675" i="25" s="1"/>
  <c r="K676" i="25" s="1"/>
  <c r="K677" i="25" s="1"/>
  <c r="K678" i="25" s="1"/>
  <c r="K679" i="25" s="1"/>
  <c r="K680" i="25" s="1"/>
  <c r="K681" i="25" s="1"/>
  <c r="K682" i="25" s="1"/>
  <c r="K683" i="25" s="1"/>
  <c r="K684" i="25" s="1"/>
  <c r="K685" i="25" s="1"/>
  <c r="K686" i="25" s="1"/>
  <c r="K687" i="25" s="1"/>
  <c r="K688" i="25" s="1"/>
  <c r="K689" i="25" s="1"/>
  <c r="K690" i="25" s="1"/>
  <c r="K691" i="25" s="1"/>
  <c r="K692" i="25" s="1"/>
  <c r="K693" i="25" s="1"/>
  <c r="K694" i="25" s="1"/>
  <c r="K695" i="25" s="1"/>
  <c r="K696" i="25" s="1"/>
  <c r="K697" i="25" s="1"/>
  <c r="K698" i="25" s="1"/>
  <c r="K699" i="25" s="1"/>
  <c r="K700" i="25" s="1"/>
  <c r="K701" i="25" s="1"/>
  <c r="K702" i="25" s="1"/>
  <c r="K703" i="25" s="1"/>
  <c r="K704" i="25" s="1"/>
  <c r="K705" i="25" s="1"/>
  <c r="K706" i="25" s="1"/>
  <c r="K707" i="25" s="1"/>
  <c r="K708" i="25" s="1"/>
  <c r="K709" i="25" s="1"/>
  <c r="K710" i="25" s="1"/>
  <c r="K711" i="25" s="1"/>
  <c r="K712" i="25" s="1"/>
  <c r="K713" i="25" s="1"/>
  <c r="K714" i="25" s="1"/>
  <c r="K715" i="25" s="1"/>
  <c r="K716" i="25" s="1"/>
  <c r="K717" i="25" s="1"/>
  <c r="K718" i="25" s="1"/>
  <c r="K719" i="25" s="1"/>
  <c r="K720" i="25" s="1"/>
  <c r="K721" i="25" s="1"/>
  <c r="K722" i="25" s="1"/>
  <c r="K723" i="25" s="1"/>
  <c r="K724" i="25" s="1"/>
  <c r="K725" i="25" s="1"/>
  <c r="K726" i="25" s="1"/>
  <c r="K727" i="25" s="1"/>
  <c r="K728" i="25" s="1"/>
  <c r="K729" i="25" s="1"/>
  <c r="K730" i="25" s="1"/>
  <c r="K731" i="25" s="1"/>
  <c r="K732" i="25" s="1"/>
  <c r="K733" i="25" s="1"/>
  <c r="K734" i="25" s="1"/>
  <c r="K735" i="25" s="1"/>
  <c r="K736" i="25" s="1"/>
  <c r="K737" i="25" s="1"/>
  <c r="K738" i="25" s="1"/>
  <c r="K739" i="25" s="1"/>
  <c r="K740" i="25" s="1"/>
  <c r="K741" i="25" s="1"/>
  <c r="K742" i="25" s="1"/>
  <c r="K743" i="25" s="1"/>
  <c r="K744" i="25" s="1"/>
  <c r="K745" i="25" s="1"/>
  <c r="K746" i="25" s="1"/>
  <c r="K747" i="25" s="1"/>
  <c r="K748" i="25" s="1"/>
  <c r="K749" i="25" s="1"/>
  <c r="K750" i="25" s="1"/>
  <c r="K751" i="25" s="1"/>
  <c r="K752" i="25" s="1"/>
  <c r="K753" i="25" s="1"/>
  <c r="K754" i="25" s="1"/>
  <c r="K755" i="25" s="1"/>
  <c r="K756" i="25" s="1"/>
  <c r="K757" i="25" s="1"/>
  <c r="K758" i="25" s="1"/>
  <c r="K759" i="25" s="1"/>
  <c r="K760" i="25" s="1"/>
  <c r="K761" i="25" s="1"/>
  <c r="K762" i="25" s="1"/>
  <c r="K763" i="25" s="1"/>
  <c r="K764" i="25" s="1"/>
  <c r="K765" i="25" s="1"/>
  <c r="K766" i="25" s="1"/>
  <c r="K767" i="25" s="1"/>
  <c r="K768" i="25" s="1"/>
  <c r="K769" i="25" s="1"/>
  <c r="K770" i="25" s="1"/>
  <c r="K771" i="25" s="1"/>
  <c r="K772" i="25" s="1"/>
  <c r="K773" i="25" s="1"/>
  <c r="K774" i="25" s="1"/>
  <c r="K775" i="25" s="1"/>
  <c r="K776" i="25" s="1"/>
  <c r="K777" i="25" s="1"/>
  <c r="K778" i="25" s="1"/>
  <c r="K779" i="25" s="1"/>
  <c r="K780" i="25" s="1"/>
  <c r="K781" i="25" s="1"/>
  <c r="K782" i="25" s="1"/>
  <c r="K783" i="25" s="1"/>
  <c r="K784" i="25" s="1"/>
  <c r="K785" i="25" s="1"/>
  <c r="K786" i="25" s="1"/>
  <c r="K787" i="25" s="1"/>
  <c r="K788" i="25" s="1"/>
  <c r="K789" i="25" s="1"/>
  <c r="K790" i="25" s="1"/>
  <c r="K791" i="25" s="1"/>
  <c r="K792" i="25" s="1"/>
  <c r="K793" i="25" s="1"/>
  <c r="K794" i="25" s="1"/>
  <c r="K795" i="25" s="1"/>
  <c r="K796" i="25" s="1"/>
  <c r="K797" i="25" s="1"/>
  <c r="K798" i="25" s="1"/>
  <c r="K799" i="25" s="1"/>
  <c r="K800" i="25" s="1"/>
  <c r="K801" i="25" s="1"/>
  <c r="K802" i="25" s="1"/>
  <c r="K803" i="25" s="1"/>
  <c r="K804" i="25" s="1"/>
  <c r="K805" i="25" s="1"/>
  <c r="K806" i="25" s="1"/>
  <c r="K807" i="25" s="1"/>
  <c r="K808" i="25" s="1"/>
  <c r="K809" i="25" s="1"/>
  <c r="K810" i="25" s="1"/>
  <c r="K811" i="25" s="1"/>
  <c r="K812" i="25" s="1"/>
  <c r="K813" i="25" s="1"/>
  <c r="K814" i="25" s="1"/>
  <c r="K815" i="25" s="1"/>
  <c r="K816" i="25" s="1"/>
  <c r="K817" i="25" s="1"/>
  <c r="K818" i="25" s="1"/>
  <c r="K819" i="25" s="1"/>
  <c r="K820" i="25" s="1"/>
  <c r="K821" i="25" s="1"/>
  <c r="K822" i="25" s="1"/>
  <c r="K823" i="25" s="1"/>
  <c r="K824" i="25" s="1"/>
  <c r="K825" i="25" s="1"/>
  <c r="K826" i="25" s="1"/>
  <c r="K827" i="25" s="1"/>
  <c r="K828" i="25" s="1"/>
  <c r="K829" i="25" s="1"/>
  <c r="K830" i="25" s="1"/>
  <c r="K831" i="25" s="1"/>
  <c r="K832" i="25" s="1"/>
  <c r="K833" i="25" s="1"/>
  <c r="K834" i="25" s="1"/>
  <c r="K835" i="25" s="1"/>
  <c r="K836" i="25" s="1"/>
  <c r="K837" i="25" s="1"/>
  <c r="K838" i="25" s="1"/>
  <c r="K839" i="25" s="1"/>
  <c r="K840" i="25" s="1"/>
  <c r="K841" i="25" s="1"/>
  <c r="K842" i="25" s="1"/>
  <c r="K843" i="25" s="1"/>
  <c r="K844" i="25" s="1"/>
  <c r="K845" i="25" s="1"/>
  <c r="K846" i="25" s="1"/>
  <c r="K847" i="25" s="1"/>
  <c r="K848" i="25" s="1"/>
  <c r="K849" i="25" s="1"/>
  <c r="K850" i="25" s="1"/>
  <c r="K851" i="25" s="1"/>
  <c r="K852" i="25" s="1"/>
  <c r="K853" i="25" s="1"/>
  <c r="K854" i="25" s="1"/>
  <c r="K855" i="25" s="1"/>
  <c r="K856" i="25" s="1"/>
  <c r="K857" i="25" s="1"/>
  <c r="K858" i="25" s="1"/>
  <c r="K859" i="25" s="1"/>
  <c r="K860" i="25" s="1"/>
  <c r="K861" i="25" s="1"/>
  <c r="K862" i="25" s="1"/>
  <c r="K863" i="25" s="1"/>
  <c r="K864" i="25" s="1"/>
  <c r="K865" i="25" s="1"/>
  <c r="K866" i="25" s="1"/>
  <c r="K867" i="25" s="1"/>
  <c r="K868" i="25" s="1"/>
  <c r="K869" i="25" s="1"/>
  <c r="K870" i="25" s="1"/>
  <c r="K871" i="25" s="1"/>
  <c r="K872" i="25" s="1"/>
  <c r="K873" i="25" s="1"/>
  <c r="K874" i="25" s="1"/>
  <c r="K875" i="25" s="1"/>
  <c r="K876" i="25" s="1"/>
  <c r="K877" i="25" s="1"/>
  <c r="K878" i="25" s="1"/>
  <c r="K879" i="25" s="1"/>
  <c r="K880" i="25" s="1"/>
  <c r="J3" i="25"/>
  <c r="I3" i="25" s="1"/>
  <c r="I4" i="25" s="1"/>
  <c r="I5" i="25" s="1"/>
  <c r="I6" i="25" s="1"/>
  <c r="I7" i="25" s="1"/>
  <c r="I8" i="25" s="1"/>
  <c r="I9" i="25" s="1"/>
  <c r="I10" i="25" s="1"/>
  <c r="I11" i="25" s="1"/>
  <c r="I12" i="25" s="1"/>
  <c r="I13" i="25" s="1"/>
  <c r="I14" i="25" s="1"/>
  <c r="I15" i="25" s="1"/>
  <c r="I16" i="25" s="1"/>
  <c r="I17" i="25" s="1"/>
  <c r="I18" i="25" s="1"/>
  <c r="I19" i="25" s="1"/>
  <c r="I20" i="25" s="1"/>
  <c r="I21" i="25" s="1"/>
  <c r="I22" i="25" s="1"/>
  <c r="I23" i="25" s="1"/>
  <c r="I24" i="25" s="1"/>
  <c r="I25" i="25" s="1"/>
  <c r="I26" i="25" s="1"/>
  <c r="I27" i="25" s="1"/>
  <c r="I28" i="25" s="1"/>
  <c r="I29" i="25" s="1"/>
  <c r="I30" i="25" s="1"/>
  <c r="I31" i="25" s="1"/>
  <c r="I32" i="25" s="1"/>
  <c r="I33" i="25" s="1"/>
  <c r="I34" i="25" s="1"/>
  <c r="I35" i="25" s="1"/>
  <c r="I36" i="25" s="1"/>
  <c r="I37" i="25" s="1"/>
  <c r="I38" i="25" s="1"/>
  <c r="I39" i="25" s="1"/>
  <c r="I40" i="25" s="1"/>
  <c r="I41" i="25" s="1"/>
  <c r="I42" i="25" s="1"/>
  <c r="I43" i="25" s="1"/>
  <c r="I44" i="25" s="1"/>
  <c r="I45" i="25" s="1"/>
  <c r="I46" i="25" s="1"/>
  <c r="I47" i="25" s="1"/>
  <c r="I48" i="25" s="1"/>
  <c r="I49" i="25" s="1"/>
  <c r="I50" i="25" s="1"/>
  <c r="I51" i="25" s="1"/>
  <c r="I52" i="25" s="1"/>
  <c r="I53" i="25" s="1"/>
  <c r="I54" i="25" s="1"/>
  <c r="I55" i="25" s="1"/>
  <c r="I56" i="25" s="1"/>
  <c r="I57" i="25" s="1"/>
  <c r="I58" i="25" s="1"/>
  <c r="I59" i="25" s="1"/>
  <c r="I60" i="25" s="1"/>
  <c r="I61" i="25" s="1"/>
  <c r="I62" i="25" s="1"/>
  <c r="I63" i="25" s="1"/>
  <c r="I64" i="25" s="1"/>
  <c r="I65" i="25" s="1"/>
  <c r="I66" i="25" s="1"/>
  <c r="I67" i="25" s="1"/>
  <c r="I68" i="25" s="1"/>
  <c r="I69" i="25" s="1"/>
  <c r="I70" i="25" s="1"/>
  <c r="I71" i="25" s="1"/>
  <c r="I72" i="25" s="1"/>
  <c r="I73" i="25" s="1"/>
  <c r="I74" i="25" s="1"/>
  <c r="I75" i="25" s="1"/>
  <c r="I76" i="25" s="1"/>
  <c r="I77" i="25" s="1"/>
  <c r="I78" i="25" s="1"/>
  <c r="I79" i="25" s="1"/>
  <c r="I80" i="25" s="1"/>
  <c r="I81" i="25" s="1"/>
  <c r="I82" i="25" s="1"/>
  <c r="I83" i="25" s="1"/>
  <c r="I84" i="25" s="1"/>
  <c r="I85" i="25" s="1"/>
  <c r="I86" i="25" s="1"/>
  <c r="I87" i="25" s="1"/>
  <c r="I88" i="25" s="1"/>
  <c r="I89" i="25" s="1"/>
  <c r="I90" i="25" s="1"/>
  <c r="I91" i="25" s="1"/>
  <c r="I92" i="25" s="1"/>
  <c r="I93" i="25" s="1"/>
  <c r="I94" i="25" s="1"/>
  <c r="I95" i="25" s="1"/>
  <c r="I96" i="25" s="1"/>
  <c r="I97" i="25" s="1"/>
  <c r="I98" i="25" s="1"/>
  <c r="I99" i="25" s="1"/>
  <c r="I100" i="25" s="1"/>
  <c r="I101" i="25" s="1"/>
  <c r="I102" i="25" s="1"/>
  <c r="I103" i="25" s="1"/>
  <c r="I104" i="25" s="1"/>
  <c r="I105" i="25" s="1"/>
  <c r="I106" i="25" s="1"/>
  <c r="I107" i="25" s="1"/>
  <c r="I108" i="25" s="1"/>
  <c r="I109" i="25" s="1"/>
  <c r="I110" i="25" s="1"/>
  <c r="I111" i="25" s="1"/>
  <c r="I112" i="25" s="1"/>
  <c r="I113" i="25" s="1"/>
  <c r="I114" i="25" s="1"/>
  <c r="I115" i="25" s="1"/>
  <c r="I116" i="25" s="1"/>
  <c r="I117" i="25" s="1"/>
  <c r="I118" i="25" s="1"/>
  <c r="I119" i="25" s="1"/>
  <c r="I120" i="25" s="1"/>
  <c r="I121" i="25" s="1"/>
  <c r="I122" i="25" s="1"/>
  <c r="I123" i="25" s="1"/>
  <c r="I124" i="25" s="1"/>
  <c r="I125" i="25" s="1"/>
  <c r="I126" i="25" s="1"/>
  <c r="I127" i="25" s="1"/>
  <c r="I128" i="25" s="1"/>
  <c r="I129" i="25" s="1"/>
  <c r="I130" i="25" s="1"/>
  <c r="I131" i="25" s="1"/>
  <c r="I132" i="25" s="1"/>
  <c r="I133" i="25" s="1"/>
  <c r="I134" i="25" s="1"/>
  <c r="I135" i="25" s="1"/>
  <c r="I136" i="25" s="1"/>
  <c r="I137" i="25" s="1"/>
  <c r="I138" i="25" s="1"/>
  <c r="I139" i="25" s="1"/>
  <c r="I140" i="25" s="1"/>
  <c r="I141" i="25" s="1"/>
  <c r="I142" i="25" s="1"/>
  <c r="I143" i="25" s="1"/>
  <c r="I144" i="25" s="1"/>
  <c r="I145" i="25" s="1"/>
  <c r="I146" i="25" s="1"/>
  <c r="I147" i="25" s="1"/>
  <c r="I148" i="25" s="1"/>
  <c r="I149" i="25" s="1"/>
  <c r="I150" i="25" s="1"/>
  <c r="I151" i="25" s="1"/>
  <c r="I152" i="25" s="1"/>
  <c r="I153" i="25" s="1"/>
  <c r="I154" i="25" s="1"/>
  <c r="I155" i="25" s="1"/>
  <c r="I156" i="25" s="1"/>
  <c r="I157" i="25" s="1"/>
  <c r="I158" i="25" s="1"/>
  <c r="I159" i="25" s="1"/>
  <c r="I160" i="25" s="1"/>
  <c r="I161" i="25" s="1"/>
  <c r="I162" i="25" s="1"/>
  <c r="I163" i="25" s="1"/>
  <c r="I164" i="25" s="1"/>
  <c r="I165" i="25" s="1"/>
  <c r="I166" i="25" s="1"/>
  <c r="I167" i="25" s="1"/>
  <c r="I168" i="25" s="1"/>
  <c r="I169" i="25" s="1"/>
  <c r="I170" i="25" s="1"/>
  <c r="I171" i="25" s="1"/>
  <c r="I172" i="25" s="1"/>
  <c r="I173" i="25" s="1"/>
  <c r="I174" i="25" s="1"/>
  <c r="I175" i="25" s="1"/>
  <c r="I176" i="25" s="1"/>
  <c r="I177" i="25" s="1"/>
  <c r="I178" i="25" s="1"/>
  <c r="I179" i="25" s="1"/>
  <c r="I180" i="25" s="1"/>
  <c r="I181" i="25" s="1"/>
  <c r="I182" i="25" s="1"/>
  <c r="I183" i="25" s="1"/>
  <c r="I184" i="25" s="1"/>
  <c r="I185" i="25" s="1"/>
  <c r="I186" i="25" s="1"/>
  <c r="I187" i="25" s="1"/>
  <c r="I188" i="25" s="1"/>
  <c r="I189" i="25" s="1"/>
  <c r="I190" i="25" s="1"/>
  <c r="I191" i="25" s="1"/>
  <c r="I192" i="25" s="1"/>
  <c r="I193" i="25" s="1"/>
  <c r="I194" i="25" s="1"/>
  <c r="I195" i="25" s="1"/>
  <c r="I196" i="25" s="1"/>
  <c r="I197" i="25" s="1"/>
  <c r="I198" i="25" s="1"/>
  <c r="I199" i="25" s="1"/>
  <c r="I200" i="25" s="1"/>
  <c r="I201" i="25" s="1"/>
  <c r="I202" i="25" s="1"/>
  <c r="I203" i="25" s="1"/>
  <c r="I204" i="25" s="1"/>
  <c r="I205" i="25" s="1"/>
  <c r="I206" i="25" s="1"/>
  <c r="I207" i="25" s="1"/>
  <c r="I208" i="25" s="1"/>
  <c r="I209" i="25" s="1"/>
  <c r="I210" i="25" s="1"/>
  <c r="I211" i="25" s="1"/>
  <c r="I212" i="25" s="1"/>
  <c r="I213" i="25" s="1"/>
  <c r="I214" i="25" s="1"/>
  <c r="I215" i="25" s="1"/>
  <c r="I216" i="25" s="1"/>
  <c r="I217" i="25" s="1"/>
  <c r="I218" i="25" s="1"/>
  <c r="I219" i="25" s="1"/>
  <c r="I220" i="25" s="1"/>
  <c r="I221" i="25" s="1"/>
  <c r="I222" i="25" s="1"/>
  <c r="I223" i="25" s="1"/>
  <c r="I224" i="25" s="1"/>
  <c r="I225" i="25" s="1"/>
  <c r="I226" i="25" s="1"/>
  <c r="I227" i="25" s="1"/>
  <c r="I228" i="25" s="1"/>
  <c r="I229" i="25" s="1"/>
  <c r="I230" i="25" s="1"/>
  <c r="I231" i="25" s="1"/>
  <c r="I232" i="25" s="1"/>
  <c r="I233" i="25" s="1"/>
  <c r="I234" i="25" s="1"/>
  <c r="I235" i="25" s="1"/>
  <c r="I236" i="25" s="1"/>
  <c r="I237" i="25" s="1"/>
  <c r="I238" i="25" s="1"/>
  <c r="I239" i="25" s="1"/>
  <c r="I240" i="25" s="1"/>
  <c r="I241" i="25" s="1"/>
  <c r="I242" i="25" s="1"/>
  <c r="I243" i="25" s="1"/>
  <c r="I244" i="25" s="1"/>
  <c r="I245" i="25" s="1"/>
  <c r="I246" i="25" s="1"/>
  <c r="I247" i="25" s="1"/>
  <c r="I248" i="25" s="1"/>
  <c r="I249" i="25" s="1"/>
  <c r="I250" i="25" s="1"/>
  <c r="I251" i="25" s="1"/>
  <c r="I252" i="25" s="1"/>
  <c r="I253" i="25" s="1"/>
  <c r="I254" i="25" s="1"/>
  <c r="I255" i="25" s="1"/>
  <c r="I256" i="25" s="1"/>
  <c r="I257" i="25" s="1"/>
  <c r="I258" i="25" s="1"/>
  <c r="I259" i="25" s="1"/>
  <c r="I260" i="25" s="1"/>
  <c r="I261" i="25" s="1"/>
  <c r="I262" i="25" s="1"/>
  <c r="I263" i="25" s="1"/>
  <c r="I264" i="25" s="1"/>
  <c r="I265" i="25" s="1"/>
  <c r="I266" i="25" s="1"/>
  <c r="I267" i="25" s="1"/>
  <c r="I268" i="25" s="1"/>
  <c r="I269" i="25" s="1"/>
  <c r="I270" i="25" s="1"/>
  <c r="I271" i="25" s="1"/>
  <c r="I272" i="25" s="1"/>
  <c r="I273" i="25" s="1"/>
  <c r="I274" i="25" s="1"/>
  <c r="I275" i="25" s="1"/>
  <c r="I276" i="25" s="1"/>
  <c r="I277" i="25" s="1"/>
  <c r="I278" i="25" s="1"/>
  <c r="I279" i="25" s="1"/>
  <c r="I280" i="25" s="1"/>
  <c r="I281" i="25" s="1"/>
  <c r="I282" i="25" s="1"/>
  <c r="I283" i="25" s="1"/>
  <c r="I284" i="25" s="1"/>
  <c r="I285" i="25" s="1"/>
  <c r="I286" i="25" s="1"/>
  <c r="I287" i="25" s="1"/>
  <c r="I288" i="25" s="1"/>
  <c r="I289" i="25" s="1"/>
  <c r="I290" i="25" s="1"/>
  <c r="I291" i="25" s="1"/>
  <c r="I292" i="25" s="1"/>
  <c r="I293" i="25" s="1"/>
  <c r="I294" i="25" s="1"/>
  <c r="I295" i="25" s="1"/>
  <c r="I296" i="25" s="1"/>
  <c r="I297" i="25" s="1"/>
  <c r="I298" i="25" s="1"/>
  <c r="I299" i="25" s="1"/>
  <c r="I300" i="25" s="1"/>
  <c r="I301" i="25" s="1"/>
  <c r="I302" i="25" s="1"/>
  <c r="I303" i="25" s="1"/>
  <c r="I304" i="25" s="1"/>
  <c r="I305" i="25" s="1"/>
  <c r="I306" i="25" s="1"/>
  <c r="I307" i="25" s="1"/>
  <c r="I308" i="25" s="1"/>
  <c r="I309" i="25" s="1"/>
  <c r="I310" i="25" s="1"/>
  <c r="I311" i="25" s="1"/>
  <c r="I312" i="25" s="1"/>
  <c r="I313" i="25" s="1"/>
  <c r="I314" i="25" s="1"/>
  <c r="I315" i="25" s="1"/>
  <c r="I316" i="25" s="1"/>
  <c r="I317" i="25" s="1"/>
  <c r="I318" i="25" s="1"/>
  <c r="I319" i="25" s="1"/>
  <c r="I320" i="25" s="1"/>
  <c r="I321" i="25" s="1"/>
  <c r="I322" i="25" s="1"/>
  <c r="I323" i="25" s="1"/>
  <c r="I324" i="25" s="1"/>
  <c r="I325" i="25" s="1"/>
  <c r="I326" i="25" s="1"/>
  <c r="I327" i="25" s="1"/>
  <c r="I328" i="25" s="1"/>
  <c r="I329" i="25" s="1"/>
  <c r="I330" i="25" s="1"/>
  <c r="I331" i="25" s="1"/>
  <c r="I332" i="25" s="1"/>
  <c r="I333" i="25" s="1"/>
  <c r="I334" i="25" s="1"/>
  <c r="I335" i="25" s="1"/>
  <c r="I336" i="25" s="1"/>
  <c r="I337" i="25" s="1"/>
  <c r="I338" i="25" s="1"/>
  <c r="I339" i="25" s="1"/>
  <c r="I340" i="25" s="1"/>
  <c r="I341" i="25" s="1"/>
  <c r="I342" i="25" s="1"/>
  <c r="I343" i="25" s="1"/>
  <c r="I344" i="25" s="1"/>
  <c r="I345" i="25" s="1"/>
  <c r="I346" i="25" s="1"/>
  <c r="I347" i="25" s="1"/>
  <c r="I348" i="25" s="1"/>
  <c r="I349" i="25" s="1"/>
  <c r="I350" i="25" s="1"/>
  <c r="I351" i="25" s="1"/>
  <c r="I352" i="25" s="1"/>
  <c r="I353" i="25" s="1"/>
  <c r="I354" i="25" s="1"/>
  <c r="I355" i="25" s="1"/>
  <c r="I356" i="25" s="1"/>
  <c r="I357" i="25" s="1"/>
  <c r="I358" i="25" s="1"/>
  <c r="I359" i="25" s="1"/>
  <c r="I360" i="25" s="1"/>
  <c r="I361" i="25" s="1"/>
  <c r="I362" i="25" s="1"/>
  <c r="I363" i="25" s="1"/>
  <c r="I364" i="25" s="1"/>
  <c r="I365" i="25" s="1"/>
  <c r="I366" i="25" s="1"/>
  <c r="I367" i="25" s="1"/>
  <c r="I368" i="25" s="1"/>
  <c r="I369" i="25" s="1"/>
  <c r="I370" i="25" s="1"/>
  <c r="I371" i="25" s="1"/>
  <c r="I372" i="25" s="1"/>
  <c r="I373" i="25" s="1"/>
  <c r="I374" i="25" s="1"/>
  <c r="I375" i="25" s="1"/>
  <c r="I376" i="25" s="1"/>
  <c r="I377" i="25" s="1"/>
  <c r="I378" i="25" s="1"/>
  <c r="I379" i="25" s="1"/>
  <c r="I380" i="25" s="1"/>
  <c r="I381" i="25" s="1"/>
  <c r="I382" i="25" s="1"/>
  <c r="I383" i="25" s="1"/>
  <c r="I384" i="25" s="1"/>
  <c r="I385" i="25" s="1"/>
  <c r="I386" i="25" s="1"/>
  <c r="I387" i="25" s="1"/>
  <c r="I388" i="25" s="1"/>
  <c r="I389" i="25" s="1"/>
  <c r="I390" i="25" s="1"/>
  <c r="I391" i="25" s="1"/>
  <c r="I392" i="25" s="1"/>
  <c r="I393" i="25" s="1"/>
  <c r="I394" i="25" s="1"/>
  <c r="I395" i="25" s="1"/>
  <c r="I396" i="25" s="1"/>
  <c r="I397" i="25" s="1"/>
  <c r="I398" i="25" s="1"/>
  <c r="I399" i="25" s="1"/>
  <c r="I400" i="25" s="1"/>
  <c r="I401" i="25" s="1"/>
  <c r="I402" i="25" s="1"/>
  <c r="I403" i="25" s="1"/>
  <c r="I404" i="25" s="1"/>
  <c r="I405" i="25" s="1"/>
  <c r="I406" i="25" s="1"/>
  <c r="I407" i="25" s="1"/>
  <c r="I408" i="25" s="1"/>
  <c r="I409" i="25" s="1"/>
  <c r="I410" i="25" s="1"/>
  <c r="I411" i="25" s="1"/>
  <c r="I412" i="25" s="1"/>
  <c r="I413" i="25" s="1"/>
  <c r="I414" i="25" s="1"/>
  <c r="I415" i="25" s="1"/>
  <c r="I416" i="25" s="1"/>
  <c r="I417" i="25" s="1"/>
  <c r="I418" i="25" s="1"/>
  <c r="I419" i="25" s="1"/>
  <c r="I420" i="25" s="1"/>
  <c r="I421" i="25" s="1"/>
  <c r="I422" i="25" s="1"/>
  <c r="I423" i="25" s="1"/>
  <c r="I424" i="25" s="1"/>
  <c r="I425" i="25" s="1"/>
  <c r="I426" i="25" s="1"/>
  <c r="I427" i="25" s="1"/>
  <c r="I428" i="25" s="1"/>
  <c r="I429" i="25" s="1"/>
  <c r="I430" i="25" s="1"/>
  <c r="I431" i="25" s="1"/>
  <c r="I432" i="25" s="1"/>
  <c r="I433" i="25" s="1"/>
  <c r="I434" i="25" s="1"/>
  <c r="I435" i="25" s="1"/>
  <c r="I436" i="25" s="1"/>
  <c r="I437" i="25" s="1"/>
  <c r="I438" i="25" s="1"/>
  <c r="I439" i="25" s="1"/>
  <c r="I440" i="25" s="1"/>
  <c r="I441" i="25" s="1"/>
  <c r="I442" i="25" s="1"/>
  <c r="I443" i="25" s="1"/>
  <c r="I444" i="25" s="1"/>
  <c r="I445" i="25" s="1"/>
  <c r="I446" i="25" s="1"/>
  <c r="I447" i="25" s="1"/>
  <c r="I448" i="25" s="1"/>
  <c r="I449" i="25" s="1"/>
  <c r="I450" i="25" s="1"/>
  <c r="I451" i="25" s="1"/>
  <c r="I452" i="25" s="1"/>
  <c r="I453" i="25" s="1"/>
  <c r="I454" i="25" s="1"/>
  <c r="I455" i="25" s="1"/>
  <c r="I456" i="25" s="1"/>
  <c r="I457" i="25" s="1"/>
  <c r="I458" i="25" s="1"/>
  <c r="I459" i="25" s="1"/>
  <c r="I460" i="25" s="1"/>
  <c r="I461" i="25" s="1"/>
  <c r="I462" i="25" s="1"/>
  <c r="I463" i="25" s="1"/>
  <c r="I464" i="25" s="1"/>
  <c r="I465" i="25" s="1"/>
  <c r="I466" i="25" s="1"/>
  <c r="I467" i="25" s="1"/>
  <c r="I468" i="25" s="1"/>
  <c r="I469" i="25" s="1"/>
  <c r="I470" i="25" s="1"/>
  <c r="I471" i="25" s="1"/>
  <c r="I472" i="25" s="1"/>
  <c r="I473" i="25" s="1"/>
  <c r="I474" i="25" s="1"/>
  <c r="I475" i="25" s="1"/>
  <c r="I476" i="25" s="1"/>
  <c r="I477" i="25" s="1"/>
  <c r="I478" i="25" s="1"/>
  <c r="I479" i="25" s="1"/>
  <c r="I480" i="25" s="1"/>
  <c r="I481" i="25" s="1"/>
  <c r="I482" i="25" s="1"/>
  <c r="I483" i="25" s="1"/>
  <c r="I484" i="25" s="1"/>
  <c r="I485" i="25" s="1"/>
  <c r="I486" i="25" s="1"/>
  <c r="I487" i="25" s="1"/>
  <c r="I488" i="25" s="1"/>
  <c r="I489" i="25" s="1"/>
  <c r="I490" i="25" s="1"/>
  <c r="I491" i="25" s="1"/>
  <c r="I492" i="25" s="1"/>
  <c r="I493" i="25" s="1"/>
  <c r="I494" i="25" s="1"/>
  <c r="I495" i="25" s="1"/>
  <c r="I496" i="25" s="1"/>
  <c r="I497" i="25" s="1"/>
  <c r="I498" i="25" s="1"/>
  <c r="I499" i="25" s="1"/>
  <c r="I500" i="25" s="1"/>
  <c r="I501" i="25" s="1"/>
  <c r="I502" i="25" s="1"/>
  <c r="I503" i="25" s="1"/>
  <c r="I504" i="25" s="1"/>
  <c r="I505" i="25" s="1"/>
  <c r="I506" i="25" s="1"/>
  <c r="I507" i="25" s="1"/>
  <c r="I508" i="25" s="1"/>
  <c r="I509" i="25" s="1"/>
  <c r="I510" i="25" s="1"/>
  <c r="I511" i="25" s="1"/>
  <c r="I512" i="25" s="1"/>
  <c r="I513" i="25" s="1"/>
  <c r="I514" i="25" s="1"/>
  <c r="I515" i="25" s="1"/>
  <c r="I516" i="25" s="1"/>
  <c r="I517" i="25" s="1"/>
  <c r="I518" i="25" s="1"/>
  <c r="I519" i="25" s="1"/>
  <c r="I520" i="25" s="1"/>
  <c r="I521" i="25" s="1"/>
  <c r="I522" i="25" s="1"/>
  <c r="I523" i="25" s="1"/>
  <c r="I524" i="25" s="1"/>
  <c r="I525" i="25" s="1"/>
  <c r="I526" i="25" s="1"/>
  <c r="I527" i="25" s="1"/>
  <c r="I528" i="25" s="1"/>
  <c r="I529" i="25" s="1"/>
  <c r="I530" i="25" s="1"/>
  <c r="I531" i="25" s="1"/>
  <c r="I532" i="25" s="1"/>
  <c r="I533" i="25" s="1"/>
  <c r="I534" i="25" s="1"/>
  <c r="I535" i="25" s="1"/>
  <c r="I536" i="25" s="1"/>
  <c r="I537" i="25" s="1"/>
  <c r="I538" i="25" s="1"/>
  <c r="I539" i="25" s="1"/>
  <c r="I540" i="25" s="1"/>
  <c r="I541" i="25" s="1"/>
  <c r="I542" i="25" s="1"/>
  <c r="I543" i="25" s="1"/>
  <c r="I544" i="25" s="1"/>
  <c r="I545" i="25" s="1"/>
  <c r="I546" i="25" s="1"/>
  <c r="I547" i="25" s="1"/>
  <c r="I548" i="25" s="1"/>
  <c r="I549" i="25" s="1"/>
  <c r="I550" i="25" s="1"/>
  <c r="I551" i="25" s="1"/>
  <c r="I552" i="25" s="1"/>
  <c r="I553" i="25" s="1"/>
  <c r="I554" i="25" s="1"/>
  <c r="I555" i="25" s="1"/>
  <c r="I556" i="25" s="1"/>
  <c r="I557" i="25" s="1"/>
  <c r="I558" i="25" s="1"/>
  <c r="I559" i="25" s="1"/>
  <c r="I560" i="25" s="1"/>
  <c r="I561" i="25" s="1"/>
  <c r="I562" i="25" s="1"/>
  <c r="I563" i="25" s="1"/>
  <c r="I564" i="25" s="1"/>
  <c r="I565" i="25" s="1"/>
  <c r="I566" i="25" s="1"/>
  <c r="I567" i="25" s="1"/>
  <c r="I568" i="25" s="1"/>
  <c r="I569" i="25" s="1"/>
  <c r="I570" i="25" s="1"/>
  <c r="I571" i="25" s="1"/>
  <c r="I572" i="25" s="1"/>
  <c r="I573" i="25" s="1"/>
  <c r="I574" i="25" s="1"/>
  <c r="I575" i="25" s="1"/>
  <c r="I576" i="25" s="1"/>
  <c r="I577" i="25" s="1"/>
  <c r="I578" i="25" s="1"/>
  <c r="I579" i="25" s="1"/>
  <c r="I580" i="25" s="1"/>
  <c r="I581" i="25" s="1"/>
  <c r="I582" i="25" s="1"/>
  <c r="I583" i="25" s="1"/>
  <c r="I584" i="25" s="1"/>
  <c r="I585" i="25" s="1"/>
  <c r="I586" i="25" s="1"/>
  <c r="I587" i="25" s="1"/>
  <c r="I588" i="25" s="1"/>
  <c r="I589" i="25" s="1"/>
  <c r="I590" i="25" s="1"/>
  <c r="I591" i="25" s="1"/>
  <c r="I592" i="25" s="1"/>
  <c r="I593" i="25" s="1"/>
  <c r="I594" i="25" s="1"/>
  <c r="I595" i="25" s="1"/>
  <c r="I596" i="25" s="1"/>
  <c r="I597" i="25" s="1"/>
  <c r="I598" i="25" s="1"/>
  <c r="I599" i="25" s="1"/>
  <c r="I600" i="25" s="1"/>
  <c r="I601" i="25" s="1"/>
  <c r="I602" i="25" s="1"/>
  <c r="I603" i="25" s="1"/>
  <c r="I604" i="25" s="1"/>
  <c r="I605" i="25" s="1"/>
  <c r="I606" i="25" s="1"/>
  <c r="I607" i="25" s="1"/>
  <c r="I608" i="25" s="1"/>
  <c r="I609" i="25" s="1"/>
  <c r="I610" i="25" s="1"/>
  <c r="I611" i="25" s="1"/>
  <c r="I612" i="25" s="1"/>
  <c r="I613" i="25" s="1"/>
  <c r="I614" i="25" s="1"/>
  <c r="I615" i="25" s="1"/>
  <c r="I616" i="25" s="1"/>
  <c r="I617" i="25" s="1"/>
  <c r="I618" i="25" s="1"/>
  <c r="I619" i="25" s="1"/>
  <c r="I620" i="25" s="1"/>
  <c r="I621" i="25" s="1"/>
  <c r="I622" i="25" s="1"/>
  <c r="I623" i="25" s="1"/>
  <c r="I624" i="25" s="1"/>
  <c r="I625" i="25" s="1"/>
  <c r="I626" i="25" s="1"/>
  <c r="I627" i="25" s="1"/>
  <c r="I628" i="25" s="1"/>
  <c r="I629" i="25" s="1"/>
  <c r="I630" i="25" s="1"/>
  <c r="I631" i="25" s="1"/>
  <c r="I632" i="25" s="1"/>
  <c r="I633" i="25" s="1"/>
  <c r="I634" i="25" s="1"/>
  <c r="I635" i="25" s="1"/>
  <c r="I636" i="25" s="1"/>
  <c r="I637" i="25" s="1"/>
  <c r="I638" i="25" s="1"/>
  <c r="I639" i="25" s="1"/>
  <c r="I640" i="25" s="1"/>
  <c r="I641" i="25" s="1"/>
  <c r="I642" i="25" s="1"/>
  <c r="I643" i="25" s="1"/>
  <c r="I644" i="25" s="1"/>
  <c r="I645" i="25" s="1"/>
  <c r="I646" i="25" s="1"/>
  <c r="I647" i="25" s="1"/>
  <c r="I648" i="25" s="1"/>
  <c r="I649" i="25" s="1"/>
  <c r="I650" i="25" s="1"/>
  <c r="I651" i="25" s="1"/>
  <c r="I652" i="25" s="1"/>
  <c r="I653" i="25" s="1"/>
  <c r="I654" i="25" s="1"/>
  <c r="I655" i="25" s="1"/>
  <c r="I656" i="25" s="1"/>
  <c r="I657" i="25" s="1"/>
  <c r="I658" i="25" s="1"/>
  <c r="I659" i="25" s="1"/>
  <c r="I660" i="25" s="1"/>
  <c r="I661" i="25" s="1"/>
  <c r="I662" i="25" s="1"/>
  <c r="I663" i="25" s="1"/>
  <c r="I664" i="25" s="1"/>
  <c r="I665" i="25" s="1"/>
  <c r="I666" i="25" s="1"/>
  <c r="I667" i="25" s="1"/>
  <c r="I668" i="25" s="1"/>
  <c r="I669" i="25" s="1"/>
  <c r="I670" i="25" s="1"/>
  <c r="I671" i="25" s="1"/>
  <c r="I672" i="25" s="1"/>
  <c r="I673" i="25" s="1"/>
  <c r="I674" i="25" s="1"/>
  <c r="I675" i="25" s="1"/>
  <c r="I676" i="25" s="1"/>
  <c r="I677" i="25" s="1"/>
  <c r="I678" i="25" s="1"/>
  <c r="I679" i="25" s="1"/>
  <c r="I680" i="25" s="1"/>
  <c r="I681" i="25" s="1"/>
  <c r="I682" i="25" s="1"/>
  <c r="I683" i="25" s="1"/>
  <c r="I684" i="25" s="1"/>
  <c r="I685" i="25" s="1"/>
  <c r="I686" i="25" s="1"/>
  <c r="I687" i="25" s="1"/>
  <c r="I688" i="25" s="1"/>
  <c r="I689" i="25" s="1"/>
  <c r="I690" i="25" s="1"/>
  <c r="I691" i="25" s="1"/>
  <c r="I692" i="25" s="1"/>
  <c r="I693" i="25" s="1"/>
  <c r="I694" i="25" s="1"/>
  <c r="I695" i="25" s="1"/>
  <c r="I696" i="25" s="1"/>
  <c r="I697" i="25" s="1"/>
  <c r="I698" i="25" s="1"/>
  <c r="I699" i="25" s="1"/>
  <c r="I700" i="25" s="1"/>
  <c r="I701" i="25" s="1"/>
  <c r="I702" i="25" s="1"/>
  <c r="I703" i="25" s="1"/>
  <c r="I704" i="25" s="1"/>
  <c r="I705" i="25" s="1"/>
  <c r="I706" i="25" s="1"/>
  <c r="I707" i="25" s="1"/>
  <c r="I708" i="25" s="1"/>
  <c r="I709" i="25" s="1"/>
  <c r="I710" i="25" s="1"/>
  <c r="I711" i="25" s="1"/>
  <c r="I712" i="25" s="1"/>
  <c r="I713" i="25" s="1"/>
  <c r="I714" i="25" s="1"/>
  <c r="I715" i="25" s="1"/>
  <c r="I716" i="25" s="1"/>
  <c r="I717" i="25" s="1"/>
  <c r="I718" i="25" s="1"/>
  <c r="I719" i="25" s="1"/>
  <c r="I720" i="25" s="1"/>
  <c r="I721" i="25" s="1"/>
  <c r="I722" i="25" s="1"/>
  <c r="I723" i="25" s="1"/>
  <c r="I724" i="25" s="1"/>
  <c r="I725" i="25" s="1"/>
  <c r="I726" i="25" s="1"/>
  <c r="I727" i="25" s="1"/>
  <c r="I728" i="25" s="1"/>
  <c r="I729" i="25" s="1"/>
  <c r="I730" i="25" s="1"/>
  <c r="I731" i="25" s="1"/>
  <c r="I732" i="25" s="1"/>
  <c r="I733" i="25" s="1"/>
  <c r="I734" i="25" s="1"/>
  <c r="I735" i="25" s="1"/>
  <c r="I736" i="25" s="1"/>
  <c r="I737" i="25" s="1"/>
  <c r="I738" i="25" s="1"/>
  <c r="I739" i="25" s="1"/>
  <c r="I740" i="25" s="1"/>
  <c r="I741" i="25" s="1"/>
  <c r="I742" i="25" s="1"/>
  <c r="I743" i="25" s="1"/>
  <c r="I744" i="25" s="1"/>
  <c r="I745" i="25" s="1"/>
  <c r="I746" i="25" s="1"/>
  <c r="I747" i="25" s="1"/>
  <c r="I748" i="25" s="1"/>
  <c r="I749" i="25" s="1"/>
  <c r="I750" i="25" s="1"/>
  <c r="I751" i="25" s="1"/>
  <c r="I752" i="25" s="1"/>
  <c r="I753" i="25" s="1"/>
  <c r="I754" i="25" s="1"/>
  <c r="I755" i="25" s="1"/>
  <c r="I756" i="25" s="1"/>
  <c r="I757" i="25" s="1"/>
  <c r="I758" i="25" s="1"/>
  <c r="I759" i="25" s="1"/>
  <c r="I760" i="25" s="1"/>
  <c r="I761" i="25" s="1"/>
  <c r="I762" i="25" s="1"/>
  <c r="I763" i="25" s="1"/>
  <c r="I764" i="25" s="1"/>
  <c r="I765" i="25" s="1"/>
  <c r="I766" i="25" s="1"/>
  <c r="I767" i="25" s="1"/>
  <c r="I768" i="25" s="1"/>
  <c r="I769" i="25" s="1"/>
  <c r="I770" i="25" s="1"/>
  <c r="I771" i="25" s="1"/>
  <c r="I772" i="25" s="1"/>
  <c r="I773" i="25" s="1"/>
  <c r="I774" i="25" s="1"/>
  <c r="I775" i="25" s="1"/>
  <c r="I776" i="25" s="1"/>
  <c r="I777" i="25" s="1"/>
  <c r="I778" i="25" s="1"/>
  <c r="I779" i="25" s="1"/>
  <c r="I780" i="25" s="1"/>
  <c r="I781" i="25" s="1"/>
  <c r="I782" i="25" s="1"/>
  <c r="I783" i="25" s="1"/>
  <c r="I784" i="25" s="1"/>
  <c r="I785" i="25" s="1"/>
  <c r="I786" i="25" s="1"/>
  <c r="I787" i="25" s="1"/>
  <c r="I788" i="25" s="1"/>
  <c r="I789" i="25" s="1"/>
  <c r="I790" i="25" s="1"/>
  <c r="I791" i="25" s="1"/>
  <c r="I792" i="25" s="1"/>
  <c r="I793" i="25" s="1"/>
  <c r="I794" i="25" s="1"/>
  <c r="I795" i="25" s="1"/>
  <c r="I796" i="25" s="1"/>
  <c r="I797" i="25" s="1"/>
  <c r="I798" i="25" s="1"/>
  <c r="I799" i="25" s="1"/>
  <c r="I800" i="25" s="1"/>
  <c r="I801" i="25" s="1"/>
  <c r="I802" i="25" s="1"/>
  <c r="I803" i="25" s="1"/>
  <c r="I804" i="25" s="1"/>
  <c r="I805" i="25" s="1"/>
  <c r="I806" i="25" s="1"/>
  <c r="I807" i="25" s="1"/>
  <c r="I808" i="25" s="1"/>
  <c r="I809" i="25" s="1"/>
  <c r="I810" i="25" s="1"/>
  <c r="I811" i="25" s="1"/>
  <c r="I812" i="25" s="1"/>
  <c r="I813" i="25" s="1"/>
  <c r="I814" i="25" s="1"/>
  <c r="I815" i="25" s="1"/>
  <c r="I816" i="25" s="1"/>
  <c r="I817" i="25" s="1"/>
  <c r="I818" i="25" s="1"/>
  <c r="I819" i="25" s="1"/>
  <c r="I820" i="25" s="1"/>
  <c r="I821" i="25" s="1"/>
  <c r="I822" i="25" s="1"/>
  <c r="I823" i="25" s="1"/>
  <c r="I824" i="25" s="1"/>
  <c r="I825" i="25" s="1"/>
  <c r="I826" i="25" s="1"/>
  <c r="I827" i="25" s="1"/>
  <c r="I828" i="25" s="1"/>
  <c r="I829" i="25" s="1"/>
  <c r="I830" i="25" s="1"/>
  <c r="I831" i="25" s="1"/>
  <c r="I832" i="25" s="1"/>
  <c r="I833" i="25" s="1"/>
  <c r="I834" i="25" s="1"/>
  <c r="I835" i="25" s="1"/>
  <c r="I836" i="25" s="1"/>
  <c r="I837" i="25" s="1"/>
  <c r="I838" i="25" s="1"/>
  <c r="I839" i="25" s="1"/>
  <c r="I840" i="25" s="1"/>
  <c r="I841" i="25" s="1"/>
  <c r="I842" i="25" s="1"/>
  <c r="I843" i="25" s="1"/>
  <c r="I844" i="25" s="1"/>
  <c r="I845" i="25" s="1"/>
  <c r="I846" i="25" s="1"/>
  <c r="I847" i="25" s="1"/>
  <c r="I848" i="25" s="1"/>
  <c r="I849" i="25" s="1"/>
  <c r="I850" i="25" s="1"/>
  <c r="I851" i="25" s="1"/>
  <c r="I852" i="25" s="1"/>
  <c r="I853" i="25" s="1"/>
  <c r="I854" i="25" s="1"/>
  <c r="I855" i="25" s="1"/>
  <c r="I856" i="25" s="1"/>
  <c r="I857" i="25" s="1"/>
  <c r="I858" i="25" s="1"/>
  <c r="I859" i="25" s="1"/>
  <c r="I860" i="25" s="1"/>
  <c r="I861" i="25" s="1"/>
  <c r="I862" i="25" s="1"/>
  <c r="I863" i="25" s="1"/>
  <c r="I864" i="25" s="1"/>
  <c r="I865" i="25" s="1"/>
  <c r="I866" i="25" s="1"/>
  <c r="I867" i="25" s="1"/>
  <c r="I868" i="25" s="1"/>
  <c r="I869" i="25" s="1"/>
  <c r="I870" i="25" s="1"/>
  <c r="I871" i="25" s="1"/>
  <c r="I872" i="25" s="1"/>
  <c r="I873" i="25" s="1"/>
  <c r="I874" i="25" s="1"/>
  <c r="I875" i="25" s="1"/>
  <c r="I876" i="25" s="1"/>
  <c r="I877" i="25" s="1"/>
  <c r="I878" i="25" s="1"/>
  <c r="I879" i="25" s="1"/>
  <c r="I880" i="25" s="1"/>
  <c r="H3" i="25"/>
  <c r="G3" i="25" s="1"/>
  <c r="G4" i="25" s="1"/>
  <c r="G5" i="25" s="1"/>
  <c r="G6" i="25" s="1"/>
  <c r="G7" i="25" s="1"/>
  <c r="G8" i="25" s="1"/>
  <c r="G9" i="25" s="1"/>
  <c r="G10" i="25" s="1"/>
  <c r="G11" i="25" s="1"/>
  <c r="G12" i="25" s="1"/>
  <c r="G13" i="25" s="1"/>
  <c r="G14" i="25" s="1"/>
  <c r="G15" i="25" s="1"/>
  <c r="G16" i="25" s="1"/>
  <c r="G17" i="25" s="1"/>
  <c r="G18" i="25" s="1"/>
  <c r="G19" i="25" s="1"/>
  <c r="G20" i="25" s="1"/>
  <c r="G21" i="25" s="1"/>
  <c r="G22" i="25" s="1"/>
  <c r="G23" i="25" s="1"/>
  <c r="G24" i="25" s="1"/>
  <c r="G25" i="25" s="1"/>
  <c r="G26" i="25" s="1"/>
  <c r="G27" i="25" s="1"/>
  <c r="G28" i="25" s="1"/>
  <c r="G29" i="25" s="1"/>
  <c r="G30" i="25" s="1"/>
  <c r="G31" i="25" s="1"/>
  <c r="G32" i="25" s="1"/>
  <c r="G33" i="25" s="1"/>
  <c r="G34" i="25" s="1"/>
  <c r="G35" i="25" s="1"/>
  <c r="G36" i="25" s="1"/>
  <c r="G37" i="25" s="1"/>
  <c r="G38" i="25" s="1"/>
  <c r="G39" i="25" s="1"/>
  <c r="G40" i="25" s="1"/>
  <c r="G41" i="25" s="1"/>
  <c r="G42" i="25" s="1"/>
  <c r="G43" i="25" s="1"/>
  <c r="G44" i="25" s="1"/>
  <c r="G45" i="25" s="1"/>
  <c r="G46" i="25" s="1"/>
  <c r="G47" i="25" s="1"/>
  <c r="G48" i="25" s="1"/>
  <c r="G49" i="25" s="1"/>
  <c r="G50" i="25" s="1"/>
  <c r="G51" i="25" s="1"/>
  <c r="G52" i="25" s="1"/>
  <c r="G53" i="25" s="1"/>
  <c r="G54" i="25" s="1"/>
  <c r="G55" i="25" s="1"/>
  <c r="G56" i="25" s="1"/>
  <c r="G57" i="25" s="1"/>
  <c r="G58" i="25" s="1"/>
  <c r="G59" i="25" s="1"/>
  <c r="G60" i="25" s="1"/>
  <c r="G61" i="25" s="1"/>
  <c r="G62" i="25" s="1"/>
  <c r="G63" i="25" s="1"/>
  <c r="G64" i="25" s="1"/>
  <c r="G65" i="25" s="1"/>
  <c r="G66" i="25" s="1"/>
  <c r="G67" i="25" s="1"/>
  <c r="G68" i="25" s="1"/>
  <c r="G69" i="25" s="1"/>
  <c r="G70" i="25" s="1"/>
  <c r="G71" i="25" s="1"/>
  <c r="G72" i="25" s="1"/>
  <c r="G73" i="25" s="1"/>
  <c r="G74" i="25" s="1"/>
  <c r="G75" i="25" s="1"/>
  <c r="G76" i="25" s="1"/>
  <c r="G77" i="25" s="1"/>
  <c r="G78" i="25" s="1"/>
  <c r="G79" i="25" s="1"/>
  <c r="G80" i="25" s="1"/>
  <c r="G81" i="25" s="1"/>
  <c r="G82" i="25" s="1"/>
  <c r="G83" i="25" s="1"/>
  <c r="G84" i="25" s="1"/>
  <c r="G85" i="25" s="1"/>
  <c r="G86" i="25" s="1"/>
  <c r="G87" i="25" s="1"/>
  <c r="G88" i="25" s="1"/>
  <c r="G89" i="25" s="1"/>
  <c r="G90" i="25" s="1"/>
  <c r="G91" i="25" s="1"/>
  <c r="G92" i="25" s="1"/>
  <c r="G93" i="25" s="1"/>
  <c r="G94" i="25" s="1"/>
  <c r="G95" i="25" s="1"/>
  <c r="G96" i="25" s="1"/>
  <c r="G97" i="25" s="1"/>
  <c r="G98" i="25" s="1"/>
  <c r="G99" i="25" s="1"/>
  <c r="G100" i="25" s="1"/>
  <c r="G101" i="25" s="1"/>
  <c r="G102" i="25" s="1"/>
  <c r="G103" i="25" s="1"/>
  <c r="G104" i="25" s="1"/>
  <c r="G105" i="25" s="1"/>
  <c r="G106" i="25" s="1"/>
  <c r="G107" i="25" s="1"/>
  <c r="G108" i="25" s="1"/>
  <c r="G109" i="25" s="1"/>
  <c r="G110" i="25" s="1"/>
  <c r="G111" i="25" s="1"/>
  <c r="G112" i="25" s="1"/>
  <c r="G113" i="25" s="1"/>
  <c r="G114" i="25" s="1"/>
  <c r="G115" i="25" s="1"/>
  <c r="G116" i="25" s="1"/>
  <c r="G117" i="25" s="1"/>
  <c r="G118" i="25" s="1"/>
  <c r="G119" i="25" s="1"/>
  <c r="G120" i="25" s="1"/>
  <c r="G121" i="25" s="1"/>
  <c r="G122" i="25" s="1"/>
  <c r="G123" i="25" s="1"/>
  <c r="G124" i="25" s="1"/>
  <c r="G125" i="25" s="1"/>
  <c r="G126" i="25" s="1"/>
  <c r="G127" i="25" s="1"/>
  <c r="G128" i="25" s="1"/>
  <c r="G129" i="25" s="1"/>
  <c r="G130" i="25" s="1"/>
  <c r="G131" i="25" s="1"/>
  <c r="G132" i="25" s="1"/>
  <c r="G133" i="25" s="1"/>
  <c r="G134" i="25" s="1"/>
  <c r="G135" i="25" s="1"/>
  <c r="G136" i="25" s="1"/>
  <c r="G137" i="25" s="1"/>
  <c r="G138" i="25" s="1"/>
  <c r="G139" i="25" s="1"/>
  <c r="G140" i="25" s="1"/>
  <c r="G141" i="25" s="1"/>
  <c r="G142" i="25" s="1"/>
  <c r="G143" i="25" s="1"/>
  <c r="G144" i="25" s="1"/>
  <c r="G145" i="25" s="1"/>
  <c r="G146" i="25" s="1"/>
  <c r="G147" i="25" s="1"/>
  <c r="G148" i="25" s="1"/>
  <c r="G149" i="25" s="1"/>
  <c r="G150" i="25" s="1"/>
  <c r="G151" i="25" s="1"/>
  <c r="G152" i="25" s="1"/>
  <c r="G153" i="25" s="1"/>
  <c r="G154" i="25" s="1"/>
  <c r="G155" i="25" s="1"/>
  <c r="G156" i="25" s="1"/>
  <c r="G157" i="25" s="1"/>
  <c r="G158" i="25" s="1"/>
  <c r="G159" i="25" s="1"/>
  <c r="G160" i="25" s="1"/>
  <c r="G161" i="25" s="1"/>
  <c r="G162" i="25" s="1"/>
  <c r="G163" i="25" s="1"/>
  <c r="G164" i="25" s="1"/>
  <c r="G165" i="25" s="1"/>
  <c r="G166" i="25" s="1"/>
  <c r="G167" i="25" s="1"/>
  <c r="G168" i="25" s="1"/>
  <c r="G169" i="25" s="1"/>
  <c r="G170" i="25" s="1"/>
  <c r="G171" i="25" s="1"/>
  <c r="G172" i="25" s="1"/>
  <c r="G173" i="25" s="1"/>
  <c r="G174" i="25" s="1"/>
  <c r="G175" i="25" s="1"/>
  <c r="G176" i="25" s="1"/>
  <c r="G177" i="25" s="1"/>
  <c r="G178" i="25" s="1"/>
  <c r="G179" i="25" s="1"/>
  <c r="G180" i="25" s="1"/>
  <c r="G181" i="25" s="1"/>
  <c r="G182" i="25" s="1"/>
  <c r="G183" i="25" s="1"/>
  <c r="G184" i="25" s="1"/>
  <c r="G185" i="25" s="1"/>
  <c r="G186" i="25" s="1"/>
  <c r="G187" i="25" s="1"/>
  <c r="G188" i="25" s="1"/>
  <c r="G189" i="25" s="1"/>
  <c r="G190" i="25" s="1"/>
  <c r="G191" i="25" s="1"/>
  <c r="G192" i="25" s="1"/>
  <c r="G193" i="25" s="1"/>
  <c r="G194" i="25" s="1"/>
  <c r="G195" i="25" s="1"/>
  <c r="G196" i="25" s="1"/>
  <c r="G197" i="25" s="1"/>
  <c r="G198" i="25" s="1"/>
  <c r="G199" i="25" s="1"/>
  <c r="G200" i="25" s="1"/>
  <c r="G201" i="25" s="1"/>
  <c r="G202" i="25" s="1"/>
  <c r="G203" i="25" s="1"/>
  <c r="G204" i="25" s="1"/>
  <c r="G205" i="25" s="1"/>
  <c r="G206" i="25" s="1"/>
  <c r="G207" i="25" s="1"/>
  <c r="G208" i="25" s="1"/>
  <c r="G209" i="25" s="1"/>
  <c r="G210" i="25" s="1"/>
  <c r="G211" i="25" s="1"/>
  <c r="G212" i="25" s="1"/>
  <c r="G213" i="25" s="1"/>
  <c r="G214" i="25" s="1"/>
  <c r="G215" i="25" s="1"/>
  <c r="G216" i="25" s="1"/>
  <c r="G217" i="25" s="1"/>
  <c r="G218" i="25" s="1"/>
  <c r="G219" i="25" s="1"/>
  <c r="G220" i="25" s="1"/>
  <c r="G221" i="25" s="1"/>
  <c r="G222" i="25" s="1"/>
  <c r="G223" i="25" s="1"/>
  <c r="G224" i="25" s="1"/>
  <c r="G225" i="25" s="1"/>
  <c r="G226" i="25" s="1"/>
  <c r="G227" i="25" s="1"/>
  <c r="G228" i="25" s="1"/>
  <c r="G229" i="25" s="1"/>
  <c r="G230" i="25" s="1"/>
  <c r="G231" i="25" s="1"/>
  <c r="G232" i="25" s="1"/>
  <c r="G233" i="25" s="1"/>
  <c r="G234" i="25" s="1"/>
  <c r="G235" i="25" s="1"/>
  <c r="G236" i="25" s="1"/>
  <c r="G237" i="25" s="1"/>
  <c r="G238" i="25" s="1"/>
  <c r="G239" i="25" s="1"/>
  <c r="G240" i="25" s="1"/>
  <c r="G241" i="25" s="1"/>
  <c r="G242" i="25" s="1"/>
  <c r="G243" i="25" s="1"/>
  <c r="G244" i="25" s="1"/>
  <c r="G245" i="25" s="1"/>
  <c r="G246" i="25" s="1"/>
  <c r="G247" i="25" s="1"/>
  <c r="G248" i="25" s="1"/>
  <c r="G249" i="25" s="1"/>
  <c r="G250" i="25" s="1"/>
  <c r="G251" i="25" s="1"/>
  <c r="G252" i="25" s="1"/>
  <c r="G253" i="25" s="1"/>
  <c r="G254" i="25" s="1"/>
  <c r="G255" i="25" s="1"/>
  <c r="G256" i="25" s="1"/>
  <c r="G257" i="25" s="1"/>
  <c r="G258" i="25" s="1"/>
  <c r="G259" i="25" s="1"/>
  <c r="G260" i="25" s="1"/>
  <c r="G261" i="25" s="1"/>
  <c r="G262" i="25" s="1"/>
  <c r="G263" i="25" s="1"/>
  <c r="G264" i="25" s="1"/>
  <c r="G265" i="25" s="1"/>
  <c r="G266" i="25" s="1"/>
  <c r="G267" i="25" s="1"/>
  <c r="G268" i="25" s="1"/>
  <c r="G269" i="25" s="1"/>
  <c r="G270" i="25" s="1"/>
  <c r="G271" i="25" s="1"/>
  <c r="G272" i="25" s="1"/>
  <c r="G273" i="25" s="1"/>
  <c r="G274" i="25" s="1"/>
  <c r="G275" i="25" s="1"/>
  <c r="G276" i="25" s="1"/>
  <c r="G277" i="25" s="1"/>
  <c r="G278" i="25" s="1"/>
  <c r="G279" i="25" s="1"/>
  <c r="G280" i="25" s="1"/>
  <c r="G281" i="25" s="1"/>
  <c r="G282" i="25" s="1"/>
  <c r="G283" i="25" s="1"/>
  <c r="G284" i="25" s="1"/>
  <c r="G285" i="25" s="1"/>
  <c r="G286" i="25" s="1"/>
  <c r="G287" i="25" s="1"/>
  <c r="G288" i="25" s="1"/>
  <c r="G289" i="25" s="1"/>
  <c r="G290" i="25" s="1"/>
  <c r="G291" i="25" s="1"/>
  <c r="G292" i="25" s="1"/>
  <c r="G293" i="25" s="1"/>
  <c r="G294" i="25" s="1"/>
  <c r="G295" i="25" s="1"/>
  <c r="G296" i="25" s="1"/>
  <c r="G297" i="25" s="1"/>
  <c r="G298" i="25" s="1"/>
  <c r="G299" i="25" s="1"/>
  <c r="G300" i="25" s="1"/>
  <c r="G301" i="25" s="1"/>
  <c r="G302" i="25" s="1"/>
  <c r="G303" i="25" s="1"/>
  <c r="G304" i="25" s="1"/>
  <c r="G305" i="25" s="1"/>
  <c r="G306" i="25" s="1"/>
  <c r="G307" i="25" s="1"/>
  <c r="G308" i="25" s="1"/>
  <c r="G309" i="25" s="1"/>
  <c r="G310" i="25" s="1"/>
  <c r="G311" i="25" s="1"/>
  <c r="G312" i="25" s="1"/>
  <c r="G313" i="25" s="1"/>
  <c r="G314" i="25" s="1"/>
  <c r="G315" i="25" s="1"/>
  <c r="G316" i="25" s="1"/>
  <c r="G317" i="25" s="1"/>
  <c r="G318" i="25" s="1"/>
  <c r="G319" i="25" s="1"/>
  <c r="G320" i="25" s="1"/>
  <c r="G321" i="25" s="1"/>
  <c r="G322" i="25" s="1"/>
  <c r="G323" i="25" s="1"/>
  <c r="G324" i="25" s="1"/>
  <c r="G325" i="25" s="1"/>
  <c r="G326" i="25" s="1"/>
  <c r="G327" i="25" s="1"/>
  <c r="G328" i="25" s="1"/>
  <c r="G329" i="25" s="1"/>
  <c r="G330" i="25" s="1"/>
  <c r="G331" i="25" s="1"/>
  <c r="G332" i="25" s="1"/>
  <c r="G333" i="25" s="1"/>
  <c r="G334" i="25" s="1"/>
  <c r="G335" i="25" s="1"/>
  <c r="G336" i="25" s="1"/>
  <c r="G337" i="25" s="1"/>
  <c r="G338" i="25" s="1"/>
  <c r="G339" i="25" s="1"/>
  <c r="G340" i="25" s="1"/>
  <c r="G341" i="25" s="1"/>
  <c r="G342" i="25" s="1"/>
  <c r="G343" i="25" s="1"/>
  <c r="G344" i="25" s="1"/>
  <c r="G345" i="25" s="1"/>
  <c r="G346" i="25" s="1"/>
  <c r="G347" i="25" s="1"/>
  <c r="G348" i="25" s="1"/>
  <c r="G349" i="25" s="1"/>
  <c r="G350" i="25" s="1"/>
  <c r="G351" i="25" s="1"/>
  <c r="G352" i="25" s="1"/>
  <c r="G353" i="25" s="1"/>
  <c r="G354" i="25" s="1"/>
  <c r="G355" i="25" s="1"/>
  <c r="G356" i="25" s="1"/>
  <c r="G357" i="25" s="1"/>
  <c r="G358" i="25" s="1"/>
  <c r="G359" i="25" s="1"/>
  <c r="G360" i="25" s="1"/>
  <c r="G361" i="25" s="1"/>
  <c r="G362" i="25" s="1"/>
  <c r="G363" i="25" s="1"/>
  <c r="G364" i="25" s="1"/>
  <c r="G365" i="25" s="1"/>
  <c r="G366" i="25" s="1"/>
  <c r="G367" i="25" s="1"/>
  <c r="G368" i="25" s="1"/>
  <c r="G369" i="25" s="1"/>
  <c r="G370" i="25" s="1"/>
  <c r="G371" i="25" s="1"/>
  <c r="G372" i="25" s="1"/>
  <c r="G373" i="25" s="1"/>
  <c r="G374" i="25" s="1"/>
  <c r="G375" i="25" s="1"/>
  <c r="G376" i="25" s="1"/>
  <c r="G377" i="25" s="1"/>
  <c r="G378" i="25" s="1"/>
  <c r="G379" i="25" s="1"/>
  <c r="G380" i="25" s="1"/>
  <c r="G381" i="25" s="1"/>
  <c r="G382" i="25" s="1"/>
  <c r="G383" i="25" s="1"/>
  <c r="G384" i="25" s="1"/>
  <c r="G385" i="25" s="1"/>
  <c r="G386" i="25" s="1"/>
  <c r="G387" i="25" s="1"/>
  <c r="G388" i="25" s="1"/>
  <c r="G389" i="25" s="1"/>
  <c r="G390" i="25" s="1"/>
  <c r="G391" i="25" s="1"/>
  <c r="G392" i="25" s="1"/>
  <c r="G393" i="25" s="1"/>
  <c r="G394" i="25" s="1"/>
  <c r="G395" i="25" s="1"/>
  <c r="G396" i="25" s="1"/>
  <c r="G397" i="25" s="1"/>
  <c r="G398" i="25" s="1"/>
  <c r="G399" i="25" s="1"/>
  <c r="G400" i="25" s="1"/>
  <c r="G401" i="25" s="1"/>
  <c r="G402" i="25" s="1"/>
  <c r="G403" i="25" s="1"/>
  <c r="G404" i="25" s="1"/>
  <c r="G405" i="25" s="1"/>
  <c r="G406" i="25" s="1"/>
  <c r="G407" i="25" s="1"/>
  <c r="G408" i="25" s="1"/>
  <c r="G409" i="25" s="1"/>
  <c r="G410" i="25" s="1"/>
  <c r="G411" i="25" s="1"/>
  <c r="G412" i="25" s="1"/>
  <c r="G413" i="25" s="1"/>
  <c r="G414" i="25" s="1"/>
  <c r="G415" i="25" s="1"/>
  <c r="G416" i="25" s="1"/>
  <c r="G417" i="25" s="1"/>
  <c r="G418" i="25" s="1"/>
  <c r="G419" i="25" s="1"/>
  <c r="G420" i="25" s="1"/>
  <c r="G421" i="25" s="1"/>
  <c r="G422" i="25" s="1"/>
  <c r="G423" i="25" s="1"/>
  <c r="G424" i="25" s="1"/>
  <c r="G425" i="25" s="1"/>
  <c r="G426" i="25" s="1"/>
  <c r="G427" i="25" s="1"/>
  <c r="G428" i="25" s="1"/>
  <c r="G429" i="25" s="1"/>
  <c r="G430" i="25" s="1"/>
  <c r="G431" i="25" s="1"/>
  <c r="G432" i="25" s="1"/>
  <c r="G433" i="25" s="1"/>
  <c r="G434" i="25" s="1"/>
  <c r="G435" i="25" s="1"/>
  <c r="G436" i="25" s="1"/>
  <c r="G437" i="25" s="1"/>
  <c r="G438" i="25" s="1"/>
  <c r="G439" i="25" s="1"/>
  <c r="G440" i="25" s="1"/>
  <c r="G441" i="25" s="1"/>
  <c r="G442" i="25" s="1"/>
  <c r="G443" i="25" s="1"/>
  <c r="G444" i="25" s="1"/>
  <c r="G445" i="25" s="1"/>
  <c r="G446" i="25" s="1"/>
  <c r="G447" i="25" s="1"/>
  <c r="G448" i="25" s="1"/>
  <c r="G449" i="25" s="1"/>
  <c r="G450" i="25" s="1"/>
  <c r="G451" i="25" s="1"/>
  <c r="G452" i="25" s="1"/>
  <c r="G453" i="25" s="1"/>
  <c r="G454" i="25" s="1"/>
  <c r="G455" i="25" s="1"/>
  <c r="G456" i="25" s="1"/>
  <c r="G457" i="25" s="1"/>
  <c r="G458" i="25" s="1"/>
  <c r="G459" i="25" s="1"/>
  <c r="G460" i="25" s="1"/>
  <c r="G461" i="25" s="1"/>
  <c r="G462" i="25" s="1"/>
  <c r="G463" i="25" s="1"/>
  <c r="G464" i="25" s="1"/>
  <c r="G465" i="25" s="1"/>
  <c r="G466" i="25" s="1"/>
  <c r="G467" i="25" s="1"/>
  <c r="G468" i="25" s="1"/>
  <c r="G469" i="25" s="1"/>
  <c r="G470" i="25" s="1"/>
  <c r="G471" i="25" s="1"/>
  <c r="G472" i="25" s="1"/>
  <c r="G473" i="25" s="1"/>
  <c r="G474" i="25" s="1"/>
  <c r="G475" i="25" s="1"/>
  <c r="G476" i="25" s="1"/>
  <c r="G477" i="25" s="1"/>
  <c r="G478" i="25" s="1"/>
  <c r="G479" i="25" s="1"/>
  <c r="G480" i="25" s="1"/>
  <c r="G481" i="25" s="1"/>
  <c r="G482" i="25" s="1"/>
  <c r="G483" i="25" s="1"/>
  <c r="G484" i="25" s="1"/>
  <c r="G485" i="25" s="1"/>
  <c r="G486" i="25" s="1"/>
  <c r="G487" i="25" s="1"/>
  <c r="G488" i="25" s="1"/>
  <c r="G489" i="25" s="1"/>
  <c r="G490" i="25" s="1"/>
  <c r="G491" i="25" s="1"/>
  <c r="G492" i="25" s="1"/>
  <c r="G493" i="25" s="1"/>
  <c r="G494" i="25" s="1"/>
  <c r="G495" i="25" s="1"/>
  <c r="G496" i="25" s="1"/>
  <c r="G497" i="25" s="1"/>
  <c r="G498" i="25" s="1"/>
  <c r="G499" i="25" s="1"/>
  <c r="G500" i="25" s="1"/>
  <c r="G501" i="25" s="1"/>
  <c r="G502" i="25" s="1"/>
  <c r="G503" i="25" s="1"/>
  <c r="G504" i="25" s="1"/>
  <c r="G505" i="25" s="1"/>
  <c r="G506" i="25" s="1"/>
  <c r="G507" i="25" s="1"/>
  <c r="G508" i="25" s="1"/>
  <c r="G509" i="25" s="1"/>
  <c r="G510" i="25" s="1"/>
  <c r="G511" i="25" s="1"/>
  <c r="G512" i="25" s="1"/>
  <c r="G513" i="25" s="1"/>
  <c r="G514" i="25" s="1"/>
  <c r="G515" i="25" s="1"/>
  <c r="G516" i="25" s="1"/>
  <c r="G517" i="25" s="1"/>
  <c r="G518" i="25" s="1"/>
  <c r="G519" i="25" s="1"/>
  <c r="G520" i="25" s="1"/>
  <c r="G521" i="25" s="1"/>
  <c r="G522" i="25" s="1"/>
  <c r="G523" i="25" s="1"/>
  <c r="G524" i="25" s="1"/>
  <c r="G525" i="25" s="1"/>
  <c r="G526" i="25" s="1"/>
  <c r="G527" i="25" s="1"/>
  <c r="G528" i="25" s="1"/>
  <c r="G529" i="25" s="1"/>
  <c r="G530" i="25" s="1"/>
  <c r="G531" i="25" s="1"/>
  <c r="G532" i="25" s="1"/>
  <c r="G533" i="25" s="1"/>
  <c r="G534" i="25" s="1"/>
  <c r="G535" i="25" s="1"/>
  <c r="G536" i="25" s="1"/>
  <c r="G537" i="25" s="1"/>
  <c r="G538" i="25" s="1"/>
  <c r="G539" i="25" s="1"/>
  <c r="G540" i="25" s="1"/>
  <c r="G541" i="25" s="1"/>
  <c r="G542" i="25" s="1"/>
  <c r="G543" i="25" s="1"/>
  <c r="G544" i="25" s="1"/>
  <c r="G545" i="25" s="1"/>
  <c r="G546" i="25" s="1"/>
  <c r="G547" i="25" s="1"/>
  <c r="G548" i="25" s="1"/>
  <c r="G549" i="25" s="1"/>
  <c r="G550" i="25" s="1"/>
  <c r="G551" i="25" s="1"/>
  <c r="G552" i="25" s="1"/>
  <c r="G553" i="25" s="1"/>
  <c r="G554" i="25" s="1"/>
  <c r="G555" i="25" s="1"/>
  <c r="G556" i="25" s="1"/>
  <c r="G557" i="25" s="1"/>
  <c r="G558" i="25" s="1"/>
  <c r="G559" i="25" s="1"/>
  <c r="G560" i="25" s="1"/>
  <c r="G561" i="25" s="1"/>
  <c r="G562" i="25" s="1"/>
  <c r="G563" i="25" s="1"/>
  <c r="G564" i="25" s="1"/>
  <c r="G565" i="25" s="1"/>
  <c r="G566" i="25" s="1"/>
  <c r="G567" i="25" s="1"/>
  <c r="G568" i="25" s="1"/>
  <c r="G569" i="25" s="1"/>
  <c r="G570" i="25" s="1"/>
  <c r="G571" i="25" s="1"/>
  <c r="G572" i="25" s="1"/>
  <c r="G573" i="25" s="1"/>
  <c r="G574" i="25" s="1"/>
  <c r="G575" i="25" s="1"/>
  <c r="G576" i="25" s="1"/>
  <c r="G577" i="25" s="1"/>
  <c r="G578" i="25" s="1"/>
  <c r="G579" i="25" s="1"/>
  <c r="G580" i="25" s="1"/>
  <c r="G581" i="25" s="1"/>
  <c r="G582" i="25" s="1"/>
  <c r="G583" i="25" s="1"/>
  <c r="G584" i="25" s="1"/>
  <c r="G585" i="25" s="1"/>
  <c r="G586" i="25" s="1"/>
  <c r="G587" i="25" s="1"/>
  <c r="G588" i="25" s="1"/>
  <c r="G589" i="25" s="1"/>
  <c r="G590" i="25" s="1"/>
  <c r="G591" i="25" s="1"/>
  <c r="G592" i="25" s="1"/>
  <c r="G593" i="25" s="1"/>
  <c r="G594" i="25" s="1"/>
  <c r="G595" i="25" s="1"/>
  <c r="G596" i="25" s="1"/>
  <c r="G597" i="25" s="1"/>
  <c r="G598" i="25" s="1"/>
  <c r="G599" i="25" s="1"/>
  <c r="G600" i="25" s="1"/>
  <c r="G601" i="25" s="1"/>
  <c r="G602" i="25" s="1"/>
  <c r="G603" i="25" s="1"/>
  <c r="G604" i="25" s="1"/>
  <c r="G605" i="25" s="1"/>
  <c r="G606" i="25" s="1"/>
  <c r="G607" i="25" s="1"/>
  <c r="G608" i="25" s="1"/>
  <c r="G609" i="25" s="1"/>
  <c r="G610" i="25" s="1"/>
  <c r="G611" i="25" s="1"/>
  <c r="G612" i="25" s="1"/>
  <c r="G613" i="25" s="1"/>
  <c r="G614" i="25" s="1"/>
  <c r="G615" i="25" s="1"/>
  <c r="G616" i="25" s="1"/>
  <c r="G617" i="25" s="1"/>
  <c r="G618" i="25" s="1"/>
  <c r="G619" i="25" s="1"/>
  <c r="G620" i="25" s="1"/>
  <c r="G621" i="25" s="1"/>
  <c r="G622" i="25" s="1"/>
  <c r="G623" i="25" s="1"/>
  <c r="G624" i="25" s="1"/>
  <c r="G625" i="25" s="1"/>
  <c r="G626" i="25" s="1"/>
  <c r="G627" i="25" s="1"/>
  <c r="G628" i="25" s="1"/>
  <c r="G629" i="25" s="1"/>
  <c r="G630" i="25" s="1"/>
  <c r="G631" i="25" s="1"/>
  <c r="G632" i="25" s="1"/>
  <c r="G633" i="25" s="1"/>
  <c r="G634" i="25" s="1"/>
  <c r="G635" i="25" s="1"/>
  <c r="G636" i="25" s="1"/>
  <c r="G637" i="25" s="1"/>
  <c r="G638" i="25" s="1"/>
  <c r="G639" i="25" s="1"/>
  <c r="G640" i="25" s="1"/>
  <c r="G641" i="25" s="1"/>
  <c r="G642" i="25" s="1"/>
  <c r="G643" i="25" s="1"/>
  <c r="G644" i="25" s="1"/>
  <c r="G645" i="25" s="1"/>
  <c r="G646" i="25" s="1"/>
  <c r="G647" i="25" s="1"/>
  <c r="G648" i="25" s="1"/>
  <c r="G649" i="25" s="1"/>
  <c r="G650" i="25" s="1"/>
  <c r="G651" i="25" s="1"/>
  <c r="G652" i="25" s="1"/>
  <c r="G653" i="25" s="1"/>
  <c r="G654" i="25" s="1"/>
  <c r="G655" i="25" s="1"/>
  <c r="G656" i="25" s="1"/>
  <c r="G657" i="25" s="1"/>
  <c r="G658" i="25" s="1"/>
  <c r="G659" i="25" s="1"/>
  <c r="G660" i="25" s="1"/>
  <c r="G661" i="25" s="1"/>
  <c r="G662" i="25" s="1"/>
  <c r="G663" i="25" s="1"/>
  <c r="G664" i="25" s="1"/>
  <c r="G665" i="25" s="1"/>
  <c r="G666" i="25" s="1"/>
  <c r="G667" i="25" s="1"/>
  <c r="G668" i="25" s="1"/>
  <c r="G669" i="25" s="1"/>
  <c r="G670" i="25" s="1"/>
  <c r="G671" i="25" s="1"/>
  <c r="G672" i="25" s="1"/>
  <c r="G673" i="25" s="1"/>
  <c r="G674" i="25" s="1"/>
  <c r="G675" i="25" s="1"/>
  <c r="G676" i="25" s="1"/>
  <c r="G677" i="25" s="1"/>
  <c r="G678" i="25" s="1"/>
  <c r="G679" i="25" s="1"/>
  <c r="G680" i="25" s="1"/>
  <c r="G681" i="25" s="1"/>
  <c r="G682" i="25" s="1"/>
  <c r="G683" i="25" s="1"/>
  <c r="G684" i="25" s="1"/>
  <c r="G685" i="25" s="1"/>
  <c r="G686" i="25" s="1"/>
  <c r="G687" i="25" s="1"/>
  <c r="G688" i="25" s="1"/>
  <c r="G689" i="25" s="1"/>
  <c r="G690" i="25" s="1"/>
  <c r="G691" i="25" s="1"/>
  <c r="G692" i="25" s="1"/>
  <c r="G693" i="25" s="1"/>
  <c r="G694" i="25" s="1"/>
  <c r="G695" i="25" s="1"/>
  <c r="G696" i="25" s="1"/>
  <c r="G697" i="25" s="1"/>
  <c r="G698" i="25" s="1"/>
  <c r="G699" i="25" s="1"/>
  <c r="G700" i="25" s="1"/>
  <c r="G701" i="25" s="1"/>
  <c r="G702" i="25" s="1"/>
  <c r="G703" i="25" s="1"/>
  <c r="G704" i="25" s="1"/>
  <c r="G705" i="25" s="1"/>
  <c r="G706" i="25" s="1"/>
  <c r="G707" i="25" s="1"/>
  <c r="G708" i="25" s="1"/>
  <c r="G709" i="25" s="1"/>
  <c r="G710" i="25" s="1"/>
  <c r="G711" i="25" s="1"/>
  <c r="G712" i="25" s="1"/>
  <c r="G713" i="25" s="1"/>
  <c r="G714" i="25" s="1"/>
  <c r="G715" i="25" s="1"/>
  <c r="G716" i="25" s="1"/>
  <c r="G717" i="25" s="1"/>
  <c r="G718" i="25" s="1"/>
  <c r="G719" i="25" s="1"/>
  <c r="G720" i="25" s="1"/>
  <c r="G721" i="25" s="1"/>
  <c r="G722" i="25" s="1"/>
  <c r="G723" i="25" s="1"/>
  <c r="G724" i="25" s="1"/>
  <c r="G725" i="25" s="1"/>
  <c r="G726" i="25" s="1"/>
  <c r="G727" i="25" s="1"/>
  <c r="G728" i="25" s="1"/>
  <c r="G729" i="25" s="1"/>
  <c r="G730" i="25" s="1"/>
  <c r="G731" i="25" s="1"/>
  <c r="G732" i="25" s="1"/>
  <c r="G733" i="25" s="1"/>
  <c r="G734" i="25" s="1"/>
  <c r="G735" i="25" s="1"/>
  <c r="G736" i="25" s="1"/>
  <c r="G737" i="25" s="1"/>
  <c r="G738" i="25" s="1"/>
  <c r="G739" i="25" s="1"/>
  <c r="G740" i="25" s="1"/>
  <c r="G741" i="25" s="1"/>
  <c r="G742" i="25" s="1"/>
  <c r="G743" i="25" s="1"/>
  <c r="G744" i="25" s="1"/>
  <c r="G745" i="25" s="1"/>
  <c r="G746" i="25" s="1"/>
  <c r="G747" i="25" s="1"/>
  <c r="G748" i="25" s="1"/>
  <c r="G749" i="25" s="1"/>
  <c r="G750" i="25" s="1"/>
  <c r="G751" i="25" s="1"/>
  <c r="G752" i="25" s="1"/>
  <c r="G753" i="25" s="1"/>
  <c r="G754" i="25" s="1"/>
  <c r="G755" i="25" s="1"/>
  <c r="G756" i="25" s="1"/>
  <c r="G757" i="25" s="1"/>
  <c r="G758" i="25" s="1"/>
  <c r="G759" i="25" s="1"/>
  <c r="G760" i="25" s="1"/>
  <c r="G761" i="25" s="1"/>
  <c r="G762" i="25" s="1"/>
  <c r="G763" i="25" s="1"/>
  <c r="G764" i="25" s="1"/>
  <c r="G765" i="25" s="1"/>
  <c r="G766" i="25" s="1"/>
  <c r="G767" i="25" s="1"/>
  <c r="G768" i="25" s="1"/>
  <c r="G769" i="25" s="1"/>
  <c r="G770" i="25" s="1"/>
  <c r="G771" i="25" s="1"/>
  <c r="G772" i="25" s="1"/>
  <c r="G773" i="25" s="1"/>
  <c r="G774" i="25" s="1"/>
  <c r="G775" i="25" s="1"/>
  <c r="G776" i="25" s="1"/>
  <c r="G777" i="25" s="1"/>
  <c r="G778" i="25" s="1"/>
  <c r="G779" i="25" s="1"/>
  <c r="G780" i="25" s="1"/>
  <c r="G781" i="25" s="1"/>
  <c r="G782" i="25" s="1"/>
  <c r="G783" i="25" s="1"/>
  <c r="G784" i="25" s="1"/>
  <c r="G785" i="25" s="1"/>
  <c r="G786" i="25" s="1"/>
  <c r="G787" i="25" s="1"/>
  <c r="G788" i="25" s="1"/>
  <c r="G789" i="25" s="1"/>
  <c r="G790" i="25" s="1"/>
  <c r="G791" i="25" s="1"/>
  <c r="G792" i="25" s="1"/>
  <c r="G793" i="25" s="1"/>
  <c r="G794" i="25" s="1"/>
  <c r="G795" i="25" s="1"/>
  <c r="G796" i="25" s="1"/>
  <c r="G797" i="25" s="1"/>
  <c r="G798" i="25" s="1"/>
  <c r="G799" i="25" s="1"/>
  <c r="G800" i="25" s="1"/>
  <c r="G801" i="25" s="1"/>
  <c r="G802" i="25" s="1"/>
  <c r="G803" i="25" s="1"/>
  <c r="G804" i="25" s="1"/>
  <c r="G805" i="25" s="1"/>
  <c r="G806" i="25" s="1"/>
  <c r="G807" i="25" s="1"/>
  <c r="G808" i="25" s="1"/>
  <c r="G809" i="25" s="1"/>
  <c r="G810" i="25" s="1"/>
  <c r="G811" i="25" s="1"/>
  <c r="G812" i="25" s="1"/>
  <c r="G813" i="25" s="1"/>
  <c r="G814" i="25" s="1"/>
  <c r="G815" i="25" s="1"/>
  <c r="G816" i="25" s="1"/>
  <c r="G817" i="25" s="1"/>
  <c r="G818" i="25" s="1"/>
  <c r="G819" i="25" s="1"/>
  <c r="G820" i="25" s="1"/>
  <c r="G821" i="25" s="1"/>
  <c r="G822" i="25" s="1"/>
  <c r="G823" i="25" s="1"/>
  <c r="G824" i="25" s="1"/>
  <c r="G825" i="25" s="1"/>
  <c r="G826" i="25" s="1"/>
  <c r="G827" i="25" s="1"/>
  <c r="G828" i="25" s="1"/>
  <c r="G829" i="25" s="1"/>
  <c r="G830" i="25" s="1"/>
  <c r="G831" i="25" s="1"/>
  <c r="G832" i="25" s="1"/>
  <c r="G833" i="25" s="1"/>
  <c r="G834" i="25" s="1"/>
  <c r="G835" i="25" s="1"/>
  <c r="G836" i="25" s="1"/>
  <c r="G837" i="25" s="1"/>
  <c r="G838" i="25" s="1"/>
  <c r="G839" i="25" s="1"/>
  <c r="G840" i="25" s="1"/>
  <c r="G841" i="25" s="1"/>
  <c r="G842" i="25" s="1"/>
  <c r="G843" i="25" s="1"/>
  <c r="G844" i="25" s="1"/>
  <c r="G845" i="25" s="1"/>
  <c r="G846" i="25" s="1"/>
  <c r="G847" i="25" s="1"/>
  <c r="G848" i="25" s="1"/>
  <c r="G849" i="25" s="1"/>
  <c r="G850" i="25" s="1"/>
  <c r="G851" i="25" s="1"/>
  <c r="G852" i="25" s="1"/>
  <c r="G853" i="25" s="1"/>
  <c r="G854" i="25" s="1"/>
  <c r="G855" i="25" s="1"/>
  <c r="G856" i="25" s="1"/>
  <c r="G857" i="25" s="1"/>
  <c r="G858" i="25" s="1"/>
  <c r="G859" i="25" s="1"/>
  <c r="G860" i="25" s="1"/>
  <c r="G861" i="25" s="1"/>
  <c r="G862" i="25" s="1"/>
  <c r="G863" i="25" s="1"/>
  <c r="G864" i="25" s="1"/>
  <c r="G865" i="25" s="1"/>
  <c r="G866" i="25" s="1"/>
  <c r="G867" i="25" s="1"/>
  <c r="G868" i="25" s="1"/>
  <c r="G869" i="25" s="1"/>
  <c r="G870" i="25" s="1"/>
  <c r="G871" i="25" s="1"/>
  <c r="G872" i="25" s="1"/>
  <c r="G873" i="25" s="1"/>
  <c r="G874" i="25" s="1"/>
  <c r="G875" i="25" s="1"/>
  <c r="G876" i="25" s="1"/>
  <c r="G877" i="25" s="1"/>
  <c r="G878" i="25" s="1"/>
  <c r="G879" i="25" s="1"/>
  <c r="G880" i="25" s="1"/>
  <c r="F3" i="25"/>
  <c r="E3" i="25" s="1"/>
  <c r="E4" i="25" s="1"/>
  <c r="E5" i="25" s="1"/>
  <c r="E6" i="25" s="1"/>
  <c r="E7" i="25" s="1"/>
  <c r="E8" i="25" s="1"/>
  <c r="E9" i="25" s="1"/>
  <c r="E10" i="25" s="1"/>
  <c r="E11" i="25" s="1"/>
  <c r="E12" i="25" s="1"/>
  <c r="E13" i="25" s="1"/>
  <c r="E14" i="25" s="1"/>
  <c r="E15" i="25" s="1"/>
  <c r="E16" i="25" s="1"/>
  <c r="E17" i="25" s="1"/>
  <c r="E18" i="25" s="1"/>
  <c r="E19" i="25" s="1"/>
  <c r="E20" i="25" s="1"/>
  <c r="E21" i="25" s="1"/>
  <c r="E22" i="25" s="1"/>
  <c r="E23" i="25" s="1"/>
  <c r="E24" i="25" s="1"/>
  <c r="E25" i="25" s="1"/>
  <c r="E26" i="25" s="1"/>
  <c r="E27" i="25" s="1"/>
  <c r="E28" i="25" s="1"/>
  <c r="E29" i="25" s="1"/>
  <c r="E30" i="25" s="1"/>
  <c r="E31" i="25" s="1"/>
  <c r="E32" i="25" s="1"/>
  <c r="E33" i="25" s="1"/>
  <c r="E34" i="25" s="1"/>
  <c r="E35" i="25" s="1"/>
  <c r="E36" i="25" s="1"/>
  <c r="E37" i="25" s="1"/>
  <c r="E38" i="25" s="1"/>
  <c r="E39" i="25" s="1"/>
  <c r="E40" i="25" s="1"/>
  <c r="E41" i="25" s="1"/>
  <c r="E42" i="25" s="1"/>
  <c r="E43" i="25" s="1"/>
  <c r="E44" i="25" s="1"/>
  <c r="E45" i="25" s="1"/>
  <c r="E46" i="25" s="1"/>
  <c r="E47" i="25" s="1"/>
  <c r="E48" i="25" s="1"/>
  <c r="E49" i="25" s="1"/>
  <c r="E50" i="25" s="1"/>
  <c r="E51" i="25" s="1"/>
  <c r="E52" i="25" s="1"/>
  <c r="E53" i="25" s="1"/>
  <c r="E54" i="25" s="1"/>
  <c r="E55" i="25" s="1"/>
  <c r="E56" i="25" s="1"/>
  <c r="E57" i="25" s="1"/>
  <c r="E58" i="25" s="1"/>
  <c r="E59" i="25" s="1"/>
  <c r="E60" i="25" s="1"/>
  <c r="E61" i="25" s="1"/>
  <c r="E62" i="25" s="1"/>
  <c r="E63" i="25" s="1"/>
  <c r="E64" i="25" s="1"/>
  <c r="E65" i="25" s="1"/>
  <c r="E66" i="25" s="1"/>
  <c r="E67" i="25" s="1"/>
  <c r="E68" i="25" s="1"/>
  <c r="E69" i="25" s="1"/>
  <c r="E70" i="25" s="1"/>
  <c r="E71" i="25" s="1"/>
  <c r="E72" i="25" s="1"/>
  <c r="E73" i="25" s="1"/>
  <c r="E74" i="25" s="1"/>
  <c r="E75" i="25" s="1"/>
  <c r="E76" i="25" s="1"/>
  <c r="E77" i="25" s="1"/>
  <c r="E78" i="25" s="1"/>
  <c r="E79" i="25" s="1"/>
  <c r="E80" i="25" s="1"/>
  <c r="E81" i="25" s="1"/>
  <c r="E82" i="25" s="1"/>
  <c r="E83" i="25" s="1"/>
  <c r="E84" i="25" s="1"/>
  <c r="E85" i="25" s="1"/>
  <c r="E86" i="25" s="1"/>
  <c r="E87" i="25" s="1"/>
  <c r="E88" i="25" s="1"/>
  <c r="E89" i="25" s="1"/>
  <c r="E90" i="25" s="1"/>
  <c r="E91" i="25" s="1"/>
  <c r="E92" i="25" s="1"/>
  <c r="E93" i="25" s="1"/>
  <c r="E94" i="25" s="1"/>
  <c r="E95" i="25" s="1"/>
  <c r="E96" i="25" s="1"/>
  <c r="E97" i="25" s="1"/>
  <c r="E98" i="25" s="1"/>
  <c r="E99" i="25" s="1"/>
  <c r="E100" i="25" s="1"/>
  <c r="E101" i="25" s="1"/>
  <c r="E102" i="25" s="1"/>
  <c r="E103" i="25" s="1"/>
  <c r="E104" i="25" s="1"/>
  <c r="E105" i="25" s="1"/>
  <c r="E106" i="25" s="1"/>
  <c r="E107" i="25" s="1"/>
  <c r="E108" i="25" s="1"/>
  <c r="E109" i="25" s="1"/>
  <c r="E110" i="25" s="1"/>
  <c r="E111" i="25" s="1"/>
  <c r="E112" i="25" s="1"/>
  <c r="E113" i="25" s="1"/>
  <c r="E114" i="25" s="1"/>
  <c r="E115" i="25" s="1"/>
  <c r="E116" i="25" s="1"/>
  <c r="E117" i="25" s="1"/>
  <c r="E118" i="25" s="1"/>
  <c r="E119" i="25" s="1"/>
  <c r="E120" i="25" s="1"/>
  <c r="E121" i="25" s="1"/>
  <c r="E122" i="25" s="1"/>
  <c r="E123" i="25" s="1"/>
  <c r="E124" i="25" s="1"/>
  <c r="E125" i="25" s="1"/>
  <c r="E126" i="25" s="1"/>
  <c r="E127" i="25" s="1"/>
  <c r="E128" i="25" s="1"/>
  <c r="E129" i="25" s="1"/>
  <c r="E130" i="25" s="1"/>
  <c r="E131" i="25" s="1"/>
  <c r="E132" i="25" s="1"/>
  <c r="E133" i="25" s="1"/>
  <c r="E134" i="25" s="1"/>
  <c r="E135" i="25" s="1"/>
  <c r="E136" i="25" s="1"/>
  <c r="E137" i="25" s="1"/>
  <c r="E138" i="25" s="1"/>
  <c r="E139" i="25" s="1"/>
  <c r="E140" i="25" s="1"/>
  <c r="E141" i="25" s="1"/>
  <c r="E142" i="25" s="1"/>
  <c r="E143" i="25" s="1"/>
  <c r="E144" i="25" s="1"/>
  <c r="E145" i="25" s="1"/>
  <c r="E146" i="25" s="1"/>
  <c r="E147" i="25" s="1"/>
  <c r="E148" i="25" s="1"/>
  <c r="E149" i="25" s="1"/>
  <c r="E150" i="25" s="1"/>
  <c r="E151" i="25" s="1"/>
  <c r="E152" i="25" s="1"/>
  <c r="E153" i="25" s="1"/>
  <c r="E154" i="25" s="1"/>
  <c r="E155" i="25" s="1"/>
  <c r="E156" i="25" s="1"/>
  <c r="E157" i="25" s="1"/>
  <c r="E158" i="25" s="1"/>
  <c r="E159" i="25" s="1"/>
  <c r="E160" i="25" s="1"/>
  <c r="E161" i="25" s="1"/>
  <c r="E162" i="25" s="1"/>
  <c r="E163" i="25" s="1"/>
  <c r="E164" i="25" s="1"/>
  <c r="E165" i="25" s="1"/>
  <c r="E166" i="25" s="1"/>
  <c r="E167" i="25" s="1"/>
  <c r="E168" i="25" s="1"/>
  <c r="E169" i="25" s="1"/>
  <c r="E170" i="25" s="1"/>
  <c r="E171" i="25" s="1"/>
  <c r="E172" i="25" s="1"/>
  <c r="E173" i="25" s="1"/>
  <c r="E174" i="25" s="1"/>
  <c r="E175" i="25" s="1"/>
  <c r="E176" i="25" s="1"/>
  <c r="E177" i="25" s="1"/>
  <c r="E178" i="25" s="1"/>
  <c r="E179" i="25" s="1"/>
  <c r="E180" i="25" s="1"/>
  <c r="E181" i="25" s="1"/>
  <c r="E182" i="25" s="1"/>
  <c r="E183" i="25" s="1"/>
  <c r="E184" i="25" s="1"/>
  <c r="E185" i="25" s="1"/>
  <c r="E186" i="25" s="1"/>
  <c r="E187" i="25" s="1"/>
  <c r="E188" i="25" s="1"/>
  <c r="E189" i="25" s="1"/>
  <c r="E190" i="25" s="1"/>
  <c r="E191" i="25" s="1"/>
  <c r="E192" i="25" s="1"/>
  <c r="E193" i="25" s="1"/>
  <c r="E194" i="25" s="1"/>
  <c r="E195" i="25" s="1"/>
  <c r="E196" i="25" s="1"/>
  <c r="E197" i="25" s="1"/>
  <c r="E198" i="25" s="1"/>
  <c r="E199" i="25" s="1"/>
  <c r="E200" i="25" s="1"/>
  <c r="E201" i="25" s="1"/>
  <c r="E202" i="25" s="1"/>
  <c r="E203" i="25" s="1"/>
  <c r="E204" i="25" s="1"/>
  <c r="E205" i="25" s="1"/>
  <c r="E206" i="25" s="1"/>
  <c r="E207" i="25" s="1"/>
  <c r="E208" i="25" s="1"/>
  <c r="E209" i="25" s="1"/>
  <c r="E210" i="25" s="1"/>
  <c r="E211" i="25" s="1"/>
  <c r="E212" i="25" s="1"/>
  <c r="E213" i="25" s="1"/>
  <c r="E214" i="25" s="1"/>
  <c r="E215" i="25" s="1"/>
  <c r="E216" i="25" s="1"/>
  <c r="E217" i="25" s="1"/>
  <c r="E218" i="25" s="1"/>
  <c r="E219" i="25" s="1"/>
  <c r="E220" i="25" s="1"/>
  <c r="E221" i="25" s="1"/>
  <c r="E222" i="25" s="1"/>
  <c r="E223" i="25" s="1"/>
  <c r="E224" i="25" s="1"/>
  <c r="E225" i="25" s="1"/>
  <c r="E226" i="25" s="1"/>
  <c r="E227" i="25" s="1"/>
  <c r="E228" i="25" s="1"/>
  <c r="E229" i="25" s="1"/>
  <c r="E230" i="25" s="1"/>
  <c r="E231" i="25" s="1"/>
  <c r="E232" i="25" s="1"/>
  <c r="E233" i="25" s="1"/>
  <c r="E234" i="25" s="1"/>
  <c r="E235" i="25" s="1"/>
  <c r="E236" i="25" s="1"/>
  <c r="E237" i="25" s="1"/>
  <c r="E238" i="25" s="1"/>
  <c r="E239" i="25" s="1"/>
  <c r="E240" i="25" s="1"/>
  <c r="E241" i="25" s="1"/>
  <c r="E242" i="25" s="1"/>
  <c r="E243" i="25" s="1"/>
  <c r="E244" i="25" s="1"/>
  <c r="E245" i="25" s="1"/>
  <c r="E246" i="25" s="1"/>
  <c r="E247" i="25" s="1"/>
  <c r="E248" i="25" s="1"/>
  <c r="E249" i="25" s="1"/>
  <c r="E250" i="25" s="1"/>
  <c r="E251" i="25" s="1"/>
  <c r="E252" i="25" s="1"/>
  <c r="E253" i="25" s="1"/>
  <c r="E254" i="25" s="1"/>
  <c r="E255" i="25" s="1"/>
  <c r="E256" i="25" s="1"/>
  <c r="E257" i="25" s="1"/>
  <c r="E258" i="25" s="1"/>
  <c r="E259" i="25" s="1"/>
  <c r="E260" i="25" s="1"/>
  <c r="E261" i="25" s="1"/>
  <c r="E262" i="25" s="1"/>
  <c r="E263" i="25" s="1"/>
  <c r="E264" i="25" s="1"/>
  <c r="E265" i="25" s="1"/>
  <c r="E266" i="25" s="1"/>
  <c r="E267" i="25" s="1"/>
  <c r="E268" i="25" s="1"/>
  <c r="E269" i="25" s="1"/>
  <c r="E270" i="25" s="1"/>
  <c r="E271" i="25" s="1"/>
  <c r="E272" i="25" s="1"/>
  <c r="E273" i="25" s="1"/>
  <c r="E274" i="25" s="1"/>
  <c r="E275" i="25" s="1"/>
  <c r="E276" i="25" s="1"/>
  <c r="E277" i="25" s="1"/>
  <c r="E278" i="25" s="1"/>
  <c r="E279" i="25" s="1"/>
  <c r="E280" i="25" s="1"/>
  <c r="E281" i="25" s="1"/>
  <c r="E282" i="25" s="1"/>
  <c r="E283" i="25" s="1"/>
  <c r="E284" i="25" s="1"/>
  <c r="E285" i="25" s="1"/>
  <c r="E286" i="25" s="1"/>
  <c r="E287" i="25" s="1"/>
  <c r="E288" i="25" s="1"/>
  <c r="E289" i="25" s="1"/>
  <c r="E290" i="25" s="1"/>
  <c r="E291" i="25" s="1"/>
  <c r="E292" i="25" s="1"/>
  <c r="E293" i="25" s="1"/>
  <c r="E294" i="25" s="1"/>
  <c r="E295" i="25" s="1"/>
  <c r="E296" i="25" s="1"/>
  <c r="E297" i="25" s="1"/>
  <c r="E298" i="25" s="1"/>
  <c r="E299" i="25" s="1"/>
  <c r="E300" i="25" s="1"/>
  <c r="E301" i="25" s="1"/>
  <c r="E302" i="25" s="1"/>
  <c r="E303" i="25" s="1"/>
  <c r="E304" i="25" s="1"/>
  <c r="E305" i="25" s="1"/>
  <c r="E306" i="25" s="1"/>
  <c r="E307" i="25" s="1"/>
  <c r="E308" i="25" s="1"/>
  <c r="E309" i="25" s="1"/>
  <c r="E310" i="25" s="1"/>
  <c r="E311" i="25" s="1"/>
  <c r="E312" i="25" s="1"/>
  <c r="E313" i="25" s="1"/>
  <c r="E314" i="25" s="1"/>
  <c r="E315" i="25" s="1"/>
  <c r="E316" i="25" s="1"/>
  <c r="E317" i="25" s="1"/>
  <c r="E318" i="25" s="1"/>
  <c r="E319" i="25" s="1"/>
  <c r="E320" i="25" s="1"/>
  <c r="E321" i="25" s="1"/>
  <c r="E322" i="25" s="1"/>
  <c r="E323" i="25" s="1"/>
  <c r="E324" i="25" s="1"/>
  <c r="E325" i="25" s="1"/>
  <c r="E326" i="25" s="1"/>
  <c r="E327" i="25" s="1"/>
  <c r="E328" i="25" s="1"/>
  <c r="E329" i="25" s="1"/>
  <c r="E330" i="25" s="1"/>
  <c r="E331" i="25" s="1"/>
  <c r="E332" i="25" s="1"/>
  <c r="E333" i="25" s="1"/>
  <c r="E334" i="25" s="1"/>
  <c r="E335" i="25" s="1"/>
  <c r="E336" i="25" s="1"/>
  <c r="E337" i="25" s="1"/>
  <c r="E338" i="25" s="1"/>
  <c r="E339" i="25" s="1"/>
  <c r="E340" i="25" s="1"/>
  <c r="E341" i="25" s="1"/>
  <c r="E342" i="25" s="1"/>
  <c r="E343" i="25" s="1"/>
  <c r="E344" i="25" s="1"/>
  <c r="E345" i="25" s="1"/>
  <c r="E346" i="25" s="1"/>
  <c r="E347" i="25" s="1"/>
  <c r="E348" i="25" s="1"/>
  <c r="E349" i="25" s="1"/>
  <c r="E350" i="25" s="1"/>
  <c r="E351" i="25" s="1"/>
  <c r="E352" i="25" s="1"/>
  <c r="E353" i="25" s="1"/>
  <c r="E354" i="25" s="1"/>
  <c r="E355" i="25" s="1"/>
  <c r="E356" i="25" s="1"/>
  <c r="E357" i="25" s="1"/>
  <c r="E358" i="25" s="1"/>
  <c r="E359" i="25" s="1"/>
  <c r="E360" i="25" s="1"/>
  <c r="E361" i="25" s="1"/>
  <c r="E362" i="25" s="1"/>
  <c r="E363" i="25" s="1"/>
  <c r="E364" i="25" s="1"/>
  <c r="E365" i="25" s="1"/>
  <c r="E366" i="25" s="1"/>
  <c r="E367" i="25" s="1"/>
  <c r="E368" i="25" s="1"/>
  <c r="E369" i="25" s="1"/>
  <c r="E370" i="25" s="1"/>
  <c r="E371" i="25" s="1"/>
  <c r="E372" i="25" s="1"/>
  <c r="E373" i="25" s="1"/>
  <c r="E374" i="25" s="1"/>
  <c r="E375" i="25" s="1"/>
  <c r="E376" i="25" s="1"/>
  <c r="E377" i="25" s="1"/>
  <c r="E378" i="25" s="1"/>
  <c r="E379" i="25" s="1"/>
  <c r="E380" i="25" s="1"/>
  <c r="E381" i="25" s="1"/>
  <c r="E382" i="25" s="1"/>
  <c r="E383" i="25" s="1"/>
  <c r="E384" i="25" s="1"/>
  <c r="E385" i="25" s="1"/>
  <c r="E386" i="25" s="1"/>
  <c r="E387" i="25" s="1"/>
  <c r="E388" i="25" s="1"/>
  <c r="E389" i="25" s="1"/>
  <c r="E390" i="25" s="1"/>
  <c r="E391" i="25" s="1"/>
  <c r="E392" i="25" s="1"/>
  <c r="E393" i="25" s="1"/>
  <c r="E394" i="25" s="1"/>
  <c r="E395" i="25" s="1"/>
  <c r="E396" i="25" s="1"/>
  <c r="E397" i="25" s="1"/>
  <c r="E398" i="25" s="1"/>
  <c r="E399" i="25" s="1"/>
  <c r="E400" i="25" s="1"/>
  <c r="E401" i="25" s="1"/>
  <c r="E402" i="25" s="1"/>
  <c r="E403" i="25" s="1"/>
  <c r="E404" i="25" s="1"/>
  <c r="E405" i="25" s="1"/>
  <c r="E406" i="25" s="1"/>
  <c r="E407" i="25" s="1"/>
  <c r="E408" i="25" s="1"/>
  <c r="E409" i="25" s="1"/>
  <c r="E410" i="25" s="1"/>
  <c r="E411" i="25" s="1"/>
  <c r="E412" i="25" s="1"/>
  <c r="E413" i="25" s="1"/>
  <c r="E414" i="25" s="1"/>
  <c r="E415" i="25" s="1"/>
  <c r="E416" i="25" s="1"/>
  <c r="E417" i="25" s="1"/>
  <c r="E418" i="25" s="1"/>
  <c r="E419" i="25" s="1"/>
  <c r="E420" i="25" s="1"/>
  <c r="E421" i="25" s="1"/>
  <c r="E422" i="25" s="1"/>
  <c r="E423" i="25" s="1"/>
  <c r="E424" i="25" s="1"/>
  <c r="E425" i="25" s="1"/>
  <c r="E426" i="25" s="1"/>
  <c r="E427" i="25" s="1"/>
  <c r="E428" i="25" s="1"/>
  <c r="E429" i="25" s="1"/>
  <c r="E430" i="25" s="1"/>
  <c r="E431" i="25" s="1"/>
  <c r="E432" i="25" s="1"/>
  <c r="E433" i="25" s="1"/>
  <c r="E434" i="25" s="1"/>
  <c r="E435" i="25" s="1"/>
  <c r="E436" i="25" s="1"/>
  <c r="E437" i="25" s="1"/>
  <c r="E438" i="25" s="1"/>
  <c r="E439" i="25" s="1"/>
  <c r="E440" i="25" s="1"/>
  <c r="E441" i="25" s="1"/>
  <c r="E442" i="25" s="1"/>
  <c r="E443" i="25" s="1"/>
  <c r="E444" i="25" s="1"/>
  <c r="E445" i="25" s="1"/>
  <c r="E446" i="25" s="1"/>
  <c r="E447" i="25" s="1"/>
  <c r="E448" i="25" s="1"/>
  <c r="E449" i="25" s="1"/>
  <c r="E450" i="25" s="1"/>
  <c r="E451" i="25" s="1"/>
  <c r="E452" i="25" s="1"/>
  <c r="E453" i="25" s="1"/>
  <c r="E454" i="25" s="1"/>
  <c r="E455" i="25" s="1"/>
  <c r="E456" i="25" s="1"/>
  <c r="E457" i="25" s="1"/>
  <c r="E458" i="25" s="1"/>
  <c r="E459" i="25" s="1"/>
  <c r="E460" i="25" s="1"/>
  <c r="E461" i="25" s="1"/>
  <c r="E462" i="25" s="1"/>
  <c r="E463" i="25" s="1"/>
  <c r="E464" i="25" s="1"/>
  <c r="E465" i="25" s="1"/>
  <c r="E466" i="25" s="1"/>
  <c r="E467" i="25" s="1"/>
  <c r="E468" i="25" s="1"/>
  <c r="E469" i="25" s="1"/>
  <c r="E470" i="25" s="1"/>
  <c r="E471" i="25" s="1"/>
  <c r="E472" i="25" s="1"/>
  <c r="E473" i="25" s="1"/>
  <c r="E474" i="25" s="1"/>
  <c r="E475" i="25" s="1"/>
  <c r="E476" i="25" s="1"/>
  <c r="E477" i="25" s="1"/>
  <c r="E478" i="25" s="1"/>
  <c r="E479" i="25" s="1"/>
  <c r="E480" i="25" s="1"/>
  <c r="E481" i="25" s="1"/>
  <c r="E482" i="25" s="1"/>
  <c r="E483" i="25" s="1"/>
  <c r="E484" i="25" s="1"/>
  <c r="E485" i="25" s="1"/>
  <c r="E486" i="25" s="1"/>
  <c r="E487" i="25" s="1"/>
  <c r="E488" i="25" s="1"/>
  <c r="E489" i="25" s="1"/>
  <c r="E490" i="25" s="1"/>
  <c r="E491" i="25" s="1"/>
  <c r="E492" i="25" s="1"/>
  <c r="E493" i="25" s="1"/>
  <c r="E494" i="25" s="1"/>
  <c r="E495" i="25" s="1"/>
  <c r="E496" i="25" s="1"/>
  <c r="E497" i="25" s="1"/>
  <c r="E498" i="25" s="1"/>
  <c r="E499" i="25" s="1"/>
  <c r="E500" i="25" s="1"/>
  <c r="E501" i="25" s="1"/>
  <c r="E502" i="25" s="1"/>
  <c r="E503" i="25" s="1"/>
  <c r="E504" i="25" s="1"/>
  <c r="E505" i="25" s="1"/>
  <c r="E506" i="25" s="1"/>
  <c r="E507" i="25" s="1"/>
  <c r="E508" i="25" s="1"/>
  <c r="E509" i="25" s="1"/>
  <c r="E510" i="25" s="1"/>
  <c r="E511" i="25" s="1"/>
  <c r="E512" i="25" s="1"/>
  <c r="E513" i="25" s="1"/>
  <c r="E514" i="25" s="1"/>
  <c r="E515" i="25" s="1"/>
  <c r="E516" i="25" s="1"/>
  <c r="E517" i="25" s="1"/>
  <c r="E518" i="25" s="1"/>
  <c r="E519" i="25" s="1"/>
  <c r="E520" i="25" s="1"/>
  <c r="E521" i="25" s="1"/>
  <c r="E522" i="25" s="1"/>
  <c r="E523" i="25" s="1"/>
  <c r="E524" i="25" s="1"/>
  <c r="E525" i="25" s="1"/>
  <c r="E526" i="25" s="1"/>
  <c r="E527" i="25" s="1"/>
  <c r="E528" i="25" s="1"/>
  <c r="E529" i="25" s="1"/>
  <c r="E530" i="25" s="1"/>
  <c r="E531" i="25" s="1"/>
  <c r="E532" i="25" s="1"/>
  <c r="E533" i="25" s="1"/>
  <c r="E534" i="25" s="1"/>
  <c r="E535" i="25" s="1"/>
  <c r="E536" i="25" s="1"/>
  <c r="E537" i="25" s="1"/>
  <c r="E538" i="25" s="1"/>
  <c r="E539" i="25" s="1"/>
  <c r="E540" i="25" s="1"/>
  <c r="E541" i="25" s="1"/>
  <c r="E542" i="25" s="1"/>
  <c r="E543" i="25" s="1"/>
  <c r="E544" i="25" s="1"/>
  <c r="E545" i="25" s="1"/>
  <c r="E546" i="25" s="1"/>
  <c r="E547" i="25" s="1"/>
  <c r="E548" i="25" s="1"/>
  <c r="E549" i="25" s="1"/>
  <c r="E550" i="25" s="1"/>
  <c r="E551" i="25" s="1"/>
  <c r="E552" i="25" s="1"/>
  <c r="E553" i="25" s="1"/>
  <c r="E554" i="25" s="1"/>
  <c r="E555" i="25" s="1"/>
  <c r="E556" i="25" s="1"/>
  <c r="E557" i="25" s="1"/>
  <c r="E558" i="25" s="1"/>
  <c r="E559" i="25" s="1"/>
  <c r="E560" i="25" s="1"/>
  <c r="E561" i="25" s="1"/>
  <c r="E562" i="25" s="1"/>
  <c r="E563" i="25" s="1"/>
  <c r="E564" i="25" s="1"/>
  <c r="E565" i="25" s="1"/>
  <c r="E566" i="25" s="1"/>
  <c r="E567" i="25" s="1"/>
  <c r="E568" i="25" s="1"/>
  <c r="E569" i="25" s="1"/>
  <c r="E570" i="25" s="1"/>
  <c r="E571" i="25" s="1"/>
  <c r="E572" i="25" s="1"/>
  <c r="E573" i="25" s="1"/>
  <c r="E574" i="25" s="1"/>
  <c r="E575" i="25" s="1"/>
  <c r="E576" i="25" s="1"/>
  <c r="E577" i="25" s="1"/>
  <c r="E578" i="25" s="1"/>
  <c r="E579" i="25" s="1"/>
  <c r="E580" i="25" s="1"/>
  <c r="E581" i="25" s="1"/>
  <c r="E582" i="25" s="1"/>
  <c r="E583" i="25" s="1"/>
  <c r="E584" i="25" s="1"/>
  <c r="E585" i="25" s="1"/>
  <c r="E586" i="25" s="1"/>
  <c r="E587" i="25" s="1"/>
  <c r="E588" i="25" s="1"/>
  <c r="E589" i="25" s="1"/>
  <c r="E590" i="25" s="1"/>
  <c r="E591" i="25" s="1"/>
  <c r="E592" i="25" s="1"/>
  <c r="E593" i="25" s="1"/>
  <c r="E594" i="25" s="1"/>
  <c r="E595" i="25" s="1"/>
  <c r="E596" i="25" s="1"/>
  <c r="E597" i="25" s="1"/>
  <c r="E598" i="25" s="1"/>
  <c r="E599" i="25" s="1"/>
  <c r="E600" i="25" s="1"/>
  <c r="E601" i="25" s="1"/>
  <c r="E602" i="25" s="1"/>
  <c r="E603" i="25" s="1"/>
  <c r="E604" i="25" s="1"/>
  <c r="E605" i="25" s="1"/>
  <c r="E606" i="25" s="1"/>
  <c r="E607" i="25" s="1"/>
  <c r="E608" i="25" s="1"/>
  <c r="E609" i="25" s="1"/>
  <c r="E610" i="25" s="1"/>
  <c r="E611" i="25" s="1"/>
  <c r="E612" i="25" s="1"/>
  <c r="E613" i="25" s="1"/>
  <c r="E614" i="25" s="1"/>
  <c r="E615" i="25" s="1"/>
  <c r="E616" i="25" s="1"/>
  <c r="E617" i="25" s="1"/>
  <c r="E618" i="25" s="1"/>
  <c r="E619" i="25" s="1"/>
  <c r="E620" i="25" s="1"/>
  <c r="E621" i="25" s="1"/>
  <c r="E622" i="25" s="1"/>
  <c r="E623" i="25" s="1"/>
  <c r="E624" i="25" s="1"/>
  <c r="E625" i="25" s="1"/>
  <c r="E626" i="25" s="1"/>
  <c r="E627" i="25" s="1"/>
  <c r="E628" i="25" s="1"/>
  <c r="E629" i="25" s="1"/>
  <c r="E630" i="25" s="1"/>
  <c r="E631" i="25" s="1"/>
  <c r="E632" i="25" s="1"/>
  <c r="E633" i="25" s="1"/>
  <c r="E634" i="25" s="1"/>
  <c r="E635" i="25" s="1"/>
  <c r="E636" i="25" s="1"/>
  <c r="E637" i="25" s="1"/>
  <c r="E638" i="25" s="1"/>
  <c r="E639" i="25" s="1"/>
  <c r="E640" i="25" s="1"/>
  <c r="E641" i="25" s="1"/>
  <c r="E642" i="25" s="1"/>
  <c r="E643" i="25" s="1"/>
  <c r="E644" i="25" s="1"/>
  <c r="E645" i="25" s="1"/>
  <c r="E646" i="25" s="1"/>
  <c r="E647" i="25" s="1"/>
  <c r="E648" i="25" s="1"/>
  <c r="E649" i="25" s="1"/>
  <c r="E650" i="25" s="1"/>
  <c r="E651" i="25" s="1"/>
  <c r="E652" i="25" s="1"/>
  <c r="E653" i="25" s="1"/>
  <c r="E654" i="25" s="1"/>
  <c r="E655" i="25" s="1"/>
  <c r="E656" i="25" s="1"/>
  <c r="E657" i="25" s="1"/>
  <c r="E658" i="25" s="1"/>
  <c r="E659" i="25" s="1"/>
  <c r="E660" i="25" s="1"/>
  <c r="E661" i="25" s="1"/>
  <c r="E662" i="25" s="1"/>
  <c r="E663" i="25" s="1"/>
  <c r="E664" i="25" s="1"/>
  <c r="E665" i="25" s="1"/>
  <c r="E666" i="25" s="1"/>
  <c r="E667" i="25" s="1"/>
  <c r="E668" i="25" s="1"/>
  <c r="E669" i="25" s="1"/>
  <c r="E670" i="25" s="1"/>
  <c r="E671" i="25" s="1"/>
  <c r="E672" i="25" s="1"/>
  <c r="E673" i="25" s="1"/>
  <c r="E674" i="25" s="1"/>
  <c r="E675" i="25" s="1"/>
  <c r="E676" i="25" s="1"/>
  <c r="E677" i="25" s="1"/>
  <c r="E678" i="25" s="1"/>
  <c r="E679" i="25" s="1"/>
  <c r="E680" i="25" s="1"/>
  <c r="E681" i="25" s="1"/>
  <c r="E682" i="25" s="1"/>
  <c r="E683" i="25" s="1"/>
  <c r="E684" i="25" s="1"/>
  <c r="E685" i="25" s="1"/>
  <c r="E686" i="25" s="1"/>
  <c r="E687" i="25" s="1"/>
  <c r="E688" i="25" s="1"/>
  <c r="E689" i="25" s="1"/>
  <c r="E690" i="25" s="1"/>
  <c r="E691" i="25" s="1"/>
  <c r="E692" i="25" s="1"/>
  <c r="E693" i="25" s="1"/>
  <c r="E694" i="25" s="1"/>
  <c r="E695" i="25" s="1"/>
  <c r="E696" i="25" s="1"/>
  <c r="E697" i="25" s="1"/>
  <c r="E698" i="25" s="1"/>
  <c r="E699" i="25" s="1"/>
  <c r="E700" i="25" s="1"/>
  <c r="E701" i="25" s="1"/>
  <c r="E702" i="25" s="1"/>
  <c r="E703" i="25" s="1"/>
  <c r="E704" i="25" s="1"/>
  <c r="E705" i="25" s="1"/>
  <c r="E706" i="25" s="1"/>
  <c r="E707" i="25" s="1"/>
  <c r="E708" i="25" s="1"/>
  <c r="E709" i="25" s="1"/>
  <c r="E710" i="25" s="1"/>
  <c r="E711" i="25" s="1"/>
  <c r="E712" i="25" s="1"/>
  <c r="E713" i="25" s="1"/>
  <c r="E714" i="25" s="1"/>
  <c r="E715" i="25" s="1"/>
  <c r="E716" i="25" s="1"/>
  <c r="E717" i="25" s="1"/>
  <c r="E718" i="25" s="1"/>
  <c r="E719" i="25" s="1"/>
  <c r="E720" i="25" s="1"/>
  <c r="E721" i="25" s="1"/>
  <c r="E722" i="25" s="1"/>
  <c r="E723" i="25" s="1"/>
  <c r="E724" i="25" s="1"/>
  <c r="E725" i="25" s="1"/>
  <c r="E726" i="25" s="1"/>
  <c r="E727" i="25" s="1"/>
  <c r="E728" i="25" s="1"/>
  <c r="E729" i="25" s="1"/>
  <c r="E730" i="25" s="1"/>
  <c r="E731" i="25" s="1"/>
  <c r="E732" i="25" s="1"/>
  <c r="E733" i="25" s="1"/>
  <c r="E734" i="25" s="1"/>
  <c r="E735" i="25" s="1"/>
  <c r="E736" i="25" s="1"/>
  <c r="E737" i="25" s="1"/>
  <c r="E738" i="25" s="1"/>
  <c r="E739" i="25" s="1"/>
  <c r="E740" i="25" s="1"/>
  <c r="E741" i="25" s="1"/>
  <c r="E742" i="25" s="1"/>
  <c r="E743" i="25" s="1"/>
  <c r="E744" i="25" s="1"/>
  <c r="E745" i="25" s="1"/>
  <c r="E746" i="25" s="1"/>
  <c r="E747" i="25" s="1"/>
  <c r="E748" i="25" s="1"/>
  <c r="E749" i="25" s="1"/>
  <c r="E750" i="25" s="1"/>
  <c r="E751" i="25" s="1"/>
  <c r="E752" i="25" s="1"/>
  <c r="E753" i="25" s="1"/>
  <c r="E754" i="25" s="1"/>
  <c r="E755" i="25" s="1"/>
  <c r="E756" i="25" s="1"/>
  <c r="E757" i="25" s="1"/>
  <c r="E758" i="25" s="1"/>
  <c r="E759" i="25" s="1"/>
  <c r="E760" i="25" s="1"/>
  <c r="E761" i="25" s="1"/>
  <c r="E762" i="25" s="1"/>
  <c r="E763" i="25" s="1"/>
  <c r="E764" i="25" s="1"/>
  <c r="E765" i="25" s="1"/>
  <c r="E766" i="25" s="1"/>
  <c r="E767" i="25" s="1"/>
  <c r="E768" i="25" s="1"/>
  <c r="E769" i="25" s="1"/>
  <c r="E770" i="25" s="1"/>
  <c r="E771" i="25" s="1"/>
  <c r="E772" i="25" s="1"/>
  <c r="E773" i="25" s="1"/>
  <c r="E774" i="25" s="1"/>
  <c r="E775" i="25" s="1"/>
  <c r="E776" i="25" s="1"/>
  <c r="E777" i="25" s="1"/>
  <c r="E778" i="25" s="1"/>
  <c r="E779" i="25" s="1"/>
  <c r="E780" i="25" s="1"/>
  <c r="E781" i="25" s="1"/>
  <c r="E782" i="25" s="1"/>
  <c r="E783" i="25" s="1"/>
  <c r="E784" i="25" s="1"/>
  <c r="E785" i="25" s="1"/>
  <c r="E786" i="25" s="1"/>
  <c r="E787" i="25" s="1"/>
  <c r="E788" i="25" s="1"/>
  <c r="E789" i="25" s="1"/>
  <c r="E790" i="25" s="1"/>
  <c r="E791" i="25" s="1"/>
  <c r="E792" i="25" s="1"/>
  <c r="E793" i="25" s="1"/>
  <c r="E794" i="25" s="1"/>
  <c r="E795" i="25" s="1"/>
  <c r="E796" i="25" s="1"/>
  <c r="E797" i="25" s="1"/>
  <c r="E798" i="25" s="1"/>
  <c r="E799" i="25" s="1"/>
  <c r="E800" i="25" s="1"/>
  <c r="E801" i="25" s="1"/>
  <c r="E802" i="25" s="1"/>
  <c r="E803" i="25" s="1"/>
  <c r="E804" i="25" s="1"/>
  <c r="E805" i="25" s="1"/>
  <c r="E806" i="25" s="1"/>
  <c r="E807" i="25" s="1"/>
  <c r="E808" i="25" s="1"/>
  <c r="E809" i="25" s="1"/>
  <c r="E810" i="25" s="1"/>
  <c r="E811" i="25" s="1"/>
  <c r="E812" i="25" s="1"/>
  <c r="E813" i="25" s="1"/>
  <c r="E814" i="25" s="1"/>
  <c r="E815" i="25" s="1"/>
  <c r="E816" i="25" s="1"/>
  <c r="E817" i="25" s="1"/>
  <c r="E818" i="25" s="1"/>
  <c r="E819" i="25" s="1"/>
  <c r="E820" i="25" s="1"/>
  <c r="E821" i="25" s="1"/>
  <c r="E822" i="25" s="1"/>
  <c r="E823" i="25" s="1"/>
  <c r="E824" i="25" s="1"/>
  <c r="E825" i="25" s="1"/>
  <c r="E826" i="25" s="1"/>
  <c r="E827" i="25" s="1"/>
  <c r="E828" i="25" s="1"/>
  <c r="E829" i="25" s="1"/>
  <c r="E830" i="25" s="1"/>
  <c r="E831" i="25" s="1"/>
  <c r="E832" i="25" s="1"/>
  <c r="E833" i="25" s="1"/>
  <c r="E834" i="25" s="1"/>
  <c r="E835" i="25" s="1"/>
  <c r="E836" i="25" s="1"/>
  <c r="E837" i="25" s="1"/>
  <c r="E838" i="25" s="1"/>
  <c r="E839" i="25" s="1"/>
  <c r="E840" i="25" s="1"/>
  <c r="E841" i="25" s="1"/>
  <c r="E842" i="25" s="1"/>
  <c r="E843" i="25" s="1"/>
  <c r="E844" i="25" s="1"/>
  <c r="E845" i="25" s="1"/>
  <c r="E846" i="25" s="1"/>
  <c r="E847" i="25" s="1"/>
  <c r="E848" i="25" s="1"/>
  <c r="E849" i="25" s="1"/>
  <c r="E850" i="25" s="1"/>
  <c r="E851" i="25" s="1"/>
  <c r="E852" i="25" s="1"/>
  <c r="E853" i="25" s="1"/>
  <c r="E854" i="25" s="1"/>
  <c r="E855" i="25" s="1"/>
  <c r="E856" i="25" s="1"/>
  <c r="E857" i="25" s="1"/>
  <c r="E858" i="25" s="1"/>
  <c r="E859" i="25" s="1"/>
  <c r="E860" i="25" s="1"/>
  <c r="E861" i="25" s="1"/>
  <c r="E862" i="25" s="1"/>
  <c r="E863" i="25" s="1"/>
  <c r="E864" i="25" s="1"/>
  <c r="E865" i="25" s="1"/>
  <c r="E866" i="25" s="1"/>
  <c r="E867" i="25" s="1"/>
  <c r="E868" i="25" s="1"/>
  <c r="E869" i="25" s="1"/>
  <c r="E870" i="25" s="1"/>
  <c r="E871" i="25" s="1"/>
  <c r="E872" i="25" s="1"/>
  <c r="E873" i="25" s="1"/>
  <c r="E874" i="25" s="1"/>
  <c r="E875" i="25" s="1"/>
  <c r="E876" i="25" s="1"/>
  <c r="E877" i="25" s="1"/>
  <c r="E878" i="25" s="1"/>
  <c r="E879" i="25" s="1"/>
  <c r="E880" i="25" s="1"/>
  <c r="L880" i="24"/>
  <c r="J880" i="24"/>
  <c r="H880" i="24"/>
  <c r="F880" i="24"/>
  <c r="L879" i="24"/>
  <c r="J879" i="24"/>
  <c r="H879" i="24"/>
  <c r="F879" i="24"/>
  <c r="L878" i="24"/>
  <c r="J878" i="24"/>
  <c r="H878" i="24"/>
  <c r="F878" i="24"/>
  <c r="L877" i="24"/>
  <c r="J877" i="24"/>
  <c r="H877" i="24"/>
  <c r="F877" i="24"/>
  <c r="L876" i="24"/>
  <c r="J876" i="24"/>
  <c r="H876" i="24"/>
  <c r="F876" i="24"/>
  <c r="L875" i="24"/>
  <c r="J875" i="24"/>
  <c r="H875" i="24"/>
  <c r="F875" i="24"/>
  <c r="L874" i="24"/>
  <c r="J874" i="24"/>
  <c r="H874" i="24"/>
  <c r="F874" i="24"/>
  <c r="L873" i="24"/>
  <c r="J873" i="24"/>
  <c r="H873" i="24"/>
  <c r="F873" i="24"/>
  <c r="L872" i="24"/>
  <c r="J872" i="24"/>
  <c r="H872" i="24"/>
  <c r="F872" i="24"/>
  <c r="L871" i="24"/>
  <c r="J871" i="24"/>
  <c r="H871" i="24"/>
  <c r="F871" i="24"/>
  <c r="L870" i="24"/>
  <c r="J870" i="24"/>
  <c r="H870" i="24"/>
  <c r="F870" i="24"/>
  <c r="L869" i="24"/>
  <c r="J869" i="24"/>
  <c r="H869" i="24"/>
  <c r="F869" i="24"/>
  <c r="L868" i="24"/>
  <c r="J868" i="24"/>
  <c r="H868" i="24"/>
  <c r="F868" i="24"/>
  <c r="L867" i="24"/>
  <c r="J867" i="24"/>
  <c r="H867" i="24"/>
  <c r="F867" i="24"/>
  <c r="L866" i="24"/>
  <c r="J866" i="24"/>
  <c r="H866" i="24"/>
  <c r="F866" i="24"/>
  <c r="L865" i="24"/>
  <c r="J865" i="24"/>
  <c r="H865" i="24"/>
  <c r="F865" i="24"/>
  <c r="L864" i="24"/>
  <c r="J864" i="24"/>
  <c r="H864" i="24"/>
  <c r="F864" i="24"/>
  <c r="L863" i="24"/>
  <c r="J863" i="24"/>
  <c r="H863" i="24"/>
  <c r="F863" i="24"/>
  <c r="L862" i="24"/>
  <c r="J862" i="24"/>
  <c r="H862" i="24"/>
  <c r="F862" i="24"/>
  <c r="L861" i="24"/>
  <c r="J861" i="24"/>
  <c r="H861" i="24"/>
  <c r="F861" i="24"/>
  <c r="L860" i="24"/>
  <c r="J860" i="24"/>
  <c r="H860" i="24"/>
  <c r="F860" i="24"/>
  <c r="L859" i="24"/>
  <c r="J859" i="24"/>
  <c r="H859" i="24"/>
  <c r="F859" i="24"/>
  <c r="L858" i="24"/>
  <c r="J858" i="24"/>
  <c r="H858" i="24"/>
  <c r="F858" i="24"/>
  <c r="L857" i="24"/>
  <c r="J857" i="24"/>
  <c r="H857" i="24"/>
  <c r="F857" i="24"/>
  <c r="L856" i="24"/>
  <c r="J856" i="24"/>
  <c r="H856" i="24"/>
  <c r="F856" i="24"/>
  <c r="L855" i="24"/>
  <c r="J855" i="24"/>
  <c r="H855" i="24"/>
  <c r="F855" i="24"/>
  <c r="L854" i="24"/>
  <c r="J854" i="24"/>
  <c r="H854" i="24"/>
  <c r="F854" i="24"/>
  <c r="L853" i="24"/>
  <c r="J853" i="24"/>
  <c r="H853" i="24"/>
  <c r="F853" i="24"/>
  <c r="L852" i="24"/>
  <c r="J852" i="24"/>
  <c r="H852" i="24"/>
  <c r="F852" i="24"/>
  <c r="L851" i="24"/>
  <c r="J851" i="24"/>
  <c r="H851" i="24"/>
  <c r="F851" i="24"/>
  <c r="L850" i="24"/>
  <c r="J850" i="24"/>
  <c r="H850" i="24"/>
  <c r="F850" i="24"/>
  <c r="L849" i="24"/>
  <c r="J849" i="24"/>
  <c r="H849" i="24"/>
  <c r="F849" i="24"/>
  <c r="L848" i="24"/>
  <c r="J848" i="24"/>
  <c r="H848" i="24"/>
  <c r="F848" i="24"/>
  <c r="L847" i="24"/>
  <c r="J847" i="24"/>
  <c r="H847" i="24"/>
  <c r="F847" i="24"/>
  <c r="L846" i="24"/>
  <c r="J846" i="24"/>
  <c r="H846" i="24"/>
  <c r="F846" i="24"/>
  <c r="L845" i="24"/>
  <c r="J845" i="24"/>
  <c r="H845" i="24"/>
  <c r="F845" i="24"/>
  <c r="L844" i="24"/>
  <c r="J844" i="24"/>
  <c r="H844" i="24"/>
  <c r="F844" i="24"/>
  <c r="L843" i="24"/>
  <c r="J843" i="24"/>
  <c r="H843" i="24"/>
  <c r="F843" i="24"/>
  <c r="L842" i="24"/>
  <c r="J842" i="24"/>
  <c r="H842" i="24"/>
  <c r="F842" i="24"/>
  <c r="L841" i="24"/>
  <c r="J841" i="24"/>
  <c r="H841" i="24"/>
  <c r="F841" i="24"/>
  <c r="L840" i="24"/>
  <c r="J840" i="24"/>
  <c r="H840" i="24"/>
  <c r="F840" i="24"/>
  <c r="L839" i="24"/>
  <c r="J839" i="24"/>
  <c r="H839" i="24"/>
  <c r="F839" i="24"/>
  <c r="L838" i="24"/>
  <c r="J838" i="24"/>
  <c r="H838" i="24"/>
  <c r="F838" i="24"/>
  <c r="L837" i="24"/>
  <c r="J837" i="24"/>
  <c r="H837" i="24"/>
  <c r="F837" i="24"/>
  <c r="L836" i="24"/>
  <c r="J836" i="24"/>
  <c r="H836" i="24"/>
  <c r="F836" i="24"/>
  <c r="L835" i="24"/>
  <c r="J835" i="24"/>
  <c r="H835" i="24"/>
  <c r="F835" i="24"/>
  <c r="L834" i="24"/>
  <c r="J834" i="24"/>
  <c r="H834" i="24"/>
  <c r="F834" i="24"/>
  <c r="L833" i="24"/>
  <c r="J833" i="24"/>
  <c r="H833" i="24"/>
  <c r="F833" i="24"/>
  <c r="L832" i="24"/>
  <c r="J832" i="24"/>
  <c r="H832" i="24"/>
  <c r="F832" i="24"/>
  <c r="L831" i="24"/>
  <c r="J831" i="24"/>
  <c r="H831" i="24"/>
  <c r="F831" i="24"/>
  <c r="L830" i="24"/>
  <c r="J830" i="24"/>
  <c r="H830" i="24"/>
  <c r="F830" i="24"/>
  <c r="L829" i="24"/>
  <c r="J829" i="24"/>
  <c r="H829" i="24"/>
  <c r="F829" i="24"/>
  <c r="L828" i="24"/>
  <c r="J828" i="24"/>
  <c r="H828" i="24"/>
  <c r="F828" i="24"/>
  <c r="L827" i="24"/>
  <c r="J827" i="24"/>
  <c r="H827" i="24"/>
  <c r="F827" i="24"/>
  <c r="L826" i="24"/>
  <c r="J826" i="24"/>
  <c r="H826" i="24"/>
  <c r="F826" i="24"/>
  <c r="L825" i="24"/>
  <c r="J825" i="24"/>
  <c r="H825" i="24"/>
  <c r="F825" i="24"/>
  <c r="L824" i="24"/>
  <c r="J824" i="24"/>
  <c r="H824" i="24"/>
  <c r="F824" i="24"/>
  <c r="L823" i="24"/>
  <c r="J823" i="24"/>
  <c r="H823" i="24"/>
  <c r="F823" i="24"/>
  <c r="L822" i="24"/>
  <c r="J822" i="24"/>
  <c r="H822" i="24"/>
  <c r="F822" i="24"/>
  <c r="L821" i="24"/>
  <c r="J821" i="24"/>
  <c r="H821" i="24"/>
  <c r="F821" i="24"/>
  <c r="L820" i="24"/>
  <c r="J820" i="24"/>
  <c r="H820" i="24"/>
  <c r="F820" i="24"/>
  <c r="L819" i="24"/>
  <c r="J819" i="24"/>
  <c r="H819" i="24"/>
  <c r="F819" i="24"/>
  <c r="L818" i="24"/>
  <c r="J818" i="24"/>
  <c r="H818" i="24"/>
  <c r="F818" i="24"/>
  <c r="L817" i="24"/>
  <c r="J817" i="24"/>
  <c r="H817" i="24"/>
  <c r="F817" i="24"/>
  <c r="L816" i="24"/>
  <c r="J816" i="24"/>
  <c r="H816" i="24"/>
  <c r="F816" i="24"/>
  <c r="L815" i="24"/>
  <c r="J815" i="24"/>
  <c r="H815" i="24"/>
  <c r="F815" i="24"/>
  <c r="L814" i="24"/>
  <c r="J814" i="24"/>
  <c r="H814" i="24"/>
  <c r="F814" i="24"/>
  <c r="L813" i="24"/>
  <c r="J813" i="24"/>
  <c r="H813" i="24"/>
  <c r="F813" i="24"/>
  <c r="L812" i="24"/>
  <c r="J812" i="24"/>
  <c r="H812" i="24"/>
  <c r="F812" i="24"/>
  <c r="L811" i="24"/>
  <c r="J811" i="24"/>
  <c r="H811" i="24"/>
  <c r="F811" i="24"/>
  <c r="L810" i="24"/>
  <c r="J810" i="24"/>
  <c r="H810" i="24"/>
  <c r="F810" i="24"/>
  <c r="L809" i="24"/>
  <c r="J809" i="24"/>
  <c r="H809" i="24"/>
  <c r="F809" i="24"/>
  <c r="L808" i="24"/>
  <c r="J808" i="24"/>
  <c r="H808" i="24"/>
  <c r="F808" i="24"/>
  <c r="L807" i="24"/>
  <c r="J807" i="24"/>
  <c r="H807" i="24"/>
  <c r="F807" i="24"/>
  <c r="L806" i="24"/>
  <c r="J806" i="24"/>
  <c r="H806" i="24"/>
  <c r="F806" i="24"/>
  <c r="L805" i="24"/>
  <c r="J805" i="24"/>
  <c r="H805" i="24"/>
  <c r="F805" i="24"/>
  <c r="L804" i="24"/>
  <c r="J804" i="24"/>
  <c r="H804" i="24"/>
  <c r="F804" i="24"/>
  <c r="L803" i="24"/>
  <c r="J803" i="24"/>
  <c r="H803" i="24"/>
  <c r="F803" i="24"/>
  <c r="L802" i="24"/>
  <c r="J802" i="24"/>
  <c r="H802" i="24"/>
  <c r="F802" i="24"/>
  <c r="L801" i="24"/>
  <c r="J801" i="24"/>
  <c r="H801" i="24"/>
  <c r="F801" i="24"/>
  <c r="L800" i="24"/>
  <c r="J800" i="24"/>
  <c r="H800" i="24"/>
  <c r="F800" i="24"/>
  <c r="L799" i="24"/>
  <c r="J799" i="24"/>
  <c r="H799" i="24"/>
  <c r="F799" i="24"/>
  <c r="L798" i="24"/>
  <c r="J798" i="24"/>
  <c r="H798" i="24"/>
  <c r="F798" i="24"/>
  <c r="L797" i="24"/>
  <c r="J797" i="24"/>
  <c r="H797" i="24"/>
  <c r="F797" i="24"/>
  <c r="L796" i="24"/>
  <c r="J796" i="24"/>
  <c r="H796" i="24"/>
  <c r="F796" i="24"/>
  <c r="L795" i="24"/>
  <c r="J795" i="24"/>
  <c r="H795" i="24"/>
  <c r="F795" i="24"/>
  <c r="L794" i="24"/>
  <c r="J794" i="24"/>
  <c r="H794" i="24"/>
  <c r="F794" i="24"/>
  <c r="L793" i="24"/>
  <c r="J793" i="24"/>
  <c r="H793" i="24"/>
  <c r="F793" i="24"/>
  <c r="L792" i="24"/>
  <c r="J792" i="24"/>
  <c r="H792" i="24"/>
  <c r="F792" i="24"/>
  <c r="L791" i="24"/>
  <c r="J791" i="24"/>
  <c r="H791" i="24"/>
  <c r="F791" i="24"/>
  <c r="L790" i="24"/>
  <c r="J790" i="24"/>
  <c r="H790" i="24"/>
  <c r="F790" i="24"/>
  <c r="L789" i="24"/>
  <c r="J789" i="24"/>
  <c r="H789" i="24"/>
  <c r="F789" i="24"/>
  <c r="L788" i="24"/>
  <c r="J788" i="24"/>
  <c r="H788" i="24"/>
  <c r="F788" i="24"/>
  <c r="L787" i="24"/>
  <c r="J787" i="24"/>
  <c r="H787" i="24"/>
  <c r="F787" i="24"/>
  <c r="L786" i="24"/>
  <c r="J786" i="24"/>
  <c r="H786" i="24"/>
  <c r="F786" i="24"/>
  <c r="L785" i="24"/>
  <c r="J785" i="24"/>
  <c r="H785" i="24"/>
  <c r="F785" i="24"/>
  <c r="L784" i="24"/>
  <c r="J784" i="24"/>
  <c r="H784" i="24"/>
  <c r="F784" i="24"/>
  <c r="L783" i="24"/>
  <c r="J783" i="24"/>
  <c r="H783" i="24"/>
  <c r="F783" i="24"/>
  <c r="L782" i="24"/>
  <c r="J782" i="24"/>
  <c r="H782" i="24"/>
  <c r="F782" i="24"/>
  <c r="L781" i="24"/>
  <c r="J781" i="24"/>
  <c r="H781" i="24"/>
  <c r="F781" i="24"/>
  <c r="L780" i="24"/>
  <c r="J780" i="24"/>
  <c r="H780" i="24"/>
  <c r="F780" i="24"/>
  <c r="L779" i="24"/>
  <c r="J779" i="24"/>
  <c r="H779" i="24"/>
  <c r="F779" i="24"/>
  <c r="L778" i="24"/>
  <c r="J778" i="24"/>
  <c r="H778" i="24"/>
  <c r="F778" i="24"/>
  <c r="L777" i="24"/>
  <c r="J777" i="24"/>
  <c r="H777" i="24"/>
  <c r="F777" i="24"/>
  <c r="L776" i="24"/>
  <c r="J776" i="24"/>
  <c r="H776" i="24"/>
  <c r="F776" i="24"/>
  <c r="L775" i="24"/>
  <c r="J775" i="24"/>
  <c r="H775" i="24"/>
  <c r="F775" i="24"/>
  <c r="L774" i="24"/>
  <c r="J774" i="24"/>
  <c r="H774" i="24"/>
  <c r="F774" i="24"/>
  <c r="L773" i="24"/>
  <c r="J773" i="24"/>
  <c r="H773" i="24"/>
  <c r="F773" i="24"/>
  <c r="L772" i="24"/>
  <c r="J772" i="24"/>
  <c r="H772" i="24"/>
  <c r="F772" i="24"/>
  <c r="L771" i="24"/>
  <c r="J771" i="24"/>
  <c r="H771" i="24"/>
  <c r="F771" i="24"/>
  <c r="L770" i="24"/>
  <c r="J770" i="24"/>
  <c r="H770" i="24"/>
  <c r="F770" i="24"/>
  <c r="L769" i="24"/>
  <c r="J769" i="24"/>
  <c r="H769" i="24"/>
  <c r="F769" i="24"/>
  <c r="L768" i="24"/>
  <c r="J768" i="24"/>
  <c r="H768" i="24"/>
  <c r="F768" i="24"/>
  <c r="L767" i="24"/>
  <c r="J767" i="24"/>
  <c r="H767" i="24"/>
  <c r="F767" i="24"/>
  <c r="L766" i="24"/>
  <c r="J766" i="24"/>
  <c r="H766" i="24"/>
  <c r="F766" i="24"/>
  <c r="L765" i="24"/>
  <c r="J765" i="24"/>
  <c r="H765" i="24"/>
  <c r="F765" i="24"/>
  <c r="L764" i="24"/>
  <c r="J764" i="24"/>
  <c r="H764" i="24"/>
  <c r="F764" i="24"/>
  <c r="L763" i="24"/>
  <c r="J763" i="24"/>
  <c r="H763" i="24"/>
  <c r="F763" i="24"/>
  <c r="L762" i="24"/>
  <c r="J762" i="24"/>
  <c r="H762" i="24"/>
  <c r="F762" i="24"/>
  <c r="L761" i="24"/>
  <c r="J761" i="24"/>
  <c r="H761" i="24"/>
  <c r="F761" i="24"/>
  <c r="L760" i="24"/>
  <c r="J760" i="24"/>
  <c r="H760" i="24"/>
  <c r="F760" i="24"/>
  <c r="L759" i="24"/>
  <c r="J759" i="24"/>
  <c r="H759" i="24"/>
  <c r="F759" i="24"/>
  <c r="L758" i="24"/>
  <c r="J758" i="24"/>
  <c r="H758" i="24"/>
  <c r="F758" i="24"/>
  <c r="L757" i="24"/>
  <c r="J757" i="24"/>
  <c r="H757" i="24"/>
  <c r="F757" i="24"/>
  <c r="L756" i="24"/>
  <c r="J756" i="24"/>
  <c r="H756" i="24"/>
  <c r="F756" i="24"/>
  <c r="L755" i="24"/>
  <c r="J755" i="24"/>
  <c r="H755" i="24"/>
  <c r="F755" i="24"/>
  <c r="L754" i="24"/>
  <c r="J754" i="24"/>
  <c r="H754" i="24"/>
  <c r="F754" i="24"/>
  <c r="L753" i="24"/>
  <c r="J753" i="24"/>
  <c r="H753" i="24"/>
  <c r="F753" i="24"/>
  <c r="L752" i="24"/>
  <c r="J752" i="24"/>
  <c r="H752" i="24"/>
  <c r="F752" i="24"/>
  <c r="L751" i="24"/>
  <c r="J751" i="24"/>
  <c r="H751" i="24"/>
  <c r="F751" i="24"/>
  <c r="L750" i="24"/>
  <c r="J750" i="24"/>
  <c r="H750" i="24"/>
  <c r="F750" i="24"/>
  <c r="L749" i="24"/>
  <c r="J749" i="24"/>
  <c r="H749" i="24"/>
  <c r="F749" i="24"/>
  <c r="L748" i="24"/>
  <c r="J748" i="24"/>
  <c r="H748" i="24"/>
  <c r="F748" i="24"/>
  <c r="L747" i="24"/>
  <c r="J747" i="24"/>
  <c r="H747" i="24"/>
  <c r="F747" i="24"/>
  <c r="L746" i="24"/>
  <c r="J746" i="24"/>
  <c r="H746" i="24"/>
  <c r="F746" i="24"/>
  <c r="L745" i="24"/>
  <c r="J745" i="24"/>
  <c r="H745" i="24"/>
  <c r="F745" i="24"/>
  <c r="L744" i="24"/>
  <c r="J744" i="24"/>
  <c r="H744" i="24"/>
  <c r="F744" i="24"/>
  <c r="L743" i="24"/>
  <c r="J743" i="24"/>
  <c r="H743" i="24"/>
  <c r="F743" i="24"/>
  <c r="L742" i="24"/>
  <c r="J742" i="24"/>
  <c r="H742" i="24"/>
  <c r="F742" i="24"/>
  <c r="L741" i="24"/>
  <c r="J741" i="24"/>
  <c r="H741" i="24"/>
  <c r="F741" i="24"/>
  <c r="L740" i="24"/>
  <c r="J740" i="24"/>
  <c r="H740" i="24"/>
  <c r="F740" i="24"/>
  <c r="L739" i="24"/>
  <c r="J739" i="24"/>
  <c r="H739" i="24"/>
  <c r="F739" i="24"/>
  <c r="L738" i="24"/>
  <c r="J738" i="24"/>
  <c r="H738" i="24"/>
  <c r="F738" i="24"/>
  <c r="L737" i="24"/>
  <c r="J737" i="24"/>
  <c r="H737" i="24"/>
  <c r="F737" i="24"/>
  <c r="L736" i="24"/>
  <c r="J736" i="24"/>
  <c r="H736" i="24"/>
  <c r="F736" i="24"/>
  <c r="L735" i="24"/>
  <c r="J735" i="24"/>
  <c r="H735" i="24"/>
  <c r="F735" i="24"/>
  <c r="L734" i="24"/>
  <c r="J734" i="24"/>
  <c r="H734" i="24"/>
  <c r="F734" i="24"/>
  <c r="L733" i="24"/>
  <c r="J733" i="24"/>
  <c r="H733" i="24"/>
  <c r="F733" i="24"/>
  <c r="L732" i="24"/>
  <c r="J732" i="24"/>
  <c r="H732" i="24"/>
  <c r="F732" i="24"/>
  <c r="L731" i="24"/>
  <c r="J731" i="24"/>
  <c r="H731" i="24"/>
  <c r="F731" i="24"/>
  <c r="L730" i="24"/>
  <c r="J730" i="24"/>
  <c r="H730" i="24"/>
  <c r="F730" i="24"/>
  <c r="L729" i="24"/>
  <c r="J729" i="24"/>
  <c r="H729" i="24"/>
  <c r="F729" i="24"/>
  <c r="L728" i="24"/>
  <c r="J728" i="24"/>
  <c r="H728" i="24"/>
  <c r="F728" i="24"/>
  <c r="L727" i="24"/>
  <c r="J727" i="24"/>
  <c r="H727" i="24"/>
  <c r="F727" i="24"/>
  <c r="L726" i="24"/>
  <c r="J726" i="24"/>
  <c r="H726" i="24"/>
  <c r="F726" i="24"/>
  <c r="L725" i="24"/>
  <c r="J725" i="24"/>
  <c r="H725" i="24"/>
  <c r="F725" i="24"/>
  <c r="L724" i="24"/>
  <c r="J724" i="24"/>
  <c r="H724" i="24"/>
  <c r="F724" i="24"/>
  <c r="L723" i="24"/>
  <c r="J723" i="24"/>
  <c r="H723" i="24"/>
  <c r="F723" i="24"/>
  <c r="L722" i="24"/>
  <c r="J722" i="24"/>
  <c r="H722" i="24"/>
  <c r="F722" i="24"/>
  <c r="L721" i="24"/>
  <c r="J721" i="24"/>
  <c r="H721" i="24"/>
  <c r="F721" i="24"/>
  <c r="L720" i="24"/>
  <c r="J720" i="24"/>
  <c r="H720" i="24"/>
  <c r="F720" i="24"/>
  <c r="L719" i="24"/>
  <c r="J719" i="24"/>
  <c r="H719" i="24"/>
  <c r="F719" i="24"/>
  <c r="L718" i="24"/>
  <c r="J718" i="24"/>
  <c r="H718" i="24"/>
  <c r="F718" i="24"/>
  <c r="L717" i="24"/>
  <c r="J717" i="24"/>
  <c r="H717" i="24"/>
  <c r="F717" i="24"/>
  <c r="L716" i="24"/>
  <c r="J716" i="24"/>
  <c r="H716" i="24"/>
  <c r="F716" i="24"/>
  <c r="L715" i="24"/>
  <c r="J715" i="24"/>
  <c r="H715" i="24"/>
  <c r="F715" i="24"/>
  <c r="L714" i="24"/>
  <c r="J714" i="24"/>
  <c r="H714" i="24"/>
  <c r="F714" i="24"/>
  <c r="L713" i="24"/>
  <c r="J713" i="24"/>
  <c r="H713" i="24"/>
  <c r="F713" i="24"/>
  <c r="L712" i="24"/>
  <c r="J712" i="24"/>
  <c r="H712" i="24"/>
  <c r="F712" i="24"/>
  <c r="L711" i="24"/>
  <c r="J711" i="24"/>
  <c r="H711" i="24"/>
  <c r="F711" i="24"/>
  <c r="L710" i="24"/>
  <c r="J710" i="24"/>
  <c r="H710" i="24"/>
  <c r="F710" i="24"/>
  <c r="L709" i="24"/>
  <c r="J709" i="24"/>
  <c r="H709" i="24"/>
  <c r="F709" i="24"/>
  <c r="L708" i="24"/>
  <c r="J708" i="24"/>
  <c r="H708" i="24"/>
  <c r="F708" i="24"/>
  <c r="L707" i="24"/>
  <c r="J707" i="24"/>
  <c r="H707" i="24"/>
  <c r="F707" i="24"/>
  <c r="L706" i="24"/>
  <c r="J706" i="24"/>
  <c r="H706" i="24"/>
  <c r="F706" i="24"/>
  <c r="L705" i="24"/>
  <c r="J705" i="24"/>
  <c r="H705" i="24"/>
  <c r="F705" i="24"/>
  <c r="L704" i="24"/>
  <c r="J704" i="24"/>
  <c r="H704" i="24"/>
  <c r="F704" i="24"/>
  <c r="L703" i="24"/>
  <c r="J703" i="24"/>
  <c r="H703" i="24"/>
  <c r="F703" i="24"/>
  <c r="L702" i="24"/>
  <c r="J702" i="24"/>
  <c r="H702" i="24"/>
  <c r="F702" i="24"/>
  <c r="L701" i="24"/>
  <c r="J701" i="24"/>
  <c r="H701" i="24"/>
  <c r="F701" i="24"/>
  <c r="L700" i="24"/>
  <c r="J700" i="24"/>
  <c r="H700" i="24"/>
  <c r="F700" i="24"/>
  <c r="L699" i="24"/>
  <c r="J699" i="24"/>
  <c r="H699" i="24"/>
  <c r="F699" i="24"/>
  <c r="L698" i="24"/>
  <c r="J698" i="24"/>
  <c r="H698" i="24"/>
  <c r="F698" i="24"/>
  <c r="L697" i="24"/>
  <c r="J697" i="24"/>
  <c r="H697" i="24"/>
  <c r="F697" i="24"/>
  <c r="L696" i="24"/>
  <c r="J696" i="24"/>
  <c r="H696" i="24"/>
  <c r="F696" i="24"/>
  <c r="L695" i="24"/>
  <c r="J695" i="24"/>
  <c r="H695" i="24"/>
  <c r="F695" i="24"/>
  <c r="L694" i="24"/>
  <c r="J694" i="24"/>
  <c r="H694" i="24"/>
  <c r="F694" i="24"/>
  <c r="L693" i="24"/>
  <c r="J693" i="24"/>
  <c r="H693" i="24"/>
  <c r="F693" i="24"/>
  <c r="L692" i="24"/>
  <c r="J692" i="24"/>
  <c r="H692" i="24"/>
  <c r="F692" i="24"/>
  <c r="L691" i="24"/>
  <c r="J691" i="24"/>
  <c r="H691" i="24"/>
  <c r="F691" i="24"/>
  <c r="L690" i="24"/>
  <c r="J690" i="24"/>
  <c r="H690" i="24"/>
  <c r="F690" i="24"/>
  <c r="L689" i="24"/>
  <c r="J689" i="24"/>
  <c r="H689" i="24"/>
  <c r="F689" i="24"/>
  <c r="L688" i="24"/>
  <c r="J688" i="24"/>
  <c r="H688" i="24"/>
  <c r="F688" i="24"/>
  <c r="L687" i="24"/>
  <c r="J687" i="24"/>
  <c r="H687" i="24"/>
  <c r="F687" i="24"/>
  <c r="L686" i="24"/>
  <c r="J686" i="24"/>
  <c r="H686" i="24"/>
  <c r="F686" i="24"/>
  <c r="L685" i="24"/>
  <c r="J685" i="24"/>
  <c r="H685" i="24"/>
  <c r="F685" i="24"/>
  <c r="L684" i="24"/>
  <c r="J684" i="24"/>
  <c r="H684" i="24"/>
  <c r="F684" i="24"/>
  <c r="L683" i="24"/>
  <c r="J683" i="24"/>
  <c r="H683" i="24"/>
  <c r="F683" i="24"/>
  <c r="L682" i="24"/>
  <c r="J682" i="24"/>
  <c r="H682" i="24"/>
  <c r="F682" i="24"/>
  <c r="L681" i="24"/>
  <c r="J681" i="24"/>
  <c r="H681" i="24"/>
  <c r="F681" i="24"/>
  <c r="L680" i="24"/>
  <c r="J680" i="24"/>
  <c r="H680" i="24"/>
  <c r="F680" i="24"/>
  <c r="L679" i="24"/>
  <c r="J679" i="24"/>
  <c r="H679" i="24"/>
  <c r="F679" i="24"/>
  <c r="L678" i="24"/>
  <c r="J678" i="24"/>
  <c r="H678" i="24"/>
  <c r="F678" i="24"/>
  <c r="L677" i="24"/>
  <c r="J677" i="24"/>
  <c r="H677" i="24"/>
  <c r="F677" i="24"/>
  <c r="L676" i="24"/>
  <c r="J676" i="24"/>
  <c r="H676" i="24"/>
  <c r="F676" i="24"/>
  <c r="L675" i="24"/>
  <c r="J675" i="24"/>
  <c r="H675" i="24"/>
  <c r="F675" i="24"/>
  <c r="L674" i="24"/>
  <c r="J674" i="24"/>
  <c r="H674" i="24"/>
  <c r="F674" i="24"/>
  <c r="L673" i="24"/>
  <c r="J673" i="24"/>
  <c r="H673" i="24"/>
  <c r="F673" i="24"/>
  <c r="L672" i="24"/>
  <c r="J672" i="24"/>
  <c r="H672" i="24"/>
  <c r="F672" i="24"/>
  <c r="L671" i="24"/>
  <c r="J671" i="24"/>
  <c r="H671" i="24"/>
  <c r="F671" i="24"/>
  <c r="L670" i="24"/>
  <c r="J670" i="24"/>
  <c r="H670" i="24"/>
  <c r="F670" i="24"/>
  <c r="L669" i="24"/>
  <c r="J669" i="24"/>
  <c r="H669" i="24"/>
  <c r="F669" i="24"/>
  <c r="L668" i="24"/>
  <c r="J668" i="24"/>
  <c r="H668" i="24"/>
  <c r="F668" i="24"/>
  <c r="L667" i="24"/>
  <c r="J667" i="24"/>
  <c r="H667" i="24"/>
  <c r="F667" i="24"/>
  <c r="L666" i="24"/>
  <c r="J666" i="24"/>
  <c r="H666" i="24"/>
  <c r="F666" i="24"/>
  <c r="L665" i="24"/>
  <c r="J665" i="24"/>
  <c r="H665" i="24"/>
  <c r="F665" i="24"/>
  <c r="L664" i="24"/>
  <c r="J664" i="24"/>
  <c r="H664" i="24"/>
  <c r="F664" i="24"/>
  <c r="L663" i="24"/>
  <c r="J663" i="24"/>
  <c r="H663" i="24"/>
  <c r="F663" i="24"/>
  <c r="L662" i="24"/>
  <c r="J662" i="24"/>
  <c r="H662" i="24"/>
  <c r="F662" i="24"/>
  <c r="L661" i="24"/>
  <c r="J661" i="24"/>
  <c r="H661" i="24"/>
  <c r="F661" i="24"/>
  <c r="L660" i="24"/>
  <c r="J660" i="24"/>
  <c r="H660" i="24"/>
  <c r="F660" i="24"/>
  <c r="L659" i="24"/>
  <c r="J659" i="24"/>
  <c r="H659" i="24"/>
  <c r="F659" i="24"/>
  <c r="L658" i="24"/>
  <c r="J658" i="24"/>
  <c r="H658" i="24"/>
  <c r="F658" i="24"/>
  <c r="L657" i="24"/>
  <c r="J657" i="24"/>
  <c r="H657" i="24"/>
  <c r="F657" i="24"/>
  <c r="L656" i="24"/>
  <c r="J656" i="24"/>
  <c r="H656" i="24"/>
  <c r="F656" i="24"/>
  <c r="L655" i="24"/>
  <c r="J655" i="24"/>
  <c r="H655" i="24"/>
  <c r="F655" i="24"/>
  <c r="L654" i="24"/>
  <c r="J654" i="24"/>
  <c r="H654" i="24"/>
  <c r="F654" i="24"/>
  <c r="L653" i="24"/>
  <c r="J653" i="24"/>
  <c r="H653" i="24"/>
  <c r="F653" i="24"/>
  <c r="L652" i="24"/>
  <c r="J652" i="24"/>
  <c r="H652" i="24"/>
  <c r="F652" i="24"/>
  <c r="L651" i="24"/>
  <c r="J651" i="24"/>
  <c r="H651" i="24"/>
  <c r="F651" i="24"/>
  <c r="L650" i="24"/>
  <c r="J650" i="24"/>
  <c r="H650" i="24"/>
  <c r="F650" i="24"/>
  <c r="L649" i="24"/>
  <c r="J649" i="24"/>
  <c r="H649" i="24"/>
  <c r="F649" i="24"/>
  <c r="L648" i="24"/>
  <c r="J648" i="24"/>
  <c r="H648" i="24"/>
  <c r="F648" i="24"/>
  <c r="L647" i="24"/>
  <c r="J647" i="24"/>
  <c r="H647" i="24"/>
  <c r="F647" i="24"/>
  <c r="L646" i="24"/>
  <c r="J646" i="24"/>
  <c r="H646" i="24"/>
  <c r="F646" i="24"/>
  <c r="L645" i="24"/>
  <c r="J645" i="24"/>
  <c r="H645" i="24"/>
  <c r="F645" i="24"/>
  <c r="L644" i="24"/>
  <c r="J644" i="24"/>
  <c r="H644" i="24"/>
  <c r="F644" i="24"/>
  <c r="L643" i="24"/>
  <c r="J643" i="24"/>
  <c r="H643" i="24"/>
  <c r="F643" i="24"/>
  <c r="L642" i="24"/>
  <c r="J642" i="24"/>
  <c r="H642" i="24"/>
  <c r="F642" i="24"/>
  <c r="L641" i="24"/>
  <c r="J641" i="24"/>
  <c r="H641" i="24"/>
  <c r="F641" i="24"/>
  <c r="L640" i="24"/>
  <c r="J640" i="24"/>
  <c r="H640" i="24"/>
  <c r="F640" i="24"/>
  <c r="L639" i="24"/>
  <c r="J639" i="24"/>
  <c r="H639" i="24"/>
  <c r="F639" i="24"/>
  <c r="L638" i="24"/>
  <c r="J638" i="24"/>
  <c r="H638" i="24"/>
  <c r="F638" i="24"/>
  <c r="L637" i="24"/>
  <c r="J637" i="24"/>
  <c r="H637" i="24"/>
  <c r="F637" i="24"/>
  <c r="L636" i="24"/>
  <c r="J636" i="24"/>
  <c r="H636" i="24"/>
  <c r="F636" i="24"/>
  <c r="L635" i="24"/>
  <c r="J635" i="24"/>
  <c r="H635" i="24"/>
  <c r="F635" i="24"/>
  <c r="L634" i="24"/>
  <c r="J634" i="24"/>
  <c r="H634" i="24"/>
  <c r="F634" i="24"/>
  <c r="L633" i="24"/>
  <c r="J633" i="24"/>
  <c r="H633" i="24"/>
  <c r="F633" i="24"/>
  <c r="L632" i="24"/>
  <c r="J632" i="24"/>
  <c r="H632" i="24"/>
  <c r="F632" i="24"/>
  <c r="L631" i="24"/>
  <c r="J631" i="24"/>
  <c r="H631" i="24"/>
  <c r="F631" i="24"/>
  <c r="L630" i="24"/>
  <c r="J630" i="24"/>
  <c r="H630" i="24"/>
  <c r="F630" i="24"/>
  <c r="L629" i="24"/>
  <c r="J629" i="24"/>
  <c r="H629" i="24"/>
  <c r="F629" i="24"/>
  <c r="L628" i="24"/>
  <c r="J628" i="24"/>
  <c r="H628" i="24"/>
  <c r="F628" i="24"/>
  <c r="L627" i="24"/>
  <c r="J627" i="24"/>
  <c r="H627" i="24"/>
  <c r="F627" i="24"/>
  <c r="L626" i="24"/>
  <c r="J626" i="24"/>
  <c r="H626" i="24"/>
  <c r="F626" i="24"/>
  <c r="L625" i="24"/>
  <c r="J625" i="24"/>
  <c r="H625" i="24"/>
  <c r="F625" i="24"/>
  <c r="L624" i="24"/>
  <c r="J624" i="24"/>
  <c r="H624" i="24"/>
  <c r="F624" i="24"/>
  <c r="L623" i="24"/>
  <c r="J623" i="24"/>
  <c r="H623" i="24"/>
  <c r="F623" i="24"/>
  <c r="L622" i="24"/>
  <c r="J622" i="24"/>
  <c r="H622" i="24"/>
  <c r="F622" i="24"/>
  <c r="L621" i="24"/>
  <c r="J621" i="24"/>
  <c r="H621" i="24"/>
  <c r="F621" i="24"/>
  <c r="L620" i="24"/>
  <c r="J620" i="24"/>
  <c r="H620" i="24"/>
  <c r="F620" i="24"/>
  <c r="L619" i="24"/>
  <c r="J619" i="24"/>
  <c r="H619" i="24"/>
  <c r="F619" i="24"/>
  <c r="L618" i="24"/>
  <c r="J618" i="24"/>
  <c r="H618" i="24"/>
  <c r="F618" i="24"/>
  <c r="L617" i="24"/>
  <c r="J617" i="24"/>
  <c r="H617" i="24"/>
  <c r="F617" i="24"/>
  <c r="L616" i="24"/>
  <c r="J616" i="24"/>
  <c r="H616" i="24"/>
  <c r="F616" i="24"/>
  <c r="L615" i="24"/>
  <c r="J615" i="24"/>
  <c r="H615" i="24"/>
  <c r="F615" i="24"/>
  <c r="L614" i="24"/>
  <c r="J614" i="24"/>
  <c r="H614" i="24"/>
  <c r="F614" i="24"/>
  <c r="L613" i="24"/>
  <c r="J613" i="24"/>
  <c r="H613" i="24"/>
  <c r="F613" i="24"/>
  <c r="L612" i="24"/>
  <c r="J612" i="24"/>
  <c r="H612" i="24"/>
  <c r="F612" i="24"/>
  <c r="L611" i="24"/>
  <c r="J611" i="24"/>
  <c r="H611" i="24"/>
  <c r="F611" i="24"/>
  <c r="L610" i="24"/>
  <c r="J610" i="24"/>
  <c r="H610" i="24"/>
  <c r="F610" i="24"/>
  <c r="L609" i="24"/>
  <c r="J609" i="24"/>
  <c r="H609" i="24"/>
  <c r="F609" i="24"/>
  <c r="L608" i="24"/>
  <c r="J608" i="24"/>
  <c r="H608" i="24"/>
  <c r="F608" i="24"/>
  <c r="L607" i="24"/>
  <c r="J607" i="24"/>
  <c r="H607" i="24"/>
  <c r="F607" i="24"/>
  <c r="L606" i="24"/>
  <c r="J606" i="24"/>
  <c r="H606" i="24"/>
  <c r="F606" i="24"/>
  <c r="L605" i="24"/>
  <c r="J605" i="24"/>
  <c r="H605" i="24"/>
  <c r="F605" i="24"/>
  <c r="L604" i="24"/>
  <c r="J604" i="24"/>
  <c r="H604" i="24"/>
  <c r="F604" i="24"/>
  <c r="L603" i="24"/>
  <c r="J603" i="24"/>
  <c r="H603" i="24"/>
  <c r="F603" i="24"/>
  <c r="L602" i="24"/>
  <c r="J602" i="24"/>
  <c r="H602" i="24"/>
  <c r="F602" i="24"/>
  <c r="L601" i="24"/>
  <c r="J601" i="24"/>
  <c r="H601" i="24"/>
  <c r="F601" i="24"/>
  <c r="L600" i="24"/>
  <c r="J600" i="24"/>
  <c r="H600" i="24"/>
  <c r="F600" i="24"/>
  <c r="L599" i="24"/>
  <c r="J599" i="24"/>
  <c r="H599" i="24"/>
  <c r="F599" i="24"/>
  <c r="L598" i="24"/>
  <c r="J598" i="24"/>
  <c r="H598" i="24"/>
  <c r="F598" i="24"/>
  <c r="L597" i="24"/>
  <c r="J597" i="24"/>
  <c r="H597" i="24"/>
  <c r="F597" i="24"/>
  <c r="L596" i="24"/>
  <c r="J596" i="24"/>
  <c r="H596" i="24"/>
  <c r="F596" i="24"/>
  <c r="L595" i="24"/>
  <c r="J595" i="24"/>
  <c r="H595" i="24"/>
  <c r="F595" i="24"/>
  <c r="L594" i="24"/>
  <c r="J594" i="24"/>
  <c r="H594" i="24"/>
  <c r="F594" i="24"/>
  <c r="L593" i="24"/>
  <c r="J593" i="24"/>
  <c r="H593" i="24"/>
  <c r="F593" i="24"/>
  <c r="L592" i="24"/>
  <c r="J592" i="24"/>
  <c r="H592" i="24"/>
  <c r="F592" i="24"/>
  <c r="L591" i="24"/>
  <c r="J591" i="24"/>
  <c r="H591" i="24"/>
  <c r="F591" i="24"/>
  <c r="L590" i="24"/>
  <c r="J590" i="24"/>
  <c r="H590" i="24"/>
  <c r="F590" i="24"/>
  <c r="L589" i="24"/>
  <c r="J589" i="24"/>
  <c r="H589" i="24"/>
  <c r="F589" i="24"/>
  <c r="L588" i="24"/>
  <c r="J588" i="24"/>
  <c r="H588" i="24"/>
  <c r="F588" i="24"/>
  <c r="L587" i="24"/>
  <c r="J587" i="24"/>
  <c r="H587" i="24"/>
  <c r="F587" i="24"/>
  <c r="L586" i="24"/>
  <c r="J586" i="24"/>
  <c r="H586" i="24"/>
  <c r="F586" i="24"/>
  <c r="L585" i="24"/>
  <c r="J585" i="24"/>
  <c r="H585" i="24"/>
  <c r="F585" i="24"/>
  <c r="L584" i="24"/>
  <c r="J584" i="24"/>
  <c r="H584" i="24"/>
  <c r="F584" i="24"/>
  <c r="L583" i="24"/>
  <c r="J583" i="24"/>
  <c r="H583" i="24"/>
  <c r="F583" i="24"/>
  <c r="L582" i="24"/>
  <c r="J582" i="24"/>
  <c r="H582" i="24"/>
  <c r="F582" i="24"/>
  <c r="L581" i="24"/>
  <c r="J581" i="24"/>
  <c r="H581" i="24"/>
  <c r="F581" i="24"/>
  <c r="L580" i="24"/>
  <c r="J580" i="24"/>
  <c r="H580" i="24"/>
  <c r="F580" i="24"/>
  <c r="L579" i="24"/>
  <c r="J579" i="24"/>
  <c r="H579" i="24"/>
  <c r="F579" i="24"/>
  <c r="L578" i="24"/>
  <c r="J578" i="24"/>
  <c r="H578" i="24"/>
  <c r="F578" i="24"/>
  <c r="L577" i="24"/>
  <c r="J577" i="24"/>
  <c r="H577" i="24"/>
  <c r="F577" i="24"/>
  <c r="L576" i="24"/>
  <c r="J576" i="24"/>
  <c r="H576" i="24"/>
  <c r="F576" i="24"/>
  <c r="L575" i="24"/>
  <c r="J575" i="24"/>
  <c r="H575" i="24"/>
  <c r="F575" i="24"/>
  <c r="L574" i="24"/>
  <c r="J574" i="24"/>
  <c r="H574" i="24"/>
  <c r="F574" i="24"/>
  <c r="L573" i="24"/>
  <c r="J573" i="24"/>
  <c r="H573" i="24"/>
  <c r="F573" i="24"/>
  <c r="L572" i="24"/>
  <c r="J572" i="24"/>
  <c r="H572" i="24"/>
  <c r="F572" i="24"/>
  <c r="L571" i="24"/>
  <c r="J571" i="24"/>
  <c r="H571" i="24"/>
  <c r="F571" i="24"/>
  <c r="L570" i="24"/>
  <c r="J570" i="24"/>
  <c r="H570" i="24"/>
  <c r="F570" i="24"/>
  <c r="L569" i="24"/>
  <c r="J569" i="24"/>
  <c r="H569" i="24"/>
  <c r="F569" i="24"/>
  <c r="L568" i="24"/>
  <c r="J568" i="24"/>
  <c r="H568" i="24"/>
  <c r="F568" i="24"/>
  <c r="L567" i="24"/>
  <c r="J567" i="24"/>
  <c r="H567" i="24"/>
  <c r="F567" i="24"/>
  <c r="L566" i="24"/>
  <c r="J566" i="24"/>
  <c r="H566" i="24"/>
  <c r="F566" i="24"/>
  <c r="L565" i="24"/>
  <c r="J565" i="24"/>
  <c r="H565" i="24"/>
  <c r="F565" i="24"/>
  <c r="L564" i="24"/>
  <c r="J564" i="24"/>
  <c r="H564" i="24"/>
  <c r="F564" i="24"/>
  <c r="L563" i="24"/>
  <c r="J563" i="24"/>
  <c r="H563" i="24"/>
  <c r="F563" i="24"/>
  <c r="L562" i="24"/>
  <c r="J562" i="24"/>
  <c r="H562" i="24"/>
  <c r="F562" i="24"/>
  <c r="L561" i="24"/>
  <c r="J561" i="24"/>
  <c r="H561" i="24"/>
  <c r="F561" i="24"/>
  <c r="L560" i="24"/>
  <c r="J560" i="24"/>
  <c r="H560" i="24"/>
  <c r="F560" i="24"/>
  <c r="L559" i="24"/>
  <c r="J559" i="24"/>
  <c r="H559" i="24"/>
  <c r="F559" i="24"/>
  <c r="L558" i="24"/>
  <c r="J558" i="24"/>
  <c r="H558" i="24"/>
  <c r="F558" i="24"/>
  <c r="L557" i="24"/>
  <c r="J557" i="24"/>
  <c r="H557" i="24"/>
  <c r="F557" i="24"/>
  <c r="L556" i="24"/>
  <c r="J556" i="24"/>
  <c r="H556" i="24"/>
  <c r="F556" i="24"/>
  <c r="L555" i="24"/>
  <c r="J555" i="24"/>
  <c r="H555" i="24"/>
  <c r="F555" i="24"/>
  <c r="L554" i="24"/>
  <c r="J554" i="24"/>
  <c r="H554" i="24"/>
  <c r="F554" i="24"/>
  <c r="L553" i="24"/>
  <c r="J553" i="24"/>
  <c r="H553" i="24"/>
  <c r="F553" i="24"/>
  <c r="L552" i="24"/>
  <c r="J552" i="24"/>
  <c r="H552" i="24"/>
  <c r="F552" i="24"/>
  <c r="L551" i="24"/>
  <c r="J551" i="24"/>
  <c r="H551" i="24"/>
  <c r="F551" i="24"/>
  <c r="L550" i="24"/>
  <c r="J550" i="24"/>
  <c r="H550" i="24"/>
  <c r="F550" i="24"/>
  <c r="L549" i="24"/>
  <c r="J549" i="24"/>
  <c r="H549" i="24"/>
  <c r="F549" i="24"/>
  <c r="L548" i="24"/>
  <c r="J548" i="24"/>
  <c r="H548" i="24"/>
  <c r="F548" i="24"/>
  <c r="L547" i="24"/>
  <c r="J547" i="24"/>
  <c r="H547" i="24"/>
  <c r="F547" i="24"/>
  <c r="L546" i="24"/>
  <c r="J546" i="24"/>
  <c r="H546" i="24"/>
  <c r="F546" i="24"/>
  <c r="L545" i="24"/>
  <c r="J545" i="24"/>
  <c r="H545" i="24"/>
  <c r="F545" i="24"/>
  <c r="L544" i="24"/>
  <c r="J544" i="24"/>
  <c r="H544" i="24"/>
  <c r="F544" i="24"/>
  <c r="L543" i="24"/>
  <c r="J543" i="24"/>
  <c r="H543" i="24"/>
  <c r="F543" i="24"/>
  <c r="L542" i="24"/>
  <c r="J542" i="24"/>
  <c r="H542" i="24"/>
  <c r="F542" i="24"/>
  <c r="L541" i="24"/>
  <c r="J541" i="24"/>
  <c r="H541" i="24"/>
  <c r="F541" i="24"/>
  <c r="L540" i="24"/>
  <c r="J540" i="24"/>
  <c r="H540" i="24"/>
  <c r="F540" i="24"/>
  <c r="L539" i="24"/>
  <c r="J539" i="24"/>
  <c r="H539" i="24"/>
  <c r="F539" i="24"/>
  <c r="L538" i="24"/>
  <c r="J538" i="24"/>
  <c r="H538" i="24"/>
  <c r="F538" i="24"/>
  <c r="L537" i="24"/>
  <c r="J537" i="24"/>
  <c r="H537" i="24"/>
  <c r="F537" i="24"/>
  <c r="L536" i="24"/>
  <c r="J536" i="24"/>
  <c r="H536" i="24"/>
  <c r="F536" i="24"/>
  <c r="L535" i="24"/>
  <c r="J535" i="24"/>
  <c r="H535" i="24"/>
  <c r="F535" i="24"/>
  <c r="L534" i="24"/>
  <c r="J534" i="24"/>
  <c r="H534" i="24"/>
  <c r="F534" i="24"/>
  <c r="L533" i="24"/>
  <c r="J533" i="24"/>
  <c r="H533" i="24"/>
  <c r="F533" i="24"/>
  <c r="L532" i="24"/>
  <c r="J532" i="24"/>
  <c r="H532" i="24"/>
  <c r="F532" i="24"/>
  <c r="L531" i="24"/>
  <c r="J531" i="24"/>
  <c r="H531" i="24"/>
  <c r="F531" i="24"/>
  <c r="L530" i="24"/>
  <c r="J530" i="24"/>
  <c r="H530" i="24"/>
  <c r="F530" i="24"/>
  <c r="L529" i="24"/>
  <c r="J529" i="24"/>
  <c r="H529" i="24"/>
  <c r="F529" i="24"/>
  <c r="L528" i="24"/>
  <c r="J528" i="24"/>
  <c r="H528" i="24"/>
  <c r="F528" i="24"/>
  <c r="L527" i="24"/>
  <c r="J527" i="24"/>
  <c r="H527" i="24"/>
  <c r="F527" i="24"/>
  <c r="L526" i="24"/>
  <c r="J526" i="24"/>
  <c r="H526" i="24"/>
  <c r="F526" i="24"/>
  <c r="L525" i="24"/>
  <c r="J525" i="24"/>
  <c r="H525" i="24"/>
  <c r="F525" i="24"/>
  <c r="L524" i="24"/>
  <c r="J524" i="24"/>
  <c r="H524" i="24"/>
  <c r="F524" i="24"/>
  <c r="L523" i="24"/>
  <c r="J523" i="24"/>
  <c r="H523" i="24"/>
  <c r="F523" i="24"/>
  <c r="L522" i="24"/>
  <c r="J522" i="24"/>
  <c r="H522" i="24"/>
  <c r="F522" i="24"/>
  <c r="L521" i="24"/>
  <c r="J521" i="24"/>
  <c r="H521" i="24"/>
  <c r="F521" i="24"/>
  <c r="L520" i="24"/>
  <c r="J520" i="24"/>
  <c r="H520" i="24"/>
  <c r="F520" i="24"/>
  <c r="L519" i="24"/>
  <c r="J519" i="24"/>
  <c r="H519" i="24"/>
  <c r="F519" i="24"/>
  <c r="L518" i="24"/>
  <c r="J518" i="24"/>
  <c r="H518" i="24"/>
  <c r="F518" i="24"/>
  <c r="L517" i="24"/>
  <c r="J517" i="24"/>
  <c r="H517" i="24"/>
  <c r="F517" i="24"/>
  <c r="L516" i="24"/>
  <c r="J516" i="24"/>
  <c r="H516" i="24"/>
  <c r="F516" i="24"/>
  <c r="L515" i="24"/>
  <c r="J515" i="24"/>
  <c r="H515" i="24"/>
  <c r="F515" i="24"/>
  <c r="L514" i="24"/>
  <c r="J514" i="24"/>
  <c r="H514" i="24"/>
  <c r="F514" i="24"/>
  <c r="L513" i="24"/>
  <c r="J513" i="24"/>
  <c r="H513" i="24"/>
  <c r="F513" i="24"/>
  <c r="L512" i="24"/>
  <c r="J512" i="24"/>
  <c r="H512" i="24"/>
  <c r="F512" i="24"/>
  <c r="L511" i="24"/>
  <c r="J511" i="24"/>
  <c r="H511" i="24"/>
  <c r="F511" i="24"/>
  <c r="L510" i="24"/>
  <c r="J510" i="24"/>
  <c r="H510" i="24"/>
  <c r="F510" i="24"/>
  <c r="L509" i="24"/>
  <c r="J509" i="24"/>
  <c r="H509" i="24"/>
  <c r="F509" i="24"/>
  <c r="L508" i="24"/>
  <c r="J508" i="24"/>
  <c r="H508" i="24"/>
  <c r="F508" i="24"/>
  <c r="L507" i="24"/>
  <c r="J507" i="24"/>
  <c r="H507" i="24"/>
  <c r="F507" i="24"/>
  <c r="L506" i="24"/>
  <c r="J506" i="24"/>
  <c r="H506" i="24"/>
  <c r="F506" i="24"/>
  <c r="L505" i="24"/>
  <c r="J505" i="24"/>
  <c r="H505" i="24"/>
  <c r="F505" i="24"/>
  <c r="L504" i="24"/>
  <c r="J504" i="24"/>
  <c r="H504" i="24"/>
  <c r="F504" i="24"/>
  <c r="L503" i="24"/>
  <c r="J503" i="24"/>
  <c r="H503" i="24"/>
  <c r="F503" i="24"/>
  <c r="L502" i="24"/>
  <c r="J502" i="24"/>
  <c r="H502" i="24"/>
  <c r="F502" i="24"/>
  <c r="L501" i="24"/>
  <c r="J501" i="24"/>
  <c r="H501" i="24"/>
  <c r="F501" i="24"/>
  <c r="L500" i="24"/>
  <c r="J500" i="24"/>
  <c r="H500" i="24"/>
  <c r="F500" i="24"/>
  <c r="L499" i="24"/>
  <c r="J499" i="24"/>
  <c r="H499" i="24"/>
  <c r="F499" i="24"/>
  <c r="L498" i="24"/>
  <c r="J498" i="24"/>
  <c r="H498" i="24"/>
  <c r="F498" i="24"/>
  <c r="L497" i="24"/>
  <c r="J497" i="24"/>
  <c r="H497" i="24"/>
  <c r="F497" i="24"/>
  <c r="L496" i="24"/>
  <c r="J496" i="24"/>
  <c r="H496" i="24"/>
  <c r="F496" i="24"/>
  <c r="L495" i="24"/>
  <c r="J495" i="24"/>
  <c r="H495" i="24"/>
  <c r="F495" i="24"/>
  <c r="L494" i="24"/>
  <c r="J494" i="24"/>
  <c r="H494" i="24"/>
  <c r="F494" i="24"/>
  <c r="L493" i="24"/>
  <c r="J493" i="24"/>
  <c r="H493" i="24"/>
  <c r="F493" i="24"/>
  <c r="L492" i="24"/>
  <c r="J492" i="24"/>
  <c r="H492" i="24"/>
  <c r="F492" i="24"/>
  <c r="L491" i="24"/>
  <c r="J491" i="24"/>
  <c r="H491" i="24"/>
  <c r="F491" i="24"/>
  <c r="L490" i="24"/>
  <c r="J490" i="24"/>
  <c r="H490" i="24"/>
  <c r="F490" i="24"/>
  <c r="L489" i="24"/>
  <c r="J489" i="24"/>
  <c r="H489" i="24"/>
  <c r="F489" i="24"/>
  <c r="L488" i="24"/>
  <c r="J488" i="24"/>
  <c r="H488" i="24"/>
  <c r="F488" i="24"/>
  <c r="L487" i="24"/>
  <c r="J487" i="24"/>
  <c r="H487" i="24"/>
  <c r="F487" i="24"/>
  <c r="L486" i="24"/>
  <c r="J486" i="24"/>
  <c r="H486" i="24"/>
  <c r="F486" i="24"/>
  <c r="L485" i="24"/>
  <c r="J485" i="24"/>
  <c r="H485" i="24"/>
  <c r="F485" i="24"/>
  <c r="L484" i="24"/>
  <c r="J484" i="24"/>
  <c r="H484" i="24"/>
  <c r="F484" i="24"/>
  <c r="L483" i="24"/>
  <c r="J483" i="24"/>
  <c r="H483" i="24"/>
  <c r="F483" i="24"/>
  <c r="L482" i="24"/>
  <c r="J482" i="24"/>
  <c r="H482" i="24"/>
  <c r="F482" i="24"/>
  <c r="L481" i="24"/>
  <c r="J481" i="24"/>
  <c r="H481" i="24"/>
  <c r="F481" i="24"/>
  <c r="L480" i="24"/>
  <c r="J480" i="24"/>
  <c r="H480" i="24"/>
  <c r="F480" i="24"/>
  <c r="L479" i="24"/>
  <c r="J479" i="24"/>
  <c r="H479" i="24"/>
  <c r="F479" i="24"/>
  <c r="L478" i="24"/>
  <c r="J478" i="24"/>
  <c r="H478" i="24"/>
  <c r="F478" i="24"/>
  <c r="L477" i="24"/>
  <c r="J477" i="24"/>
  <c r="H477" i="24"/>
  <c r="F477" i="24"/>
  <c r="L476" i="24"/>
  <c r="J476" i="24"/>
  <c r="H476" i="24"/>
  <c r="F476" i="24"/>
  <c r="L475" i="24"/>
  <c r="J475" i="24"/>
  <c r="H475" i="24"/>
  <c r="F475" i="24"/>
  <c r="L474" i="24"/>
  <c r="J474" i="24"/>
  <c r="H474" i="24"/>
  <c r="F474" i="24"/>
  <c r="L473" i="24"/>
  <c r="J473" i="24"/>
  <c r="H473" i="24"/>
  <c r="F473" i="24"/>
  <c r="L472" i="24"/>
  <c r="J472" i="24"/>
  <c r="H472" i="24"/>
  <c r="F472" i="24"/>
  <c r="L471" i="24"/>
  <c r="J471" i="24"/>
  <c r="H471" i="24"/>
  <c r="F471" i="24"/>
  <c r="L470" i="24"/>
  <c r="J470" i="24"/>
  <c r="H470" i="24"/>
  <c r="F470" i="24"/>
  <c r="L469" i="24"/>
  <c r="J469" i="24"/>
  <c r="H469" i="24"/>
  <c r="F469" i="24"/>
  <c r="L468" i="24"/>
  <c r="J468" i="24"/>
  <c r="H468" i="24"/>
  <c r="F468" i="24"/>
  <c r="L467" i="24"/>
  <c r="J467" i="24"/>
  <c r="H467" i="24"/>
  <c r="F467" i="24"/>
  <c r="L466" i="24"/>
  <c r="J466" i="24"/>
  <c r="H466" i="24"/>
  <c r="F466" i="24"/>
  <c r="L465" i="24"/>
  <c r="J465" i="24"/>
  <c r="H465" i="24"/>
  <c r="F465" i="24"/>
  <c r="L464" i="24"/>
  <c r="J464" i="24"/>
  <c r="H464" i="24"/>
  <c r="F464" i="24"/>
  <c r="L463" i="24"/>
  <c r="J463" i="24"/>
  <c r="H463" i="24"/>
  <c r="F463" i="24"/>
  <c r="L462" i="24"/>
  <c r="J462" i="24"/>
  <c r="H462" i="24"/>
  <c r="F462" i="24"/>
  <c r="L461" i="24"/>
  <c r="J461" i="24"/>
  <c r="H461" i="24"/>
  <c r="F461" i="24"/>
  <c r="L460" i="24"/>
  <c r="J460" i="24"/>
  <c r="H460" i="24"/>
  <c r="F460" i="24"/>
  <c r="L459" i="24"/>
  <c r="J459" i="24"/>
  <c r="H459" i="24"/>
  <c r="F459" i="24"/>
  <c r="L458" i="24"/>
  <c r="J458" i="24"/>
  <c r="H458" i="24"/>
  <c r="F458" i="24"/>
  <c r="L457" i="24"/>
  <c r="J457" i="24"/>
  <c r="H457" i="24"/>
  <c r="F457" i="24"/>
  <c r="L456" i="24"/>
  <c r="J456" i="24"/>
  <c r="H456" i="24"/>
  <c r="F456" i="24"/>
  <c r="L455" i="24"/>
  <c r="J455" i="24"/>
  <c r="H455" i="24"/>
  <c r="F455" i="24"/>
  <c r="L454" i="24"/>
  <c r="J454" i="24"/>
  <c r="H454" i="24"/>
  <c r="F454" i="24"/>
  <c r="L453" i="24"/>
  <c r="J453" i="24"/>
  <c r="H453" i="24"/>
  <c r="F453" i="24"/>
  <c r="L452" i="24"/>
  <c r="J452" i="24"/>
  <c r="H452" i="24"/>
  <c r="F452" i="24"/>
  <c r="L451" i="24"/>
  <c r="J451" i="24"/>
  <c r="H451" i="24"/>
  <c r="F451" i="24"/>
  <c r="L450" i="24"/>
  <c r="J450" i="24"/>
  <c r="H450" i="24"/>
  <c r="F450" i="24"/>
  <c r="L449" i="24"/>
  <c r="J449" i="24"/>
  <c r="H449" i="24"/>
  <c r="F449" i="24"/>
  <c r="L448" i="24"/>
  <c r="J448" i="24"/>
  <c r="H448" i="24"/>
  <c r="F448" i="24"/>
  <c r="L447" i="24"/>
  <c r="J447" i="24"/>
  <c r="H447" i="24"/>
  <c r="F447" i="24"/>
  <c r="L446" i="24"/>
  <c r="J446" i="24"/>
  <c r="H446" i="24"/>
  <c r="F446" i="24"/>
  <c r="L445" i="24"/>
  <c r="J445" i="24"/>
  <c r="H445" i="24"/>
  <c r="F445" i="24"/>
  <c r="L444" i="24"/>
  <c r="J444" i="24"/>
  <c r="H444" i="24"/>
  <c r="F444" i="24"/>
  <c r="L443" i="24"/>
  <c r="J443" i="24"/>
  <c r="H443" i="24"/>
  <c r="F443" i="24"/>
  <c r="L442" i="24"/>
  <c r="J442" i="24"/>
  <c r="H442" i="24"/>
  <c r="F442" i="24"/>
  <c r="L441" i="24"/>
  <c r="J441" i="24"/>
  <c r="H441" i="24"/>
  <c r="F441" i="24"/>
  <c r="L440" i="24"/>
  <c r="J440" i="24"/>
  <c r="H440" i="24"/>
  <c r="F440" i="24"/>
  <c r="L439" i="24"/>
  <c r="J439" i="24"/>
  <c r="H439" i="24"/>
  <c r="F439" i="24"/>
  <c r="L438" i="24"/>
  <c r="J438" i="24"/>
  <c r="H438" i="24"/>
  <c r="F438" i="24"/>
  <c r="L437" i="24"/>
  <c r="J437" i="24"/>
  <c r="H437" i="24"/>
  <c r="F437" i="24"/>
  <c r="L436" i="24"/>
  <c r="J436" i="24"/>
  <c r="H436" i="24"/>
  <c r="F436" i="24"/>
  <c r="L435" i="24"/>
  <c r="J435" i="24"/>
  <c r="H435" i="24"/>
  <c r="F435" i="24"/>
  <c r="L434" i="24"/>
  <c r="J434" i="24"/>
  <c r="H434" i="24"/>
  <c r="F434" i="24"/>
  <c r="L433" i="24"/>
  <c r="J433" i="24"/>
  <c r="H433" i="24"/>
  <c r="F433" i="24"/>
  <c r="L432" i="24"/>
  <c r="J432" i="24"/>
  <c r="H432" i="24"/>
  <c r="F432" i="24"/>
  <c r="L431" i="24"/>
  <c r="J431" i="24"/>
  <c r="H431" i="24"/>
  <c r="F431" i="24"/>
  <c r="L430" i="24"/>
  <c r="J430" i="24"/>
  <c r="H430" i="24"/>
  <c r="F430" i="24"/>
  <c r="L429" i="24"/>
  <c r="J429" i="24"/>
  <c r="H429" i="24"/>
  <c r="F429" i="24"/>
  <c r="L428" i="24"/>
  <c r="J428" i="24"/>
  <c r="H428" i="24"/>
  <c r="F428" i="24"/>
  <c r="L427" i="24"/>
  <c r="J427" i="24"/>
  <c r="H427" i="24"/>
  <c r="F427" i="24"/>
  <c r="L426" i="24"/>
  <c r="J426" i="24"/>
  <c r="H426" i="24"/>
  <c r="F426" i="24"/>
  <c r="L425" i="24"/>
  <c r="J425" i="24"/>
  <c r="H425" i="24"/>
  <c r="F425" i="24"/>
  <c r="L424" i="24"/>
  <c r="J424" i="24"/>
  <c r="H424" i="24"/>
  <c r="F424" i="24"/>
  <c r="L423" i="24"/>
  <c r="J423" i="24"/>
  <c r="H423" i="24"/>
  <c r="F423" i="24"/>
  <c r="L422" i="24"/>
  <c r="J422" i="24"/>
  <c r="H422" i="24"/>
  <c r="F422" i="24"/>
  <c r="L421" i="24"/>
  <c r="J421" i="24"/>
  <c r="H421" i="24"/>
  <c r="F421" i="24"/>
  <c r="L420" i="24"/>
  <c r="J420" i="24"/>
  <c r="H420" i="24"/>
  <c r="F420" i="24"/>
  <c r="L419" i="24"/>
  <c r="J419" i="24"/>
  <c r="H419" i="24"/>
  <c r="F419" i="24"/>
  <c r="L418" i="24"/>
  <c r="J418" i="24"/>
  <c r="H418" i="24"/>
  <c r="F418" i="24"/>
  <c r="L417" i="24"/>
  <c r="J417" i="24"/>
  <c r="H417" i="24"/>
  <c r="F417" i="24"/>
  <c r="L416" i="24"/>
  <c r="J416" i="24"/>
  <c r="H416" i="24"/>
  <c r="F416" i="24"/>
  <c r="L415" i="24"/>
  <c r="J415" i="24"/>
  <c r="H415" i="24"/>
  <c r="F415" i="24"/>
  <c r="L414" i="24"/>
  <c r="J414" i="24"/>
  <c r="H414" i="24"/>
  <c r="F414" i="24"/>
  <c r="L413" i="24"/>
  <c r="J413" i="24"/>
  <c r="H413" i="24"/>
  <c r="F413" i="24"/>
  <c r="L412" i="24"/>
  <c r="J412" i="24"/>
  <c r="H412" i="24"/>
  <c r="F412" i="24"/>
  <c r="L411" i="24"/>
  <c r="J411" i="24"/>
  <c r="H411" i="24"/>
  <c r="F411" i="24"/>
  <c r="L410" i="24"/>
  <c r="J410" i="24"/>
  <c r="H410" i="24"/>
  <c r="F410" i="24"/>
  <c r="L409" i="24"/>
  <c r="J409" i="24"/>
  <c r="H409" i="24"/>
  <c r="F409" i="24"/>
  <c r="L408" i="24"/>
  <c r="J408" i="24"/>
  <c r="H408" i="24"/>
  <c r="F408" i="24"/>
  <c r="L407" i="24"/>
  <c r="J407" i="24"/>
  <c r="H407" i="24"/>
  <c r="F407" i="24"/>
  <c r="L406" i="24"/>
  <c r="J406" i="24"/>
  <c r="H406" i="24"/>
  <c r="F406" i="24"/>
  <c r="L405" i="24"/>
  <c r="J405" i="24"/>
  <c r="H405" i="24"/>
  <c r="F405" i="24"/>
  <c r="L404" i="24"/>
  <c r="J404" i="24"/>
  <c r="H404" i="24"/>
  <c r="F404" i="24"/>
  <c r="L403" i="24"/>
  <c r="J403" i="24"/>
  <c r="H403" i="24"/>
  <c r="F403" i="24"/>
  <c r="L402" i="24"/>
  <c r="J402" i="24"/>
  <c r="H402" i="24"/>
  <c r="F402" i="24"/>
  <c r="L401" i="24"/>
  <c r="J401" i="24"/>
  <c r="H401" i="24"/>
  <c r="F401" i="24"/>
  <c r="L400" i="24"/>
  <c r="J400" i="24"/>
  <c r="H400" i="24"/>
  <c r="F400" i="24"/>
  <c r="L399" i="24"/>
  <c r="J399" i="24"/>
  <c r="H399" i="24"/>
  <c r="F399" i="24"/>
  <c r="L398" i="24"/>
  <c r="J398" i="24"/>
  <c r="H398" i="24"/>
  <c r="F398" i="24"/>
  <c r="L397" i="24"/>
  <c r="J397" i="24"/>
  <c r="H397" i="24"/>
  <c r="F397" i="24"/>
  <c r="L396" i="24"/>
  <c r="J396" i="24"/>
  <c r="H396" i="24"/>
  <c r="F396" i="24"/>
  <c r="L395" i="24"/>
  <c r="J395" i="24"/>
  <c r="H395" i="24"/>
  <c r="F395" i="24"/>
  <c r="L394" i="24"/>
  <c r="J394" i="24"/>
  <c r="H394" i="24"/>
  <c r="F394" i="24"/>
  <c r="L393" i="24"/>
  <c r="J393" i="24"/>
  <c r="H393" i="24"/>
  <c r="F393" i="24"/>
  <c r="L392" i="24"/>
  <c r="J392" i="24"/>
  <c r="H392" i="24"/>
  <c r="F392" i="24"/>
  <c r="L391" i="24"/>
  <c r="J391" i="24"/>
  <c r="H391" i="24"/>
  <c r="F391" i="24"/>
  <c r="L390" i="24"/>
  <c r="J390" i="24"/>
  <c r="H390" i="24"/>
  <c r="F390" i="24"/>
  <c r="L389" i="24"/>
  <c r="J389" i="24"/>
  <c r="H389" i="24"/>
  <c r="F389" i="24"/>
  <c r="L388" i="24"/>
  <c r="J388" i="24"/>
  <c r="H388" i="24"/>
  <c r="F388" i="24"/>
  <c r="L387" i="24"/>
  <c r="J387" i="24"/>
  <c r="H387" i="24"/>
  <c r="F387" i="24"/>
  <c r="L386" i="24"/>
  <c r="J386" i="24"/>
  <c r="H386" i="24"/>
  <c r="F386" i="24"/>
  <c r="L385" i="24"/>
  <c r="J385" i="24"/>
  <c r="H385" i="24"/>
  <c r="F385" i="24"/>
  <c r="L384" i="24"/>
  <c r="J384" i="24"/>
  <c r="H384" i="24"/>
  <c r="F384" i="24"/>
  <c r="L383" i="24"/>
  <c r="J383" i="24"/>
  <c r="H383" i="24"/>
  <c r="F383" i="24"/>
  <c r="L382" i="24"/>
  <c r="J382" i="24"/>
  <c r="H382" i="24"/>
  <c r="F382" i="24"/>
  <c r="L381" i="24"/>
  <c r="J381" i="24"/>
  <c r="H381" i="24"/>
  <c r="F381" i="24"/>
  <c r="L380" i="24"/>
  <c r="J380" i="24"/>
  <c r="H380" i="24"/>
  <c r="F380" i="24"/>
  <c r="L379" i="24"/>
  <c r="J379" i="24"/>
  <c r="H379" i="24"/>
  <c r="F379" i="24"/>
  <c r="L378" i="24"/>
  <c r="J378" i="24"/>
  <c r="H378" i="24"/>
  <c r="F378" i="24"/>
  <c r="L377" i="24"/>
  <c r="J377" i="24"/>
  <c r="H377" i="24"/>
  <c r="F377" i="24"/>
  <c r="L376" i="24"/>
  <c r="J376" i="24"/>
  <c r="H376" i="24"/>
  <c r="F376" i="24"/>
  <c r="L375" i="24"/>
  <c r="J375" i="24"/>
  <c r="H375" i="24"/>
  <c r="F375" i="24"/>
  <c r="L374" i="24"/>
  <c r="J374" i="24"/>
  <c r="H374" i="24"/>
  <c r="F374" i="24"/>
  <c r="L373" i="24"/>
  <c r="J373" i="24"/>
  <c r="H373" i="24"/>
  <c r="F373" i="24"/>
  <c r="L372" i="24"/>
  <c r="J372" i="24"/>
  <c r="H372" i="24"/>
  <c r="F372" i="24"/>
  <c r="L371" i="24"/>
  <c r="J371" i="24"/>
  <c r="H371" i="24"/>
  <c r="F371" i="24"/>
  <c r="L370" i="24"/>
  <c r="J370" i="24"/>
  <c r="H370" i="24"/>
  <c r="F370" i="24"/>
  <c r="L369" i="24"/>
  <c r="J369" i="24"/>
  <c r="H369" i="24"/>
  <c r="F369" i="24"/>
  <c r="L368" i="24"/>
  <c r="J368" i="24"/>
  <c r="H368" i="24"/>
  <c r="F368" i="24"/>
  <c r="L367" i="24"/>
  <c r="J367" i="24"/>
  <c r="H367" i="24"/>
  <c r="F367" i="24"/>
  <c r="L366" i="24"/>
  <c r="J366" i="24"/>
  <c r="H366" i="24"/>
  <c r="F366" i="24"/>
  <c r="L365" i="24"/>
  <c r="J365" i="24"/>
  <c r="H365" i="24"/>
  <c r="F365" i="24"/>
  <c r="L364" i="24"/>
  <c r="J364" i="24"/>
  <c r="H364" i="24"/>
  <c r="F364" i="24"/>
  <c r="L363" i="24"/>
  <c r="J363" i="24"/>
  <c r="H363" i="24"/>
  <c r="F363" i="24"/>
  <c r="L362" i="24"/>
  <c r="J362" i="24"/>
  <c r="H362" i="24"/>
  <c r="F362" i="24"/>
  <c r="L361" i="24"/>
  <c r="J361" i="24"/>
  <c r="H361" i="24"/>
  <c r="F361" i="24"/>
  <c r="L360" i="24"/>
  <c r="J360" i="24"/>
  <c r="H360" i="24"/>
  <c r="F360" i="24"/>
  <c r="L359" i="24"/>
  <c r="J359" i="24"/>
  <c r="H359" i="24"/>
  <c r="F359" i="24"/>
  <c r="L358" i="24"/>
  <c r="J358" i="24"/>
  <c r="H358" i="24"/>
  <c r="F358" i="24"/>
  <c r="L357" i="24"/>
  <c r="J357" i="24"/>
  <c r="H357" i="24"/>
  <c r="F357" i="24"/>
  <c r="L356" i="24"/>
  <c r="J356" i="24"/>
  <c r="H356" i="24"/>
  <c r="F356" i="24"/>
  <c r="L355" i="24"/>
  <c r="J355" i="24"/>
  <c r="H355" i="24"/>
  <c r="F355" i="24"/>
  <c r="L354" i="24"/>
  <c r="J354" i="24"/>
  <c r="H354" i="24"/>
  <c r="F354" i="24"/>
  <c r="L353" i="24"/>
  <c r="J353" i="24"/>
  <c r="H353" i="24"/>
  <c r="F353" i="24"/>
  <c r="L352" i="24"/>
  <c r="J352" i="24"/>
  <c r="H352" i="24"/>
  <c r="F352" i="24"/>
  <c r="L351" i="24"/>
  <c r="J351" i="24"/>
  <c r="H351" i="24"/>
  <c r="F351" i="24"/>
  <c r="L350" i="24"/>
  <c r="J350" i="24"/>
  <c r="H350" i="24"/>
  <c r="F350" i="24"/>
  <c r="L349" i="24"/>
  <c r="J349" i="24"/>
  <c r="H349" i="24"/>
  <c r="F349" i="24"/>
  <c r="L348" i="24"/>
  <c r="J348" i="24"/>
  <c r="H348" i="24"/>
  <c r="F348" i="24"/>
  <c r="L347" i="24"/>
  <c r="J347" i="24"/>
  <c r="H347" i="24"/>
  <c r="F347" i="24"/>
  <c r="L346" i="24"/>
  <c r="J346" i="24"/>
  <c r="H346" i="24"/>
  <c r="F346" i="24"/>
  <c r="L345" i="24"/>
  <c r="J345" i="24"/>
  <c r="H345" i="24"/>
  <c r="F345" i="24"/>
  <c r="L344" i="24"/>
  <c r="J344" i="24"/>
  <c r="H344" i="24"/>
  <c r="F344" i="24"/>
  <c r="L343" i="24"/>
  <c r="J343" i="24"/>
  <c r="H343" i="24"/>
  <c r="F343" i="24"/>
  <c r="L342" i="24"/>
  <c r="J342" i="24"/>
  <c r="H342" i="24"/>
  <c r="F342" i="24"/>
  <c r="L341" i="24"/>
  <c r="J341" i="24"/>
  <c r="H341" i="24"/>
  <c r="F341" i="24"/>
  <c r="L340" i="24"/>
  <c r="J340" i="24"/>
  <c r="H340" i="24"/>
  <c r="F340" i="24"/>
  <c r="L339" i="24"/>
  <c r="J339" i="24"/>
  <c r="H339" i="24"/>
  <c r="F339" i="24"/>
  <c r="L338" i="24"/>
  <c r="J338" i="24"/>
  <c r="H338" i="24"/>
  <c r="F338" i="24"/>
  <c r="L337" i="24"/>
  <c r="J337" i="24"/>
  <c r="H337" i="24"/>
  <c r="F337" i="24"/>
  <c r="L336" i="24"/>
  <c r="J336" i="24"/>
  <c r="H336" i="24"/>
  <c r="F336" i="24"/>
  <c r="L335" i="24"/>
  <c r="J335" i="24"/>
  <c r="H335" i="24"/>
  <c r="F335" i="24"/>
  <c r="L334" i="24"/>
  <c r="J334" i="24"/>
  <c r="H334" i="24"/>
  <c r="F334" i="24"/>
  <c r="L333" i="24"/>
  <c r="J333" i="24"/>
  <c r="H333" i="24"/>
  <c r="F333" i="24"/>
  <c r="L332" i="24"/>
  <c r="J332" i="24"/>
  <c r="H332" i="24"/>
  <c r="F332" i="24"/>
  <c r="L331" i="24"/>
  <c r="J331" i="24"/>
  <c r="H331" i="24"/>
  <c r="F331" i="24"/>
  <c r="L330" i="24"/>
  <c r="J330" i="24"/>
  <c r="H330" i="24"/>
  <c r="F330" i="24"/>
  <c r="L329" i="24"/>
  <c r="J329" i="24"/>
  <c r="H329" i="24"/>
  <c r="F329" i="24"/>
  <c r="L328" i="24"/>
  <c r="J328" i="24"/>
  <c r="H328" i="24"/>
  <c r="F328" i="24"/>
  <c r="L327" i="24"/>
  <c r="J327" i="24"/>
  <c r="H327" i="24"/>
  <c r="F327" i="24"/>
  <c r="L326" i="24"/>
  <c r="J326" i="24"/>
  <c r="H326" i="24"/>
  <c r="F326" i="24"/>
  <c r="L325" i="24"/>
  <c r="J325" i="24"/>
  <c r="H325" i="24"/>
  <c r="F325" i="24"/>
  <c r="L324" i="24"/>
  <c r="J324" i="24"/>
  <c r="H324" i="24"/>
  <c r="F324" i="24"/>
  <c r="L323" i="24"/>
  <c r="J323" i="24"/>
  <c r="H323" i="24"/>
  <c r="F323" i="24"/>
  <c r="L322" i="24"/>
  <c r="J322" i="24"/>
  <c r="H322" i="24"/>
  <c r="F322" i="24"/>
  <c r="L321" i="24"/>
  <c r="J321" i="24"/>
  <c r="H321" i="24"/>
  <c r="F321" i="24"/>
  <c r="L320" i="24"/>
  <c r="J320" i="24"/>
  <c r="H320" i="24"/>
  <c r="F320" i="24"/>
  <c r="L319" i="24"/>
  <c r="J319" i="24"/>
  <c r="H319" i="24"/>
  <c r="F319" i="24"/>
  <c r="L318" i="24"/>
  <c r="J318" i="24"/>
  <c r="H318" i="24"/>
  <c r="F318" i="24"/>
  <c r="L317" i="24"/>
  <c r="J317" i="24"/>
  <c r="H317" i="24"/>
  <c r="F317" i="24"/>
  <c r="L316" i="24"/>
  <c r="J316" i="24"/>
  <c r="H316" i="24"/>
  <c r="F316" i="24"/>
  <c r="L315" i="24"/>
  <c r="J315" i="24"/>
  <c r="H315" i="24"/>
  <c r="F315" i="24"/>
  <c r="L314" i="24"/>
  <c r="J314" i="24"/>
  <c r="H314" i="24"/>
  <c r="F314" i="24"/>
  <c r="L313" i="24"/>
  <c r="J313" i="24"/>
  <c r="H313" i="24"/>
  <c r="F313" i="24"/>
  <c r="L312" i="24"/>
  <c r="J312" i="24"/>
  <c r="H312" i="24"/>
  <c r="F312" i="24"/>
  <c r="L311" i="24"/>
  <c r="J311" i="24"/>
  <c r="H311" i="24"/>
  <c r="F311" i="24"/>
  <c r="L310" i="24"/>
  <c r="J310" i="24"/>
  <c r="H310" i="24"/>
  <c r="F310" i="24"/>
  <c r="L309" i="24"/>
  <c r="J309" i="24"/>
  <c r="H309" i="24"/>
  <c r="F309" i="24"/>
  <c r="L308" i="24"/>
  <c r="J308" i="24"/>
  <c r="H308" i="24"/>
  <c r="F308" i="24"/>
  <c r="L307" i="24"/>
  <c r="J307" i="24"/>
  <c r="H307" i="24"/>
  <c r="F307" i="24"/>
  <c r="L306" i="24"/>
  <c r="J306" i="24"/>
  <c r="H306" i="24"/>
  <c r="F306" i="24"/>
  <c r="L305" i="24"/>
  <c r="J305" i="24"/>
  <c r="H305" i="24"/>
  <c r="F305" i="24"/>
  <c r="L304" i="24"/>
  <c r="J304" i="24"/>
  <c r="H304" i="24"/>
  <c r="F304" i="24"/>
  <c r="L303" i="24"/>
  <c r="J303" i="24"/>
  <c r="H303" i="24"/>
  <c r="F303" i="24"/>
  <c r="L302" i="24"/>
  <c r="J302" i="24"/>
  <c r="H302" i="24"/>
  <c r="F302" i="24"/>
  <c r="L301" i="24"/>
  <c r="J301" i="24"/>
  <c r="H301" i="24"/>
  <c r="F301" i="24"/>
  <c r="L300" i="24"/>
  <c r="J300" i="24"/>
  <c r="H300" i="24"/>
  <c r="F300" i="24"/>
  <c r="L299" i="24"/>
  <c r="J299" i="24"/>
  <c r="H299" i="24"/>
  <c r="F299" i="24"/>
  <c r="L298" i="24"/>
  <c r="J298" i="24"/>
  <c r="H298" i="24"/>
  <c r="F298" i="24"/>
  <c r="L297" i="24"/>
  <c r="J297" i="24"/>
  <c r="H297" i="24"/>
  <c r="F297" i="24"/>
  <c r="L296" i="24"/>
  <c r="J296" i="24"/>
  <c r="H296" i="24"/>
  <c r="F296" i="24"/>
  <c r="L295" i="24"/>
  <c r="J295" i="24"/>
  <c r="H295" i="24"/>
  <c r="F295" i="24"/>
  <c r="L294" i="24"/>
  <c r="J294" i="24"/>
  <c r="H294" i="24"/>
  <c r="F294" i="24"/>
  <c r="L293" i="24"/>
  <c r="J293" i="24"/>
  <c r="H293" i="24"/>
  <c r="F293" i="24"/>
  <c r="L292" i="24"/>
  <c r="J292" i="24"/>
  <c r="H292" i="24"/>
  <c r="F292" i="24"/>
  <c r="L291" i="24"/>
  <c r="J291" i="24"/>
  <c r="H291" i="24"/>
  <c r="F291" i="24"/>
  <c r="L290" i="24"/>
  <c r="J290" i="24"/>
  <c r="H290" i="24"/>
  <c r="F290" i="24"/>
  <c r="L289" i="24"/>
  <c r="J289" i="24"/>
  <c r="H289" i="24"/>
  <c r="F289" i="24"/>
  <c r="L288" i="24"/>
  <c r="J288" i="24"/>
  <c r="H288" i="24"/>
  <c r="F288" i="24"/>
  <c r="L287" i="24"/>
  <c r="J287" i="24"/>
  <c r="H287" i="24"/>
  <c r="F287" i="24"/>
  <c r="L286" i="24"/>
  <c r="J286" i="24"/>
  <c r="H286" i="24"/>
  <c r="F286" i="24"/>
  <c r="L285" i="24"/>
  <c r="J285" i="24"/>
  <c r="H285" i="24"/>
  <c r="F285" i="24"/>
  <c r="L284" i="24"/>
  <c r="J284" i="24"/>
  <c r="H284" i="24"/>
  <c r="F284" i="24"/>
  <c r="L283" i="24"/>
  <c r="J283" i="24"/>
  <c r="H283" i="24"/>
  <c r="F283" i="24"/>
  <c r="L282" i="24"/>
  <c r="J282" i="24"/>
  <c r="H282" i="24"/>
  <c r="F282" i="24"/>
  <c r="L281" i="24"/>
  <c r="J281" i="24"/>
  <c r="H281" i="24"/>
  <c r="F281" i="24"/>
  <c r="L280" i="24"/>
  <c r="J280" i="24"/>
  <c r="H280" i="24"/>
  <c r="F280" i="24"/>
  <c r="L279" i="24"/>
  <c r="J279" i="24"/>
  <c r="H279" i="24"/>
  <c r="F279" i="24"/>
  <c r="L278" i="24"/>
  <c r="J278" i="24"/>
  <c r="H278" i="24"/>
  <c r="F278" i="24"/>
  <c r="L277" i="24"/>
  <c r="J277" i="24"/>
  <c r="H277" i="24"/>
  <c r="F277" i="24"/>
  <c r="L276" i="24"/>
  <c r="J276" i="24"/>
  <c r="H276" i="24"/>
  <c r="F276" i="24"/>
  <c r="L275" i="24"/>
  <c r="J275" i="24"/>
  <c r="H275" i="24"/>
  <c r="F275" i="24"/>
  <c r="L274" i="24"/>
  <c r="J274" i="24"/>
  <c r="H274" i="24"/>
  <c r="F274" i="24"/>
  <c r="L273" i="24"/>
  <c r="J273" i="24"/>
  <c r="H273" i="24"/>
  <c r="F273" i="24"/>
  <c r="L272" i="24"/>
  <c r="J272" i="24"/>
  <c r="H272" i="24"/>
  <c r="F272" i="24"/>
  <c r="L271" i="24"/>
  <c r="J271" i="24"/>
  <c r="H271" i="24"/>
  <c r="F271" i="24"/>
  <c r="L270" i="24"/>
  <c r="J270" i="24"/>
  <c r="H270" i="24"/>
  <c r="F270" i="24"/>
  <c r="L269" i="24"/>
  <c r="J269" i="24"/>
  <c r="H269" i="24"/>
  <c r="F269" i="24"/>
  <c r="L268" i="24"/>
  <c r="J268" i="24"/>
  <c r="H268" i="24"/>
  <c r="F268" i="24"/>
  <c r="L267" i="24"/>
  <c r="J267" i="24"/>
  <c r="H267" i="24"/>
  <c r="F267" i="24"/>
  <c r="L266" i="24"/>
  <c r="J266" i="24"/>
  <c r="H266" i="24"/>
  <c r="F266" i="24"/>
  <c r="L265" i="24"/>
  <c r="J265" i="24"/>
  <c r="H265" i="24"/>
  <c r="F265" i="24"/>
  <c r="L264" i="24"/>
  <c r="J264" i="24"/>
  <c r="H264" i="24"/>
  <c r="F264" i="24"/>
  <c r="L263" i="24"/>
  <c r="J263" i="24"/>
  <c r="H263" i="24"/>
  <c r="F263" i="24"/>
  <c r="L262" i="24"/>
  <c r="J262" i="24"/>
  <c r="H262" i="24"/>
  <c r="F262" i="24"/>
  <c r="L261" i="24"/>
  <c r="J261" i="24"/>
  <c r="H261" i="24"/>
  <c r="F261" i="24"/>
  <c r="L260" i="24"/>
  <c r="J260" i="24"/>
  <c r="H260" i="24"/>
  <c r="F260" i="24"/>
  <c r="L259" i="24"/>
  <c r="J259" i="24"/>
  <c r="H259" i="24"/>
  <c r="F259" i="24"/>
  <c r="L258" i="24"/>
  <c r="J258" i="24"/>
  <c r="H258" i="24"/>
  <c r="F258" i="24"/>
  <c r="L257" i="24"/>
  <c r="J257" i="24"/>
  <c r="H257" i="24"/>
  <c r="F257" i="24"/>
  <c r="L256" i="24"/>
  <c r="J256" i="24"/>
  <c r="H256" i="24"/>
  <c r="F256" i="24"/>
  <c r="L255" i="24"/>
  <c r="J255" i="24"/>
  <c r="H255" i="24"/>
  <c r="F255" i="24"/>
  <c r="L254" i="24"/>
  <c r="J254" i="24"/>
  <c r="H254" i="24"/>
  <c r="F254" i="24"/>
  <c r="L253" i="24"/>
  <c r="J253" i="24"/>
  <c r="H253" i="24"/>
  <c r="F253" i="24"/>
  <c r="L252" i="24"/>
  <c r="J252" i="24"/>
  <c r="H252" i="24"/>
  <c r="F252" i="24"/>
  <c r="L251" i="24"/>
  <c r="J251" i="24"/>
  <c r="H251" i="24"/>
  <c r="F251" i="24"/>
  <c r="L250" i="24"/>
  <c r="J250" i="24"/>
  <c r="H250" i="24"/>
  <c r="F250" i="24"/>
  <c r="L249" i="24"/>
  <c r="J249" i="24"/>
  <c r="H249" i="24"/>
  <c r="F249" i="24"/>
  <c r="L248" i="24"/>
  <c r="J248" i="24"/>
  <c r="H248" i="24"/>
  <c r="F248" i="24"/>
  <c r="L247" i="24"/>
  <c r="J247" i="24"/>
  <c r="H247" i="24"/>
  <c r="F247" i="24"/>
  <c r="L246" i="24"/>
  <c r="J246" i="24"/>
  <c r="H246" i="24"/>
  <c r="F246" i="24"/>
  <c r="L245" i="24"/>
  <c r="J245" i="24"/>
  <c r="H245" i="24"/>
  <c r="F245" i="24"/>
  <c r="L244" i="24"/>
  <c r="J244" i="24"/>
  <c r="H244" i="24"/>
  <c r="F244" i="24"/>
  <c r="L243" i="24"/>
  <c r="J243" i="24"/>
  <c r="H243" i="24"/>
  <c r="F243" i="24"/>
  <c r="L242" i="24"/>
  <c r="J242" i="24"/>
  <c r="H242" i="24"/>
  <c r="F242" i="24"/>
  <c r="L241" i="24"/>
  <c r="J241" i="24"/>
  <c r="H241" i="24"/>
  <c r="F241" i="24"/>
  <c r="L240" i="24"/>
  <c r="J240" i="24"/>
  <c r="H240" i="24"/>
  <c r="F240" i="24"/>
  <c r="L239" i="24"/>
  <c r="J239" i="24"/>
  <c r="H239" i="24"/>
  <c r="F239" i="24"/>
  <c r="L238" i="24"/>
  <c r="J238" i="24"/>
  <c r="H238" i="24"/>
  <c r="F238" i="24"/>
  <c r="L237" i="24"/>
  <c r="J237" i="24"/>
  <c r="H237" i="24"/>
  <c r="F237" i="24"/>
  <c r="L236" i="24"/>
  <c r="J236" i="24"/>
  <c r="H236" i="24"/>
  <c r="F236" i="24"/>
  <c r="L235" i="24"/>
  <c r="J235" i="24"/>
  <c r="H235" i="24"/>
  <c r="F235" i="24"/>
  <c r="L234" i="24"/>
  <c r="J234" i="24"/>
  <c r="H234" i="24"/>
  <c r="F234" i="24"/>
  <c r="L233" i="24"/>
  <c r="J233" i="24"/>
  <c r="H233" i="24"/>
  <c r="F233" i="24"/>
  <c r="L232" i="24"/>
  <c r="J232" i="24"/>
  <c r="H232" i="24"/>
  <c r="F232" i="24"/>
  <c r="L231" i="24"/>
  <c r="J231" i="24"/>
  <c r="H231" i="24"/>
  <c r="F231" i="24"/>
  <c r="L230" i="24"/>
  <c r="J230" i="24"/>
  <c r="H230" i="24"/>
  <c r="F230" i="24"/>
  <c r="L229" i="24"/>
  <c r="J229" i="24"/>
  <c r="H229" i="24"/>
  <c r="F229" i="24"/>
  <c r="L228" i="24"/>
  <c r="J228" i="24"/>
  <c r="H228" i="24"/>
  <c r="F228" i="24"/>
  <c r="L227" i="24"/>
  <c r="J227" i="24"/>
  <c r="H227" i="24"/>
  <c r="F227" i="24"/>
  <c r="L226" i="24"/>
  <c r="J226" i="24"/>
  <c r="H226" i="24"/>
  <c r="F226" i="24"/>
  <c r="L225" i="24"/>
  <c r="J225" i="24"/>
  <c r="H225" i="24"/>
  <c r="F225" i="24"/>
  <c r="L224" i="24"/>
  <c r="J224" i="24"/>
  <c r="H224" i="24"/>
  <c r="F224" i="24"/>
  <c r="L223" i="24"/>
  <c r="J223" i="24"/>
  <c r="H223" i="24"/>
  <c r="F223" i="24"/>
  <c r="L222" i="24"/>
  <c r="J222" i="24"/>
  <c r="H222" i="24"/>
  <c r="F222" i="24"/>
  <c r="L221" i="24"/>
  <c r="J221" i="24"/>
  <c r="H221" i="24"/>
  <c r="F221" i="24"/>
  <c r="L220" i="24"/>
  <c r="J220" i="24"/>
  <c r="H220" i="24"/>
  <c r="F220" i="24"/>
  <c r="L219" i="24"/>
  <c r="J219" i="24"/>
  <c r="H219" i="24"/>
  <c r="F219" i="24"/>
  <c r="L218" i="24"/>
  <c r="J218" i="24"/>
  <c r="H218" i="24"/>
  <c r="F218" i="24"/>
  <c r="L217" i="24"/>
  <c r="J217" i="24"/>
  <c r="H217" i="24"/>
  <c r="F217" i="24"/>
  <c r="L216" i="24"/>
  <c r="J216" i="24"/>
  <c r="H216" i="24"/>
  <c r="F216" i="24"/>
  <c r="L215" i="24"/>
  <c r="J215" i="24"/>
  <c r="H215" i="24"/>
  <c r="F215" i="24"/>
  <c r="L214" i="24"/>
  <c r="J214" i="24"/>
  <c r="H214" i="24"/>
  <c r="F214" i="24"/>
  <c r="L213" i="24"/>
  <c r="J213" i="24"/>
  <c r="H213" i="24"/>
  <c r="F213" i="24"/>
  <c r="L212" i="24"/>
  <c r="J212" i="24"/>
  <c r="H212" i="24"/>
  <c r="F212" i="24"/>
  <c r="L211" i="24"/>
  <c r="J211" i="24"/>
  <c r="H211" i="24"/>
  <c r="F211" i="24"/>
  <c r="L210" i="24"/>
  <c r="J210" i="24"/>
  <c r="H210" i="24"/>
  <c r="F210" i="24"/>
  <c r="L209" i="24"/>
  <c r="J209" i="24"/>
  <c r="H209" i="24"/>
  <c r="F209" i="24"/>
  <c r="L208" i="24"/>
  <c r="J208" i="24"/>
  <c r="H208" i="24"/>
  <c r="F208" i="24"/>
  <c r="L207" i="24"/>
  <c r="J207" i="24"/>
  <c r="H207" i="24"/>
  <c r="F207" i="24"/>
  <c r="L206" i="24"/>
  <c r="J206" i="24"/>
  <c r="H206" i="24"/>
  <c r="F206" i="24"/>
  <c r="L205" i="24"/>
  <c r="J205" i="24"/>
  <c r="H205" i="24"/>
  <c r="F205" i="24"/>
  <c r="L204" i="24"/>
  <c r="J204" i="24"/>
  <c r="H204" i="24"/>
  <c r="F204" i="24"/>
  <c r="L203" i="24"/>
  <c r="J203" i="24"/>
  <c r="H203" i="24"/>
  <c r="F203" i="24"/>
  <c r="L202" i="24"/>
  <c r="J202" i="24"/>
  <c r="H202" i="24"/>
  <c r="F202" i="24"/>
  <c r="L201" i="24"/>
  <c r="J201" i="24"/>
  <c r="H201" i="24"/>
  <c r="F201" i="24"/>
  <c r="L200" i="24"/>
  <c r="J200" i="24"/>
  <c r="H200" i="24"/>
  <c r="F200" i="24"/>
  <c r="L199" i="24"/>
  <c r="J199" i="24"/>
  <c r="H199" i="24"/>
  <c r="F199" i="24"/>
  <c r="L198" i="24"/>
  <c r="J198" i="24"/>
  <c r="H198" i="24"/>
  <c r="F198" i="24"/>
  <c r="L197" i="24"/>
  <c r="J197" i="24"/>
  <c r="H197" i="24"/>
  <c r="F197" i="24"/>
  <c r="L196" i="24"/>
  <c r="J196" i="24"/>
  <c r="H196" i="24"/>
  <c r="F196" i="24"/>
  <c r="L195" i="24"/>
  <c r="J195" i="24"/>
  <c r="H195" i="24"/>
  <c r="F195" i="24"/>
  <c r="L194" i="24"/>
  <c r="J194" i="24"/>
  <c r="H194" i="24"/>
  <c r="F194" i="24"/>
  <c r="L193" i="24"/>
  <c r="J193" i="24"/>
  <c r="H193" i="24"/>
  <c r="F193" i="24"/>
  <c r="L192" i="24"/>
  <c r="J192" i="24"/>
  <c r="H192" i="24"/>
  <c r="F192" i="24"/>
  <c r="L191" i="24"/>
  <c r="J191" i="24"/>
  <c r="H191" i="24"/>
  <c r="F191" i="24"/>
  <c r="L190" i="24"/>
  <c r="J190" i="24"/>
  <c r="H190" i="24"/>
  <c r="F190" i="24"/>
  <c r="L189" i="24"/>
  <c r="J189" i="24"/>
  <c r="H189" i="24"/>
  <c r="F189" i="24"/>
  <c r="L188" i="24"/>
  <c r="J188" i="24"/>
  <c r="H188" i="24"/>
  <c r="F188" i="24"/>
  <c r="L187" i="24"/>
  <c r="J187" i="24"/>
  <c r="H187" i="24"/>
  <c r="F187" i="24"/>
  <c r="L186" i="24"/>
  <c r="J186" i="24"/>
  <c r="H186" i="24"/>
  <c r="F186" i="24"/>
  <c r="L185" i="24"/>
  <c r="J185" i="24"/>
  <c r="H185" i="24"/>
  <c r="F185" i="24"/>
  <c r="L184" i="24"/>
  <c r="J184" i="24"/>
  <c r="H184" i="24"/>
  <c r="F184" i="24"/>
  <c r="L183" i="24"/>
  <c r="J183" i="24"/>
  <c r="H183" i="24"/>
  <c r="F183" i="24"/>
  <c r="L182" i="24"/>
  <c r="J182" i="24"/>
  <c r="H182" i="24"/>
  <c r="F182" i="24"/>
  <c r="L181" i="24"/>
  <c r="J181" i="24"/>
  <c r="H181" i="24"/>
  <c r="F181" i="24"/>
  <c r="L180" i="24"/>
  <c r="J180" i="24"/>
  <c r="H180" i="24"/>
  <c r="F180" i="24"/>
  <c r="L179" i="24"/>
  <c r="J179" i="24"/>
  <c r="H179" i="24"/>
  <c r="F179" i="24"/>
  <c r="L178" i="24"/>
  <c r="J178" i="24"/>
  <c r="H178" i="24"/>
  <c r="F178" i="24"/>
  <c r="L177" i="24"/>
  <c r="J177" i="24"/>
  <c r="H177" i="24"/>
  <c r="F177" i="24"/>
  <c r="L176" i="24"/>
  <c r="J176" i="24"/>
  <c r="H176" i="24"/>
  <c r="F176" i="24"/>
  <c r="L175" i="24"/>
  <c r="J175" i="24"/>
  <c r="H175" i="24"/>
  <c r="F175" i="24"/>
  <c r="L174" i="24"/>
  <c r="J174" i="24"/>
  <c r="H174" i="24"/>
  <c r="F174" i="24"/>
  <c r="L173" i="24"/>
  <c r="J173" i="24"/>
  <c r="H173" i="24"/>
  <c r="F173" i="24"/>
  <c r="L172" i="24"/>
  <c r="J172" i="24"/>
  <c r="H172" i="24"/>
  <c r="F172" i="24"/>
  <c r="L171" i="24"/>
  <c r="J171" i="24"/>
  <c r="H171" i="24"/>
  <c r="F171" i="24"/>
  <c r="L170" i="24"/>
  <c r="J170" i="24"/>
  <c r="H170" i="24"/>
  <c r="F170" i="24"/>
  <c r="L169" i="24"/>
  <c r="J169" i="24"/>
  <c r="H169" i="24"/>
  <c r="F169" i="24"/>
  <c r="L168" i="24"/>
  <c r="J168" i="24"/>
  <c r="H168" i="24"/>
  <c r="F168" i="24"/>
  <c r="L167" i="24"/>
  <c r="J167" i="24"/>
  <c r="H167" i="24"/>
  <c r="F167" i="24"/>
  <c r="L166" i="24"/>
  <c r="J166" i="24"/>
  <c r="H166" i="24"/>
  <c r="F166" i="24"/>
  <c r="L165" i="24"/>
  <c r="J165" i="24"/>
  <c r="H165" i="24"/>
  <c r="F165" i="24"/>
  <c r="L164" i="24"/>
  <c r="J164" i="24"/>
  <c r="H164" i="24"/>
  <c r="F164" i="24"/>
  <c r="L163" i="24"/>
  <c r="J163" i="24"/>
  <c r="H163" i="24"/>
  <c r="F163" i="24"/>
  <c r="L162" i="24"/>
  <c r="J162" i="24"/>
  <c r="H162" i="24"/>
  <c r="F162" i="24"/>
  <c r="L161" i="24"/>
  <c r="J161" i="24"/>
  <c r="H161" i="24"/>
  <c r="F161" i="24"/>
  <c r="L160" i="24"/>
  <c r="J160" i="24"/>
  <c r="H160" i="24"/>
  <c r="F160" i="24"/>
  <c r="L159" i="24"/>
  <c r="J159" i="24"/>
  <c r="H159" i="24"/>
  <c r="F159" i="24"/>
  <c r="L158" i="24"/>
  <c r="J158" i="24"/>
  <c r="H158" i="24"/>
  <c r="F158" i="24"/>
  <c r="L157" i="24"/>
  <c r="J157" i="24"/>
  <c r="H157" i="24"/>
  <c r="F157" i="24"/>
  <c r="L156" i="24"/>
  <c r="J156" i="24"/>
  <c r="H156" i="24"/>
  <c r="F156" i="24"/>
  <c r="L155" i="24"/>
  <c r="J155" i="24"/>
  <c r="H155" i="24"/>
  <c r="F155" i="24"/>
  <c r="L154" i="24"/>
  <c r="J154" i="24"/>
  <c r="H154" i="24"/>
  <c r="F154" i="24"/>
  <c r="L153" i="24"/>
  <c r="J153" i="24"/>
  <c r="H153" i="24"/>
  <c r="F153" i="24"/>
  <c r="L152" i="24"/>
  <c r="J152" i="24"/>
  <c r="H152" i="24"/>
  <c r="F152" i="24"/>
  <c r="L151" i="24"/>
  <c r="J151" i="24"/>
  <c r="H151" i="24"/>
  <c r="F151" i="24"/>
  <c r="L150" i="24"/>
  <c r="J150" i="24"/>
  <c r="H150" i="24"/>
  <c r="F150" i="24"/>
  <c r="L149" i="24"/>
  <c r="J149" i="24"/>
  <c r="H149" i="24"/>
  <c r="F149" i="24"/>
  <c r="L148" i="24"/>
  <c r="J148" i="24"/>
  <c r="H148" i="24"/>
  <c r="F148" i="24"/>
  <c r="L147" i="24"/>
  <c r="J147" i="24"/>
  <c r="H147" i="24"/>
  <c r="F147" i="24"/>
  <c r="L146" i="24"/>
  <c r="J146" i="24"/>
  <c r="H146" i="24"/>
  <c r="F146" i="24"/>
  <c r="L145" i="24"/>
  <c r="J145" i="24"/>
  <c r="H145" i="24"/>
  <c r="F145" i="24"/>
  <c r="L144" i="24"/>
  <c r="J144" i="24"/>
  <c r="H144" i="24"/>
  <c r="F144" i="24"/>
  <c r="L143" i="24"/>
  <c r="J143" i="24"/>
  <c r="H143" i="24"/>
  <c r="F143" i="24"/>
  <c r="L142" i="24"/>
  <c r="J142" i="24"/>
  <c r="H142" i="24"/>
  <c r="F142" i="24"/>
  <c r="L141" i="24"/>
  <c r="J141" i="24"/>
  <c r="H141" i="24"/>
  <c r="F141" i="24"/>
  <c r="L140" i="24"/>
  <c r="J140" i="24"/>
  <c r="H140" i="24"/>
  <c r="F140" i="24"/>
  <c r="L139" i="24"/>
  <c r="J139" i="24"/>
  <c r="H139" i="24"/>
  <c r="F139" i="24"/>
  <c r="L138" i="24"/>
  <c r="J138" i="24"/>
  <c r="H138" i="24"/>
  <c r="F138" i="24"/>
  <c r="L137" i="24"/>
  <c r="J137" i="24"/>
  <c r="H137" i="24"/>
  <c r="F137" i="24"/>
  <c r="L136" i="24"/>
  <c r="J136" i="24"/>
  <c r="H136" i="24"/>
  <c r="F136" i="24"/>
  <c r="L135" i="24"/>
  <c r="J135" i="24"/>
  <c r="H135" i="24"/>
  <c r="F135" i="24"/>
  <c r="L134" i="24"/>
  <c r="J134" i="24"/>
  <c r="H134" i="24"/>
  <c r="F134" i="24"/>
  <c r="L133" i="24"/>
  <c r="J133" i="24"/>
  <c r="H133" i="24"/>
  <c r="F133" i="24"/>
  <c r="L132" i="24"/>
  <c r="J132" i="24"/>
  <c r="H132" i="24"/>
  <c r="F132" i="24"/>
  <c r="L131" i="24"/>
  <c r="J131" i="24"/>
  <c r="H131" i="24"/>
  <c r="F131" i="24"/>
  <c r="L130" i="24"/>
  <c r="J130" i="24"/>
  <c r="H130" i="24"/>
  <c r="F130" i="24"/>
  <c r="L129" i="24"/>
  <c r="J129" i="24"/>
  <c r="H129" i="24"/>
  <c r="F129" i="24"/>
  <c r="L128" i="24"/>
  <c r="J128" i="24"/>
  <c r="H128" i="24"/>
  <c r="F128" i="24"/>
  <c r="L127" i="24"/>
  <c r="J127" i="24"/>
  <c r="H127" i="24"/>
  <c r="F127" i="24"/>
  <c r="L126" i="24"/>
  <c r="J126" i="24"/>
  <c r="H126" i="24"/>
  <c r="F126" i="24"/>
  <c r="L125" i="24"/>
  <c r="J125" i="24"/>
  <c r="H125" i="24"/>
  <c r="F125" i="24"/>
  <c r="L124" i="24"/>
  <c r="J124" i="24"/>
  <c r="H124" i="24"/>
  <c r="F124" i="24"/>
  <c r="L123" i="24"/>
  <c r="J123" i="24"/>
  <c r="H123" i="24"/>
  <c r="F123" i="24"/>
  <c r="L122" i="24"/>
  <c r="J122" i="24"/>
  <c r="H122" i="24"/>
  <c r="F122" i="24"/>
  <c r="L121" i="24"/>
  <c r="J121" i="24"/>
  <c r="H121" i="24"/>
  <c r="F121" i="24"/>
  <c r="L120" i="24"/>
  <c r="J120" i="24"/>
  <c r="H120" i="24"/>
  <c r="F120" i="24"/>
  <c r="L119" i="24"/>
  <c r="J119" i="24"/>
  <c r="H119" i="24"/>
  <c r="F119" i="24"/>
  <c r="L118" i="24"/>
  <c r="J118" i="24"/>
  <c r="H118" i="24"/>
  <c r="F118" i="24"/>
  <c r="L117" i="24"/>
  <c r="J117" i="24"/>
  <c r="H117" i="24"/>
  <c r="F117" i="24"/>
  <c r="L116" i="24"/>
  <c r="J116" i="24"/>
  <c r="H116" i="24"/>
  <c r="F116" i="24"/>
  <c r="L115" i="24"/>
  <c r="J115" i="24"/>
  <c r="H115" i="24"/>
  <c r="F115" i="24"/>
  <c r="L114" i="24"/>
  <c r="J114" i="24"/>
  <c r="H114" i="24"/>
  <c r="F114" i="24"/>
  <c r="L113" i="24"/>
  <c r="J113" i="24"/>
  <c r="H113" i="24"/>
  <c r="F113" i="24"/>
  <c r="L112" i="24"/>
  <c r="J112" i="24"/>
  <c r="H112" i="24"/>
  <c r="F112" i="24"/>
  <c r="L111" i="24"/>
  <c r="J111" i="24"/>
  <c r="H111" i="24"/>
  <c r="F111" i="24"/>
  <c r="L110" i="24"/>
  <c r="J110" i="24"/>
  <c r="H110" i="24"/>
  <c r="F110" i="24"/>
  <c r="L109" i="24"/>
  <c r="J109" i="24"/>
  <c r="H109" i="24"/>
  <c r="F109" i="24"/>
  <c r="L108" i="24"/>
  <c r="J108" i="24"/>
  <c r="H108" i="24"/>
  <c r="F108" i="24"/>
  <c r="L107" i="24"/>
  <c r="J107" i="24"/>
  <c r="H107" i="24"/>
  <c r="F107" i="24"/>
  <c r="L106" i="24"/>
  <c r="J106" i="24"/>
  <c r="H106" i="24"/>
  <c r="F106" i="24"/>
  <c r="L105" i="24"/>
  <c r="J105" i="24"/>
  <c r="H105" i="24"/>
  <c r="F105" i="24"/>
  <c r="L104" i="24"/>
  <c r="J104" i="24"/>
  <c r="H104" i="24"/>
  <c r="F104" i="24"/>
  <c r="L103" i="24"/>
  <c r="J103" i="24"/>
  <c r="H103" i="24"/>
  <c r="F103" i="24"/>
  <c r="L102" i="24"/>
  <c r="J102" i="24"/>
  <c r="H102" i="24"/>
  <c r="F102" i="24"/>
  <c r="L101" i="24"/>
  <c r="J101" i="24"/>
  <c r="H101" i="24"/>
  <c r="F101" i="24"/>
  <c r="L100" i="24"/>
  <c r="J100" i="24"/>
  <c r="H100" i="24"/>
  <c r="F100" i="24"/>
  <c r="L99" i="24"/>
  <c r="J99" i="24"/>
  <c r="H99" i="24"/>
  <c r="F99" i="24"/>
  <c r="L98" i="24"/>
  <c r="J98" i="24"/>
  <c r="H98" i="24"/>
  <c r="F98" i="24"/>
  <c r="L97" i="24"/>
  <c r="J97" i="24"/>
  <c r="H97" i="24"/>
  <c r="F97" i="24"/>
  <c r="L96" i="24"/>
  <c r="J96" i="24"/>
  <c r="H96" i="24"/>
  <c r="F96" i="24"/>
  <c r="L95" i="24"/>
  <c r="J95" i="24"/>
  <c r="H95" i="24"/>
  <c r="F95" i="24"/>
  <c r="L94" i="24"/>
  <c r="J94" i="24"/>
  <c r="H94" i="24"/>
  <c r="F94" i="24"/>
  <c r="L93" i="24"/>
  <c r="J93" i="24"/>
  <c r="H93" i="24"/>
  <c r="F93" i="24"/>
  <c r="L92" i="24"/>
  <c r="J92" i="24"/>
  <c r="H92" i="24"/>
  <c r="F92" i="24"/>
  <c r="L91" i="24"/>
  <c r="J91" i="24"/>
  <c r="H91" i="24"/>
  <c r="F91" i="24"/>
  <c r="L90" i="24"/>
  <c r="J90" i="24"/>
  <c r="H90" i="24"/>
  <c r="F90" i="24"/>
  <c r="L89" i="24"/>
  <c r="J89" i="24"/>
  <c r="H89" i="24"/>
  <c r="F89" i="24"/>
  <c r="L88" i="24"/>
  <c r="J88" i="24"/>
  <c r="H88" i="24"/>
  <c r="F88" i="24"/>
  <c r="L87" i="24"/>
  <c r="J87" i="24"/>
  <c r="H87" i="24"/>
  <c r="F87" i="24"/>
  <c r="L86" i="24"/>
  <c r="J86" i="24"/>
  <c r="H86" i="24"/>
  <c r="F86" i="24"/>
  <c r="L85" i="24"/>
  <c r="J85" i="24"/>
  <c r="H85" i="24"/>
  <c r="F85" i="24"/>
  <c r="L84" i="24"/>
  <c r="J84" i="24"/>
  <c r="H84" i="24"/>
  <c r="F84" i="24"/>
  <c r="L83" i="24"/>
  <c r="J83" i="24"/>
  <c r="H83" i="24"/>
  <c r="F83" i="24"/>
  <c r="L82" i="24"/>
  <c r="J82" i="24"/>
  <c r="H82" i="24"/>
  <c r="F82" i="24"/>
  <c r="L81" i="24"/>
  <c r="J81" i="24"/>
  <c r="H81" i="24"/>
  <c r="F81" i="24"/>
  <c r="L80" i="24"/>
  <c r="J80" i="24"/>
  <c r="H80" i="24"/>
  <c r="F80" i="24"/>
  <c r="L79" i="24"/>
  <c r="J79" i="24"/>
  <c r="H79" i="24"/>
  <c r="F79" i="24"/>
  <c r="L78" i="24"/>
  <c r="J78" i="24"/>
  <c r="H78" i="24"/>
  <c r="F78" i="24"/>
  <c r="L77" i="24"/>
  <c r="J77" i="24"/>
  <c r="H77" i="24"/>
  <c r="F77" i="24"/>
  <c r="L76" i="24"/>
  <c r="J76" i="24"/>
  <c r="H76" i="24"/>
  <c r="F76" i="24"/>
  <c r="L75" i="24"/>
  <c r="J75" i="24"/>
  <c r="H75" i="24"/>
  <c r="F75" i="24"/>
  <c r="L74" i="24"/>
  <c r="J74" i="24"/>
  <c r="H74" i="24"/>
  <c r="F74" i="24"/>
  <c r="L73" i="24"/>
  <c r="J73" i="24"/>
  <c r="H73" i="24"/>
  <c r="F73" i="24"/>
  <c r="L72" i="24"/>
  <c r="J72" i="24"/>
  <c r="H72" i="24"/>
  <c r="F72" i="24"/>
  <c r="L71" i="24"/>
  <c r="J71" i="24"/>
  <c r="H71" i="24"/>
  <c r="F71" i="24"/>
  <c r="L70" i="24"/>
  <c r="J70" i="24"/>
  <c r="H70" i="24"/>
  <c r="F70" i="24"/>
  <c r="L69" i="24"/>
  <c r="J69" i="24"/>
  <c r="H69" i="24"/>
  <c r="F69" i="24"/>
  <c r="L68" i="24"/>
  <c r="J68" i="24"/>
  <c r="H68" i="24"/>
  <c r="F68" i="24"/>
  <c r="L67" i="24"/>
  <c r="J67" i="24"/>
  <c r="H67" i="24"/>
  <c r="F67" i="24"/>
  <c r="L66" i="24"/>
  <c r="J66" i="24"/>
  <c r="H66" i="24"/>
  <c r="F66" i="24"/>
  <c r="L65" i="24"/>
  <c r="J65" i="24"/>
  <c r="H65" i="24"/>
  <c r="F65" i="24"/>
  <c r="L64" i="24"/>
  <c r="J64" i="24"/>
  <c r="H64" i="24"/>
  <c r="F64" i="24"/>
  <c r="L63" i="24"/>
  <c r="J63" i="24"/>
  <c r="H63" i="24"/>
  <c r="F63" i="24"/>
  <c r="L62" i="24"/>
  <c r="J62" i="24"/>
  <c r="H62" i="24"/>
  <c r="F62" i="24"/>
  <c r="L61" i="24"/>
  <c r="J61" i="24"/>
  <c r="H61" i="24"/>
  <c r="F61" i="24"/>
  <c r="L60" i="24"/>
  <c r="J60" i="24"/>
  <c r="H60" i="24"/>
  <c r="F60" i="24"/>
  <c r="L59" i="24"/>
  <c r="J59" i="24"/>
  <c r="H59" i="24"/>
  <c r="F59" i="24"/>
  <c r="L58" i="24"/>
  <c r="J58" i="24"/>
  <c r="H58" i="24"/>
  <c r="F58" i="24"/>
  <c r="L57" i="24"/>
  <c r="J57" i="24"/>
  <c r="H57" i="24"/>
  <c r="F57" i="24"/>
  <c r="L56" i="24"/>
  <c r="J56" i="24"/>
  <c r="H56" i="24"/>
  <c r="F56" i="24"/>
  <c r="L55" i="24"/>
  <c r="J55" i="24"/>
  <c r="H55" i="24"/>
  <c r="F55" i="24"/>
  <c r="L54" i="24"/>
  <c r="J54" i="24"/>
  <c r="H54" i="24"/>
  <c r="F54" i="24"/>
  <c r="L53" i="24"/>
  <c r="J53" i="24"/>
  <c r="H53" i="24"/>
  <c r="F53" i="24"/>
  <c r="L52" i="24"/>
  <c r="J52" i="24"/>
  <c r="H52" i="24"/>
  <c r="F52" i="24"/>
  <c r="L51" i="24"/>
  <c r="J51" i="24"/>
  <c r="H51" i="24"/>
  <c r="F51" i="24"/>
  <c r="L50" i="24"/>
  <c r="J50" i="24"/>
  <c r="H50" i="24"/>
  <c r="F50" i="24"/>
  <c r="L49" i="24"/>
  <c r="J49" i="24"/>
  <c r="H49" i="24"/>
  <c r="F49" i="24"/>
  <c r="L48" i="24"/>
  <c r="J48" i="24"/>
  <c r="H48" i="24"/>
  <c r="F48" i="24"/>
  <c r="L47" i="24"/>
  <c r="J47" i="24"/>
  <c r="H47" i="24"/>
  <c r="F47" i="24"/>
  <c r="L46" i="24"/>
  <c r="J46" i="24"/>
  <c r="H46" i="24"/>
  <c r="F46" i="24"/>
  <c r="L45" i="24"/>
  <c r="J45" i="24"/>
  <c r="H45" i="24"/>
  <c r="F45" i="24"/>
  <c r="L44" i="24"/>
  <c r="J44" i="24"/>
  <c r="H44" i="24"/>
  <c r="F44" i="24"/>
  <c r="L43" i="24"/>
  <c r="J43" i="24"/>
  <c r="H43" i="24"/>
  <c r="F43" i="24"/>
  <c r="L42" i="24"/>
  <c r="J42" i="24"/>
  <c r="H42" i="24"/>
  <c r="F42" i="24"/>
  <c r="L41" i="24"/>
  <c r="J41" i="24"/>
  <c r="H41" i="24"/>
  <c r="F41" i="24"/>
  <c r="L40" i="24"/>
  <c r="J40" i="24"/>
  <c r="H40" i="24"/>
  <c r="F40" i="24"/>
  <c r="L39" i="24"/>
  <c r="J39" i="24"/>
  <c r="H39" i="24"/>
  <c r="F39" i="24"/>
  <c r="L38" i="24"/>
  <c r="J38" i="24"/>
  <c r="H38" i="24"/>
  <c r="F38" i="24"/>
  <c r="L37" i="24"/>
  <c r="J37" i="24"/>
  <c r="H37" i="24"/>
  <c r="F37" i="24"/>
  <c r="L36" i="24"/>
  <c r="J36" i="24"/>
  <c r="H36" i="24"/>
  <c r="F36" i="24"/>
  <c r="L35" i="24"/>
  <c r="J35" i="24"/>
  <c r="H35" i="24"/>
  <c r="F35" i="24"/>
  <c r="L34" i="24"/>
  <c r="J34" i="24"/>
  <c r="H34" i="24"/>
  <c r="F34" i="24"/>
  <c r="L33" i="24"/>
  <c r="J33" i="24"/>
  <c r="H33" i="24"/>
  <c r="F33" i="24"/>
  <c r="L32" i="24"/>
  <c r="J32" i="24"/>
  <c r="H32" i="24"/>
  <c r="F32" i="24"/>
  <c r="L31" i="24"/>
  <c r="J31" i="24"/>
  <c r="H31" i="24"/>
  <c r="F31" i="24"/>
  <c r="L30" i="24"/>
  <c r="J30" i="24"/>
  <c r="H30" i="24"/>
  <c r="F30" i="24"/>
  <c r="L29" i="24"/>
  <c r="J29" i="24"/>
  <c r="H29" i="24"/>
  <c r="F29" i="24"/>
  <c r="L28" i="24"/>
  <c r="J28" i="24"/>
  <c r="H28" i="24"/>
  <c r="F28" i="24"/>
  <c r="L27" i="24"/>
  <c r="J27" i="24"/>
  <c r="H27" i="24"/>
  <c r="F27" i="24"/>
  <c r="L26" i="24"/>
  <c r="J26" i="24"/>
  <c r="H26" i="24"/>
  <c r="F26" i="24"/>
  <c r="L25" i="24"/>
  <c r="J25" i="24"/>
  <c r="H25" i="24"/>
  <c r="F25" i="24"/>
  <c r="L24" i="24"/>
  <c r="J24" i="24"/>
  <c r="H24" i="24"/>
  <c r="F24" i="24"/>
  <c r="L23" i="24"/>
  <c r="J23" i="24"/>
  <c r="H23" i="24"/>
  <c r="F23" i="24"/>
  <c r="L22" i="24"/>
  <c r="J22" i="24"/>
  <c r="H22" i="24"/>
  <c r="F22" i="24"/>
  <c r="L21" i="24"/>
  <c r="J21" i="24"/>
  <c r="H21" i="24"/>
  <c r="F21" i="24"/>
  <c r="L20" i="24"/>
  <c r="J20" i="24"/>
  <c r="H20" i="24"/>
  <c r="F20" i="24"/>
  <c r="L19" i="24"/>
  <c r="J19" i="24"/>
  <c r="H19" i="24"/>
  <c r="F19" i="24"/>
  <c r="L18" i="24"/>
  <c r="J18" i="24"/>
  <c r="H18" i="24"/>
  <c r="F18" i="24"/>
  <c r="L17" i="24"/>
  <c r="J17" i="24"/>
  <c r="H17" i="24"/>
  <c r="F17" i="24"/>
  <c r="L16" i="24"/>
  <c r="J16" i="24"/>
  <c r="H16" i="24"/>
  <c r="F16" i="24"/>
  <c r="L15" i="24"/>
  <c r="J15" i="24"/>
  <c r="H15" i="24"/>
  <c r="F15" i="24"/>
  <c r="L14" i="24"/>
  <c r="J14" i="24"/>
  <c r="H14" i="24"/>
  <c r="F14" i="24"/>
  <c r="L13" i="24"/>
  <c r="J13" i="24"/>
  <c r="H13" i="24"/>
  <c r="F13" i="24"/>
  <c r="L12" i="24"/>
  <c r="J12" i="24"/>
  <c r="H12" i="24"/>
  <c r="F12" i="24"/>
  <c r="L11" i="24"/>
  <c r="J11" i="24"/>
  <c r="H11" i="24"/>
  <c r="F11" i="24"/>
  <c r="L10" i="24"/>
  <c r="J10" i="24"/>
  <c r="H10" i="24"/>
  <c r="F10" i="24"/>
  <c r="L9" i="24"/>
  <c r="J9" i="24"/>
  <c r="H9" i="24"/>
  <c r="F9" i="24"/>
  <c r="L8" i="24"/>
  <c r="J8" i="24"/>
  <c r="H8" i="24"/>
  <c r="F8" i="24"/>
  <c r="L7" i="24"/>
  <c r="J7" i="24"/>
  <c r="H7" i="24"/>
  <c r="F7" i="24"/>
  <c r="L6" i="24"/>
  <c r="J6" i="24"/>
  <c r="H6" i="24"/>
  <c r="F6" i="24"/>
  <c r="L5" i="24"/>
  <c r="J5" i="24"/>
  <c r="H5" i="24"/>
  <c r="F5" i="24"/>
  <c r="L4" i="24"/>
  <c r="J4" i="24"/>
  <c r="H4" i="24"/>
  <c r="F4" i="24"/>
  <c r="L3" i="24"/>
  <c r="K3" i="24" s="1"/>
  <c r="K4" i="24" s="1"/>
  <c r="K5" i="24" s="1"/>
  <c r="K6" i="24" s="1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24" i="24" s="1"/>
  <c r="K25" i="24" s="1"/>
  <c r="K26" i="24" s="1"/>
  <c r="K27" i="24" s="1"/>
  <c r="K28" i="24" s="1"/>
  <c r="K29" i="24" s="1"/>
  <c r="K30" i="24" s="1"/>
  <c r="K31" i="24" s="1"/>
  <c r="K32" i="24" s="1"/>
  <c r="K33" i="24" s="1"/>
  <c r="K34" i="24" s="1"/>
  <c r="K35" i="24" s="1"/>
  <c r="K36" i="24" s="1"/>
  <c r="K37" i="24" s="1"/>
  <c r="K38" i="24" s="1"/>
  <c r="K39" i="24" s="1"/>
  <c r="K40" i="24" s="1"/>
  <c r="K41" i="24" s="1"/>
  <c r="K42" i="24" s="1"/>
  <c r="K43" i="24" s="1"/>
  <c r="K44" i="24" s="1"/>
  <c r="K45" i="24" s="1"/>
  <c r="K46" i="24" s="1"/>
  <c r="K47" i="24" s="1"/>
  <c r="K48" i="24" s="1"/>
  <c r="K49" i="24" s="1"/>
  <c r="K50" i="24" s="1"/>
  <c r="K51" i="24" s="1"/>
  <c r="K52" i="24" s="1"/>
  <c r="K53" i="24" s="1"/>
  <c r="K54" i="24" s="1"/>
  <c r="K55" i="24" s="1"/>
  <c r="K56" i="24" s="1"/>
  <c r="K57" i="24" s="1"/>
  <c r="K58" i="24" s="1"/>
  <c r="K59" i="24" s="1"/>
  <c r="K60" i="24" s="1"/>
  <c r="K61" i="24" s="1"/>
  <c r="K62" i="24" s="1"/>
  <c r="K63" i="24" s="1"/>
  <c r="K64" i="24" s="1"/>
  <c r="K65" i="24" s="1"/>
  <c r="K66" i="24" s="1"/>
  <c r="K67" i="24" s="1"/>
  <c r="K68" i="24" s="1"/>
  <c r="K69" i="24" s="1"/>
  <c r="K70" i="24" s="1"/>
  <c r="K71" i="24" s="1"/>
  <c r="K72" i="24" s="1"/>
  <c r="K73" i="24" s="1"/>
  <c r="K74" i="24" s="1"/>
  <c r="K75" i="24" s="1"/>
  <c r="K76" i="24" s="1"/>
  <c r="K77" i="24" s="1"/>
  <c r="K78" i="24" s="1"/>
  <c r="K79" i="24" s="1"/>
  <c r="K80" i="24" s="1"/>
  <c r="K81" i="24" s="1"/>
  <c r="K82" i="24" s="1"/>
  <c r="K83" i="24" s="1"/>
  <c r="K84" i="24" s="1"/>
  <c r="K85" i="24" s="1"/>
  <c r="K86" i="24" s="1"/>
  <c r="K87" i="24" s="1"/>
  <c r="K88" i="24" s="1"/>
  <c r="K89" i="24" s="1"/>
  <c r="K90" i="24" s="1"/>
  <c r="K91" i="24" s="1"/>
  <c r="K92" i="24" s="1"/>
  <c r="K93" i="24" s="1"/>
  <c r="K94" i="24" s="1"/>
  <c r="K95" i="24" s="1"/>
  <c r="K96" i="24" s="1"/>
  <c r="K97" i="24" s="1"/>
  <c r="K98" i="24" s="1"/>
  <c r="K99" i="24" s="1"/>
  <c r="K100" i="24" s="1"/>
  <c r="K101" i="24" s="1"/>
  <c r="K102" i="24" s="1"/>
  <c r="K103" i="24" s="1"/>
  <c r="K104" i="24" s="1"/>
  <c r="K105" i="24" s="1"/>
  <c r="K106" i="24" s="1"/>
  <c r="K107" i="24" s="1"/>
  <c r="K108" i="24" s="1"/>
  <c r="K109" i="24" s="1"/>
  <c r="K110" i="24" s="1"/>
  <c r="K111" i="24" s="1"/>
  <c r="K112" i="24" s="1"/>
  <c r="K113" i="24" s="1"/>
  <c r="K114" i="24" s="1"/>
  <c r="K115" i="24" s="1"/>
  <c r="K116" i="24" s="1"/>
  <c r="K117" i="24" s="1"/>
  <c r="K118" i="24" s="1"/>
  <c r="K119" i="24" s="1"/>
  <c r="K120" i="24" s="1"/>
  <c r="K121" i="24" s="1"/>
  <c r="K122" i="24" s="1"/>
  <c r="K123" i="24" s="1"/>
  <c r="K124" i="24" s="1"/>
  <c r="K125" i="24" s="1"/>
  <c r="K126" i="24" s="1"/>
  <c r="K127" i="24" s="1"/>
  <c r="K128" i="24" s="1"/>
  <c r="K129" i="24" s="1"/>
  <c r="K130" i="24" s="1"/>
  <c r="K131" i="24" s="1"/>
  <c r="K132" i="24" s="1"/>
  <c r="K133" i="24" s="1"/>
  <c r="K134" i="24" s="1"/>
  <c r="K135" i="24" s="1"/>
  <c r="K136" i="24" s="1"/>
  <c r="K137" i="24" s="1"/>
  <c r="K138" i="24" s="1"/>
  <c r="K139" i="24" s="1"/>
  <c r="K140" i="24" s="1"/>
  <c r="K141" i="24" s="1"/>
  <c r="K142" i="24" s="1"/>
  <c r="K143" i="24" s="1"/>
  <c r="K144" i="24" s="1"/>
  <c r="K145" i="24" s="1"/>
  <c r="K146" i="24" s="1"/>
  <c r="K147" i="24" s="1"/>
  <c r="K148" i="24" s="1"/>
  <c r="K149" i="24" s="1"/>
  <c r="K150" i="24" s="1"/>
  <c r="K151" i="24" s="1"/>
  <c r="K152" i="24" s="1"/>
  <c r="K153" i="24" s="1"/>
  <c r="K154" i="24" s="1"/>
  <c r="K155" i="24" s="1"/>
  <c r="K156" i="24" s="1"/>
  <c r="K157" i="24" s="1"/>
  <c r="K158" i="24" s="1"/>
  <c r="K159" i="24" s="1"/>
  <c r="K160" i="24" s="1"/>
  <c r="K161" i="24" s="1"/>
  <c r="K162" i="24" s="1"/>
  <c r="K163" i="24" s="1"/>
  <c r="K164" i="24" s="1"/>
  <c r="K165" i="24" s="1"/>
  <c r="K166" i="24" s="1"/>
  <c r="K167" i="24" s="1"/>
  <c r="K168" i="24" s="1"/>
  <c r="K169" i="24" s="1"/>
  <c r="K170" i="24" s="1"/>
  <c r="K171" i="24" s="1"/>
  <c r="K172" i="24" s="1"/>
  <c r="K173" i="24" s="1"/>
  <c r="K174" i="24" s="1"/>
  <c r="K175" i="24" s="1"/>
  <c r="K176" i="24" s="1"/>
  <c r="K177" i="24" s="1"/>
  <c r="K178" i="24" s="1"/>
  <c r="K179" i="24" s="1"/>
  <c r="K180" i="24" s="1"/>
  <c r="K181" i="24" s="1"/>
  <c r="K182" i="24" s="1"/>
  <c r="K183" i="24" s="1"/>
  <c r="K184" i="24" s="1"/>
  <c r="K185" i="24" s="1"/>
  <c r="K186" i="24" s="1"/>
  <c r="K187" i="24" s="1"/>
  <c r="K188" i="24" s="1"/>
  <c r="K189" i="24" s="1"/>
  <c r="K190" i="24" s="1"/>
  <c r="K191" i="24" s="1"/>
  <c r="K192" i="24" s="1"/>
  <c r="K193" i="24" s="1"/>
  <c r="K194" i="24" s="1"/>
  <c r="K195" i="24" s="1"/>
  <c r="K196" i="24" s="1"/>
  <c r="K197" i="24" s="1"/>
  <c r="K198" i="24" s="1"/>
  <c r="K199" i="24" s="1"/>
  <c r="K200" i="24" s="1"/>
  <c r="K201" i="24" s="1"/>
  <c r="K202" i="24" s="1"/>
  <c r="K203" i="24" s="1"/>
  <c r="K204" i="24" s="1"/>
  <c r="K205" i="24" s="1"/>
  <c r="K206" i="24" s="1"/>
  <c r="K207" i="24" s="1"/>
  <c r="K208" i="24" s="1"/>
  <c r="K209" i="24" s="1"/>
  <c r="K210" i="24" s="1"/>
  <c r="K211" i="24" s="1"/>
  <c r="K212" i="24" s="1"/>
  <c r="K213" i="24" s="1"/>
  <c r="K214" i="24" s="1"/>
  <c r="K215" i="24" s="1"/>
  <c r="K216" i="24" s="1"/>
  <c r="K217" i="24" s="1"/>
  <c r="K218" i="24" s="1"/>
  <c r="K219" i="24" s="1"/>
  <c r="K220" i="24" s="1"/>
  <c r="K221" i="24" s="1"/>
  <c r="K222" i="24" s="1"/>
  <c r="K223" i="24" s="1"/>
  <c r="K224" i="24" s="1"/>
  <c r="K225" i="24" s="1"/>
  <c r="K226" i="24" s="1"/>
  <c r="K227" i="24" s="1"/>
  <c r="K228" i="24" s="1"/>
  <c r="K229" i="24" s="1"/>
  <c r="K230" i="24" s="1"/>
  <c r="K231" i="24" s="1"/>
  <c r="K232" i="24" s="1"/>
  <c r="K233" i="24" s="1"/>
  <c r="K234" i="24" s="1"/>
  <c r="K235" i="24" s="1"/>
  <c r="K236" i="24" s="1"/>
  <c r="K237" i="24" s="1"/>
  <c r="K238" i="24" s="1"/>
  <c r="K239" i="24" s="1"/>
  <c r="K240" i="24" s="1"/>
  <c r="K241" i="24" s="1"/>
  <c r="K242" i="24" s="1"/>
  <c r="K243" i="24" s="1"/>
  <c r="K244" i="24" s="1"/>
  <c r="K245" i="24" s="1"/>
  <c r="K246" i="24" s="1"/>
  <c r="K247" i="24" s="1"/>
  <c r="K248" i="24" s="1"/>
  <c r="K249" i="24" s="1"/>
  <c r="K250" i="24" s="1"/>
  <c r="K251" i="24" s="1"/>
  <c r="K252" i="24" s="1"/>
  <c r="K253" i="24" s="1"/>
  <c r="K254" i="24" s="1"/>
  <c r="K255" i="24" s="1"/>
  <c r="K256" i="24" s="1"/>
  <c r="K257" i="24" s="1"/>
  <c r="K258" i="24" s="1"/>
  <c r="K259" i="24" s="1"/>
  <c r="K260" i="24" s="1"/>
  <c r="K261" i="24" s="1"/>
  <c r="K262" i="24" s="1"/>
  <c r="K263" i="24" s="1"/>
  <c r="K264" i="24" s="1"/>
  <c r="K265" i="24" s="1"/>
  <c r="K266" i="24" s="1"/>
  <c r="K267" i="24" s="1"/>
  <c r="K268" i="24" s="1"/>
  <c r="K269" i="24" s="1"/>
  <c r="K270" i="24" s="1"/>
  <c r="K271" i="24" s="1"/>
  <c r="K272" i="24" s="1"/>
  <c r="K273" i="24" s="1"/>
  <c r="K274" i="24" s="1"/>
  <c r="K275" i="24" s="1"/>
  <c r="K276" i="24" s="1"/>
  <c r="K277" i="24" s="1"/>
  <c r="K278" i="24" s="1"/>
  <c r="K279" i="24" s="1"/>
  <c r="K280" i="24" s="1"/>
  <c r="K281" i="24" s="1"/>
  <c r="K282" i="24" s="1"/>
  <c r="K283" i="24" s="1"/>
  <c r="K284" i="24" s="1"/>
  <c r="K285" i="24" s="1"/>
  <c r="K286" i="24" s="1"/>
  <c r="K287" i="24" s="1"/>
  <c r="K288" i="24" s="1"/>
  <c r="K289" i="24" s="1"/>
  <c r="K290" i="24" s="1"/>
  <c r="K291" i="24" s="1"/>
  <c r="K292" i="24" s="1"/>
  <c r="K293" i="24" s="1"/>
  <c r="K294" i="24" s="1"/>
  <c r="K295" i="24" s="1"/>
  <c r="K296" i="24" s="1"/>
  <c r="K297" i="24" s="1"/>
  <c r="K298" i="24" s="1"/>
  <c r="K299" i="24" s="1"/>
  <c r="K300" i="24" s="1"/>
  <c r="K301" i="24" s="1"/>
  <c r="K302" i="24" s="1"/>
  <c r="K303" i="24" s="1"/>
  <c r="K304" i="24" s="1"/>
  <c r="K305" i="24" s="1"/>
  <c r="K306" i="24" s="1"/>
  <c r="K307" i="24" s="1"/>
  <c r="K308" i="24" s="1"/>
  <c r="K309" i="24" s="1"/>
  <c r="K310" i="24" s="1"/>
  <c r="K311" i="24" s="1"/>
  <c r="K312" i="24" s="1"/>
  <c r="K313" i="24" s="1"/>
  <c r="K314" i="24" s="1"/>
  <c r="K315" i="24" s="1"/>
  <c r="K316" i="24" s="1"/>
  <c r="K317" i="24" s="1"/>
  <c r="K318" i="24" s="1"/>
  <c r="K319" i="24" s="1"/>
  <c r="K320" i="24" s="1"/>
  <c r="K321" i="24" s="1"/>
  <c r="K322" i="24" s="1"/>
  <c r="K323" i="24" s="1"/>
  <c r="K324" i="24" s="1"/>
  <c r="K325" i="24" s="1"/>
  <c r="K326" i="24" s="1"/>
  <c r="K327" i="24" s="1"/>
  <c r="K328" i="24" s="1"/>
  <c r="K329" i="24" s="1"/>
  <c r="K330" i="24" s="1"/>
  <c r="K331" i="24" s="1"/>
  <c r="K332" i="24" s="1"/>
  <c r="K333" i="24" s="1"/>
  <c r="K334" i="24" s="1"/>
  <c r="K335" i="24" s="1"/>
  <c r="K336" i="24" s="1"/>
  <c r="K337" i="24" s="1"/>
  <c r="K338" i="24" s="1"/>
  <c r="K339" i="24" s="1"/>
  <c r="K340" i="24" s="1"/>
  <c r="K341" i="24" s="1"/>
  <c r="K342" i="24" s="1"/>
  <c r="K343" i="24" s="1"/>
  <c r="K344" i="24" s="1"/>
  <c r="K345" i="24" s="1"/>
  <c r="K346" i="24" s="1"/>
  <c r="K347" i="24" s="1"/>
  <c r="K348" i="24" s="1"/>
  <c r="K349" i="24" s="1"/>
  <c r="K350" i="24" s="1"/>
  <c r="K351" i="24" s="1"/>
  <c r="K352" i="24" s="1"/>
  <c r="K353" i="24" s="1"/>
  <c r="K354" i="24" s="1"/>
  <c r="K355" i="24" s="1"/>
  <c r="K356" i="24" s="1"/>
  <c r="K357" i="24" s="1"/>
  <c r="K358" i="24" s="1"/>
  <c r="K359" i="24" s="1"/>
  <c r="K360" i="24" s="1"/>
  <c r="K361" i="24" s="1"/>
  <c r="K362" i="24" s="1"/>
  <c r="K363" i="24" s="1"/>
  <c r="K364" i="24" s="1"/>
  <c r="K365" i="24" s="1"/>
  <c r="K366" i="24" s="1"/>
  <c r="K367" i="24" s="1"/>
  <c r="K368" i="24" s="1"/>
  <c r="K369" i="24" s="1"/>
  <c r="K370" i="24" s="1"/>
  <c r="K371" i="24" s="1"/>
  <c r="K372" i="24" s="1"/>
  <c r="K373" i="24" s="1"/>
  <c r="K374" i="24" s="1"/>
  <c r="K375" i="24" s="1"/>
  <c r="K376" i="24" s="1"/>
  <c r="K377" i="24" s="1"/>
  <c r="K378" i="24" s="1"/>
  <c r="K379" i="24" s="1"/>
  <c r="K380" i="24" s="1"/>
  <c r="K381" i="24" s="1"/>
  <c r="K382" i="24" s="1"/>
  <c r="K383" i="24" s="1"/>
  <c r="K384" i="24" s="1"/>
  <c r="K385" i="24" s="1"/>
  <c r="K386" i="24" s="1"/>
  <c r="K387" i="24" s="1"/>
  <c r="K388" i="24" s="1"/>
  <c r="K389" i="24" s="1"/>
  <c r="K390" i="24" s="1"/>
  <c r="K391" i="24" s="1"/>
  <c r="K392" i="24" s="1"/>
  <c r="K393" i="24" s="1"/>
  <c r="K394" i="24" s="1"/>
  <c r="K395" i="24" s="1"/>
  <c r="K396" i="24" s="1"/>
  <c r="K397" i="24" s="1"/>
  <c r="K398" i="24" s="1"/>
  <c r="K399" i="24" s="1"/>
  <c r="K400" i="24" s="1"/>
  <c r="K401" i="24" s="1"/>
  <c r="K402" i="24" s="1"/>
  <c r="K403" i="24" s="1"/>
  <c r="K404" i="24" s="1"/>
  <c r="K405" i="24" s="1"/>
  <c r="K406" i="24" s="1"/>
  <c r="K407" i="24" s="1"/>
  <c r="K408" i="24" s="1"/>
  <c r="K409" i="24" s="1"/>
  <c r="K410" i="24" s="1"/>
  <c r="K411" i="24" s="1"/>
  <c r="K412" i="24" s="1"/>
  <c r="K413" i="24" s="1"/>
  <c r="K414" i="24" s="1"/>
  <c r="K415" i="24" s="1"/>
  <c r="K416" i="24" s="1"/>
  <c r="K417" i="24" s="1"/>
  <c r="K418" i="24" s="1"/>
  <c r="K419" i="24" s="1"/>
  <c r="K420" i="24" s="1"/>
  <c r="K421" i="24" s="1"/>
  <c r="K422" i="24" s="1"/>
  <c r="K423" i="24" s="1"/>
  <c r="K424" i="24" s="1"/>
  <c r="K425" i="24" s="1"/>
  <c r="K426" i="24" s="1"/>
  <c r="K427" i="24" s="1"/>
  <c r="K428" i="24" s="1"/>
  <c r="K429" i="24" s="1"/>
  <c r="K430" i="24" s="1"/>
  <c r="K431" i="24" s="1"/>
  <c r="K432" i="24" s="1"/>
  <c r="K433" i="24" s="1"/>
  <c r="K434" i="24" s="1"/>
  <c r="K435" i="24" s="1"/>
  <c r="K436" i="24" s="1"/>
  <c r="K437" i="24" s="1"/>
  <c r="K438" i="24" s="1"/>
  <c r="K439" i="24" s="1"/>
  <c r="K440" i="24" s="1"/>
  <c r="K441" i="24" s="1"/>
  <c r="K442" i="24" s="1"/>
  <c r="K443" i="24" s="1"/>
  <c r="K444" i="24" s="1"/>
  <c r="K445" i="24" s="1"/>
  <c r="K446" i="24" s="1"/>
  <c r="K447" i="24" s="1"/>
  <c r="K448" i="24" s="1"/>
  <c r="K449" i="24" s="1"/>
  <c r="K450" i="24" s="1"/>
  <c r="K451" i="24" s="1"/>
  <c r="K452" i="24" s="1"/>
  <c r="K453" i="24" s="1"/>
  <c r="K454" i="24" s="1"/>
  <c r="K455" i="24" s="1"/>
  <c r="K456" i="24" s="1"/>
  <c r="K457" i="24" s="1"/>
  <c r="K458" i="24" s="1"/>
  <c r="K459" i="24" s="1"/>
  <c r="K460" i="24" s="1"/>
  <c r="K461" i="24" s="1"/>
  <c r="K462" i="24" s="1"/>
  <c r="K463" i="24" s="1"/>
  <c r="K464" i="24" s="1"/>
  <c r="K465" i="24" s="1"/>
  <c r="K466" i="24" s="1"/>
  <c r="K467" i="24" s="1"/>
  <c r="K468" i="24" s="1"/>
  <c r="K469" i="24" s="1"/>
  <c r="K470" i="24" s="1"/>
  <c r="K471" i="24" s="1"/>
  <c r="K472" i="24" s="1"/>
  <c r="K473" i="24" s="1"/>
  <c r="K474" i="24" s="1"/>
  <c r="K475" i="24" s="1"/>
  <c r="K476" i="24" s="1"/>
  <c r="K477" i="24" s="1"/>
  <c r="K478" i="24" s="1"/>
  <c r="K479" i="24" s="1"/>
  <c r="K480" i="24" s="1"/>
  <c r="K481" i="24" s="1"/>
  <c r="K482" i="24" s="1"/>
  <c r="K483" i="24" s="1"/>
  <c r="K484" i="24" s="1"/>
  <c r="K485" i="24" s="1"/>
  <c r="K486" i="24" s="1"/>
  <c r="K487" i="24" s="1"/>
  <c r="K488" i="24" s="1"/>
  <c r="K489" i="24" s="1"/>
  <c r="K490" i="24" s="1"/>
  <c r="K491" i="24" s="1"/>
  <c r="K492" i="24" s="1"/>
  <c r="K493" i="24" s="1"/>
  <c r="K494" i="24" s="1"/>
  <c r="K495" i="24" s="1"/>
  <c r="K496" i="24" s="1"/>
  <c r="K497" i="24" s="1"/>
  <c r="K498" i="24" s="1"/>
  <c r="K499" i="24" s="1"/>
  <c r="K500" i="24" s="1"/>
  <c r="K501" i="24" s="1"/>
  <c r="K502" i="24" s="1"/>
  <c r="K503" i="24" s="1"/>
  <c r="K504" i="24" s="1"/>
  <c r="K505" i="24" s="1"/>
  <c r="K506" i="24" s="1"/>
  <c r="K507" i="24" s="1"/>
  <c r="K508" i="24" s="1"/>
  <c r="K509" i="24" s="1"/>
  <c r="K510" i="24" s="1"/>
  <c r="K511" i="24" s="1"/>
  <c r="K512" i="24" s="1"/>
  <c r="K513" i="24" s="1"/>
  <c r="K514" i="24" s="1"/>
  <c r="K515" i="24" s="1"/>
  <c r="K516" i="24" s="1"/>
  <c r="K517" i="24" s="1"/>
  <c r="K518" i="24" s="1"/>
  <c r="K519" i="24" s="1"/>
  <c r="K520" i="24" s="1"/>
  <c r="K521" i="24" s="1"/>
  <c r="K522" i="24" s="1"/>
  <c r="K523" i="24" s="1"/>
  <c r="K524" i="24" s="1"/>
  <c r="K525" i="24" s="1"/>
  <c r="K526" i="24" s="1"/>
  <c r="K527" i="24" s="1"/>
  <c r="K528" i="24" s="1"/>
  <c r="K529" i="24" s="1"/>
  <c r="K530" i="24" s="1"/>
  <c r="K531" i="24" s="1"/>
  <c r="K532" i="24" s="1"/>
  <c r="K533" i="24" s="1"/>
  <c r="K534" i="24" s="1"/>
  <c r="K535" i="24" s="1"/>
  <c r="K536" i="24" s="1"/>
  <c r="K537" i="24" s="1"/>
  <c r="K538" i="24" s="1"/>
  <c r="K539" i="24" s="1"/>
  <c r="K540" i="24" s="1"/>
  <c r="K541" i="24" s="1"/>
  <c r="K542" i="24" s="1"/>
  <c r="K543" i="24" s="1"/>
  <c r="K544" i="24" s="1"/>
  <c r="K545" i="24" s="1"/>
  <c r="K546" i="24" s="1"/>
  <c r="K547" i="24" s="1"/>
  <c r="K548" i="24" s="1"/>
  <c r="K549" i="24" s="1"/>
  <c r="K550" i="24" s="1"/>
  <c r="K551" i="24" s="1"/>
  <c r="K552" i="24" s="1"/>
  <c r="K553" i="24" s="1"/>
  <c r="K554" i="24" s="1"/>
  <c r="K555" i="24" s="1"/>
  <c r="K556" i="24" s="1"/>
  <c r="K557" i="24" s="1"/>
  <c r="K558" i="24" s="1"/>
  <c r="K559" i="24" s="1"/>
  <c r="K560" i="24" s="1"/>
  <c r="K561" i="24" s="1"/>
  <c r="K562" i="24" s="1"/>
  <c r="K563" i="24" s="1"/>
  <c r="K564" i="24" s="1"/>
  <c r="K565" i="24" s="1"/>
  <c r="K566" i="24" s="1"/>
  <c r="K567" i="24" s="1"/>
  <c r="K568" i="24" s="1"/>
  <c r="K569" i="24" s="1"/>
  <c r="K570" i="24" s="1"/>
  <c r="K571" i="24" s="1"/>
  <c r="K572" i="24" s="1"/>
  <c r="K573" i="24" s="1"/>
  <c r="K574" i="24" s="1"/>
  <c r="K575" i="24" s="1"/>
  <c r="K576" i="24" s="1"/>
  <c r="K577" i="24" s="1"/>
  <c r="K578" i="24" s="1"/>
  <c r="K579" i="24" s="1"/>
  <c r="K580" i="24" s="1"/>
  <c r="K581" i="24" s="1"/>
  <c r="K582" i="24" s="1"/>
  <c r="K583" i="24" s="1"/>
  <c r="K584" i="24" s="1"/>
  <c r="K585" i="24" s="1"/>
  <c r="K586" i="24" s="1"/>
  <c r="K587" i="24" s="1"/>
  <c r="K588" i="24" s="1"/>
  <c r="K589" i="24" s="1"/>
  <c r="K590" i="24" s="1"/>
  <c r="K591" i="24" s="1"/>
  <c r="K592" i="24" s="1"/>
  <c r="K593" i="24" s="1"/>
  <c r="K594" i="24" s="1"/>
  <c r="K595" i="24" s="1"/>
  <c r="K596" i="24" s="1"/>
  <c r="K597" i="24" s="1"/>
  <c r="K598" i="24" s="1"/>
  <c r="K599" i="24" s="1"/>
  <c r="K600" i="24" s="1"/>
  <c r="K601" i="24" s="1"/>
  <c r="K602" i="24" s="1"/>
  <c r="K603" i="24" s="1"/>
  <c r="K604" i="24" s="1"/>
  <c r="K605" i="24" s="1"/>
  <c r="K606" i="24" s="1"/>
  <c r="K607" i="24" s="1"/>
  <c r="K608" i="24" s="1"/>
  <c r="K609" i="24" s="1"/>
  <c r="K610" i="24" s="1"/>
  <c r="K611" i="24" s="1"/>
  <c r="K612" i="24" s="1"/>
  <c r="K613" i="24" s="1"/>
  <c r="K614" i="24" s="1"/>
  <c r="K615" i="24" s="1"/>
  <c r="K616" i="24" s="1"/>
  <c r="K617" i="24" s="1"/>
  <c r="K618" i="24" s="1"/>
  <c r="K619" i="24" s="1"/>
  <c r="K620" i="24" s="1"/>
  <c r="K621" i="24" s="1"/>
  <c r="K622" i="24" s="1"/>
  <c r="K623" i="24" s="1"/>
  <c r="K624" i="24" s="1"/>
  <c r="K625" i="24" s="1"/>
  <c r="K626" i="24" s="1"/>
  <c r="K627" i="24" s="1"/>
  <c r="K628" i="24" s="1"/>
  <c r="K629" i="24" s="1"/>
  <c r="K630" i="24" s="1"/>
  <c r="K631" i="24" s="1"/>
  <c r="K632" i="24" s="1"/>
  <c r="K633" i="24" s="1"/>
  <c r="K634" i="24" s="1"/>
  <c r="K635" i="24" s="1"/>
  <c r="K636" i="24" s="1"/>
  <c r="K637" i="24" s="1"/>
  <c r="K638" i="24" s="1"/>
  <c r="K639" i="24" s="1"/>
  <c r="K640" i="24" s="1"/>
  <c r="K641" i="24" s="1"/>
  <c r="K642" i="24" s="1"/>
  <c r="K643" i="24" s="1"/>
  <c r="K644" i="24" s="1"/>
  <c r="K645" i="24" s="1"/>
  <c r="K646" i="24" s="1"/>
  <c r="K647" i="24" s="1"/>
  <c r="K648" i="24" s="1"/>
  <c r="K649" i="24" s="1"/>
  <c r="K650" i="24" s="1"/>
  <c r="K651" i="24" s="1"/>
  <c r="K652" i="24" s="1"/>
  <c r="K653" i="24" s="1"/>
  <c r="K654" i="24" s="1"/>
  <c r="K655" i="24" s="1"/>
  <c r="K656" i="24" s="1"/>
  <c r="K657" i="24" s="1"/>
  <c r="K658" i="24" s="1"/>
  <c r="K659" i="24" s="1"/>
  <c r="K660" i="24" s="1"/>
  <c r="K661" i="24" s="1"/>
  <c r="K662" i="24" s="1"/>
  <c r="K663" i="24" s="1"/>
  <c r="K664" i="24" s="1"/>
  <c r="K665" i="24" s="1"/>
  <c r="K666" i="24" s="1"/>
  <c r="K667" i="24" s="1"/>
  <c r="K668" i="24" s="1"/>
  <c r="K669" i="24" s="1"/>
  <c r="K670" i="24" s="1"/>
  <c r="K671" i="24" s="1"/>
  <c r="K672" i="24" s="1"/>
  <c r="K673" i="24" s="1"/>
  <c r="K674" i="24" s="1"/>
  <c r="K675" i="24" s="1"/>
  <c r="K676" i="24" s="1"/>
  <c r="K677" i="24" s="1"/>
  <c r="K678" i="24" s="1"/>
  <c r="K679" i="24" s="1"/>
  <c r="K680" i="24" s="1"/>
  <c r="K681" i="24" s="1"/>
  <c r="K682" i="24" s="1"/>
  <c r="K683" i="24" s="1"/>
  <c r="K684" i="24" s="1"/>
  <c r="K685" i="24" s="1"/>
  <c r="K686" i="24" s="1"/>
  <c r="K687" i="24" s="1"/>
  <c r="K688" i="24" s="1"/>
  <c r="K689" i="24" s="1"/>
  <c r="K690" i="24" s="1"/>
  <c r="K691" i="24" s="1"/>
  <c r="K692" i="24" s="1"/>
  <c r="K693" i="24" s="1"/>
  <c r="K694" i="24" s="1"/>
  <c r="K695" i="24" s="1"/>
  <c r="K696" i="24" s="1"/>
  <c r="K697" i="24" s="1"/>
  <c r="K698" i="24" s="1"/>
  <c r="K699" i="24" s="1"/>
  <c r="K700" i="24" s="1"/>
  <c r="K701" i="24" s="1"/>
  <c r="K702" i="24" s="1"/>
  <c r="K703" i="24" s="1"/>
  <c r="K704" i="24" s="1"/>
  <c r="K705" i="24" s="1"/>
  <c r="K706" i="24" s="1"/>
  <c r="K707" i="24" s="1"/>
  <c r="K708" i="24" s="1"/>
  <c r="K709" i="24" s="1"/>
  <c r="K710" i="24" s="1"/>
  <c r="K711" i="24" s="1"/>
  <c r="K712" i="24" s="1"/>
  <c r="K713" i="24" s="1"/>
  <c r="K714" i="24" s="1"/>
  <c r="K715" i="24" s="1"/>
  <c r="K716" i="24" s="1"/>
  <c r="K717" i="24" s="1"/>
  <c r="K718" i="24" s="1"/>
  <c r="K719" i="24" s="1"/>
  <c r="K720" i="24" s="1"/>
  <c r="K721" i="24" s="1"/>
  <c r="K722" i="24" s="1"/>
  <c r="K723" i="24" s="1"/>
  <c r="K724" i="24" s="1"/>
  <c r="K725" i="24" s="1"/>
  <c r="K726" i="24" s="1"/>
  <c r="K727" i="24" s="1"/>
  <c r="K728" i="24" s="1"/>
  <c r="K729" i="24" s="1"/>
  <c r="K730" i="24" s="1"/>
  <c r="K731" i="24" s="1"/>
  <c r="K732" i="24" s="1"/>
  <c r="K733" i="24" s="1"/>
  <c r="K734" i="24" s="1"/>
  <c r="K735" i="24" s="1"/>
  <c r="K736" i="24" s="1"/>
  <c r="K737" i="24" s="1"/>
  <c r="K738" i="24" s="1"/>
  <c r="K739" i="24" s="1"/>
  <c r="K740" i="24" s="1"/>
  <c r="K741" i="24" s="1"/>
  <c r="K742" i="24" s="1"/>
  <c r="K743" i="24" s="1"/>
  <c r="K744" i="24" s="1"/>
  <c r="K745" i="24" s="1"/>
  <c r="K746" i="24" s="1"/>
  <c r="K747" i="24" s="1"/>
  <c r="K748" i="24" s="1"/>
  <c r="K749" i="24" s="1"/>
  <c r="K750" i="24" s="1"/>
  <c r="K751" i="24" s="1"/>
  <c r="K752" i="24" s="1"/>
  <c r="K753" i="24" s="1"/>
  <c r="K754" i="24" s="1"/>
  <c r="K755" i="24" s="1"/>
  <c r="K756" i="24" s="1"/>
  <c r="K757" i="24" s="1"/>
  <c r="K758" i="24" s="1"/>
  <c r="K759" i="24" s="1"/>
  <c r="K760" i="24" s="1"/>
  <c r="K761" i="24" s="1"/>
  <c r="K762" i="24" s="1"/>
  <c r="K763" i="24" s="1"/>
  <c r="K764" i="24" s="1"/>
  <c r="K765" i="24" s="1"/>
  <c r="K766" i="24" s="1"/>
  <c r="K767" i="24" s="1"/>
  <c r="K768" i="24" s="1"/>
  <c r="K769" i="24" s="1"/>
  <c r="K770" i="24" s="1"/>
  <c r="K771" i="24" s="1"/>
  <c r="K772" i="24" s="1"/>
  <c r="K773" i="24" s="1"/>
  <c r="K774" i="24" s="1"/>
  <c r="K775" i="24" s="1"/>
  <c r="K776" i="24" s="1"/>
  <c r="K777" i="24" s="1"/>
  <c r="K778" i="24" s="1"/>
  <c r="K779" i="24" s="1"/>
  <c r="K780" i="24" s="1"/>
  <c r="K781" i="24" s="1"/>
  <c r="K782" i="24" s="1"/>
  <c r="K783" i="24" s="1"/>
  <c r="K784" i="24" s="1"/>
  <c r="K785" i="24" s="1"/>
  <c r="K786" i="24" s="1"/>
  <c r="K787" i="24" s="1"/>
  <c r="K788" i="24" s="1"/>
  <c r="K789" i="24" s="1"/>
  <c r="K790" i="24" s="1"/>
  <c r="K791" i="24" s="1"/>
  <c r="K792" i="24" s="1"/>
  <c r="K793" i="24" s="1"/>
  <c r="K794" i="24" s="1"/>
  <c r="K795" i="24" s="1"/>
  <c r="K796" i="24" s="1"/>
  <c r="K797" i="24" s="1"/>
  <c r="K798" i="24" s="1"/>
  <c r="K799" i="24" s="1"/>
  <c r="K800" i="24" s="1"/>
  <c r="K801" i="24" s="1"/>
  <c r="K802" i="24" s="1"/>
  <c r="K803" i="24" s="1"/>
  <c r="K804" i="24" s="1"/>
  <c r="K805" i="24" s="1"/>
  <c r="K806" i="24" s="1"/>
  <c r="K807" i="24" s="1"/>
  <c r="K808" i="24" s="1"/>
  <c r="K809" i="24" s="1"/>
  <c r="K810" i="24" s="1"/>
  <c r="K811" i="24" s="1"/>
  <c r="K812" i="24" s="1"/>
  <c r="K813" i="24" s="1"/>
  <c r="K814" i="24" s="1"/>
  <c r="K815" i="24" s="1"/>
  <c r="K816" i="24" s="1"/>
  <c r="K817" i="24" s="1"/>
  <c r="K818" i="24" s="1"/>
  <c r="K819" i="24" s="1"/>
  <c r="K820" i="24" s="1"/>
  <c r="K821" i="24" s="1"/>
  <c r="K822" i="24" s="1"/>
  <c r="K823" i="24" s="1"/>
  <c r="K824" i="24" s="1"/>
  <c r="K825" i="24" s="1"/>
  <c r="K826" i="24" s="1"/>
  <c r="K827" i="24" s="1"/>
  <c r="K828" i="24" s="1"/>
  <c r="K829" i="24" s="1"/>
  <c r="K830" i="24" s="1"/>
  <c r="K831" i="24" s="1"/>
  <c r="K832" i="24" s="1"/>
  <c r="K833" i="24" s="1"/>
  <c r="K834" i="24" s="1"/>
  <c r="K835" i="24" s="1"/>
  <c r="K836" i="24" s="1"/>
  <c r="K837" i="24" s="1"/>
  <c r="K838" i="24" s="1"/>
  <c r="K839" i="24" s="1"/>
  <c r="K840" i="24" s="1"/>
  <c r="K841" i="24" s="1"/>
  <c r="K842" i="24" s="1"/>
  <c r="K843" i="24" s="1"/>
  <c r="K844" i="24" s="1"/>
  <c r="K845" i="24" s="1"/>
  <c r="K846" i="24" s="1"/>
  <c r="K847" i="24" s="1"/>
  <c r="K848" i="24" s="1"/>
  <c r="K849" i="24" s="1"/>
  <c r="K850" i="24" s="1"/>
  <c r="K851" i="24" s="1"/>
  <c r="K852" i="24" s="1"/>
  <c r="K853" i="24" s="1"/>
  <c r="K854" i="24" s="1"/>
  <c r="K855" i="24" s="1"/>
  <c r="K856" i="24" s="1"/>
  <c r="K857" i="24" s="1"/>
  <c r="K858" i="24" s="1"/>
  <c r="K859" i="24" s="1"/>
  <c r="K860" i="24" s="1"/>
  <c r="K861" i="24" s="1"/>
  <c r="K862" i="24" s="1"/>
  <c r="K863" i="24" s="1"/>
  <c r="K864" i="24" s="1"/>
  <c r="K865" i="24" s="1"/>
  <c r="K866" i="24" s="1"/>
  <c r="K867" i="24" s="1"/>
  <c r="K868" i="24" s="1"/>
  <c r="K869" i="24" s="1"/>
  <c r="K870" i="24" s="1"/>
  <c r="K871" i="24" s="1"/>
  <c r="K872" i="24" s="1"/>
  <c r="K873" i="24" s="1"/>
  <c r="K874" i="24" s="1"/>
  <c r="K875" i="24" s="1"/>
  <c r="K876" i="24" s="1"/>
  <c r="K877" i="24" s="1"/>
  <c r="K878" i="24" s="1"/>
  <c r="K879" i="24" s="1"/>
  <c r="K880" i="24" s="1"/>
  <c r="J3" i="24"/>
  <c r="I3" i="24" s="1"/>
  <c r="I4" i="24" s="1"/>
  <c r="I5" i="24" s="1"/>
  <c r="I6" i="24" s="1"/>
  <c r="I7" i="24" s="1"/>
  <c r="I8" i="24" s="1"/>
  <c r="I9" i="24" s="1"/>
  <c r="I10" i="24" s="1"/>
  <c r="I11" i="24" s="1"/>
  <c r="I12" i="24" s="1"/>
  <c r="I13" i="24" s="1"/>
  <c r="I14" i="24" s="1"/>
  <c r="I15" i="24" s="1"/>
  <c r="I16" i="24" s="1"/>
  <c r="I17" i="24" s="1"/>
  <c r="I18" i="24" s="1"/>
  <c r="I19" i="24" s="1"/>
  <c r="I20" i="24" s="1"/>
  <c r="I21" i="24" s="1"/>
  <c r="I22" i="24" s="1"/>
  <c r="I23" i="24" s="1"/>
  <c r="I24" i="24" s="1"/>
  <c r="I25" i="24" s="1"/>
  <c r="I26" i="24" s="1"/>
  <c r="I27" i="24" s="1"/>
  <c r="I28" i="24" s="1"/>
  <c r="I29" i="24" s="1"/>
  <c r="I30" i="24" s="1"/>
  <c r="I31" i="24" s="1"/>
  <c r="I32" i="24" s="1"/>
  <c r="I33" i="24" s="1"/>
  <c r="I34" i="24" s="1"/>
  <c r="I35" i="24" s="1"/>
  <c r="I36" i="24" s="1"/>
  <c r="I37" i="24" s="1"/>
  <c r="I38" i="24" s="1"/>
  <c r="I39" i="24" s="1"/>
  <c r="I40" i="24" s="1"/>
  <c r="I41" i="24" s="1"/>
  <c r="I42" i="24" s="1"/>
  <c r="I43" i="24" s="1"/>
  <c r="I44" i="24" s="1"/>
  <c r="I45" i="24" s="1"/>
  <c r="I46" i="24" s="1"/>
  <c r="I47" i="24" s="1"/>
  <c r="I48" i="24" s="1"/>
  <c r="I49" i="24" s="1"/>
  <c r="I50" i="24" s="1"/>
  <c r="I51" i="24" s="1"/>
  <c r="I52" i="24" s="1"/>
  <c r="I53" i="24" s="1"/>
  <c r="I54" i="24" s="1"/>
  <c r="I55" i="24" s="1"/>
  <c r="I56" i="24" s="1"/>
  <c r="I57" i="24" s="1"/>
  <c r="I58" i="24" s="1"/>
  <c r="I59" i="24" s="1"/>
  <c r="I60" i="24" s="1"/>
  <c r="I61" i="24" s="1"/>
  <c r="I62" i="24" s="1"/>
  <c r="I63" i="24" s="1"/>
  <c r="I64" i="24" s="1"/>
  <c r="I65" i="24" s="1"/>
  <c r="I66" i="24" s="1"/>
  <c r="I67" i="24" s="1"/>
  <c r="I68" i="24" s="1"/>
  <c r="I69" i="24" s="1"/>
  <c r="I70" i="24" s="1"/>
  <c r="I71" i="24" s="1"/>
  <c r="I72" i="24" s="1"/>
  <c r="I73" i="24" s="1"/>
  <c r="I74" i="24" s="1"/>
  <c r="I75" i="24" s="1"/>
  <c r="I76" i="24" s="1"/>
  <c r="I77" i="24" s="1"/>
  <c r="I78" i="24" s="1"/>
  <c r="I79" i="24" s="1"/>
  <c r="I80" i="24" s="1"/>
  <c r="I81" i="24" s="1"/>
  <c r="I82" i="24" s="1"/>
  <c r="I83" i="24" s="1"/>
  <c r="I84" i="24" s="1"/>
  <c r="I85" i="24" s="1"/>
  <c r="I86" i="24" s="1"/>
  <c r="I87" i="24" s="1"/>
  <c r="I88" i="24" s="1"/>
  <c r="I89" i="24" s="1"/>
  <c r="I90" i="24" s="1"/>
  <c r="I91" i="24" s="1"/>
  <c r="I92" i="24" s="1"/>
  <c r="I93" i="24" s="1"/>
  <c r="I94" i="24" s="1"/>
  <c r="I95" i="24" s="1"/>
  <c r="I96" i="24" s="1"/>
  <c r="I97" i="24" s="1"/>
  <c r="I98" i="24" s="1"/>
  <c r="I99" i="24" s="1"/>
  <c r="I100" i="24" s="1"/>
  <c r="I101" i="24" s="1"/>
  <c r="I102" i="24" s="1"/>
  <c r="I103" i="24" s="1"/>
  <c r="I104" i="24" s="1"/>
  <c r="I105" i="24" s="1"/>
  <c r="I106" i="24" s="1"/>
  <c r="I107" i="24" s="1"/>
  <c r="I108" i="24" s="1"/>
  <c r="I109" i="24" s="1"/>
  <c r="I110" i="24" s="1"/>
  <c r="I111" i="24" s="1"/>
  <c r="I112" i="24" s="1"/>
  <c r="I113" i="24" s="1"/>
  <c r="I114" i="24" s="1"/>
  <c r="I115" i="24" s="1"/>
  <c r="I116" i="24" s="1"/>
  <c r="I117" i="24" s="1"/>
  <c r="I118" i="24" s="1"/>
  <c r="I119" i="24" s="1"/>
  <c r="I120" i="24" s="1"/>
  <c r="I121" i="24" s="1"/>
  <c r="I122" i="24" s="1"/>
  <c r="I123" i="24" s="1"/>
  <c r="I124" i="24" s="1"/>
  <c r="I125" i="24" s="1"/>
  <c r="I126" i="24" s="1"/>
  <c r="I127" i="24" s="1"/>
  <c r="I128" i="24" s="1"/>
  <c r="I129" i="24" s="1"/>
  <c r="I130" i="24" s="1"/>
  <c r="I131" i="24" s="1"/>
  <c r="I132" i="24" s="1"/>
  <c r="I133" i="24" s="1"/>
  <c r="I134" i="24" s="1"/>
  <c r="I135" i="24" s="1"/>
  <c r="I136" i="24" s="1"/>
  <c r="I137" i="24" s="1"/>
  <c r="I138" i="24" s="1"/>
  <c r="I139" i="24" s="1"/>
  <c r="I140" i="24" s="1"/>
  <c r="I141" i="24" s="1"/>
  <c r="I142" i="24" s="1"/>
  <c r="I143" i="24" s="1"/>
  <c r="I144" i="24" s="1"/>
  <c r="I145" i="24" s="1"/>
  <c r="I146" i="24" s="1"/>
  <c r="I147" i="24" s="1"/>
  <c r="I148" i="24" s="1"/>
  <c r="I149" i="24" s="1"/>
  <c r="I150" i="24" s="1"/>
  <c r="I151" i="24" s="1"/>
  <c r="I152" i="24" s="1"/>
  <c r="I153" i="24" s="1"/>
  <c r="I154" i="24" s="1"/>
  <c r="I155" i="24" s="1"/>
  <c r="I156" i="24" s="1"/>
  <c r="I157" i="24" s="1"/>
  <c r="I158" i="24" s="1"/>
  <c r="I159" i="24" s="1"/>
  <c r="I160" i="24" s="1"/>
  <c r="I161" i="24" s="1"/>
  <c r="I162" i="24" s="1"/>
  <c r="I163" i="24" s="1"/>
  <c r="I164" i="24" s="1"/>
  <c r="I165" i="24" s="1"/>
  <c r="I166" i="24" s="1"/>
  <c r="I167" i="24" s="1"/>
  <c r="I168" i="24" s="1"/>
  <c r="I169" i="24" s="1"/>
  <c r="I170" i="24" s="1"/>
  <c r="I171" i="24" s="1"/>
  <c r="I172" i="24" s="1"/>
  <c r="I173" i="24" s="1"/>
  <c r="I174" i="24" s="1"/>
  <c r="I175" i="24" s="1"/>
  <c r="I176" i="24" s="1"/>
  <c r="I177" i="24" s="1"/>
  <c r="I178" i="24" s="1"/>
  <c r="I179" i="24" s="1"/>
  <c r="I180" i="24" s="1"/>
  <c r="I181" i="24" s="1"/>
  <c r="I182" i="24" s="1"/>
  <c r="I183" i="24" s="1"/>
  <c r="I184" i="24" s="1"/>
  <c r="I185" i="24" s="1"/>
  <c r="I186" i="24" s="1"/>
  <c r="I187" i="24" s="1"/>
  <c r="I188" i="24" s="1"/>
  <c r="I189" i="24" s="1"/>
  <c r="I190" i="24" s="1"/>
  <c r="I191" i="24" s="1"/>
  <c r="I192" i="24" s="1"/>
  <c r="I193" i="24" s="1"/>
  <c r="I194" i="24" s="1"/>
  <c r="I195" i="24" s="1"/>
  <c r="I196" i="24" s="1"/>
  <c r="I197" i="24" s="1"/>
  <c r="I198" i="24" s="1"/>
  <c r="I199" i="24" s="1"/>
  <c r="I200" i="24" s="1"/>
  <c r="I201" i="24" s="1"/>
  <c r="I202" i="24" s="1"/>
  <c r="I203" i="24" s="1"/>
  <c r="I204" i="24" s="1"/>
  <c r="I205" i="24" s="1"/>
  <c r="I206" i="24" s="1"/>
  <c r="I207" i="24" s="1"/>
  <c r="I208" i="24" s="1"/>
  <c r="I209" i="24" s="1"/>
  <c r="I210" i="24" s="1"/>
  <c r="I211" i="24" s="1"/>
  <c r="I212" i="24" s="1"/>
  <c r="I213" i="24" s="1"/>
  <c r="I214" i="24" s="1"/>
  <c r="I215" i="24" s="1"/>
  <c r="I216" i="24" s="1"/>
  <c r="I217" i="24" s="1"/>
  <c r="I218" i="24" s="1"/>
  <c r="I219" i="24" s="1"/>
  <c r="I220" i="24" s="1"/>
  <c r="I221" i="24" s="1"/>
  <c r="I222" i="24" s="1"/>
  <c r="I223" i="24" s="1"/>
  <c r="I224" i="24" s="1"/>
  <c r="I225" i="24" s="1"/>
  <c r="I226" i="24" s="1"/>
  <c r="I227" i="24" s="1"/>
  <c r="I228" i="24" s="1"/>
  <c r="I229" i="24" s="1"/>
  <c r="I230" i="24" s="1"/>
  <c r="I231" i="24" s="1"/>
  <c r="I232" i="24" s="1"/>
  <c r="I233" i="24" s="1"/>
  <c r="I234" i="24" s="1"/>
  <c r="I235" i="24" s="1"/>
  <c r="I236" i="24" s="1"/>
  <c r="I237" i="24" s="1"/>
  <c r="I238" i="24" s="1"/>
  <c r="I239" i="24" s="1"/>
  <c r="I240" i="24" s="1"/>
  <c r="I241" i="24" s="1"/>
  <c r="I242" i="24" s="1"/>
  <c r="I243" i="24" s="1"/>
  <c r="I244" i="24" s="1"/>
  <c r="I245" i="24" s="1"/>
  <c r="I246" i="24" s="1"/>
  <c r="I247" i="24" s="1"/>
  <c r="I248" i="24" s="1"/>
  <c r="I249" i="24" s="1"/>
  <c r="I250" i="24" s="1"/>
  <c r="I251" i="24" s="1"/>
  <c r="I252" i="24" s="1"/>
  <c r="I253" i="24" s="1"/>
  <c r="I254" i="24" s="1"/>
  <c r="I255" i="24" s="1"/>
  <c r="I256" i="24" s="1"/>
  <c r="I257" i="24" s="1"/>
  <c r="I258" i="24" s="1"/>
  <c r="I259" i="24" s="1"/>
  <c r="I260" i="24" s="1"/>
  <c r="I261" i="24" s="1"/>
  <c r="I262" i="24" s="1"/>
  <c r="I263" i="24" s="1"/>
  <c r="I264" i="24" s="1"/>
  <c r="I265" i="24" s="1"/>
  <c r="I266" i="24" s="1"/>
  <c r="I267" i="24" s="1"/>
  <c r="I268" i="24" s="1"/>
  <c r="I269" i="24" s="1"/>
  <c r="I270" i="24" s="1"/>
  <c r="I271" i="24" s="1"/>
  <c r="I272" i="24" s="1"/>
  <c r="I273" i="24" s="1"/>
  <c r="I274" i="24" s="1"/>
  <c r="I275" i="24" s="1"/>
  <c r="I276" i="24" s="1"/>
  <c r="I277" i="24" s="1"/>
  <c r="I278" i="24" s="1"/>
  <c r="I279" i="24" s="1"/>
  <c r="I280" i="24" s="1"/>
  <c r="I281" i="24" s="1"/>
  <c r="I282" i="24" s="1"/>
  <c r="I283" i="24" s="1"/>
  <c r="I284" i="24" s="1"/>
  <c r="I285" i="24" s="1"/>
  <c r="I286" i="24" s="1"/>
  <c r="I287" i="24" s="1"/>
  <c r="I288" i="24" s="1"/>
  <c r="I289" i="24" s="1"/>
  <c r="I290" i="24" s="1"/>
  <c r="I291" i="24" s="1"/>
  <c r="I292" i="24" s="1"/>
  <c r="I293" i="24" s="1"/>
  <c r="I294" i="24" s="1"/>
  <c r="I295" i="24" s="1"/>
  <c r="I296" i="24" s="1"/>
  <c r="I297" i="24" s="1"/>
  <c r="I298" i="24" s="1"/>
  <c r="I299" i="24" s="1"/>
  <c r="I300" i="24" s="1"/>
  <c r="I301" i="24" s="1"/>
  <c r="I302" i="24" s="1"/>
  <c r="I303" i="24" s="1"/>
  <c r="I304" i="24" s="1"/>
  <c r="I305" i="24" s="1"/>
  <c r="I306" i="24" s="1"/>
  <c r="I307" i="24" s="1"/>
  <c r="I308" i="24" s="1"/>
  <c r="I309" i="24" s="1"/>
  <c r="I310" i="24" s="1"/>
  <c r="I311" i="24" s="1"/>
  <c r="I312" i="24" s="1"/>
  <c r="I313" i="24" s="1"/>
  <c r="I314" i="24" s="1"/>
  <c r="I315" i="24" s="1"/>
  <c r="I316" i="24" s="1"/>
  <c r="I317" i="24" s="1"/>
  <c r="I318" i="24" s="1"/>
  <c r="I319" i="24" s="1"/>
  <c r="I320" i="24" s="1"/>
  <c r="I321" i="24" s="1"/>
  <c r="I322" i="24" s="1"/>
  <c r="I323" i="24" s="1"/>
  <c r="I324" i="24" s="1"/>
  <c r="I325" i="24" s="1"/>
  <c r="I326" i="24" s="1"/>
  <c r="I327" i="24" s="1"/>
  <c r="I328" i="24" s="1"/>
  <c r="I329" i="24" s="1"/>
  <c r="I330" i="24" s="1"/>
  <c r="I331" i="24" s="1"/>
  <c r="I332" i="24" s="1"/>
  <c r="I333" i="24" s="1"/>
  <c r="I334" i="24" s="1"/>
  <c r="I335" i="24" s="1"/>
  <c r="I336" i="24" s="1"/>
  <c r="I337" i="24" s="1"/>
  <c r="I338" i="24" s="1"/>
  <c r="I339" i="24" s="1"/>
  <c r="I340" i="24" s="1"/>
  <c r="I341" i="24" s="1"/>
  <c r="I342" i="24" s="1"/>
  <c r="I343" i="24" s="1"/>
  <c r="I344" i="24" s="1"/>
  <c r="I345" i="24" s="1"/>
  <c r="I346" i="24" s="1"/>
  <c r="I347" i="24" s="1"/>
  <c r="I348" i="24" s="1"/>
  <c r="I349" i="24" s="1"/>
  <c r="I350" i="24" s="1"/>
  <c r="I351" i="24" s="1"/>
  <c r="I352" i="24" s="1"/>
  <c r="I353" i="24" s="1"/>
  <c r="I354" i="24" s="1"/>
  <c r="I355" i="24" s="1"/>
  <c r="I356" i="24" s="1"/>
  <c r="I357" i="24" s="1"/>
  <c r="I358" i="24" s="1"/>
  <c r="I359" i="24" s="1"/>
  <c r="I360" i="24" s="1"/>
  <c r="I361" i="24" s="1"/>
  <c r="I362" i="24" s="1"/>
  <c r="I363" i="24" s="1"/>
  <c r="I364" i="24" s="1"/>
  <c r="I365" i="24" s="1"/>
  <c r="I366" i="24" s="1"/>
  <c r="I367" i="24" s="1"/>
  <c r="I368" i="24" s="1"/>
  <c r="I369" i="24" s="1"/>
  <c r="I370" i="24" s="1"/>
  <c r="I371" i="24" s="1"/>
  <c r="I372" i="24" s="1"/>
  <c r="I373" i="24" s="1"/>
  <c r="I374" i="24" s="1"/>
  <c r="I375" i="24" s="1"/>
  <c r="I376" i="24" s="1"/>
  <c r="I377" i="24" s="1"/>
  <c r="I378" i="24" s="1"/>
  <c r="I379" i="24" s="1"/>
  <c r="I380" i="24" s="1"/>
  <c r="I381" i="24" s="1"/>
  <c r="I382" i="24" s="1"/>
  <c r="I383" i="24" s="1"/>
  <c r="I384" i="24" s="1"/>
  <c r="I385" i="24" s="1"/>
  <c r="I386" i="24" s="1"/>
  <c r="I387" i="24" s="1"/>
  <c r="I388" i="24" s="1"/>
  <c r="I389" i="24" s="1"/>
  <c r="I390" i="24" s="1"/>
  <c r="I391" i="24" s="1"/>
  <c r="I392" i="24" s="1"/>
  <c r="I393" i="24" s="1"/>
  <c r="I394" i="24" s="1"/>
  <c r="I395" i="24" s="1"/>
  <c r="I396" i="24" s="1"/>
  <c r="I397" i="24" s="1"/>
  <c r="I398" i="24" s="1"/>
  <c r="I399" i="24" s="1"/>
  <c r="I400" i="24" s="1"/>
  <c r="I401" i="24" s="1"/>
  <c r="I402" i="24" s="1"/>
  <c r="I403" i="24" s="1"/>
  <c r="I404" i="24" s="1"/>
  <c r="I405" i="24" s="1"/>
  <c r="I406" i="24" s="1"/>
  <c r="I407" i="24" s="1"/>
  <c r="I408" i="24" s="1"/>
  <c r="I409" i="24" s="1"/>
  <c r="I410" i="24" s="1"/>
  <c r="I411" i="24" s="1"/>
  <c r="I412" i="24" s="1"/>
  <c r="I413" i="24" s="1"/>
  <c r="I414" i="24" s="1"/>
  <c r="I415" i="24" s="1"/>
  <c r="I416" i="24" s="1"/>
  <c r="I417" i="24" s="1"/>
  <c r="I418" i="24" s="1"/>
  <c r="I419" i="24" s="1"/>
  <c r="I420" i="24" s="1"/>
  <c r="I421" i="24" s="1"/>
  <c r="I422" i="24" s="1"/>
  <c r="I423" i="24" s="1"/>
  <c r="I424" i="24" s="1"/>
  <c r="I425" i="24" s="1"/>
  <c r="I426" i="24" s="1"/>
  <c r="I427" i="24" s="1"/>
  <c r="I428" i="24" s="1"/>
  <c r="I429" i="24" s="1"/>
  <c r="I430" i="24" s="1"/>
  <c r="I431" i="24" s="1"/>
  <c r="I432" i="24" s="1"/>
  <c r="I433" i="24" s="1"/>
  <c r="I434" i="24" s="1"/>
  <c r="I435" i="24" s="1"/>
  <c r="I436" i="24" s="1"/>
  <c r="I437" i="24" s="1"/>
  <c r="I438" i="24" s="1"/>
  <c r="I439" i="24" s="1"/>
  <c r="I440" i="24" s="1"/>
  <c r="I441" i="24" s="1"/>
  <c r="I442" i="24" s="1"/>
  <c r="I443" i="24" s="1"/>
  <c r="I444" i="24" s="1"/>
  <c r="I445" i="24" s="1"/>
  <c r="I446" i="24" s="1"/>
  <c r="I447" i="24" s="1"/>
  <c r="I448" i="24" s="1"/>
  <c r="I449" i="24" s="1"/>
  <c r="I450" i="24" s="1"/>
  <c r="I451" i="24" s="1"/>
  <c r="I452" i="24" s="1"/>
  <c r="I453" i="24" s="1"/>
  <c r="I454" i="24" s="1"/>
  <c r="I455" i="24" s="1"/>
  <c r="I456" i="24" s="1"/>
  <c r="I457" i="24" s="1"/>
  <c r="I458" i="24" s="1"/>
  <c r="I459" i="24" s="1"/>
  <c r="I460" i="24" s="1"/>
  <c r="I461" i="24" s="1"/>
  <c r="I462" i="24" s="1"/>
  <c r="I463" i="24" s="1"/>
  <c r="I464" i="24" s="1"/>
  <c r="I465" i="24" s="1"/>
  <c r="I466" i="24" s="1"/>
  <c r="I467" i="24" s="1"/>
  <c r="I468" i="24" s="1"/>
  <c r="I469" i="24" s="1"/>
  <c r="I470" i="24" s="1"/>
  <c r="I471" i="24" s="1"/>
  <c r="I472" i="24" s="1"/>
  <c r="I473" i="24" s="1"/>
  <c r="I474" i="24" s="1"/>
  <c r="I475" i="24" s="1"/>
  <c r="I476" i="24" s="1"/>
  <c r="I477" i="24" s="1"/>
  <c r="I478" i="24" s="1"/>
  <c r="I479" i="24" s="1"/>
  <c r="I480" i="24" s="1"/>
  <c r="I481" i="24" s="1"/>
  <c r="I482" i="24" s="1"/>
  <c r="I483" i="24" s="1"/>
  <c r="I484" i="24" s="1"/>
  <c r="I485" i="24" s="1"/>
  <c r="I486" i="24" s="1"/>
  <c r="I487" i="24" s="1"/>
  <c r="I488" i="24" s="1"/>
  <c r="I489" i="24" s="1"/>
  <c r="I490" i="24" s="1"/>
  <c r="I491" i="24" s="1"/>
  <c r="I492" i="24" s="1"/>
  <c r="I493" i="24" s="1"/>
  <c r="I494" i="24" s="1"/>
  <c r="I495" i="24" s="1"/>
  <c r="I496" i="24" s="1"/>
  <c r="I497" i="24" s="1"/>
  <c r="I498" i="24" s="1"/>
  <c r="I499" i="24" s="1"/>
  <c r="I500" i="24" s="1"/>
  <c r="I501" i="24" s="1"/>
  <c r="I502" i="24" s="1"/>
  <c r="I503" i="24" s="1"/>
  <c r="I504" i="24" s="1"/>
  <c r="I505" i="24" s="1"/>
  <c r="I506" i="24" s="1"/>
  <c r="I507" i="24" s="1"/>
  <c r="I508" i="24" s="1"/>
  <c r="I509" i="24" s="1"/>
  <c r="I510" i="24" s="1"/>
  <c r="I511" i="24" s="1"/>
  <c r="I512" i="24" s="1"/>
  <c r="I513" i="24" s="1"/>
  <c r="I514" i="24" s="1"/>
  <c r="I515" i="24" s="1"/>
  <c r="I516" i="24" s="1"/>
  <c r="I517" i="24" s="1"/>
  <c r="I518" i="24" s="1"/>
  <c r="I519" i="24" s="1"/>
  <c r="I520" i="24" s="1"/>
  <c r="I521" i="24" s="1"/>
  <c r="I522" i="24" s="1"/>
  <c r="I523" i="24" s="1"/>
  <c r="I524" i="24" s="1"/>
  <c r="I525" i="24" s="1"/>
  <c r="I526" i="24" s="1"/>
  <c r="I527" i="24" s="1"/>
  <c r="I528" i="24" s="1"/>
  <c r="I529" i="24" s="1"/>
  <c r="I530" i="24" s="1"/>
  <c r="I531" i="24" s="1"/>
  <c r="I532" i="24" s="1"/>
  <c r="I533" i="24" s="1"/>
  <c r="I534" i="24" s="1"/>
  <c r="I535" i="24" s="1"/>
  <c r="I536" i="24" s="1"/>
  <c r="I537" i="24" s="1"/>
  <c r="I538" i="24" s="1"/>
  <c r="I539" i="24" s="1"/>
  <c r="I540" i="24" s="1"/>
  <c r="I541" i="24" s="1"/>
  <c r="I542" i="24" s="1"/>
  <c r="I543" i="24" s="1"/>
  <c r="I544" i="24" s="1"/>
  <c r="I545" i="24" s="1"/>
  <c r="I546" i="24" s="1"/>
  <c r="I547" i="24" s="1"/>
  <c r="I548" i="24" s="1"/>
  <c r="I549" i="24" s="1"/>
  <c r="I550" i="24" s="1"/>
  <c r="I551" i="24" s="1"/>
  <c r="I552" i="24" s="1"/>
  <c r="I553" i="24" s="1"/>
  <c r="I554" i="24" s="1"/>
  <c r="I555" i="24" s="1"/>
  <c r="I556" i="24" s="1"/>
  <c r="I557" i="24" s="1"/>
  <c r="I558" i="24" s="1"/>
  <c r="I559" i="24" s="1"/>
  <c r="I560" i="24" s="1"/>
  <c r="I561" i="24" s="1"/>
  <c r="I562" i="24" s="1"/>
  <c r="I563" i="24" s="1"/>
  <c r="I564" i="24" s="1"/>
  <c r="I565" i="24" s="1"/>
  <c r="I566" i="24" s="1"/>
  <c r="I567" i="24" s="1"/>
  <c r="I568" i="24" s="1"/>
  <c r="I569" i="24" s="1"/>
  <c r="I570" i="24" s="1"/>
  <c r="I571" i="24" s="1"/>
  <c r="I572" i="24" s="1"/>
  <c r="I573" i="24" s="1"/>
  <c r="I574" i="24" s="1"/>
  <c r="I575" i="24" s="1"/>
  <c r="I576" i="24" s="1"/>
  <c r="I577" i="24" s="1"/>
  <c r="I578" i="24" s="1"/>
  <c r="I579" i="24" s="1"/>
  <c r="I580" i="24" s="1"/>
  <c r="I581" i="24" s="1"/>
  <c r="I582" i="24" s="1"/>
  <c r="I583" i="24" s="1"/>
  <c r="I584" i="24" s="1"/>
  <c r="I585" i="24" s="1"/>
  <c r="I586" i="24" s="1"/>
  <c r="I587" i="24" s="1"/>
  <c r="I588" i="24" s="1"/>
  <c r="I589" i="24" s="1"/>
  <c r="I590" i="24" s="1"/>
  <c r="I591" i="24" s="1"/>
  <c r="I592" i="24" s="1"/>
  <c r="I593" i="24" s="1"/>
  <c r="I594" i="24" s="1"/>
  <c r="I595" i="24" s="1"/>
  <c r="I596" i="24" s="1"/>
  <c r="I597" i="24" s="1"/>
  <c r="I598" i="24" s="1"/>
  <c r="I599" i="24" s="1"/>
  <c r="I600" i="24" s="1"/>
  <c r="I601" i="24" s="1"/>
  <c r="I602" i="24" s="1"/>
  <c r="I603" i="24" s="1"/>
  <c r="I604" i="24" s="1"/>
  <c r="I605" i="24" s="1"/>
  <c r="I606" i="24" s="1"/>
  <c r="I607" i="24" s="1"/>
  <c r="I608" i="24" s="1"/>
  <c r="I609" i="24" s="1"/>
  <c r="I610" i="24" s="1"/>
  <c r="I611" i="24" s="1"/>
  <c r="I612" i="24" s="1"/>
  <c r="I613" i="24" s="1"/>
  <c r="I614" i="24" s="1"/>
  <c r="I615" i="24" s="1"/>
  <c r="I616" i="24" s="1"/>
  <c r="I617" i="24" s="1"/>
  <c r="I618" i="24" s="1"/>
  <c r="I619" i="24" s="1"/>
  <c r="I620" i="24" s="1"/>
  <c r="I621" i="24" s="1"/>
  <c r="I622" i="24" s="1"/>
  <c r="I623" i="24" s="1"/>
  <c r="I624" i="24" s="1"/>
  <c r="I625" i="24" s="1"/>
  <c r="I626" i="24" s="1"/>
  <c r="I627" i="24" s="1"/>
  <c r="I628" i="24" s="1"/>
  <c r="I629" i="24" s="1"/>
  <c r="I630" i="24" s="1"/>
  <c r="I631" i="24" s="1"/>
  <c r="I632" i="24" s="1"/>
  <c r="I633" i="24" s="1"/>
  <c r="I634" i="24" s="1"/>
  <c r="I635" i="24" s="1"/>
  <c r="I636" i="24" s="1"/>
  <c r="I637" i="24" s="1"/>
  <c r="I638" i="24" s="1"/>
  <c r="I639" i="24" s="1"/>
  <c r="I640" i="24" s="1"/>
  <c r="I641" i="24" s="1"/>
  <c r="I642" i="24" s="1"/>
  <c r="I643" i="24" s="1"/>
  <c r="I644" i="24" s="1"/>
  <c r="I645" i="24" s="1"/>
  <c r="I646" i="24" s="1"/>
  <c r="I647" i="24" s="1"/>
  <c r="I648" i="24" s="1"/>
  <c r="I649" i="24" s="1"/>
  <c r="I650" i="24" s="1"/>
  <c r="I651" i="24" s="1"/>
  <c r="I652" i="24" s="1"/>
  <c r="I653" i="24" s="1"/>
  <c r="I654" i="24" s="1"/>
  <c r="I655" i="24" s="1"/>
  <c r="I656" i="24" s="1"/>
  <c r="I657" i="24" s="1"/>
  <c r="I658" i="24" s="1"/>
  <c r="I659" i="24" s="1"/>
  <c r="I660" i="24" s="1"/>
  <c r="I661" i="24" s="1"/>
  <c r="I662" i="24" s="1"/>
  <c r="I663" i="24" s="1"/>
  <c r="I664" i="24" s="1"/>
  <c r="I665" i="24" s="1"/>
  <c r="I666" i="24" s="1"/>
  <c r="I667" i="24" s="1"/>
  <c r="I668" i="24" s="1"/>
  <c r="I669" i="24" s="1"/>
  <c r="I670" i="24" s="1"/>
  <c r="I671" i="24" s="1"/>
  <c r="I672" i="24" s="1"/>
  <c r="I673" i="24" s="1"/>
  <c r="I674" i="24" s="1"/>
  <c r="I675" i="24" s="1"/>
  <c r="I676" i="24" s="1"/>
  <c r="I677" i="24" s="1"/>
  <c r="I678" i="24" s="1"/>
  <c r="I679" i="24" s="1"/>
  <c r="I680" i="24" s="1"/>
  <c r="I681" i="24" s="1"/>
  <c r="I682" i="24" s="1"/>
  <c r="I683" i="24" s="1"/>
  <c r="I684" i="24" s="1"/>
  <c r="I685" i="24" s="1"/>
  <c r="I686" i="24" s="1"/>
  <c r="I687" i="24" s="1"/>
  <c r="I688" i="24" s="1"/>
  <c r="I689" i="24" s="1"/>
  <c r="I690" i="24" s="1"/>
  <c r="I691" i="24" s="1"/>
  <c r="I692" i="24" s="1"/>
  <c r="I693" i="24" s="1"/>
  <c r="I694" i="24" s="1"/>
  <c r="I695" i="24" s="1"/>
  <c r="I696" i="24" s="1"/>
  <c r="I697" i="24" s="1"/>
  <c r="I698" i="24" s="1"/>
  <c r="I699" i="24" s="1"/>
  <c r="I700" i="24" s="1"/>
  <c r="I701" i="24" s="1"/>
  <c r="I702" i="24" s="1"/>
  <c r="I703" i="24" s="1"/>
  <c r="I704" i="24" s="1"/>
  <c r="I705" i="24" s="1"/>
  <c r="I706" i="24" s="1"/>
  <c r="I707" i="24" s="1"/>
  <c r="I708" i="24" s="1"/>
  <c r="I709" i="24" s="1"/>
  <c r="I710" i="24" s="1"/>
  <c r="I711" i="24" s="1"/>
  <c r="I712" i="24" s="1"/>
  <c r="I713" i="24" s="1"/>
  <c r="I714" i="24" s="1"/>
  <c r="I715" i="24" s="1"/>
  <c r="I716" i="24" s="1"/>
  <c r="I717" i="24" s="1"/>
  <c r="I718" i="24" s="1"/>
  <c r="I719" i="24" s="1"/>
  <c r="I720" i="24" s="1"/>
  <c r="I721" i="24" s="1"/>
  <c r="I722" i="24" s="1"/>
  <c r="I723" i="24" s="1"/>
  <c r="I724" i="24" s="1"/>
  <c r="I725" i="24" s="1"/>
  <c r="I726" i="24" s="1"/>
  <c r="I727" i="24" s="1"/>
  <c r="I728" i="24" s="1"/>
  <c r="I729" i="24" s="1"/>
  <c r="I730" i="24" s="1"/>
  <c r="I731" i="24" s="1"/>
  <c r="I732" i="24" s="1"/>
  <c r="I733" i="24" s="1"/>
  <c r="I734" i="24" s="1"/>
  <c r="I735" i="24" s="1"/>
  <c r="I736" i="24" s="1"/>
  <c r="I737" i="24" s="1"/>
  <c r="I738" i="24" s="1"/>
  <c r="I739" i="24" s="1"/>
  <c r="I740" i="24" s="1"/>
  <c r="I741" i="24" s="1"/>
  <c r="I742" i="24" s="1"/>
  <c r="I743" i="24" s="1"/>
  <c r="I744" i="24" s="1"/>
  <c r="I745" i="24" s="1"/>
  <c r="I746" i="24" s="1"/>
  <c r="I747" i="24" s="1"/>
  <c r="I748" i="24" s="1"/>
  <c r="I749" i="24" s="1"/>
  <c r="I750" i="24" s="1"/>
  <c r="I751" i="24" s="1"/>
  <c r="I752" i="24" s="1"/>
  <c r="I753" i="24" s="1"/>
  <c r="I754" i="24" s="1"/>
  <c r="I755" i="24" s="1"/>
  <c r="I756" i="24" s="1"/>
  <c r="I757" i="24" s="1"/>
  <c r="I758" i="24" s="1"/>
  <c r="I759" i="24" s="1"/>
  <c r="I760" i="24" s="1"/>
  <c r="I761" i="24" s="1"/>
  <c r="I762" i="24" s="1"/>
  <c r="I763" i="24" s="1"/>
  <c r="I764" i="24" s="1"/>
  <c r="I765" i="24" s="1"/>
  <c r="I766" i="24" s="1"/>
  <c r="I767" i="24" s="1"/>
  <c r="I768" i="24" s="1"/>
  <c r="I769" i="24" s="1"/>
  <c r="I770" i="24" s="1"/>
  <c r="I771" i="24" s="1"/>
  <c r="I772" i="24" s="1"/>
  <c r="I773" i="24" s="1"/>
  <c r="I774" i="24" s="1"/>
  <c r="I775" i="24" s="1"/>
  <c r="I776" i="24" s="1"/>
  <c r="I777" i="24" s="1"/>
  <c r="I778" i="24" s="1"/>
  <c r="I779" i="24" s="1"/>
  <c r="I780" i="24" s="1"/>
  <c r="I781" i="24" s="1"/>
  <c r="I782" i="24" s="1"/>
  <c r="I783" i="24" s="1"/>
  <c r="I784" i="24" s="1"/>
  <c r="I785" i="24" s="1"/>
  <c r="I786" i="24" s="1"/>
  <c r="I787" i="24" s="1"/>
  <c r="I788" i="24" s="1"/>
  <c r="I789" i="24" s="1"/>
  <c r="I790" i="24" s="1"/>
  <c r="I791" i="24" s="1"/>
  <c r="I792" i="24" s="1"/>
  <c r="I793" i="24" s="1"/>
  <c r="I794" i="24" s="1"/>
  <c r="I795" i="24" s="1"/>
  <c r="I796" i="24" s="1"/>
  <c r="I797" i="24" s="1"/>
  <c r="I798" i="24" s="1"/>
  <c r="I799" i="24" s="1"/>
  <c r="I800" i="24" s="1"/>
  <c r="I801" i="24" s="1"/>
  <c r="I802" i="24" s="1"/>
  <c r="I803" i="24" s="1"/>
  <c r="I804" i="24" s="1"/>
  <c r="I805" i="24" s="1"/>
  <c r="I806" i="24" s="1"/>
  <c r="I807" i="24" s="1"/>
  <c r="I808" i="24" s="1"/>
  <c r="I809" i="24" s="1"/>
  <c r="I810" i="24" s="1"/>
  <c r="I811" i="24" s="1"/>
  <c r="I812" i="24" s="1"/>
  <c r="I813" i="24" s="1"/>
  <c r="I814" i="24" s="1"/>
  <c r="I815" i="24" s="1"/>
  <c r="I816" i="24" s="1"/>
  <c r="I817" i="24" s="1"/>
  <c r="I818" i="24" s="1"/>
  <c r="I819" i="24" s="1"/>
  <c r="I820" i="24" s="1"/>
  <c r="I821" i="24" s="1"/>
  <c r="I822" i="24" s="1"/>
  <c r="I823" i="24" s="1"/>
  <c r="I824" i="24" s="1"/>
  <c r="I825" i="24" s="1"/>
  <c r="I826" i="24" s="1"/>
  <c r="I827" i="24" s="1"/>
  <c r="I828" i="24" s="1"/>
  <c r="I829" i="24" s="1"/>
  <c r="I830" i="24" s="1"/>
  <c r="I831" i="24" s="1"/>
  <c r="I832" i="24" s="1"/>
  <c r="I833" i="24" s="1"/>
  <c r="I834" i="24" s="1"/>
  <c r="I835" i="24" s="1"/>
  <c r="I836" i="24" s="1"/>
  <c r="I837" i="24" s="1"/>
  <c r="I838" i="24" s="1"/>
  <c r="I839" i="24" s="1"/>
  <c r="I840" i="24" s="1"/>
  <c r="I841" i="24" s="1"/>
  <c r="I842" i="24" s="1"/>
  <c r="I843" i="24" s="1"/>
  <c r="I844" i="24" s="1"/>
  <c r="I845" i="24" s="1"/>
  <c r="I846" i="24" s="1"/>
  <c r="I847" i="24" s="1"/>
  <c r="I848" i="24" s="1"/>
  <c r="I849" i="24" s="1"/>
  <c r="I850" i="24" s="1"/>
  <c r="I851" i="24" s="1"/>
  <c r="I852" i="24" s="1"/>
  <c r="I853" i="24" s="1"/>
  <c r="I854" i="24" s="1"/>
  <c r="I855" i="24" s="1"/>
  <c r="I856" i="24" s="1"/>
  <c r="I857" i="24" s="1"/>
  <c r="I858" i="24" s="1"/>
  <c r="I859" i="24" s="1"/>
  <c r="I860" i="24" s="1"/>
  <c r="I861" i="24" s="1"/>
  <c r="I862" i="24" s="1"/>
  <c r="I863" i="24" s="1"/>
  <c r="I864" i="24" s="1"/>
  <c r="I865" i="24" s="1"/>
  <c r="I866" i="24" s="1"/>
  <c r="I867" i="24" s="1"/>
  <c r="I868" i="24" s="1"/>
  <c r="I869" i="24" s="1"/>
  <c r="I870" i="24" s="1"/>
  <c r="I871" i="24" s="1"/>
  <c r="I872" i="24" s="1"/>
  <c r="I873" i="24" s="1"/>
  <c r="I874" i="24" s="1"/>
  <c r="I875" i="24" s="1"/>
  <c r="I876" i="24" s="1"/>
  <c r="I877" i="24" s="1"/>
  <c r="I878" i="24" s="1"/>
  <c r="I879" i="24" s="1"/>
  <c r="I880" i="24" s="1"/>
  <c r="H3" i="24"/>
  <c r="G3" i="24" s="1"/>
  <c r="G4" i="24" s="1"/>
  <c r="G5" i="24" s="1"/>
  <c r="G6" i="24" s="1"/>
  <c r="G7" i="24" s="1"/>
  <c r="G8" i="24" s="1"/>
  <c r="G9" i="24" s="1"/>
  <c r="G10" i="24" s="1"/>
  <c r="G11" i="24" s="1"/>
  <c r="G12" i="24" s="1"/>
  <c r="G13" i="24" s="1"/>
  <c r="G14" i="24" s="1"/>
  <c r="G15" i="24" s="1"/>
  <c r="G16" i="24" s="1"/>
  <c r="G17" i="24" s="1"/>
  <c r="G18" i="24" s="1"/>
  <c r="G19" i="24" s="1"/>
  <c r="G20" i="24" s="1"/>
  <c r="G21" i="24" s="1"/>
  <c r="G22" i="24" s="1"/>
  <c r="G23" i="24" s="1"/>
  <c r="G24" i="24" s="1"/>
  <c r="G25" i="24" s="1"/>
  <c r="G26" i="24" s="1"/>
  <c r="G27" i="24" s="1"/>
  <c r="G28" i="24" s="1"/>
  <c r="G29" i="24" s="1"/>
  <c r="G30" i="24" s="1"/>
  <c r="G31" i="24" s="1"/>
  <c r="G32" i="24" s="1"/>
  <c r="G33" i="24" s="1"/>
  <c r="G34" i="24" s="1"/>
  <c r="G35" i="24" s="1"/>
  <c r="G36" i="24" s="1"/>
  <c r="G37" i="24" s="1"/>
  <c r="G38" i="24" s="1"/>
  <c r="G39" i="24" s="1"/>
  <c r="G40" i="24" s="1"/>
  <c r="G41" i="24" s="1"/>
  <c r="G42" i="24" s="1"/>
  <c r="G43" i="24" s="1"/>
  <c r="G44" i="24" s="1"/>
  <c r="G45" i="24" s="1"/>
  <c r="G46" i="24" s="1"/>
  <c r="G47" i="24" s="1"/>
  <c r="G48" i="24" s="1"/>
  <c r="G49" i="24" s="1"/>
  <c r="G50" i="24" s="1"/>
  <c r="G51" i="24" s="1"/>
  <c r="G52" i="24" s="1"/>
  <c r="G53" i="24" s="1"/>
  <c r="G54" i="24" s="1"/>
  <c r="G55" i="24" s="1"/>
  <c r="G56" i="24" s="1"/>
  <c r="G57" i="24" s="1"/>
  <c r="G58" i="24" s="1"/>
  <c r="G59" i="24" s="1"/>
  <c r="G60" i="24" s="1"/>
  <c r="G61" i="24" s="1"/>
  <c r="G62" i="24" s="1"/>
  <c r="G63" i="24" s="1"/>
  <c r="G64" i="24" s="1"/>
  <c r="G65" i="24" s="1"/>
  <c r="G66" i="24" s="1"/>
  <c r="G67" i="24" s="1"/>
  <c r="G68" i="24" s="1"/>
  <c r="G69" i="24" s="1"/>
  <c r="G70" i="24" s="1"/>
  <c r="G71" i="24" s="1"/>
  <c r="G72" i="24" s="1"/>
  <c r="G73" i="24" s="1"/>
  <c r="G74" i="24" s="1"/>
  <c r="G75" i="24" s="1"/>
  <c r="G76" i="24" s="1"/>
  <c r="G77" i="24" s="1"/>
  <c r="G78" i="24" s="1"/>
  <c r="G79" i="24" s="1"/>
  <c r="G80" i="24" s="1"/>
  <c r="G81" i="24" s="1"/>
  <c r="G82" i="24" s="1"/>
  <c r="G83" i="24" s="1"/>
  <c r="G84" i="24" s="1"/>
  <c r="G85" i="24" s="1"/>
  <c r="G86" i="24" s="1"/>
  <c r="G87" i="24" s="1"/>
  <c r="G88" i="24" s="1"/>
  <c r="G89" i="24" s="1"/>
  <c r="G90" i="24" s="1"/>
  <c r="G91" i="24" s="1"/>
  <c r="G92" i="24" s="1"/>
  <c r="G93" i="24" s="1"/>
  <c r="G94" i="24" s="1"/>
  <c r="G95" i="24" s="1"/>
  <c r="G96" i="24" s="1"/>
  <c r="G97" i="24" s="1"/>
  <c r="G98" i="24" s="1"/>
  <c r="G99" i="24" s="1"/>
  <c r="G100" i="24" s="1"/>
  <c r="G101" i="24" s="1"/>
  <c r="G102" i="24" s="1"/>
  <c r="G103" i="24" s="1"/>
  <c r="G104" i="24" s="1"/>
  <c r="G105" i="24" s="1"/>
  <c r="G106" i="24" s="1"/>
  <c r="G107" i="24" s="1"/>
  <c r="G108" i="24" s="1"/>
  <c r="G109" i="24" s="1"/>
  <c r="G110" i="24" s="1"/>
  <c r="G111" i="24" s="1"/>
  <c r="G112" i="24" s="1"/>
  <c r="G113" i="24" s="1"/>
  <c r="G114" i="24" s="1"/>
  <c r="G115" i="24" s="1"/>
  <c r="G116" i="24" s="1"/>
  <c r="G117" i="24" s="1"/>
  <c r="G118" i="24" s="1"/>
  <c r="G119" i="24" s="1"/>
  <c r="G120" i="24" s="1"/>
  <c r="G121" i="24" s="1"/>
  <c r="G122" i="24" s="1"/>
  <c r="G123" i="24" s="1"/>
  <c r="G124" i="24" s="1"/>
  <c r="G125" i="24" s="1"/>
  <c r="G126" i="24" s="1"/>
  <c r="G127" i="24" s="1"/>
  <c r="G128" i="24" s="1"/>
  <c r="G129" i="24" s="1"/>
  <c r="G130" i="24" s="1"/>
  <c r="G131" i="24" s="1"/>
  <c r="G132" i="24" s="1"/>
  <c r="G133" i="24" s="1"/>
  <c r="G134" i="24" s="1"/>
  <c r="G135" i="24" s="1"/>
  <c r="G136" i="24" s="1"/>
  <c r="G137" i="24" s="1"/>
  <c r="G138" i="24" s="1"/>
  <c r="G139" i="24" s="1"/>
  <c r="G140" i="24" s="1"/>
  <c r="G141" i="24" s="1"/>
  <c r="G142" i="24" s="1"/>
  <c r="G143" i="24" s="1"/>
  <c r="G144" i="24" s="1"/>
  <c r="G145" i="24" s="1"/>
  <c r="G146" i="24" s="1"/>
  <c r="G147" i="24" s="1"/>
  <c r="G148" i="24" s="1"/>
  <c r="G149" i="24" s="1"/>
  <c r="G150" i="24" s="1"/>
  <c r="G151" i="24" s="1"/>
  <c r="G152" i="24" s="1"/>
  <c r="G153" i="24" s="1"/>
  <c r="G154" i="24" s="1"/>
  <c r="G155" i="24" s="1"/>
  <c r="G156" i="24" s="1"/>
  <c r="G157" i="24" s="1"/>
  <c r="G158" i="24" s="1"/>
  <c r="G159" i="24" s="1"/>
  <c r="G160" i="24" s="1"/>
  <c r="G161" i="24" s="1"/>
  <c r="G162" i="24" s="1"/>
  <c r="G163" i="24" s="1"/>
  <c r="G164" i="24" s="1"/>
  <c r="G165" i="24" s="1"/>
  <c r="G166" i="24" s="1"/>
  <c r="G167" i="24" s="1"/>
  <c r="G168" i="24" s="1"/>
  <c r="G169" i="24" s="1"/>
  <c r="G170" i="24" s="1"/>
  <c r="G171" i="24" s="1"/>
  <c r="G172" i="24" s="1"/>
  <c r="G173" i="24" s="1"/>
  <c r="G174" i="24" s="1"/>
  <c r="G175" i="24" s="1"/>
  <c r="G176" i="24" s="1"/>
  <c r="G177" i="24" s="1"/>
  <c r="G178" i="24" s="1"/>
  <c r="G179" i="24" s="1"/>
  <c r="G180" i="24" s="1"/>
  <c r="G181" i="24" s="1"/>
  <c r="G182" i="24" s="1"/>
  <c r="G183" i="24" s="1"/>
  <c r="G184" i="24" s="1"/>
  <c r="G185" i="24" s="1"/>
  <c r="G186" i="24" s="1"/>
  <c r="G187" i="24" s="1"/>
  <c r="G188" i="24" s="1"/>
  <c r="G189" i="24" s="1"/>
  <c r="G190" i="24" s="1"/>
  <c r="G191" i="24" s="1"/>
  <c r="G192" i="24" s="1"/>
  <c r="G193" i="24" s="1"/>
  <c r="G194" i="24" s="1"/>
  <c r="G195" i="24" s="1"/>
  <c r="G196" i="24" s="1"/>
  <c r="G197" i="24" s="1"/>
  <c r="G198" i="24" s="1"/>
  <c r="G199" i="24" s="1"/>
  <c r="G200" i="24" s="1"/>
  <c r="G201" i="24" s="1"/>
  <c r="G202" i="24" s="1"/>
  <c r="G203" i="24" s="1"/>
  <c r="G204" i="24" s="1"/>
  <c r="G205" i="24" s="1"/>
  <c r="G206" i="24" s="1"/>
  <c r="G207" i="24" s="1"/>
  <c r="G208" i="24" s="1"/>
  <c r="G209" i="24" s="1"/>
  <c r="G210" i="24" s="1"/>
  <c r="G211" i="24" s="1"/>
  <c r="G212" i="24" s="1"/>
  <c r="G213" i="24" s="1"/>
  <c r="G214" i="24" s="1"/>
  <c r="G215" i="24" s="1"/>
  <c r="G216" i="24" s="1"/>
  <c r="G217" i="24" s="1"/>
  <c r="G218" i="24" s="1"/>
  <c r="G219" i="24" s="1"/>
  <c r="G220" i="24" s="1"/>
  <c r="G221" i="24" s="1"/>
  <c r="G222" i="24" s="1"/>
  <c r="G223" i="24" s="1"/>
  <c r="G224" i="24" s="1"/>
  <c r="G225" i="24" s="1"/>
  <c r="G226" i="24" s="1"/>
  <c r="G227" i="24" s="1"/>
  <c r="G228" i="24" s="1"/>
  <c r="G229" i="24" s="1"/>
  <c r="G230" i="24" s="1"/>
  <c r="G231" i="24" s="1"/>
  <c r="G232" i="24" s="1"/>
  <c r="G233" i="24" s="1"/>
  <c r="G234" i="24" s="1"/>
  <c r="G235" i="24" s="1"/>
  <c r="G236" i="24" s="1"/>
  <c r="G237" i="24" s="1"/>
  <c r="G238" i="24" s="1"/>
  <c r="G239" i="24" s="1"/>
  <c r="G240" i="24" s="1"/>
  <c r="G241" i="24" s="1"/>
  <c r="G242" i="24" s="1"/>
  <c r="G243" i="24" s="1"/>
  <c r="G244" i="24" s="1"/>
  <c r="G245" i="24" s="1"/>
  <c r="G246" i="24" s="1"/>
  <c r="G247" i="24" s="1"/>
  <c r="G248" i="24" s="1"/>
  <c r="G249" i="24" s="1"/>
  <c r="G250" i="24" s="1"/>
  <c r="G251" i="24" s="1"/>
  <c r="G252" i="24" s="1"/>
  <c r="G253" i="24" s="1"/>
  <c r="G254" i="24" s="1"/>
  <c r="G255" i="24" s="1"/>
  <c r="G256" i="24" s="1"/>
  <c r="G257" i="24" s="1"/>
  <c r="G258" i="24" s="1"/>
  <c r="G259" i="24" s="1"/>
  <c r="G260" i="24" s="1"/>
  <c r="G261" i="24" s="1"/>
  <c r="G262" i="24" s="1"/>
  <c r="G263" i="24" s="1"/>
  <c r="G264" i="24" s="1"/>
  <c r="G265" i="24" s="1"/>
  <c r="G266" i="24" s="1"/>
  <c r="G267" i="24" s="1"/>
  <c r="G268" i="24" s="1"/>
  <c r="G269" i="24" s="1"/>
  <c r="G270" i="24" s="1"/>
  <c r="G271" i="24" s="1"/>
  <c r="G272" i="24" s="1"/>
  <c r="G273" i="24" s="1"/>
  <c r="G274" i="24" s="1"/>
  <c r="G275" i="24" s="1"/>
  <c r="G276" i="24" s="1"/>
  <c r="G277" i="24" s="1"/>
  <c r="G278" i="24" s="1"/>
  <c r="G279" i="24" s="1"/>
  <c r="G280" i="24" s="1"/>
  <c r="G281" i="24" s="1"/>
  <c r="G282" i="24" s="1"/>
  <c r="G283" i="24" s="1"/>
  <c r="G284" i="24" s="1"/>
  <c r="G285" i="24" s="1"/>
  <c r="G286" i="24" s="1"/>
  <c r="G287" i="24" s="1"/>
  <c r="G288" i="24" s="1"/>
  <c r="G289" i="24" s="1"/>
  <c r="G290" i="24" s="1"/>
  <c r="G291" i="24" s="1"/>
  <c r="G292" i="24" s="1"/>
  <c r="G293" i="24" s="1"/>
  <c r="G294" i="24" s="1"/>
  <c r="G295" i="24" s="1"/>
  <c r="G296" i="24" s="1"/>
  <c r="G297" i="24" s="1"/>
  <c r="G298" i="24" s="1"/>
  <c r="G299" i="24" s="1"/>
  <c r="G300" i="24" s="1"/>
  <c r="G301" i="24" s="1"/>
  <c r="G302" i="24" s="1"/>
  <c r="G303" i="24" s="1"/>
  <c r="G304" i="24" s="1"/>
  <c r="G305" i="24" s="1"/>
  <c r="G306" i="24" s="1"/>
  <c r="G307" i="24" s="1"/>
  <c r="G308" i="24" s="1"/>
  <c r="G309" i="24" s="1"/>
  <c r="G310" i="24" s="1"/>
  <c r="G311" i="24" s="1"/>
  <c r="G312" i="24" s="1"/>
  <c r="G313" i="24" s="1"/>
  <c r="G314" i="24" s="1"/>
  <c r="G315" i="24" s="1"/>
  <c r="G316" i="24" s="1"/>
  <c r="G317" i="24" s="1"/>
  <c r="G318" i="24" s="1"/>
  <c r="G319" i="24" s="1"/>
  <c r="G320" i="24" s="1"/>
  <c r="G321" i="24" s="1"/>
  <c r="G322" i="24" s="1"/>
  <c r="G323" i="24" s="1"/>
  <c r="G324" i="24" s="1"/>
  <c r="G325" i="24" s="1"/>
  <c r="G326" i="24" s="1"/>
  <c r="G327" i="24" s="1"/>
  <c r="G328" i="24" s="1"/>
  <c r="G329" i="24" s="1"/>
  <c r="G330" i="24" s="1"/>
  <c r="G331" i="24" s="1"/>
  <c r="G332" i="24" s="1"/>
  <c r="G333" i="24" s="1"/>
  <c r="G334" i="24" s="1"/>
  <c r="G335" i="24" s="1"/>
  <c r="G336" i="24" s="1"/>
  <c r="G337" i="24" s="1"/>
  <c r="G338" i="24" s="1"/>
  <c r="G339" i="24" s="1"/>
  <c r="G340" i="24" s="1"/>
  <c r="G341" i="24" s="1"/>
  <c r="G342" i="24" s="1"/>
  <c r="G343" i="24" s="1"/>
  <c r="G344" i="24" s="1"/>
  <c r="G345" i="24" s="1"/>
  <c r="G346" i="24" s="1"/>
  <c r="G347" i="24" s="1"/>
  <c r="G348" i="24" s="1"/>
  <c r="G349" i="24" s="1"/>
  <c r="G350" i="24" s="1"/>
  <c r="G351" i="24" s="1"/>
  <c r="G352" i="24" s="1"/>
  <c r="G353" i="24" s="1"/>
  <c r="G354" i="24" s="1"/>
  <c r="G355" i="24" s="1"/>
  <c r="G356" i="24" s="1"/>
  <c r="G357" i="24" s="1"/>
  <c r="G358" i="24" s="1"/>
  <c r="G359" i="24" s="1"/>
  <c r="G360" i="24" s="1"/>
  <c r="G361" i="24" s="1"/>
  <c r="G362" i="24" s="1"/>
  <c r="G363" i="24" s="1"/>
  <c r="G364" i="24" s="1"/>
  <c r="G365" i="24" s="1"/>
  <c r="G366" i="24" s="1"/>
  <c r="G367" i="24" s="1"/>
  <c r="G368" i="24" s="1"/>
  <c r="G369" i="24" s="1"/>
  <c r="G370" i="24" s="1"/>
  <c r="G371" i="24" s="1"/>
  <c r="G372" i="24" s="1"/>
  <c r="G373" i="24" s="1"/>
  <c r="G374" i="24" s="1"/>
  <c r="G375" i="24" s="1"/>
  <c r="G376" i="24" s="1"/>
  <c r="G377" i="24" s="1"/>
  <c r="G378" i="24" s="1"/>
  <c r="G379" i="24" s="1"/>
  <c r="G380" i="24" s="1"/>
  <c r="G381" i="24" s="1"/>
  <c r="G382" i="24" s="1"/>
  <c r="G383" i="24" s="1"/>
  <c r="G384" i="24" s="1"/>
  <c r="G385" i="24" s="1"/>
  <c r="G386" i="24" s="1"/>
  <c r="G387" i="24" s="1"/>
  <c r="G388" i="24" s="1"/>
  <c r="G389" i="24" s="1"/>
  <c r="G390" i="24" s="1"/>
  <c r="G391" i="24" s="1"/>
  <c r="G392" i="24" s="1"/>
  <c r="G393" i="24" s="1"/>
  <c r="G394" i="24" s="1"/>
  <c r="G395" i="24" s="1"/>
  <c r="G396" i="24" s="1"/>
  <c r="G397" i="24" s="1"/>
  <c r="G398" i="24" s="1"/>
  <c r="G399" i="24" s="1"/>
  <c r="G400" i="24" s="1"/>
  <c r="G401" i="24" s="1"/>
  <c r="G402" i="24" s="1"/>
  <c r="G403" i="24" s="1"/>
  <c r="G404" i="24" s="1"/>
  <c r="G405" i="24" s="1"/>
  <c r="G406" i="24" s="1"/>
  <c r="G407" i="24" s="1"/>
  <c r="G408" i="24" s="1"/>
  <c r="G409" i="24" s="1"/>
  <c r="G410" i="24" s="1"/>
  <c r="G411" i="24" s="1"/>
  <c r="G412" i="24" s="1"/>
  <c r="G413" i="24" s="1"/>
  <c r="G414" i="24" s="1"/>
  <c r="G415" i="24" s="1"/>
  <c r="G416" i="24" s="1"/>
  <c r="G417" i="24" s="1"/>
  <c r="G418" i="24" s="1"/>
  <c r="G419" i="24" s="1"/>
  <c r="G420" i="24" s="1"/>
  <c r="G421" i="24" s="1"/>
  <c r="G422" i="24" s="1"/>
  <c r="G423" i="24" s="1"/>
  <c r="G424" i="24" s="1"/>
  <c r="G425" i="24" s="1"/>
  <c r="G426" i="24" s="1"/>
  <c r="G427" i="24" s="1"/>
  <c r="G428" i="24" s="1"/>
  <c r="G429" i="24" s="1"/>
  <c r="G430" i="24" s="1"/>
  <c r="G431" i="24" s="1"/>
  <c r="G432" i="24" s="1"/>
  <c r="G433" i="24" s="1"/>
  <c r="G434" i="24" s="1"/>
  <c r="G435" i="24" s="1"/>
  <c r="G436" i="24" s="1"/>
  <c r="G437" i="24" s="1"/>
  <c r="G438" i="24" s="1"/>
  <c r="G439" i="24" s="1"/>
  <c r="G440" i="24" s="1"/>
  <c r="G441" i="24" s="1"/>
  <c r="G442" i="24" s="1"/>
  <c r="G443" i="24" s="1"/>
  <c r="G444" i="24" s="1"/>
  <c r="G445" i="24" s="1"/>
  <c r="G446" i="24" s="1"/>
  <c r="G447" i="24" s="1"/>
  <c r="G448" i="24" s="1"/>
  <c r="G449" i="24" s="1"/>
  <c r="G450" i="24" s="1"/>
  <c r="G451" i="24" s="1"/>
  <c r="G452" i="24" s="1"/>
  <c r="G453" i="24" s="1"/>
  <c r="G454" i="24" s="1"/>
  <c r="G455" i="24" s="1"/>
  <c r="G456" i="24" s="1"/>
  <c r="G457" i="24" s="1"/>
  <c r="G458" i="24" s="1"/>
  <c r="G459" i="24" s="1"/>
  <c r="G460" i="24" s="1"/>
  <c r="G461" i="24" s="1"/>
  <c r="G462" i="24" s="1"/>
  <c r="G463" i="24" s="1"/>
  <c r="G464" i="24" s="1"/>
  <c r="G465" i="24" s="1"/>
  <c r="G466" i="24" s="1"/>
  <c r="G467" i="24" s="1"/>
  <c r="G468" i="24" s="1"/>
  <c r="G469" i="24" s="1"/>
  <c r="G470" i="24" s="1"/>
  <c r="G471" i="24" s="1"/>
  <c r="G472" i="24" s="1"/>
  <c r="G473" i="24" s="1"/>
  <c r="G474" i="24" s="1"/>
  <c r="G475" i="24" s="1"/>
  <c r="G476" i="24" s="1"/>
  <c r="G477" i="24" s="1"/>
  <c r="G478" i="24" s="1"/>
  <c r="G479" i="24" s="1"/>
  <c r="G480" i="24" s="1"/>
  <c r="G481" i="24" s="1"/>
  <c r="G482" i="24" s="1"/>
  <c r="G483" i="24" s="1"/>
  <c r="G484" i="24" s="1"/>
  <c r="G485" i="24" s="1"/>
  <c r="G486" i="24" s="1"/>
  <c r="G487" i="24" s="1"/>
  <c r="G488" i="24" s="1"/>
  <c r="G489" i="24" s="1"/>
  <c r="G490" i="24" s="1"/>
  <c r="G491" i="24" s="1"/>
  <c r="G492" i="24" s="1"/>
  <c r="G493" i="24" s="1"/>
  <c r="G494" i="24" s="1"/>
  <c r="G495" i="24" s="1"/>
  <c r="G496" i="24" s="1"/>
  <c r="G497" i="24" s="1"/>
  <c r="G498" i="24" s="1"/>
  <c r="G499" i="24" s="1"/>
  <c r="G500" i="24" s="1"/>
  <c r="G501" i="24" s="1"/>
  <c r="G502" i="24" s="1"/>
  <c r="G503" i="24" s="1"/>
  <c r="G504" i="24" s="1"/>
  <c r="G505" i="24" s="1"/>
  <c r="G506" i="24" s="1"/>
  <c r="G507" i="24" s="1"/>
  <c r="G508" i="24" s="1"/>
  <c r="G509" i="24" s="1"/>
  <c r="G510" i="24" s="1"/>
  <c r="G511" i="24" s="1"/>
  <c r="G512" i="24" s="1"/>
  <c r="G513" i="24" s="1"/>
  <c r="G514" i="24" s="1"/>
  <c r="G515" i="24" s="1"/>
  <c r="G516" i="24" s="1"/>
  <c r="G517" i="24" s="1"/>
  <c r="G518" i="24" s="1"/>
  <c r="G519" i="24" s="1"/>
  <c r="G520" i="24" s="1"/>
  <c r="G521" i="24" s="1"/>
  <c r="G522" i="24" s="1"/>
  <c r="G523" i="24" s="1"/>
  <c r="G524" i="24" s="1"/>
  <c r="G525" i="24" s="1"/>
  <c r="G526" i="24" s="1"/>
  <c r="G527" i="24" s="1"/>
  <c r="G528" i="24" s="1"/>
  <c r="G529" i="24" s="1"/>
  <c r="G530" i="24" s="1"/>
  <c r="G531" i="24" s="1"/>
  <c r="G532" i="24" s="1"/>
  <c r="G533" i="24" s="1"/>
  <c r="G534" i="24" s="1"/>
  <c r="G535" i="24" s="1"/>
  <c r="G536" i="24" s="1"/>
  <c r="G537" i="24" s="1"/>
  <c r="G538" i="24" s="1"/>
  <c r="G539" i="24" s="1"/>
  <c r="G540" i="24" s="1"/>
  <c r="G541" i="24" s="1"/>
  <c r="G542" i="24" s="1"/>
  <c r="G543" i="24" s="1"/>
  <c r="G544" i="24" s="1"/>
  <c r="G545" i="24" s="1"/>
  <c r="G546" i="24" s="1"/>
  <c r="G547" i="24" s="1"/>
  <c r="G548" i="24" s="1"/>
  <c r="G549" i="24" s="1"/>
  <c r="G550" i="24" s="1"/>
  <c r="G551" i="24" s="1"/>
  <c r="G552" i="24" s="1"/>
  <c r="G553" i="24" s="1"/>
  <c r="G554" i="24" s="1"/>
  <c r="G555" i="24" s="1"/>
  <c r="G556" i="24" s="1"/>
  <c r="G557" i="24" s="1"/>
  <c r="G558" i="24" s="1"/>
  <c r="G559" i="24" s="1"/>
  <c r="G560" i="24" s="1"/>
  <c r="G561" i="24" s="1"/>
  <c r="G562" i="24" s="1"/>
  <c r="G563" i="24" s="1"/>
  <c r="G564" i="24" s="1"/>
  <c r="G565" i="24" s="1"/>
  <c r="G566" i="24" s="1"/>
  <c r="G567" i="24" s="1"/>
  <c r="G568" i="24" s="1"/>
  <c r="G569" i="24" s="1"/>
  <c r="G570" i="24" s="1"/>
  <c r="G571" i="24" s="1"/>
  <c r="G572" i="24" s="1"/>
  <c r="G573" i="24" s="1"/>
  <c r="G574" i="24" s="1"/>
  <c r="G575" i="24" s="1"/>
  <c r="G576" i="24" s="1"/>
  <c r="G577" i="24" s="1"/>
  <c r="G578" i="24" s="1"/>
  <c r="G579" i="24" s="1"/>
  <c r="G580" i="24" s="1"/>
  <c r="G581" i="24" s="1"/>
  <c r="G582" i="24" s="1"/>
  <c r="G583" i="24" s="1"/>
  <c r="G584" i="24" s="1"/>
  <c r="G585" i="24" s="1"/>
  <c r="G586" i="24" s="1"/>
  <c r="G587" i="24" s="1"/>
  <c r="G588" i="24" s="1"/>
  <c r="G589" i="24" s="1"/>
  <c r="G590" i="24" s="1"/>
  <c r="G591" i="24" s="1"/>
  <c r="G592" i="24" s="1"/>
  <c r="G593" i="24" s="1"/>
  <c r="G594" i="24" s="1"/>
  <c r="G595" i="24" s="1"/>
  <c r="G596" i="24" s="1"/>
  <c r="G597" i="24" s="1"/>
  <c r="G598" i="24" s="1"/>
  <c r="G599" i="24" s="1"/>
  <c r="G600" i="24" s="1"/>
  <c r="G601" i="24" s="1"/>
  <c r="G602" i="24" s="1"/>
  <c r="G603" i="24" s="1"/>
  <c r="G604" i="24" s="1"/>
  <c r="G605" i="24" s="1"/>
  <c r="G606" i="24" s="1"/>
  <c r="G607" i="24" s="1"/>
  <c r="G608" i="24" s="1"/>
  <c r="G609" i="24" s="1"/>
  <c r="G610" i="24" s="1"/>
  <c r="G611" i="24" s="1"/>
  <c r="G612" i="24" s="1"/>
  <c r="G613" i="24" s="1"/>
  <c r="G614" i="24" s="1"/>
  <c r="G615" i="24" s="1"/>
  <c r="G616" i="24" s="1"/>
  <c r="G617" i="24" s="1"/>
  <c r="G618" i="24" s="1"/>
  <c r="G619" i="24" s="1"/>
  <c r="G620" i="24" s="1"/>
  <c r="G621" i="24" s="1"/>
  <c r="G622" i="24" s="1"/>
  <c r="G623" i="24" s="1"/>
  <c r="G624" i="24" s="1"/>
  <c r="G625" i="24" s="1"/>
  <c r="G626" i="24" s="1"/>
  <c r="G627" i="24" s="1"/>
  <c r="G628" i="24" s="1"/>
  <c r="G629" i="24" s="1"/>
  <c r="G630" i="24" s="1"/>
  <c r="G631" i="24" s="1"/>
  <c r="G632" i="24" s="1"/>
  <c r="G633" i="24" s="1"/>
  <c r="G634" i="24" s="1"/>
  <c r="G635" i="24" s="1"/>
  <c r="G636" i="24" s="1"/>
  <c r="G637" i="24" s="1"/>
  <c r="G638" i="24" s="1"/>
  <c r="G639" i="24" s="1"/>
  <c r="G640" i="24" s="1"/>
  <c r="G641" i="24" s="1"/>
  <c r="G642" i="24" s="1"/>
  <c r="G643" i="24" s="1"/>
  <c r="G644" i="24" s="1"/>
  <c r="G645" i="24" s="1"/>
  <c r="G646" i="24" s="1"/>
  <c r="G647" i="24" s="1"/>
  <c r="G648" i="24" s="1"/>
  <c r="G649" i="24" s="1"/>
  <c r="G650" i="24" s="1"/>
  <c r="G651" i="24" s="1"/>
  <c r="G652" i="24" s="1"/>
  <c r="G653" i="24" s="1"/>
  <c r="G654" i="24" s="1"/>
  <c r="G655" i="24" s="1"/>
  <c r="G656" i="24" s="1"/>
  <c r="G657" i="24" s="1"/>
  <c r="G658" i="24" s="1"/>
  <c r="G659" i="24" s="1"/>
  <c r="G660" i="24" s="1"/>
  <c r="G661" i="24" s="1"/>
  <c r="G662" i="24" s="1"/>
  <c r="G663" i="24" s="1"/>
  <c r="G664" i="24" s="1"/>
  <c r="G665" i="24" s="1"/>
  <c r="G666" i="24" s="1"/>
  <c r="G667" i="24" s="1"/>
  <c r="G668" i="24" s="1"/>
  <c r="G669" i="24" s="1"/>
  <c r="G670" i="24" s="1"/>
  <c r="G671" i="24" s="1"/>
  <c r="G672" i="24" s="1"/>
  <c r="G673" i="24" s="1"/>
  <c r="G674" i="24" s="1"/>
  <c r="G675" i="24" s="1"/>
  <c r="G676" i="24" s="1"/>
  <c r="G677" i="24" s="1"/>
  <c r="G678" i="24" s="1"/>
  <c r="G679" i="24" s="1"/>
  <c r="G680" i="24" s="1"/>
  <c r="G681" i="24" s="1"/>
  <c r="G682" i="24" s="1"/>
  <c r="G683" i="24" s="1"/>
  <c r="G684" i="24" s="1"/>
  <c r="G685" i="24" s="1"/>
  <c r="G686" i="24" s="1"/>
  <c r="G687" i="24" s="1"/>
  <c r="G688" i="24" s="1"/>
  <c r="G689" i="24" s="1"/>
  <c r="G690" i="24" s="1"/>
  <c r="G691" i="24" s="1"/>
  <c r="G692" i="24" s="1"/>
  <c r="G693" i="24" s="1"/>
  <c r="G694" i="24" s="1"/>
  <c r="G695" i="24" s="1"/>
  <c r="G696" i="24" s="1"/>
  <c r="G697" i="24" s="1"/>
  <c r="G698" i="24" s="1"/>
  <c r="G699" i="24" s="1"/>
  <c r="G700" i="24" s="1"/>
  <c r="G701" i="24" s="1"/>
  <c r="G702" i="24" s="1"/>
  <c r="G703" i="24" s="1"/>
  <c r="G704" i="24" s="1"/>
  <c r="G705" i="24" s="1"/>
  <c r="G706" i="24" s="1"/>
  <c r="G707" i="24" s="1"/>
  <c r="G708" i="24" s="1"/>
  <c r="G709" i="24" s="1"/>
  <c r="G710" i="24" s="1"/>
  <c r="G711" i="24" s="1"/>
  <c r="G712" i="24" s="1"/>
  <c r="G713" i="24" s="1"/>
  <c r="G714" i="24" s="1"/>
  <c r="G715" i="24" s="1"/>
  <c r="G716" i="24" s="1"/>
  <c r="G717" i="24" s="1"/>
  <c r="G718" i="24" s="1"/>
  <c r="G719" i="24" s="1"/>
  <c r="G720" i="24" s="1"/>
  <c r="G721" i="24" s="1"/>
  <c r="G722" i="24" s="1"/>
  <c r="G723" i="24" s="1"/>
  <c r="G724" i="24" s="1"/>
  <c r="G725" i="24" s="1"/>
  <c r="G726" i="24" s="1"/>
  <c r="G727" i="24" s="1"/>
  <c r="G728" i="24" s="1"/>
  <c r="G729" i="24" s="1"/>
  <c r="G730" i="24" s="1"/>
  <c r="G731" i="24" s="1"/>
  <c r="G732" i="24" s="1"/>
  <c r="G733" i="24" s="1"/>
  <c r="G734" i="24" s="1"/>
  <c r="G735" i="24" s="1"/>
  <c r="G736" i="24" s="1"/>
  <c r="G737" i="24" s="1"/>
  <c r="G738" i="24" s="1"/>
  <c r="G739" i="24" s="1"/>
  <c r="G740" i="24" s="1"/>
  <c r="G741" i="24" s="1"/>
  <c r="G742" i="24" s="1"/>
  <c r="G743" i="24" s="1"/>
  <c r="G744" i="24" s="1"/>
  <c r="G745" i="24" s="1"/>
  <c r="G746" i="24" s="1"/>
  <c r="G747" i="24" s="1"/>
  <c r="G748" i="24" s="1"/>
  <c r="G749" i="24" s="1"/>
  <c r="G750" i="24" s="1"/>
  <c r="G751" i="24" s="1"/>
  <c r="G752" i="24" s="1"/>
  <c r="G753" i="24" s="1"/>
  <c r="G754" i="24" s="1"/>
  <c r="G755" i="24" s="1"/>
  <c r="G756" i="24" s="1"/>
  <c r="G757" i="24" s="1"/>
  <c r="G758" i="24" s="1"/>
  <c r="G759" i="24" s="1"/>
  <c r="G760" i="24" s="1"/>
  <c r="G761" i="24" s="1"/>
  <c r="G762" i="24" s="1"/>
  <c r="G763" i="24" s="1"/>
  <c r="G764" i="24" s="1"/>
  <c r="G765" i="24" s="1"/>
  <c r="G766" i="24" s="1"/>
  <c r="G767" i="24" s="1"/>
  <c r="G768" i="24" s="1"/>
  <c r="G769" i="24" s="1"/>
  <c r="G770" i="24" s="1"/>
  <c r="G771" i="24" s="1"/>
  <c r="G772" i="24" s="1"/>
  <c r="G773" i="24" s="1"/>
  <c r="G774" i="24" s="1"/>
  <c r="G775" i="24" s="1"/>
  <c r="G776" i="24" s="1"/>
  <c r="G777" i="24" s="1"/>
  <c r="G778" i="24" s="1"/>
  <c r="G779" i="24" s="1"/>
  <c r="G780" i="24" s="1"/>
  <c r="G781" i="24" s="1"/>
  <c r="G782" i="24" s="1"/>
  <c r="G783" i="24" s="1"/>
  <c r="G784" i="24" s="1"/>
  <c r="G785" i="24" s="1"/>
  <c r="G786" i="24" s="1"/>
  <c r="G787" i="24" s="1"/>
  <c r="G788" i="24" s="1"/>
  <c r="G789" i="24" s="1"/>
  <c r="G790" i="24" s="1"/>
  <c r="G791" i="24" s="1"/>
  <c r="G792" i="24" s="1"/>
  <c r="G793" i="24" s="1"/>
  <c r="G794" i="24" s="1"/>
  <c r="G795" i="24" s="1"/>
  <c r="G796" i="24" s="1"/>
  <c r="G797" i="24" s="1"/>
  <c r="G798" i="24" s="1"/>
  <c r="G799" i="24" s="1"/>
  <c r="G800" i="24" s="1"/>
  <c r="G801" i="24" s="1"/>
  <c r="G802" i="24" s="1"/>
  <c r="G803" i="24" s="1"/>
  <c r="G804" i="24" s="1"/>
  <c r="G805" i="24" s="1"/>
  <c r="G806" i="24" s="1"/>
  <c r="G807" i="24" s="1"/>
  <c r="G808" i="24" s="1"/>
  <c r="G809" i="24" s="1"/>
  <c r="G810" i="24" s="1"/>
  <c r="G811" i="24" s="1"/>
  <c r="G812" i="24" s="1"/>
  <c r="G813" i="24" s="1"/>
  <c r="G814" i="24" s="1"/>
  <c r="G815" i="24" s="1"/>
  <c r="G816" i="24" s="1"/>
  <c r="G817" i="24" s="1"/>
  <c r="G818" i="24" s="1"/>
  <c r="G819" i="24" s="1"/>
  <c r="G820" i="24" s="1"/>
  <c r="G821" i="24" s="1"/>
  <c r="G822" i="24" s="1"/>
  <c r="G823" i="24" s="1"/>
  <c r="G824" i="24" s="1"/>
  <c r="G825" i="24" s="1"/>
  <c r="G826" i="24" s="1"/>
  <c r="G827" i="24" s="1"/>
  <c r="G828" i="24" s="1"/>
  <c r="G829" i="24" s="1"/>
  <c r="G830" i="24" s="1"/>
  <c r="G831" i="24" s="1"/>
  <c r="G832" i="24" s="1"/>
  <c r="G833" i="24" s="1"/>
  <c r="G834" i="24" s="1"/>
  <c r="G835" i="24" s="1"/>
  <c r="G836" i="24" s="1"/>
  <c r="G837" i="24" s="1"/>
  <c r="G838" i="24" s="1"/>
  <c r="G839" i="24" s="1"/>
  <c r="G840" i="24" s="1"/>
  <c r="G841" i="24" s="1"/>
  <c r="G842" i="24" s="1"/>
  <c r="G843" i="24" s="1"/>
  <c r="G844" i="24" s="1"/>
  <c r="G845" i="24" s="1"/>
  <c r="G846" i="24" s="1"/>
  <c r="G847" i="24" s="1"/>
  <c r="G848" i="24" s="1"/>
  <c r="G849" i="24" s="1"/>
  <c r="G850" i="24" s="1"/>
  <c r="G851" i="24" s="1"/>
  <c r="G852" i="24" s="1"/>
  <c r="G853" i="24" s="1"/>
  <c r="G854" i="24" s="1"/>
  <c r="G855" i="24" s="1"/>
  <c r="G856" i="24" s="1"/>
  <c r="G857" i="24" s="1"/>
  <c r="G858" i="24" s="1"/>
  <c r="G859" i="24" s="1"/>
  <c r="G860" i="24" s="1"/>
  <c r="G861" i="24" s="1"/>
  <c r="G862" i="24" s="1"/>
  <c r="G863" i="24" s="1"/>
  <c r="G864" i="24" s="1"/>
  <c r="G865" i="24" s="1"/>
  <c r="G866" i="24" s="1"/>
  <c r="G867" i="24" s="1"/>
  <c r="G868" i="24" s="1"/>
  <c r="G869" i="24" s="1"/>
  <c r="G870" i="24" s="1"/>
  <c r="G871" i="24" s="1"/>
  <c r="G872" i="24" s="1"/>
  <c r="G873" i="24" s="1"/>
  <c r="G874" i="24" s="1"/>
  <c r="G875" i="24" s="1"/>
  <c r="G876" i="24" s="1"/>
  <c r="G877" i="24" s="1"/>
  <c r="G878" i="24" s="1"/>
  <c r="G879" i="24" s="1"/>
  <c r="G880" i="24" s="1"/>
  <c r="F3" i="24"/>
  <c r="E3" i="24" s="1"/>
  <c r="E4" i="24" s="1"/>
  <c r="E5" i="24" s="1"/>
  <c r="E6" i="24" s="1"/>
  <c r="E7" i="24" s="1"/>
  <c r="E8" i="24" s="1"/>
  <c r="E9" i="24" s="1"/>
  <c r="E10" i="24" s="1"/>
  <c r="E11" i="24" s="1"/>
  <c r="E12" i="24" s="1"/>
  <c r="E13" i="24" s="1"/>
  <c r="E14" i="24" s="1"/>
  <c r="E15" i="24" s="1"/>
  <c r="E16" i="24" s="1"/>
  <c r="E17" i="24" s="1"/>
  <c r="E18" i="24" s="1"/>
  <c r="E19" i="24" s="1"/>
  <c r="E20" i="24" s="1"/>
  <c r="E21" i="24" s="1"/>
  <c r="E22" i="24" s="1"/>
  <c r="E23" i="24" s="1"/>
  <c r="E24" i="24" s="1"/>
  <c r="E25" i="24" s="1"/>
  <c r="E26" i="24" s="1"/>
  <c r="E27" i="24" s="1"/>
  <c r="E28" i="24" s="1"/>
  <c r="E29" i="24" s="1"/>
  <c r="E30" i="24" s="1"/>
  <c r="E31" i="24" s="1"/>
  <c r="E32" i="24" s="1"/>
  <c r="E33" i="24" s="1"/>
  <c r="E34" i="24" s="1"/>
  <c r="E35" i="24" s="1"/>
  <c r="E36" i="24" s="1"/>
  <c r="E37" i="24" s="1"/>
  <c r="E38" i="24" s="1"/>
  <c r="E39" i="24" s="1"/>
  <c r="E40" i="24" s="1"/>
  <c r="E41" i="24" s="1"/>
  <c r="E42" i="24" s="1"/>
  <c r="E43" i="24" s="1"/>
  <c r="E44" i="24" s="1"/>
  <c r="E45" i="24" s="1"/>
  <c r="E46" i="24" s="1"/>
  <c r="E47" i="24" s="1"/>
  <c r="E48" i="24" s="1"/>
  <c r="E49" i="24" s="1"/>
  <c r="E50" i="24" s="1"/>
  <c r="E51" i="24" s="1"/>
  <c r="E52" i="24" s="1"/>
  <c r="E53" i="24" s="1"/>
  <c r="E54" i="24" s="1"/>
  <c r="E55" i="24" s="1"/>
  <c r="E56" i="24" s="1"/>
  <c r="E57" i="24" s="1"/>
  <c r="E58" i="24" s="1"/>
  <c r="E59" i="24" s="1"/>
  <c r="E60" i="24" s="1"/>
  <c r="E61" i="24" s="1"/>
  <c r="E62" i="24" s="1"/>
  <c r="E63" i="24" s="1"/>
  <c r="E64" i="24" s="1"/>
  <c r="E65" i="24" s="1"/>
  <c r="E66" i="24" s="1"/>
  <c r="E67" i="24" s="1"/>
  <c r="E68" i="24" s="1"/>
  <c r="E69" i="24" s="1"/>
  <c r="E70" i="24" s="1"/>
  <c r="E71" i="24" s="1"/>
  <c r="E72" i="24" s="1"/>
  <c r="E73" i="24" s="1"/>
  <c r="E74" i="24" s="1"/>
  <c r="E75" i="24" s="1"/>
  <c r="E76" i="24" s="1"/>
  <c r="E77" i="24" s="1"/>
  <c r="E78" i="24" s="1"/>
  <c r="E79" i="24" s="1"/>
  <c r="E80" i="24" s="1"/>
  <c r="E81" i="24" s="1"/>
  <c r="E82" i="24" s="1"/>
  <c r="E83" i="24" s="1"/>
  <c r="E84" i="24" s="1"/>
  <c r="E85" i="24" s="1"/>
  <c r="E86" i="24" s="1"/>
  <c r="E87" i="24" s="1"/>
  <c r="E88" i="24" s="1"/>
  <c r="E89" i="24" s="1"/>
  <c r="E90" i="24" s="1"/>
  <c r="E91" i="24" s="1"/>
  <c r="E92" i="24" s="1"/>
  <c r="E93" i="24" s="1"/>
  <c r="E94" i="24" s="1"/>
  <c r="E95" i="24" s="1"/>
  <c r="E96" i="24" s="1"/>
  <c r="E97" i="24" s="1"/>
  <c r="E98" i="24" s="1"/>
  <c r="E99" i="24" s="1"/>
  <c r="E100" i="24" s="1"/>
  <c r="E101" i="24" s="1"/>
  <c r="E102" i="24" s="1"/>
  <c r="E103" i="24" s="1"/>
  <c r="E104" i="24" s="1"/>
  <c r="E105" i="24" s="1"/>
  <c r="E106" i="24" s="1"/>
  <c r="E107" i="24" s="1"/>
  <c r="E108" i="24" s="1"/>
  <c r="E109" i="24" s="1"/>
  <c r="E110" i="24" s="1"/>
  <c r="E111" i="24" s="1"/>
  <c r="E112" i="24" s="1"/>
  <c r="E113" i="24" s="1"/>
  <c r="E114" i="24" s="1"/>
  <c r="E115" i="24" s="1"/>
  <c r="E116" i="24" s="1"/>
  <c r="E117" i="24" s="1"/>
  <c r="E118" i="24" s="1"/>
  <c r="E119" i="24" s="1"/>
  <c r="E120" i="24" s="1"/>
  <c r="E121" i="24" s="1"/>
  <c r="E122" i="24" s="1"/>
  <c r="E123" i="24" s="1"/>
  <c r="E124" i="24" s="1"/>
  <c r="E125" i="24" s="1"/>
  <c r="E126" i="24" s="1"/>
  <c r="E127" i="24" s="1"/>
  <c r="E128" i="24" s="1"/>
  <c r="E129" i="24" s="1"/>
  <c r="E130" i="24" s="1"/>
  <c r="E131" i="24" s="1"/>
  <c r="E132" i="24" s="1"/>
  <c r="E133" i="24" s="1"/>
  <c r="E134" i="24" s="1"/>
  <c r="E135" i="24" s="1"/>
  <c r="E136" i="24" s="1"/>
  <c r="E137" i="24" s="1"/>
  <c r="E138" i="24" s="1"/>
  <c r="E139" i="24" s="1"/>
  <c r="E140" i="24" s="1"/>
  <c r="E141" i="24" s="1"/>
  <c r="E142" i="24" s="1"/>
  <c r="E143" i="24" s="1"/>
  <c r="E144" i="24" s="1"/>
  <c r="E145" i="24" s="1"/>
  <c r="E146" i="24" s="1"/>
  <c r="E147" i="24" s="1"/>
  <c r="E148" i="24" s="1"/>
  <c r="E149" i="24" s="1"/>
  <c r="E150" i="24" s="1"/>
  <c r="E151" i="24" s="1"/>
  <c r="E152" i="24" s="1"/>
  <c r="E153" i="24" s="1"/>
  <c r="E154" i="24" s="1"/>
  <c r="E155" i="24" s="1"/>
  <c r="E156" i="24" s="1"/>
  <c r="E157" i="24" s="1"/>
  <c r="E158" i="24" s="1"/>
  <c r="E159" i="24" s="1"/>
  <c r="E160" i="24" s="1"/>
  <c r="E161" i="24" s="1"/>
  <c r="E162" i="24" s="1"/>
  <c r="E163" i="24" s="1"/>
  <c r="E164" i="24" s="1"/>
  <c r="E165" i="24" s="1"/>
  <c r="E166" i="24" s="1"/>
  <c r="E167" i="24" s="1"/>
  <c r="E168" i="24" s="1"/>
  <c r="E169" i="24" s="1"/>
  <c r="E170" i="24" s="1"/>
  <c r="E171" i="24" s="1"/>
  <c r="E172" i="24" s="1"/>
  <c r="E173" i="24" s="1"/>
  <c r="E174" i="24" s="1"/>
  <c r="E175" i="24" s="1"/>
  <c r="E176" i="24" s="1"/>
  <c r="E177" i="24" s="1"/>
  <c r="E178" i="24" s="1"/>
  <c r="E179" i="24" s="1"/>
  <c r="E180" i="24" s="1"/>
  <c r="E181" i="24" s="1"/>
  <c r="E182" i="24" s="1"/>
  <c r="E183" i="24" s="1"/>
  <c r="E184" i="24" s="1"/>
  <c r="E185" i="24" s="1"/>
  <c r="E186" i="24" s="1"/>
  <c r="E187" i="24" s="1"/>
  <c r="E188" i="24" s="1"/>
  <c r="E189" i="24" s="1"/>
  <c r="E190" i="24" s="1"/>
  <c r="E191" i="24" s="1"/>
  <c r="E192" i="24" s="1"/>
  <c r="E193" i="24" s="1"/>
  <c r="E194" i="24" s="1"/>
  <c r="E195" i="24" s="1"/>
  <c r="E196" i="24" s="1"/>
  <c r="E197" i="24" s="1"/>
  <c r="E198" i="24" s="1"/>
  <c r="E199" i="24" s="1"/>
  <c r="E200" i="24" s="1"/>
  <c r="E201" i="24" s="1"/>
  <c r="E202" i="24" s="1"/>
  <c r="E203" i="24" s="1"/>
  <c r="E204" i="24" s="1"/>
  <c r="E205" i="24" s="1"/>
  <c r="E206" i="24" s="1"/>
  <c r="E207" i="24" s="1"/>
  <c r="E208" i="24" s="1"/>
  <c r="E209" i="24" s="1"/>
  <c r="E210" i="24" s="1"/>
  <c r="E211" i="24" s="1"/>
  <c r="E212" i="24" s="1"/>
  <c r="E213" i="24" s="1"/>
  <c r="E214" i="24" s="1"/>
  <c r="E215" i="24" s="1"/>
  <c r="E216" i="24" s="1"/>
  <c r="E217" i="24" s="1"/>
  <c r="E218" i="24" s="1"/>
  <c r="E219" i="24" s="1"/>
  <c r="E220" i="24" s="1"/>
  <c r="E221" i="24" s="1"/>
  <c r="E222" i="24" s="1"/>
  <c r="E223" i="24" s="1"/>
  <c r="E224" i="24" s="1"/>
  <c r="E225" i="24" s="1"/>
  <c r="E226" i="24" s="1"/>
  <c r="E227" i="24" s="1"/>
  <c r="E228" i="24" s="1"/>
  <c r="E229" i="24" s="1"/>
  <c r="E230" i="24" s="1"/>
  <c r="E231" i="24" s="1"/>
  <c r="E232" i="24" s="1"/>
  <c r="E233" i="24" s="1"/>
  <c r="E234" i="24" s="1"/>
  <c r="E235" i="24" s="1"/>
  <c r="E236" i="24" s="1"/>
  <c r="E237" i="24" s="1"/>
  <c r="E238" i="24" s="1"/>
  <c r="E239" i="24" s="1"/>
  <c r="E240" i="24" s="1"/>
  <c r="E241" i="24" s="1"/>
  <c r="E242" i="24" s="1"/>
  <c r="E243" i="24" s="1"/>
  <c r="E244" i="24" s="1"/>
  <c r="E245" i="24" s="1"/>
  <c r="E246" i="24" s="1"/>
  <c r="E247" i="24" s="1"/>
  <c r="E248" i="24" s="1"/>
  <c r="E249" i="24" s="1"/>
  <c r="E250" i="24" s="1"/>
  <c r="E251" i="24" s="1"/>
  <c r="E252" i="24" s="1"/>
  <c r="E253" i="24" s="1"/>
  <c r="E254" i="24" s="1"/>
  <c r="E255" i="24" s="1"/>
  <c r="E256" i="24" s="1"/>
  <c r="E257" i="24" s="1"/>
  <c r="E258" i="24" s="1"/>
  <c r="E259" i="24" s="1"/>
  <c r="E260" i="24" s="1"/>
  <c r="E261" i="24" s="1"/>
  <c r="E262" i="24" s="1"/>
  <c r="E263" i="24" s="1"/>
  <c r="E264" i="24" s="1"/>
  <c r="E265" i="24" s="1"/>
  <c r="E266" i="24" s="1"/>
  <c r="E267" i="24" s="1"/>
  <c r="E268" i="24" s="1"/>
  <c r="E269" i="24" s="1"/>
  <c r="E270" i="24" s="1"/>
  <c r="E271" i="24" s="1"/>
  <c r="E272" i="24" s="1"/>
  <c r="E273" i="24" s="1"/>
  <c r="E274" i="24" s="1"/>
  <c r="E275" i="24" s="1"/>
  <c r="E276" i="24" s="1"/>
  <c r="E277" i="24" s="1"/>
  <c r="E278" i="24" s="1"/>
  <c r="E279" i="24" s="1"/>
  <c r="E280" i="24" s="1"/>
  <c r="E281" i="24" s="1"/>
  <c r="E282" i="24" s="1"/>
  <c r="E283" i="24" s="1"/>
  <c r="E284" i="24" s="1"/>
  <c r="E285" i="24" s="1"/>
  <c r="E286" i="24" s="1"/>
  <c r="E287" i="24" s="1"/>
  <c r="E288" i="24" s="1"/>
  <c r="E289" i="24" s="1"/>
  <c r="E290" i="24" s="1"/>
  <c r="E291" i="24" s="1"/>
  <c r="E292" i="24" s="1"/>
  <c r="E293" i="24" s="1"/>
  <c r="E294" i="24" s="1"/>
  <c r="E295" i="24" s="1"/>
  <c r="E296" i="24" s="1"/>
  <c r="E297" i="24" s="1"/>
  <c r="E298" i="24" s="1"/>
  <c r="E299" i="24" s="1"/>
  <c r="E300" i="24" s="1"/>
  <c r="E301" i="24" s="1"/>
  <c r="E302" i="24" s="1"/>
  <c r="E303" i="24" s="1"/>
  <c r="E304" i="24" s="1"/>
  <c r="E305" i="24" s="1"/>
  <c r="E306" i="24" s="1"/>
  <c r="E307" i="24" s="1"/>
  <c r="E308" i="24" s="1"/>
  <c r="E309" i="24" s="1"/>
  <c r="E310" i="24" s="1"/>
  <c r="E311" i="24" s="1"/>
  <c r="E312" i="24" s="1"/>
  <c r="E313" i="24" s="1"/>
  <c r="E314" i="24" s="1"/>
  <c r="E315" i="24" s="1"/>
  <c r="E316" i="24" s="1"/>
  <c r="E317" i="24" s="1"/>
  <c r="E318" i="24" s="1"/>
  <c r="E319" i="24" s="1"/>
  <c r="E320" i="24" s="1"/>
  <c r="E321" i="24" s="1"/>
  <c r="E322" i="24" s="1"/>
  <c r="E323" i="24" s="1"/>
  <c r="E324" i="24" s="1"/>
  <c r="E325" i="24" s="1"/>
  <c r="E326" i="24" s="1"/>
  <c r="E327" i="24" s="1"/>
  <c r="E328" i="24" s="1"/>
  <c r="E329" i="24" s="1"/>
  <c r="E330" i="24" s="1"/>
  <c r="E331" i="24" s="1"/>
  <c r="E332" i="24" s="1"/>
  <c r="E333" i="24" s="1"/>
  <c r="E334" i="24" s="1"/>
  <c r="E335" i="24" s="1"/>
  <c r="E336" i="24" s="1"/>
  <c r="E337" i="24" s="1"/>
  <c r="E338" i="24" s="1"/>
  <c r="E339" i="24" s="1"/>
  <c r="E340" i="24" s="1"/>
  <c r="E341" i="24" s="1"/>
  <c r="E342" i="24" s="1"/>
  <c r="E343" i="24" s="1"/>
  <c r="E344" i="24" s="1"/>
  <c r="E345" i="24" s="1"/>
  <c r="E346" i="24" s="1"/>
  <c r="E347" i="24" s="1"/>
  <c r="E348" i="24" s="1"/>
  <c r="E349" i="24" s="1"/>
  <c r="E350" i="24" s="1"/>
  <c r="E351" i="24" s="1"/>
  <c r="E352" i="24" s="1"/>
  <c r="E353" i="24" s="1"/>
  <c r="E354" i="24" s="1"/>
  <c r="E355" i="24" s="1"/>
  <c r="E356" i="24" s="1"/>
  <c r="E357" i="24" s="1"/>
  <c r="E358" i="24" s="1"/>
  <c r="E359" i="24" s="1"/>
  <c r="E360" i="24" s="1"/>
  <c r="E361" i="24" s="1"/>
  <c r="E362" i="24" s="1"/>
  <c r="E363" i="24" s="1"/>
  <c r="E364" i="24" s="1"/>
  <c r="E365" i="24" s="1"/>
  <c r="E366" i="24" s="1"/>
  <c r="E367" i="24" s="1"/>
  <c r="E368" i="24" s="1"/>
  <c r="E369" i="24" s="1"/>
  <c r="E370" i="24" s="1"/>
  <c r="E371" i="24" s="1"/>
  <c r="E372" i="24" s="1"/>
  <c r="E373" i="24" s="1"/>
  <c r="E374" i="24" s="1"/>
  <c r="E375" i="24" s="1"/>
  <c r="E376" i="24" s="1"/>
  <c r="E377" i="24" s="1"/>
  <c r="E378" i="24" s="1"/>
  <c r="E379" i="24" s="1"/>
  <c r="E380" i="24" s="1"/>
  <c r="E381" i="24" s="1"/>
  <c r="E382" i="24" s="1"/>
  <c r="E383" i="24" s="1"/>
  <c r="E384" i="24" s="1"/>
  <c r="E385" i="24" s="1"/>
  <c r="E386" i="24" s="1"/>
  <c r="E387" i="24" s="1"/>
  <c r="E388" i="24" s="1"/>
  <c r="E389" i="24" s="1"/>
  <c r="E390" i="24" s="1"/>
  <c r="E391" i="24" s="1"/>
  <c r="E392" i="24" s="1"/>
  <c r="E393" i="24" s="1"/>
  <c r="E394" i="24" s="1"/>
  <c r="E395" i="24" s="1"/>
  <c r="E396" i="24" s="1"/>
  <c r="E397" i="24" s="1"/>
  <c r="E398" i="24" s="1"/>
  <c r="E399" i="24" s="1"/>
  <c r="E400" i="24" s="1"/>
  <c r="E401" i="24" s="1"/>
  <c r="E402" i="24" s="1"/>
  <c r="E403" i="24" s="1"/>
  <c r="E404" i="24" s="1"/>
  <c r="E405" i="24" s="1"/>
  <c r="E406" i="24" s="1"/>
  <c r="E407" i="24" s="1"/>
  <c r="E408" i="24" s="1"/>
  <c r="E409" i="24" s="1"/>
  <c r="E410" i="24" s="1"/>
  <c r="E411" i="24" s="1"/>
  <c r="E412" i="24" s="1"/>
  <c r="E413" i="24" s="1"/>
  <c r="E414" i="24" s="1"/>
  <c r="E415" i="24" s="1"/>
  <c r="E416" i="24" s="1"/>
  <c r="E417" i="24" s="1"/>
  <c r="E418" i="24" s="1"/>
  <c r="E419" i="24" s="1"/>
  <c r="E420" i="24" s="1"/>
  <c r="E421" i="24" s="1"/>
  <c r="E422" i="24" s="1"/>
  <c r="E423" i="24" s="1"/>
  <c r="E424" i="24" s="1"/>
  <c r="E425" i="24" s="1"/>
  <c r="E426" i="24" s="1"/>
  <c r="E427" i="24" s="1"/>
  <c r="E428" i="24" s="1"/>
  <c r="E429" i="24" s="1"/>
  <c r="E430" i="24" s="1"/>
  <c r="E431" i="24" s="1"/>
  <c r="E432" i="24" s="1"/>
  <c r="E433" i="24" s="1"/>
  <c r="E434" i="24" s="1"/>
  <c r="E435" i="24" s="1"/>
  <c r="E436" i="24" s="1"/>
  <c r="E437" i="24" s="1"/>
  <c r="E438" i="24" s="1"/>
  <c r="E439" i="24" s="1"/>
  <c r="E440" i="24" s="1"/>
  <c r="E441" i="24" s="1"/>
  <c r="E442" i="24" s="1"/>
  <c r="E443" i="24" s="1"/>
  <c r="E444" i="24" s="1"/>
  <c r="E445" i="24" s="1"/>
  <c r="E446" i="24" s="1"/>
  <c r="E447" i="24" s="1"/>
  <c r="E448" i="24" s="1"/>
  <c r="E449" i="24" s="1"/>
  <c r="E450" i="24" s="1"/>
  <c r="E451" i="24" s="1"/>
  <c r="E452" i="24" s="1"/>
  <c r="E453" i="24" s="1"/>
  <c r="E454" i="24" s="1"/>
  <c r="E455" i="24" s="1"/>
  <c r="E456" i="24" s="1"/>
  <c r="E457" i="24" s="1"/>
  <c r="E458" i="24" s="1"/>
  <c r="E459" i="24" s="1"/>
  <c r="E460" i="24" s="1"/>
  <c r="E461" i="24" s="1"/>
  <c r="E462" i="24" s="1"/>
  <c r="E463" i="24" s="1"/>
  <c r="E464" i="24" s="1"/>
  <c r="E465" i="24" s="1"/>
  <c r="E466" i="24" s="1"/>
  <c r="E467" i="24" s="1"/>
  <c r="E468" i="24" s="1"/>
  <c r="E469" i="24" s="1"/>
  <c r="E470" i="24" s="1"/>
  <c r="E471" i="24" s="1"/>
  <c r="E472" i="24" s="1"/>
  <c r="E473" i="24" s="1"/>
  <c r="E474" i="24" s="1"/>
  <c r="E475" i="24" s="1"/>
  <c r="E476" i="24" s="1"/>
  <c r="E477" i="24" s="1"/>
  <c r="E478" i="24" s="1"/>
  <c r="E479" i="24" s="1"/>
  <c r="E480" i="24" s="1"/>
  <c r="E481" i="24" s="1"/>
  <c r="E482" i="24" s="1"/>
  <c r="E483" i="24" s="1"/>
  <c r="E484" i="24" s="1"/>
  <c r="E485" i="24" s="1"/>
  <c r="E486" i="24" s="1"/>
  <c r="E487" i="24" s="1"/>
  <c r="E488" i="24" s="1"/>
  <c r="E489" i="24" s="1"/>
  <c r="E490" i="24" s="1"/>
  <c r="E491" i="24" s="1"/>
  <c r="E492" i="24" s="1"/>
  <c r="E493" i="24" s="1"/>
  <c r="E494" i="24" s="1"/>
  <c r="E495" i="24" s="1"/>
  <c r="E496" i="24" s="1"/>
  <c r="E497" i="24" s="1"/>
  <c r="E498" i="24" s="1"/>
  <c r="E499" i="24" s="1"/>
  <c r="E500" i="24" s="1"/>
  <c r="E501" i="24" s="1"/>
  <c r="E502" i="24" s="1"/>
  <c r="E503" i="24" s="1"/>
  <c r="E504" i="24" s="1"/>
  <c r="E505" i="24" s="1"/>
  <c r="E506" i="24" s="1"/>
  <c r="E507" i="24" s="1"/>
  <c r="E508" i="24" s="1"/>
  <c r="E509" i="24" s="1"/>
  <c r="E510" i="24" s="1"/>
  <c r="E511" i="24" s="1"/>
  <c r="E512" i="24" s="1"/>
  <c r="E513" i="24" s="1"/>
  <c r="E514" i="24" s="1"/>
  <c r="E515" i="24" s="1"/>
  <c r="E516" i="24" s="1"/>
  <c r="E517" i="24" s="1"/>
  <c r="E518" i="24" s="1"/>
  <c r="E519" i="24" s="1"/>
  <c r="E520" i="24" s="1"/>
  <c r="E521" i="24" s="1"/>
  <c r="E522" i="24" s="1"/>
  <c r="E523" i="24" s="1"/>
  <c r="E524" i="24" s="1"/>
  <c r="E525" i="24" s="1"/>
  <c r="E526" i="24" s="1"/>
  <c r="E527" i="24" s="1"/>
  <c r="E528" i="24" s="1"/>
  <c r="E529" i="24" s="1"/>
  <c r="E530" i="24" s="1"/>
  <c r="E531" i="24" s="1"/>
  <c r="E532" i="24" s="1"/>
  <c r="E533" i="24" s="1"/>
  <c r="E534" i="24" s="1"/>
  <c r="E535" i="24" s="1"/>
  <c r="E536" i="24" s="1"/>
  <c r="E537" i="24" s="1"/>
  <c r="E538" i="24" s="1"/>
  <c r="E539" i="24" s="1"/>
  <c r="E540" i="24" s="1"/>
  <c r="E541" i="24" s="1"/>
  <c r="E542" i="24" s="1"/>
  <c r="E543" i="24" s="1"/>
  <c r="E544" i="24" s="1"/>
  <c r="E545" i="24" s="1"/>
  <c r="E546" i="24" s="1"/>
  <c r="E547" i="24" s="1"/>
  <c r="E548" i="24" s="1"/>
  <c r="E549" i="24" s="1"/>
  <c r="E550" i="24" s="1"/>
  <c r="E551" i="24" s="1"/>
  <c r="E552" i="24" s="1"/>
  <c r="E553" i="24" s="1"/>
  <c r="E554" i="24" s="1"/>
  <c r="E555" i="24" s="1"/>
  <c r="E556" i="24" s="1"/>
  <c r="E557" i="24" s="1"/>
  <c r="E558" i="24" s="1"/>
  <c r="E559" i="24" s="1"/>
  <c r="E560" i="24" s="1"/>
  <c r="E561" i="24" s="1"/>
  <c r="E562" i="24" s="1"/>
  <c r="E563" i="24" s="1"/>
  <c r="E564" i="24" s="1"/>
  <c r="E565" i="24" s="1"/>
  <c r="E566" i="24" s="1"/>
  <c r="E567" i="24" s="1"/>
  <c r="E568" i="24" s="1"/>
  <c r="E569" i="24" s="1"/>
  <c r="E570" i="24" s="1"/>
  <c r="E571" i="24" s="1"/>
  <c r="E572" i="24" s="1"/>
  <c r="E573" i="24" s="1"/>
  <c r="E574" i="24" s="1"/>
  <c r="E575" i="24" s="1"/>
  <c r="E576" i="24" s="1"/>
  <c r="E577" i="24" s="1"/>
  <c r="E578" i="24" s="1"/>
  <c r="E579" i="24" s="1"/>
  <c r="E580" i="24" s="1"/>
  <c r="E581" i="24" s="1"/>
  <c r="E582" i="24" s="1"/>
  <c r="E583" i="24" s="1"/>
  <c r="E584" i="24" s="1"/>
  <c r="E585" i="24" s="1"/>
  <c r="E586" i="24" s="1"/>
  <c r="E587" i="24" s="1"/>
  <c r="E588" i="24" s="1"/>
  <c r="E589" i="24" s="1"/>
  <c r="E590" i="24" s="1"/>
  <c r="E591" i="24" s="1"/>
  <c r="E592" i="24" s="1"/>
  <c r="E593" i="24" s="1"/>
  <c r="E594" i="24" s="1"/>
  <c r="E595" i="24" s="1"/>
  <c r="E596" i="24" s="1"/>
  <c r="E597" i="24" s="1"/>
  <c r="E598" i="24" s="1"/>
  <c r="E599" i="24" s="1"/>
  <c r="E600" i="24" s="1"/>
  <c r="E601" i="24" s="1"/>
  <c r="E602" i="24" s="1"/>
  <c r="E603" i="24" s="1"/>
  <c r="E604" i="24" s="1"/>
  <c r="E605" i="24" s="1"/>
  <c r="E606" i="24" s="1"/>
  <c r="E607" i="24" s="1"/>
  <c r="E608" i="24" s="1"/>
  <c r="E609" i="24" s="1"/>
  <c r="E610" i="24" s="1"/>
  <c r="E611" i="24" s="1"/>
  <c r="E612" i="24" s="1"/>
  <c r="E613" i="24" s="1"/>
  <c r="E614" i="24" s="1"/>
  <c r="E615" i="24" s="1"/>
  <c r="E616" i="24" s="1"/>
  <c r="E617" i="24" s="1"/>
  <c r="E618" i="24" s="1"/>
  <c r="E619" i="24" s="1"/>
  <c r="E620" i="24" s="1"/>
  <c r="E621" i="24" s="1"/>
  <c r="E622" i="24" s="1"/>
  <c r="E623" i="24" s="1"/>
  <c r="E624" i="24" s="1"/>
  <c r="E625" i="24" s="1"/>
  <c r="E626" i="24" s="1"/>
  <c r="E627" i="24" s="1"/>
  <c r="E628" i="24" s="1"/>
  <c r="E629" i="24" s="1"/>
  <c r="E630" i="24" s="1"/>
  <c r="E631" i="24" s="1"/>
  <c r="E632" i="24" s="1"/>
  <c r="E633" i="24" s="1"/>
  <c r="E634" i="24" s="1"/>
  <c r="E635" i="24" s="1"/>
  <c r="E636" i="24" s="1"/>
  <c r="E637" i="24" s="1"/>
  <c r="E638" i="24" s="1"/>
  <c r="E639" i="24" s="1"/>
  <c r="E640" i="24" s="1"/>
  <c r="E641" i="24" s="1"/>
  <c r="E642" i="24" s="1"/>
  <c r="E643" i="24" s="1"/>
  <c r="E644" i="24" s="1"/>
  <c r="E645" i="24" s="1"/>
  <c r="E646" i="24" s="1"/>
  <c r="E647" i="24" s="1"/>
  <c r="E648" i="24" s="1"/>
  <c r="E649" i="24" s="1"/>
  <c r="E650" i="24" s="1"/>
  <c r="E651" i="24" s="1"/>
  <c r="E652" i="24" s="1"/>
  <c r="E653" i="24" s="1"/>
  <c r="E654" i="24" s="1"/>
  <c r="E655" i="24" s="1"/>
  <c r="E656" i="24" s="1"/>
  <c r="E657" i="24" s="1"/>
  <c r="E658" i="24" s="1"/>
  <c r="E659" i="24" s="1"/>
  <c r="E660" i="24" s="1"/>
  <c r="E661" i="24" s="1"/>
  <c r="E662" i="24" s="1"/>
  <c r="E663" i="24" s="1"/>
  <c r="E664" i="24" s="1"/>
  <c r="E665" i="24" s="1"/>
  <c r="E666" i="24" s="1"/>
  <c r="E667" i="24" s="1"/>
  <c r="E668" i="24" s="1"/>
  <c r="E669" i="24" s="1"/>
  <c r="E670" i="24" s="1"/>
  <c r="E671" i="24" s="1"/>
  <c r="E672" i="24" s="1"/>
  <c r="E673" i="24" s="1"/>
  <c r="E674" i="24" s="1"/>
  <c r="E675" i="24" s="1"/>
  <c r="E676" i="24" s="1"/>
  <c r="E677" i="24" s="1"/>
  <c r="E678" i="24" s="1"/>
  <c r="E679" i="24" s="1"/>
  <c r="E680" i="24" s="1"/>
  <c r="E681" i="24" s="1"/>
  <c r="E682" i="24" s="1"/>
  <c r="E683" i="24" s="1"/>
  <c r="E684" i="24" s="1"/>
  <c r="E685" i="24" s="1"/>
  <c r="E686" i="24" s="1"/>
  <c r="E687" i="24" s="1"/>
  <c r="E688" i="24" s="1"/>
  <c r="E689" i="24" s="1"/>
  <c r="E690" i="24" s="1"/>
  <c r="E691" i="24" s="1"/>
  <c r="E692" i="24" s="1"/>
  <c r="E693" i="24" s="1"/>
  <c r="E694" i="24" s="1"/>
  <c r="E695" i="24" s="1"/>
  <c r="E696" i="24" s="1"/>
  <c r="E697" i="24" s="1"/>
  <c r="E698" i="24" s="1"/>
  <c r="E699" i="24" s="1"/>
  <c r="E700" i="24" s="1"/>
  <c r="E701" i="24" s="1"/>
  <c r="E702" i="24" s="1"/>
  <c r="E703" i="24" s="1"/>
  <c r="E704" i="24" s="1"/>
  <c r="E705" i="24" s="1"/>
  <c r="E706" i="24" s="1"/>
  <c r="E707" i="24" s="1"/>
  <c r="E708" i="24" s="1"/>
  <c r="E709" i="24" s="1"/>
  <c r="E710" i="24" s="1"/>
  <c r="E711" i="24" s="1"/>
  <c r="E712" i="24" s="1"/>
  <c r="E713" i="24" s="1"/>
  <c r="E714" i="24" s="1"/>
  <c r="E715" i="24" s="1"/>
  <c r="E716" i="24" s="1"/>
  <c r="E717" i="24" s="1"/>
  <c r="E718" i="24" s="1"/>
  <c r="E719" i="24" s="1"/>
  <c r="E720" i="24" s="1"/>
  <c r="E721" i="24" s="1"/>
  <c r="E722" i="24" s="1"/>
  <c r="E723" i="24" s="1"/>
  <c r="E724" i="24" s="1"/>
  <c r="E725" i="24" s="1"/>
  <c r="E726" i="24" s="1"/>
  <c r="E727" i="24" s="1"/>
  <c r="E728" i="24" s="1"/>
  <c r="E729" i="24" s="1"/>
  <c r="E730" i="24" s="1"/>
  <c r="E731" i="24" s="1"/>
  <c r="E732" i="24" s="1"/>
  <c r="E733" i="24" s="1"/>
  <c r="E734" i="24" s="1"/>
  <c r="E735" i="24" s="1"/>
  <c r="E736" i="24" s="1"/>
  <c r="E737" i="24" s="1"/>
  <c r="E738" i="24" s="1"/>
  <c r="E739" i="24" s="1"/>
  <c r="E740" i="24" s="1"/>
  <c r="E741" i="24" s="1"/>
  <c r="E742" i="24" s="1"/>
  <c r="E743" i="24" s="1"/>
  <c r="E744" i="24" s="1"/>
  <c r="E745" i="24" s="1"/>
  <c r="E746" i="24" s="1"/>
  <c r="E747" i="24" s="1"/>
  <c r="E748" i="24" s="1"/>
  <c r="E749" i="24" s="1"/>
  <c r="E750" i="24" s="1"/>
  <c r="E751" i="24" s="1"/>
  <c r="E752" i="24" s="1"/>
  <c r="E753" i="24" s="1"/>
  <c r="E754" i="24" s="1"/>
  <c r="E755" i="24" s="1"/>
  <c r="E756" i="24" s="1"/>
  <c r="E757" i="24" s="1"/>
  <c r="E758" i="24" s="1"/>
  <c r="E759" i="24" s="1"/>
  <c r="E760" i="24" s="1"/>
  <c r="E761" i="24" s="1"/>
  <c r="E762" i="24" s="1"/>
  <c r="E763" i="24" s="1"/>
  <c r="E764" i="24" s="1"/>
  <c r="E765" i="24" s="1"/>
  <c r="E766" i="24" s="1"/>
  <c r="E767" i="24" s="1"/>
  <c r="E768" i="24" s="1"/>
  <c r="E769" i="24" s="1"/>
  <c r="E770" i="24" s="1"/>
  <c r="E771" i="24" s="1"/>
  <c r="E772" i="24" s="1"/>
  <c r="E773" i="24" s="1"/>
  <c r="E774" i="24" s="1"/>
  <c r="E775" i="24" s="1"/>
  <c r="E776" i="24" s="1"/>
  <c r="E777" i="24" s="1"/>
  <c r="E778" i="24" s="1"/>
  <c r="E779" i="24" s="1"/>
  <c r="E780" i="24" s="1"/>
  <c r="E781" i="24" s="1"/>
  <c r="E782" i="24" s="1"/>
  <c r="E783" i="24" s="1"/>
  <c r="E784" i="24" s="1"/>
  <c r="E785" i="24" s="1"/>
  <c r="E786" i="24" s="1"/>
  <c r="E787" i="24" s="1"/>
  <c r="E788" i="24" s="1"/>
  <c r="E789" i="24" s="1"/>
  <c r="E790" i="24" s="1"/>
  <c r="E791" i="24" s="1"/>
  <c r="E792" i="24" s="1"/>
  <c r="E793" i="24" s="1"/>
  <c r="E794" i="24" s="1"/>
  <c r="E795" i="24" s="1"/>
  <c r="E796" i="24" s="1"/>
  <c r="E797" i="24" s="1"/>
  <c r="E798" i="24" s="1"/>
  <c r="E799" i="24" s="1"/>
  <c r="E800" i="24" s="1"/>
  <c r="E801" i="24" s="1"/>
  <c r="E802" i="24" s="1"/>
  <c r="E803" i="24" s="1"/>
  <c r="E804" i="24" s="1"/>
  <c r="E805" i="24" s="1"/>
  <c r="E806" i="24" s="1"/>
  <c r="E807" i="24" s="1"/>
  <c r="E808" i="24" s="1"/>
  <c r="E809" i="24" s="1"/>
  <c r="E810" i="24" s="1"/>
  <c r="E811" i="24" s="1"/>
  <c r="E812" i="24" s="1"/>
  <c r="E813" i="24" s="1"/>
  <c r="E814" i="24" s="1"/>
  <c r="E815" i="24" s="1"/>
  <c r="E816" i="24" s="1"/>
  <c r="E817" i="24" s="1"/>
  <c r="E818" i="24" s="1"/>
  <c r="E819" i="24" s="1"/>
  <c r="E820" i="24" s="1"/>
  <c r="E821" i="24" s="1"/>
  <c r="E822" i="24" s="1"/>
  <c r="E823" i="24" s="1"/>
  <c r="E824" i="24" s="1"/>
  <c r="E825" i="24" s="1"/>
  <c r="E826" i="24" s="1"/>
  <c r="E827" i="24" s="1"/>
  <c r="E828" i="24" s="1"/>
  <c r="E829" i="24" s="1"/>
  <c r="E830" i="24" s="1"/>
  <c r="E831" i="24" s="1"/>
  <c r="E832" i="24" s="1"/>
  <c r="E833" i="24" s="1"/>
  <c r="E834" i="24" s="1"/>
  <c r="E835" i="24" s="1"/>
  <c r="E836" i="24" s="1"/>
  <c r="E837" i="24" s="1"/>
  <c r="E838" i="24" s="1"/>
  <c r="E839" i="24" s="1"/>
  <c r="E840" i="24" s="1"/>
  <c r="E841" i="24" s="1"/>
  <c r="E842" i="24" s="1"/>
  <c r="E843" i="24" s="1"/>
  <c r="E844" i="24" s="1"/>
  <c r="E845" i="24" s="1"/>
  <c r="E846" i="24" s="1"/>
  <c r="E847" i="24" s="1"/>
  <c r="E848" i="24" s="1"/>
  <c r="E849" i="24" s="1"/>
  <c r="E850" i="24" s="1"/>
  <c r="E851" i="24" s="1"/>
  <c r="E852" i="24" s="1"/>
  <c r="E853" i="24" s="1"/>
  <c r="E854" i="24" s="1"/>
  <c r="E855" i="24" s="1"/>
  <c r="E856" i="24" s="1"/>
  <c r="E857" i="24" s="1"/>
  <c r="E858" i="24" s="1"/>
  <c r="E859" i="24" s="1"/>
  <c r="E860" i="24" s="1"/>
  <c r="E861" i="24" s="1"/>
  <c r="E862" i="24" s="1"/>
  <c r="E863" i="24" s="1"/>
  <c r="E864" i="24" s="1"/>
  <c r="E865" i="24" s="1"/>
  <c r="E866" i="24" s="1"/>
  <c r="E867" i="24" s="1"/>
  <c r="E868" i="24" s="1"/>
  <c r="E869" i="24" s="1"/>
  <c r="E870" i="24" s="1"/>
  <c r="E871" i="24" s="1"/>
  <c r="E872" i="24" s="1"/>
  <c r="E873" i="24" s="1"/>
  <c r="E874" i="24" s="1"/>
  <c r="E875" i="24" s="1"/>
  <c r="E876" i="24" s="1"/>
  <c r="E877" i="24" s="1"/>
  <c r="E878" i="24" s="1"/>
  <c r="E879" i="24" s="1"/>
  <c r="E880" i="24" s="1"/>
  <c r="L880" i="21"/>
  <c r="J880" i="21"/>
  <c r="H880" i="21"/>
  <c r="F880" i="21"/>
  <c r="L879" i="21"/>
  <c r="J879" i="21"/>
  <c r="H879" i="21"/>
  <c r="F879" i="21"/>
  <c r="L878" i="21"/>
  <c r="J878" i="21"/>
  <c r="H878" i="21"/>
  <c r="F878" i="21"/>
  <c r="L877" i="21"/>
  <c r="J877" i="21"/>
  <c r="H877" i="21"/>
  <c r="F877" i="21"/>
  <c r="L876" i="21"/>
  <c r="J876" i="21"/>
  <c r="H876" i="21"/>
  <c r="F876" i="21"/>
  <c r="L875" i="21"/>
  <c r="J875" i="21"/>
  <c r="H875" i="21"/>
  <c r="F875" i="21"/>
  <c r="L874" i="21"/>
  <c r="J874" i="21"/>
  <c r="H874" i="21"/>
  <c r="F874" i="21"/>
  <c r="L873" i="21"/>
  <c r="J873" i="21"/>
  <c r="H873" i="21"/>
  <c r="F873" i="21"/>
  <c r="L872" i="21"/>
  <c r="J872" i="21"/>
  <c r="H872" i="21"/>
  <c r="F872" i="21"/>
  <c r="L871" i="21"/>
  <c r="J871" i="21"/>
  <c r="H871" i="21"/>
  <c r="F871" i="21"/>
  <c r="L870" i="21"/>
  <c r="J870" i="21"/>
  <c r="H870" i="21"/>
  <c r="F870" i="21"/>
  <c r="L869" i="21"/>
  <c r="J869" i="21"/>
  <c r="H869" i="21"/>
  <c r="F869" i="21"/>
  <c r="L868" i="21"/>
  <c r="J868" i="21"/>
  <c r="H868" i="21"/>
  <c r="F868" i="21"/>
  <c r="L867" i="21"/>
  <c r="J867" i="21"/>
  <c r="H867" i="21"/>
  <c r="F867" i="21"/>
  <c r="L866" i="21"/>
  <c r="J866" i="21"/>
  <c r="H866" i="21"/>
  <c r="F866" i="21"/>
  <c r="L865" i="21"/>
  <c r="J865" i="21"/>
  <c r="H865" i="21"/>
  <c r="F865" i="21"/>
  <c r="L864" i="21"/>
  <c r="J864" i="21"/>
  <c r="H864" i="21"/>
  <c r="F864" i="21"/>
  <c r="L863" i="21"/>
  <c r="J863" i="21"/>
  <c r="H863" i="21"/>
  <c r="F863" i="21"/>
  <c r="L862" i="21"/>
  <c r="J862" i="21"/>
  <c r="H862" i="21"/>
  <c r="F862" i="21"/>
  <c r="L861" i="21"/>
  <c r="J861" i="21"/>
  <c r="H861" i="21"/>
  <c r="F861" i="21"/>
  <c r="L860" i="21"/>
  <c r="J860" i="21"/>
  <c r="H860" i="21"/>
  <c r="F860" i="21"/>
  <c r="L859" i="21"/>
  <c r="J859" i="21"/>
  <c r="H859" i="21"/>
  <c r="F859" i="21"/>
  <c r="L858" i="21"/>
  <c r="J858" i="21"/>
  <c r="H858" i="21"/>
  <c r="F858" i="21"/>
  <c r="L857" i="21"/>
  <c r="J857" i="21"/>
  <c r="H857" i="21"/>
  <c r="F857" i="21"/>
  <c r="L856" i="21"/>
  <c r="J856" i="21"/>
  <c r="H856" i="21"/>
  <c r="F856" i="21"/>
  <c r="L855" i="21"/>
  <c r="J855" i="21"/>
  <c r="H855" i="21"/>
  <c r="F855" i="21"/>
  <c r="L854" i="21"/>
  <c r="J854" i="21"/>
  <c r="H854" i="21"/>
  <c r="F854" i="21"/>
  <c r="L853" i="21"/>
  <c r="J853" i="21"/>
  <c r="H853" i="21"/>
  <c r="F853" i="21"/>
  <c r="L852" i="21"/>
  <c r="J852" i="21"/>
  <c r="H852" i="21"/>
  <c r="F852" i="21"/>
  <c r="L851" i="21"/>
  <c r="J851" i="21"/>
  <c r="H851" i="21"/>
  <c r="F851" i="21"/>
  <c r="L850" i="21"/>
  <c r="J850" i="21"/>
  <c r="H850" i="21"/>
  <c r="F850" i="21"/>
  <c r="L849" i="21"/>
  <c r="J849" i="21"/>
  <c r="H849" i="21"/>
  <c r="F849" i="21"/>
  <c r="L168" i="21"/>
  <c r="J168" i="21"/>
  <c r="H168" i="21"/>
  <c r="F168" i="21"/>
  <c r="L15" i="21"/>
  <c r="J15" i="21"/>
  <c r="H15" i="21"/>
  <c r="F15" i="21"/>
  <c r="L789" i="21"/>
  <c r="J789" i="21"/>
  <c r="H789" i="21"/>
  <c r="F789" i="21"/>
  <c r="L555" i="21"/>
  <c r="J555" i="21"/>
  <c r="H555" i="21"/>
  <c r="F555" i="21"/>
  <c r="L110" i="21"/>
  <c r="J110" i="21"/>
  <c r="H110" i="21"/>
  <c r="F110" i="21"/>
  <c r="L305" i="21"/>
  <c r="J305" i="21"/>
  <c r="H305" i="21"/>
  <c r="F305" i="21"/>
  <c r="L485" i="21"/>
  <c r="J485" i="21"/>
  <c r="H485" i="21"/>
  <c r="F485" i="21"/>
  <c r="L118" i="21"/>
  <c r="J118" i="21"/>
  <c r="H118" i="21"/>
  <c r="F118" i="21"/>
  <c r="L346" i="21"/>
  <c r="J346" i="21"/>
  <c r="H346" i="21"/>
  <c r="F346" i="21"/>
  <c r="L482" i="21"/>
  <c r="J482" i="21"/>
  <c r="H482" i="21"/>
  <c r="F482" i="21"/>
  <c r="L800" i="21"/>
  <c r="J800" i="21"/>
  <c r="H800" i="21"/>
  <c r="F800" i="21"/>
  <c r="L300" i="21"/>
  <c r="J300" i="21"/>
  <c r="H300" i="21"/>
  <c r="F300" i="21"/>
  <c r="L495" i="21"/>
  <c r="J495" i="21"/>
  <c r="H495" i="21"/>
  <c r="F495" i="21"/>
  <c r="L826" i="21"/>
  <c r="J826" i="21"/>
  <c r="H826" i="21"/>
  <c r="F826" i="21"/>
  <c r="L169" i="21"/>
  <c r="J169" i="21"/>
  <c r="H169" i="21"/>
  <c r="F169" i="21"/>
  <c r="L237" i="21"/>
  <c r="J237" i="21"/>
  <c r="H237" i="21"/>
  <c r="F237" i="21"/>
  <c r="L661" i="21"/>
  <c r="J661" i="21"/>
  <c r="H661" i="21"/>
  <c r="F661" i="21"/>
  <c r="L108" i="21"/>
  <c r="J108" i="21"/>
  <c r="H108" i="21"/>
  <c r="F108" i="21"/>
  <c r="L822" i="21"/>
  <c r="J822" i="21"/>
  <c r="H822" i="21"/>
  <c r="F822" i="21"/>
  <c r="L430" i="21"/>
  <c r="J430" i="21"/>
  <c r="H430" i="21"/>
  <c r="F430" i="21"/>
  <c r="L774" i="21"/>
  <c r="J774" i="21"/>
  <c r="H774" i="21"/>
  <c r="F774" i="21"/>
  <c r="L574" i="21"/>
  <c r="J574" i="21"/>
  <c r="H574" i="21"/>
  <c r="F574" i="21"/>
  <c r="L62" i="21"/>
  <c r="J62" i="21"/>
  <c r="H62" i="21"/>
  <c r="F62" i="21"/>
  <c r="L769" i="21"/>
  <c r="J769" i="21"/>
  <c r="H769" i="21"/>
  <c r="F769" i="21"/>
  <c r="L609" i="21"/>
  <c r="J609" i="21"/>
  <c r="H609" i="21"/>
  <c r="F609" i="21"/>
  <c r="L520" i="21"/>
  <c r="J520" i="21"/>
  <c r="H520" i="21"/>
  <c r="F520" i="21"/>
  <c r="L504" i="21"/>
  <c r="J504" i="21"/>
  <c r="H504" i="21"/>
  <c r="F504" i="21"/>
  <c r="L279" i="21"/>
  <c r="J279" i="21"/>
  <c r="H279" i="21"/>
  <c r="F279" i="21"/>
  <c r="L91" i="21"/>
  <c r="J91" i="21"/>
  <c r="H91" i="21"/>
  <c r="F91" i="21"/>
  <c r="L40" i="21"/>
  <c r="J40" i="21"/>
  <c r="H40" i="21"/>
  <c r="F40" i="21"/>
  <c r="L227" i="21"/>
  <c r="J227" i="21"/>
  <c r="H227" i="21"/>
  <c r="F227" i="21"/>
  <c r="L66" i="21"/>
  <c r="J66" i="21"/>
  <c r="H66" i="21"/>
  <c r="F66" i="21"/>
  <c r="L288" i="21"/>
  <c r="J288" i="21"/>
  <c r="H288" i="21"/>
  <c r="F288" i="21"/>
  <c r="L383" i="21"/>
  <c r="J383" i="21"/>
  <c r="H383" i="21"/>
  <c r="F383" i="21"/>
  <c r="L746" i="21"/>
  <c r="J746" i="21"/>
  <c r="H746" i="21"/>
  <c r="F746" i="21"/>
  <c r="L201" i="21"/>
  <c r="J201" i="21"/>
  <c r="H201" i="21"/>
  <c r="F201" i="21"/>
  <c r="L402" i="21"/>
  <c r="J402" i="21"/>
  <c r="H402" i="21"/>
  <c r="F402" i="21"/>
  <c r="L773" i="21"/>
  <c r="J773" i="21"/>
  <c r="H773" i="21"/>
  <c r="F773" i="21"/>
  <c r="L122" i="21"/>
  <c r="J122" i="21"/>
  <c r="H122" i="21"/>
  <c r="F122" i="21"/>
  <c r="L12" i="21"/>
  <c r="J12" i="21"/>
  <c r="H12" i="21"/>
  <c r="F12" i="21"/>
  <c r="L602" i="21"/>
  <c r="J602" i="21"/>
  <c r="H602" i="21"/>
  <c r="F602" i="21"/>
  <c r="L56" i="21"/>
  <c r="J56" i="21"/>
  <c r="H56" i="21"/>
  <c r="F56" i="21"/>
  <c r="L611" i="21"/>
  <c r="J611" i="21"/>
  <c r="H611" i="21"/>
  <c r="F611" i="21"/>
  <c r="L385" i="21"/>
  <c r="J385" i="21"/>
  <c r="H385" i="21"/>
  <c r="F385" i="21"/>
  <c r="L721" i="21"/>
  <c r="J721" i="21"/>
  <c r="H721" i="21"/>
  <c r="F721" i="21"/>
  <c r="L608" i="21"/>
  <c r="J608" i="21"/>
  <c r="H608" i="21"/>
  <c r="F608" i="21"/>
  <c r="L619" i="21"/>
  <c r="J619" i="21"/>
  <c r="H619" i="21"/>
  <c r="F619" i="21"/>
  <c r="L664" i="21"/>
  <c r="J664" i="21"/>
  <c r="H664" i="21"/>
  <c r="F664" i="21"/>
  <c r="L471" i="21"/>
  <c r="J471" i="21"/>
  <c r="H471" i="21"/>
  <c r="F471" i="21"/>
  <c r="L309" i="21"/>
  <c r="J309" i="21"/>
  <c r="H309" i="21"/>
  <c r="F309" i="21"/>
  <c r="L8" i="21"/>
  <c r="J8" i="21"/>
  <c r="H8" i="21"/>
  <c r="F8" i="21"/>
  <c r="L20" i="21"/>
  <c r="J20" i="21"/>
  <c r="H20" i="21"/>
  <c r="F20" i="21"/>
  <c r="L716" i="21"/>
  <c r="J716" i="21"/>
  <c r="H716" i="21"/>
  <c r="F716" i="21"/>
  <c r="L605" i="21"/>
  <c r="J605" i="21"/>
  <c r="H605" i="21"/>
  <c r="F605" i="21"/>
  <c r="L665" i="21"/>
  <c r="J665" i="21"/>
  <c r="H665" i="21"/>
  <c r="F665" i="21"/>
  <c r="L794" i="21"/>
  <c r="J794" i="21"/>
  <c r="H794" i="21"/>
  <c r="F794" i="21"/>
  <c r="L195" i="21"/>
  <c r="J195" i="21"/>
  <c r="H195" i="21"/>
  <c r="F195" i="21"/>
  <c r="L271" i="21"/>
  <c r="J271" i="21"/>
  <c r="H271" i="21"/>
  <c r="F271" i="21"/>
  <c r="L695" i="21"/>
  <c r="J695" i="21"/>
  <c r="H695" i="21"/>
  <c r="F695" i="21"/>
  <c r="L142" i="21"/>
  <c r="J142" i="21"/>
  <c r="H142" i="21"/>
  <c r="F142" i="21"/>
  <c r="L284" i="21"/>
  <c r="J284" i="21"/>
  <c r="H284" i="21"/>
  <c r="F284" i="21"/>
  <c r="L720" i="21"/>
  <c r="J720" i="21"/>
  <c r="H720" i="21"/>
  <c r="F720" i="21"/>
  <c r="L63" i="21"/>
  <c r="J63" i="21"/>
  <c r="H63" i="21"/>
  <c r="F63" i="21"/>
  <c r="L646" i="21"/>
  <c r="J646" i="21"/>
  <c r="H646" i="21"/>
  <c r="F646" i="21"/>
  <c r="L497" i="21"/>
  <c r="J497" i="21"/>
  <c r="H497" i="21"/>
  <c r="F497" i="21"/>
  <c r="L780" i="21"/>
  <c r="J780" i="21"/>
  <c r="H780" i="21"/>
  <c r="F780" i="21"/>
  <c r="L367" i="21"/>
  <c r="J367" i="21"/>
  <c r="H367" i="21"/>
  <c r="F367" i="21"/>
  <c r="L330" i="21"/>
  <c r="J330" i="21"/>
  <c r="H330" i="21"/>
  <c r="F330" i="21"/>
  <c r="L668" i="21"/>
  <c r="J668" i="21"/>
  <c r="H668" i="21"/>
  <c r="F668" i="21"/>
  <c r="L148" i="21"/>
  <c r="J148" i="21"/>
  <c r="H148" i="21"/>
  <c r="F148" i="21"/>
  <c r="L408" i="21"/>
  <c r="J408" i="21"/>
  <c r="H408" i="21"/>
  <c r="F408" i="21"/>
  <c r="L500" i="21"/>
  <c r="J500" i="21"/>
  <c r="H500" i="21"/>
  <c r="F500" i="21"/>
  <c r="L749" i="21"/>
  <c r="J749" i="21"/>
  <c r="H749" i="21"/>
  <c r="F749" i="21"/>
  <c r="L804" i="21"/>
  <c r="J804" i="21"/>
  <c r="H804" i="21"/>
  <c r="F804" i="21"/>
  <c r="L558" i="21"/>
  <c r="J558" i="21"/>
  <c r="H558" i="21"/>
  <c r="F558" i="21"/>
  <c r="L78" i="21"/>
  <c r="J78" i="21"/>
  <c r="H78" i="21"/>
  <c r="F78" i="21"/>
  <c r="L38" i="21"/>
  <c r="J38" i="21"/>
  <c r="H38" i="21"/>
  <c r="F38" i="21"/>
  <c r="L172" i="21"/>
  <c r="J172" i="21"/>
  <c r="H172" i="21"/>
  <c r="F172" i="21"/>
  <c r="L400" i="21"/>
  <c r="J400" i="21"/>
  <c r="H400" i="21"/>
  <c r="F400" i="21"/>
  <c r="L153" i="21"/>
  <c r="J153" i="21"/>
  <c r="H153" i="21"/>
  <c r="F153" i="21"/>
  <c r="L331" i="21"/>
  <c r="J331" i="21"/>
  <c r="H331" i="21"/>
  <c r="F331" i="21"/>
  <c r="L397" i="21"/>
  <c r="J397" i="21"/>
  <c r="H397" i="21"/>
  <c r="F397" i="21"/>
  <c r="L269" i="21"/>
  <c r="J269" i="21"/>
  <c r="H269" i="21"/>
  <c r="F269" i="21"/>
  <c r="L395" i="21"/>
  <c r="J395" i="21"/>
  <c r="H395" i="21"/>
  <c r="F395" i="21"/>
  <c r="L790" i="21"/>
  <c r="J790" i="21"/>
  <c r="H790" i="21"/>
  <c r="F790" i="21"/>
  <c r="L117" i="21"/>
  <c r="J117" i="21"/>
  <c r="H117" i="21"/>
  <c r="F117" i="21"/>
  <c r="L189" i="21"/>
  <c r="J189" i="21"/>
  <c r="H189" i="21"/>
  <c r="F189" i="21"/>
  <c r="L539" i="21"/>
  <c r="J539" i="21"/>
  <c r="H539" i="21"/>
  <c r="F539" i="21"/>
  <c r="L713" i="21"/>
  <c r="J713" i="21"/>
  <c r="H713" i="21"/>
  <c r="F713" i="21"/>
  <c r="L791" i="21"/>
  <c r="J791" i="21"/>
  <c r="H791" i="21"/>
  <c r="F791" i="21"/>
  <c r="L365" i="21"/>
  <c r="J365" i="21"/>
  <c r="H365" i="21"/>
  <c r="F365" i="21"/>
  <c r="L740" i="21"/>
  <c r="J740" i="21"/>
  <c r="H740" i="21"/>
  <c r="F740" i="21"/>
  <c r="L647" i="21"/>
  <c r="J647" i="21"/>
  <c r="H647" i="21"/>
  <c r="F647" i="21"/>
  <c r="L667" i="21"/>
  <c r="J667" i="21"/>
  <c r="H667" i="21"/>
  <c r="F667" i="21"/>
  <c r="L443" i="21"/>
  <c r="J443" i="21"/>
  <c r="H443" i="21"/>
  <c r="F443" i="21"/>
  <c r="L232" i="21"/>
  <c r="J232" i="21"/>
  <c r="H232" i="21"/>
  <c r="F232" i="21"/>
  <c r="L65" i="21"/>
  <c r="J65" i="21"/>
  <c r="H65" i="21"/>
  <c r="F65" i="21"/>
  <c r="L593" i="21"/>
  <c r="J593" i="21"/>
  <c r="H593" i="21"/>
  <c r="F593" i="21"/>
  <c r="L475" i="21"/>
  <c r="J475" i="21"/>
  <c r="H475" i="21"/>
  <c r="F475" i="21"/>
  <c r="L841" i="21"/>
  <c r="J841" i="21"/>
  <c r="H841" i="21"/>
  <c r="F841" i="21"/>
  <c r="L748" i="21"/>
  <c r="J748" i="21"/>
  <c r="H748" i="21"/>
  <c r="F748" i="21"/>
  <c r="L289" i="21"/>
  <c r="J289" i="21"/>
  <c r="H289" i="21"/>
  <c r="F289" i="21"/>
  <c r="L693" i="21"/>
  <c r="J693" i="21"/>
  <c r="H693" i="21"/>
  <c r="F693" i="21"/>
  <c r="L688" i="21"/>
  <c r="J688" i="21"/>
  <c r="H688" i="21"/>
  <c r="F688" i="21"/>
  <c r="L135" i="21"/>
  <c r="J135" i="21"/>
  <c r="H135" i="21"/>
  <c r="F135" i="21"/>
  <c r="L578" i="21"/>
  <c r="J578" i="21"/>
  <c r="H578" i="21"/>
  <c r="F578" i="21"/>
  <c r="L583" i="21"/>
  <c r="J583" i="21"/>
  <c r="H583" i="21"/>
  <c r="F583" i="21"/>
  <c r="L95" i="21"/>
  <c r="J95" i="21"/>
  <c r="H95" i="21"/>
  <c r="F95" i="21"/>
  <c r="L685" i="21"/>
  <c r="J685" i="21"/>
  <c r="H685" i="21"/>
  <c r="F685" i="21"/>
  <c r="L615" i="21"/>
  <c r="J615" i="21"/>
  <c r="H615" i="21"/>
  <c r="F615" i="21"/>
  <c r="L795" i="21"/>
  <c r="J795" i="21"/>
  <c r="H795" i="21"/>
  <c r="F795" i="21"/>
  <c r="L577" i="21"/>
  <c r="J577" i="21"/>
  <c r="H577" i="21"/>
  <c r="F577" i="21"/>
  <c r="L391" i="21"/>
  <c r="J391" i="21"/>
  <c r="H391" i="21"/>
  <c r="F391" i="21"/>
  <c r="L728" i="21"/>
  <c r="J728" i="21"/>
  <c r="H728" i="21"/>
  <c r="F728" i="21"/>
  <c r="L328" i="21"/>
  <c r="J328" i="21"/>
  <c r="H328" i="21"/>
  <c r="F328" i="21"/>
  <c r="L174" i="21"/>
  <c r="J174" i="21"/>
  <c r="H174" i="21"/>
  <c r="F174" i="21"/>
  <c r="L616" i="21"/>
  <c r="J616" i="21"/>
  <c r="H616" i="21"/>
  <c r="F616" i="21"/>
  <c r="L844" i="21"/>
  <c r="J844" i="21"/>
  <c r="H844" i="21"/>
  <c r="F844" i="21"/>
  <c r="L692" i="21"/>
  <c r="J692" i="21"/>
  <c r="H692" i="21"/>
  <c r="F692" i="21"/>
  <c r="L394" i="21"/>
  <c r="J394" i="21"/>
  <c r="H394" i="21"/>
  <c r="F394" i="21"/>
  <c r="L119" i="21"/>
  <c r="J119" i="21"/>
  <c r="H119" i="21"/>
  <c r="F119" i="21"/>
  <c r="L283" i="21"/>
  <c r="J283" i="21"/>
  <c r="H283" i="21"/>
  <c r="F283" i="21"/>
  <c r="L460" i="21"/>
  <c r="J460" i="21"/>
  <c r="H460" i="21"/>
  <c r="F460" i="21"/>
  <c r="L19" i="21"/>
  <c r="J19" i="21"/>
  <c r="H19" i="21"/>
  <c r="F19" i="21"/>
  <c r="L549" i="21"/>
  <c r="J549" i="21"/>
  <c r="H549" i="21"/>
  <c r="F549" i="21"/>
  <c r="L39" i="21"/>
  <c r="J39" i="21"/>
  <c r="H39" i="21"/>
  <c r="F39" i="21"/>
  <c r="L801" i="21"/>
  <c r="J801" i="21"/>
  <c r="H801" i="21"/>
  <c r="F801" i="21"/>
  <c r="L224" i="21"/>
  <c r="J224" i="21"/>
  <c r="H224" i="21"/>
  <c r="F224" i="21"/>
  <c r="L393" i="21"/>
  <c r="J393" i="21"/>
  <c r="H393" i="21"/>
  <c r="F393" i="21"/>
  <c r="L594" i="21"/>
  <c r="J594" i="21"/>
  <c r="H594" i="21"/>
  <c r="F594" i="21"/>
  <c r="L126" i="21"/>
  <c r="J126" i="21"/>
  <c r="H126" i="21"/>
  <c r="F126" i="21"/>
  <c r="L353" i="21"/>
  <c r="J353" i="21"/>
  <c r="H353" i="21"/>
  <c r="F353" i="21"/>
  <c r="L613" i="21"/>
  <c r="J613" i="21"/>
  <c r="H613" i="21"/>
  <c r="F613" i="21"/>
  <c r="L251" i="21"/>
  <c r="J251" i="21"/>
  <c r="H251" i="21"/>
  <c r="F251" i="21"/>
  <c r="L228" i="21"/>
  <c r="J228" i="21"/>
  <c r="H228" i="21"/>
  <c r="F228" i="21"/>
  <c r="L448" i="21"/>
  <c r="J448" i="21"/>
  <c r="H448" i="21"/>
  <c r="F448" i="21"/>
  <c r="L766" i="21"/>
  <c r="J766" i="21"/>
  <c r="H766" i="21"/>
  <c r="F766" i="21"/>
  <c r="L163" i="21"/>
  <c r="J163" i="21"/>
  <c r="H163" i="21"/>
  <c r="F163" i="21"/>
  <c r="L316" i="21"/>
  <c r="J316" i="21"/>
  <c r="H316" i="21"/>
  <c r="F316" i="21"/>
  <c r="L654" i="21"/>
  <c r="J654" i="21"/>
  <c r="H654" i="21"/>
  <c r="F654" i="21"/>
  <c r="L42" i="21"/>
  <c r="J42" i="21"/>
  <c r="H42" i="21"/>
  <c r="F42" i="21"/>
  <c r="L262" i="21"/>
  <c r="J262" i="21"/>
  <c r="H262" i="21"/>
  <c r="F262" i="21"/>
  <c r="L424" i="21"/>
  <c r="J424" i="21"/>
  <c r="H424" i="21"/>
  <c r="F424" i="21"/>
  <c r="L93" i="21"/>
  <c r="J93" i="21"/>
  <c r="H93" i="21"/>
  <c r="F93" i="21"/>
  <c r="L221" i="21"/>
  <c r="J221" i="21"/>
  <c r="H221" i="21"/>
  <c r="F221" i="21"/>
  <c r="L274" i="21"/>
  <c r="J274" i="21"/>
  <c r="H274" i="21"/>
  <c r="F274" i="21"/>
  <c r="L185" i="21"/>
  <c r="J185" i="21"/>
  <c r="H185" i="21"/>
  <c r="F185" i="21"/>
  <c r="L531" i="21"/>
  <c r="J531" i="21"/>
  <c r="H531" i="21"/>
  <c r="F531" i="21"/>
  <c r="L401" i="21"/>
  <c r="J401" i="21"/>
  <c r="H401" i="21"/>
  <c r="F401" i="21"/>
  <c r="L30" i="21"/>
  <c r="J30" i="21"/>
  <c r="H30" i="21"/>
  <c r="F30" i="21"/>
  <c r="L59" i="21"/>
  <c r="J59" i="21"/>
  <c r="H59" i="21"/>
  <c r="F59" i="21"/>
  <c r="L634" i="21"/>
  <c r="J634" i="21"/>
  <c r="H634" i="21"/>
  <c r="F634" i="21"/>
  <c r="L88" i="21"/>
  <c r="J88" i="21"/>
  <c r="H88" i="21"/>
  <c r="F88" i="21"/>
  <c r="L329" i="21"/>
  <c r="J329" i="21"/>
  <c r="H329" i="21"/>
  <c r="F329" i="21"/>
  <c r="L484" i="21"/>
  <c r="J484" i="21"/>
  <c r="H484" i="21"/>
  <c r="F484" i="21"/>
  <c r="L35" i="21"/>
  <c r="J35" i="21"/>
  <c r="H35" i="21"/>
  <c r="F35" i="21"/>
  <c r="L436" i="21"/>
  <c r="J436" i="21"/>
  <c r="H436" i="21"/>
  <c r="F436" i="21"/>
  <c r="L509" i="21"/>
  <c r="J509" i="21"/>
  <c r="H509" i="21"/>
  <c r="F509" i="21"/>
  <c r="L734" i="21"/>
  <c r="J734" i="21"/>
  <c r="H734" i="21"/>
  <c r="F734" i="21"/>
  <c r="L366" i="21"/>
  <c r="J366" i="21"/>
  <c r="H366" i="21"/>
  <c r="F366" i="21"/>
  <c r="L338" i="21"/>
  <c r="J338" i="21"/>
  <c r="H338" i="21"/>
  <c r="F338" i="21"/>
  <c r="L675" i="21"/>
  <c r="J675" i="21"/>
  <c r="H675" i="21"/>
  <c r="F675" i="21"/>
  <c r="L82" i="21"/>
  <c r="J82" i="21"/>
  <c r="H82" i="21"/>
  <c r="F82" i="21"/>
  <c r="L127" i="21"/>
  <c r="J127" i="21"/>
  <c r="H127" i="21"/>
  <c r="F127" i="21"/>
  <c r="L563" i="21"/>
  <c r="J563" i="21"/>
  <c r="H563" i="21"/>
  <c r="F563" i="21"/>
  <c r="L739" i="21"/>
  <c r="J739" i="21"/>
  <c r="H739" i="21"/>
  <c r="F739" i="21"/>
  <c r="L382" i="21"/>
  <c r="J382" i="21"/>
  <c r="H382" i="21"/>
  <c r="F382" i="21"/>
  <c r="L242" i="21"/>
  <c r="J242" i="21"/>
  <c r="H242" i="21"/>
  <c r="F242" i="21"/>
  <c r="L502" i="21"/>
  <c r="J502" i="21"/>
  <c r="H502" i="21"/>
  <c r="F502" i="21"/>
  <c r="L71" i="21"/>
  <c r="J71" i="21"/>
  <c r="H71" i="21"/>
  <c r="F71" i="21"/>
  <c r="L113" i="21"/>
  <c r="J113" i="21"/>
  <c r="H113" i="21"/>
  <c r="F113" i="21"/>
  <c r="L568" i="21"/>
  <c r="J568" i="21"/>
  <c r="H568" i="21"/>
  <c r="F568" i="21"/>
  <c r="L275" i="21"/>
  <c r="J275" i="21"/>
  <c r="H275" i="21"/>
  <c r="F275" i="21"/>
  <c r="L792" i="21"/>
  <c r="J792" i="21"/>
  <c r="H792" i="21"/>
  <c r="F792" i="21"/>
  <c r="L27" i="21"/>
  <c r="J27" i="21"/>
  <c r="H27" i="21"/>
  <c r="F27" i="21"/>
  <c r="L840" i="21"/>
  <c r="J840" i="21"/>
  <c r="H840" i="21"/>
  <c r="F840" i="21"/>
  <c r="L125" i="21"/>
  <c r="J125" i="21"/>
  <c r="H125" i="21"/>
  <c r="F125" i="21"/>
  <c r="L567" i="21"/>
  <c r="J567" i="21"/>
  <c r="H567" i="21"/>
  <c r="F567" i="21"/>
  <c r="L131" i="21"/>
  <c r="J131" i="21"/>
  <c r="H131" i="21"/>
  <c r="F131" i="21"/>
  <c r="L5" i="21"/>
  <c r="J5" i="21"/>
  <c r="H5" i="21"/>
  <c r="F5" i="21"/>
  <c r="L79" i="21"/>
  <c r="J79" i="21"/>
  <c r="H79" i="21"/>
  <c r="F79" i="21"/>
  <c r="L725" i="21"/>
  <c r="J725" i="21"/>
  <c r="H725" i="21"/>
  <c r="F725" i="21"/>
  <c r="L554" i="21"/>
  <c r="J554" i="21"/>
  <c r="H554" i="21"/>
  <c r="F554" i="21"/>
  <c r="L545" i="21"/>
  <c r="J545" i="21"/>
  <c r="H545" i="21"/>
  <c r="F545" i="21"/>
  <c r="L233" i="21"/>
  <c r="J233" i="21"/>
  <c r="H233" i="21"/>
  <c r="F233" i="21"/>
  <c r="L83" i="21"/>
  <c r="J83" i="21"/>
  <c r="H83" i="21"/>
  <c r="F83" i="21"/>
  <c r="L589" i="21"/>
  <c r="J589" i="21"/>
  <c r="H589" i="21"/>
  <c r="F589" i="21"/>
  <c r="L830" i="21"/>
  <c r="J830" i="21"/>
  <c r="H830" i="21"/>
  <c r="F830" i="21"/>
  <c r="L714" i="21"/>
  <c r="J714" i="21"/>
  <c r="H714" i="21"/>
  <c r="F714" i="21"/>
  <c r="L529" i="21"/>
  <c r="J529" i="21"/>
  <c r="H529" i="21"/>
  <c r="F529" i="21"/>
  <c r="L241" i="21"/>
  <c r="J241" i="21"/>
  <c r="H241" i="21"/>
  <c r="F241" i="21"/>
  <c r="L261" i="21"/>
  <c r="J261" i="21"/>
  <c r="H261" i="21"/>
  <c r="F261" i="21"/>
  <c r="L642" i="21"/>
  <c r="J642" i="21"/>
  <c r="H642" i="21"/>
  <c r="F642" i="21"/>
  <c r="L747" i="21"/>
  <c r="J747" i="21"/>
  <c r="H747" i="21"/>
  <c r="F747" i="21"/>
  <c r="L534" i="21"/>
  <c r="J534" i="21"/>
  <c r="H534" i="21"/>
  <c r="F534" i="21"/>
  <c r="L522" i="21"/>
  <c r="J522" i="21"/>
  <c r="H522" i="21"/>
  <c r="F522" i="21"/>
  <c r="L106" i="21"/>
  <c r="J106" i="21"/>
  <c r="H106" i="21"/>
  <c r="F106" i="21"/>
  <c r="L519" i="21"/>
  <c r="J519" i="21"/>
  <c r="H519" i="21"/>
  <c r="F519" i="21"/>
  <c r="L96" i="21"/>
  <c r="J96" i="21"/>
  <c r="H96" i="21"/>
  <c r="F96" i="21"/>
  <c r="L499" i="21"/>
  <c r="J499" i="21"/>
  <c r="H499" i="21"/>
  <c r="F499" i="21"/>
  <c r="L543" i="21"/>
  <c r="J543" i="21"/>
  <c r="H543" i="21"/>
  <c r="F543" i="21"/>
  <c r="L128" i="21"/>
  <c r="J128" i="21"/>
  <c r="H128" i="21"/>
  <c r="F128" i="21"/>
  <c r="L197" i="21"/>
  <c r="J197" i="21"/>
  <c r="H197" i="21"/>
  <c r="F197" i="21"/>
  <c r="L184" i="21"/>
  <c r="J184" i="21"/>
  <c r="H184" i="21"/>
  <c r="F184" i="21"/>
  <c r="L683" i="21"/>
  <c r="J683" i="21"/>
  <c r="H683" i="21"/>
  <c r="F683" i="21"/>
  <c r="L469" i="21"/>
  <c r="J469" i="21"/>
  <c r="H469" i="21"/>
  <c r="F469" i="21"/>
  <c r="L324" i="21"/>
  <c r="J324" i="21"/>
  <c r="H324" i="21"/>
  <c r="F324" i="21"/>
  <c r="L489" i="21"/>
  <c r="J489" i="21"/>
  <c r="H489" i="21"/>
  <c r="F489" i="21"/>
  <c r="L423" i="21"/>
  <c r="J423" i="21"/>
  <c r="H423" i="21"/>
  <c r="F423" i="21"/>
  <c r="L61" i="21"/>
  <c r="J61" i="21"/>
  <c r="H61" i="21"/>
  <c r="F61" i="21"/>
  <c r="L420" i="21"/>
  <c r="J420" i="21"/>
  <c r="H420" i="21"/>
  <c r="F420" i="21"/>
  <c r="L57" i="21"/>
  <c r="J57" i="21"/>
  <c r="H57" i="21"/>
  <c r="F57" i="21"/>
  <c r="L406" i="21"/>
  <c r="J406" i="21"/>
  <c r="H406" i="21"/>
  <c r="F406" i="21"/>
  <c r="L444" i="21"/>
  <c r="J444" i="21"/>
  <c r="H444" i="21"/>
  <c r="F444" i="21"/>
  <c r="L28" i="21"/>
  <c r="J28" i="21"/>
  <c r="H28" i="21"/>
  <c r="F28" i="21"/>
  <c r="L836" i="21"/>
  <c r="J836" i="21"/>
  <c r="H836" i="21"/>
  <c r="F836" i="21"/>
  <c r="L837" i="21"/>
  <c r="J837" i="21"/>
  <c r="H837" i="21"/>
  <c r="F837" i="21"/>
  <c r="L260" i="21"/>
  <c r="J260" i="21"/>
  <c r="H260" i="21"/>
  <c r="F260" i="21"/>
  <c r="L112" i="21"/>
  <c r="J112" i="21"/>
  <c r="H112" i="21"/>
  <c r="F112" i="21"/>
  <c r="L838" i="21"/>
  <c r="J838" i="21"/>
  <c r="H838" i="21"/>
  <c r="F838" i="21"/>
  <c r="L409" i="21"/>
  <c r="J409" i="21"/>
  <c r="H409" i="21"/>
  <c r="F409" i="21"/>
  <c r="L404" i="21"/>
  <c r="J404" i="21"/>
  <c r="H404" i="21"/>
  <c r="F404" i="21"/>
  <c r="L763" i="21"/>
  <c r="J763" i="21"/>
  <c r="H763" i="21"/>
  <c r="F763" i="21"/>
  <c r="L388" i="21"/>
  <c r="J388" i="21"/>
  <c r="H388" i="21"/>
  <c r="F388" i="21"/>
  <c r="L754" i="21"/>
  <c r="J754" i="21"/>
  <c r="H754" i="21"/>
  <c r="F754" i="21"/>
  <c r="L380" i="21"/>
  <c r="J380" i="21"/>
  <c r="H380" i="21"/>
  <c r="F380" i="21"/>
  <c r="L358" i="21"/>
  <c r="J358" i="21"/>
  <c r="H358" i="21"/>
  <c r="F358" i="21"/>
  <c r="L811" i="21"/>
  <c r="J811" i="21"/>
  <c r="H811" i="21"/>
  <c r="F811" i="21"/>
  <c r="L671" i="21"/>
  <c r="J671" i="21"/>
  <c r="H671" i="21"/>
  <c r="F671" i="21"/>
  <c r="L659" i="21"/>
  <c r="J659" i="21"/>
  <c r="H659" i="21"/>
  <c r="F659" i="21"/>
  <c r="L150" i="21"/>
  <c r="J150" i="21"/>
  <c r="H150" i="21"/>
  <c r="F150" i="21"/>
  <c r="L686" i="21"/>
  <c r="J686" i="21"/>
  <c r="H686" i="21"/>
  <c r="F686" i="21"/>
  <c r="L726" i="21"/>
  <c r="J726" i="21"/>
  <c r="H726" i="21"/>
  <c r="F726" i="21"/>
  <c r="L350" i="21"/>
  <c r="J350" i="21"/>
  <c r="H350" i="21"/>
  <c r="F350" i="21"/>
  <c r="L239" i="21"/>
  <c r="J239" i="21"/>
  <c r="H239" i="21"/>
  <c r="F239" i="21"/>
  <c r="L704" i="21"/>
  <c r="J704" i="21"/>
  <c r="H704" i="21"/>
  <c r="F704" i="21"/>
  <c r="L229" i="21"/>
  <c r="J229" i="21"/>
  <c r="H229" i="21"/>
  <c r="F229" i="21"/>
  <c r="L690" i="21"/>
  <c r="J690" i="21"/>
  <c r="H690" i="21"/>
  <c r="F690" i="21"/>
  <c r="L214" i="21"/>
  <c r="J214" i="21"/>
  <c r="H214" i="21"/>
  <c r="F214" i="21"/>
  <c r="L306" i="21"/>
  <c r="J306" i="21"/>
  <c r="H306" i="21"/>
  <c r="F306" i="21"/>
  <c r="L467" i="21"/>
  <c r="J467" i="21"/>
  <c r="H467" i="21"/>
  <c r="F467" i="21"/>
  <c r="L546" i="21"/>
  <c r="J546" i="21"/>
  <c r="H546" i="21"/>
  <c r="F546" i="21"/>
  <c r="L428" i="21"/>
  <c r="J428" i="21"/>
  <c r="H428" i="21"/>
  <c r="F428" i="21"/>
  <c r="L258" i="21"/>
  <c r="J258" i="21"/>
  <c r="H258" i="21"/>
  <c r="F258" i="21"/>
  <c r="L818" i="21"/>
  <c r="J818" i="21"/>
  <c r="H818" i="21"/>
  <c r="F818" i="21"/>
  <c r="L660" i="21"/>
  <c r="J660" i="21"/>
  <c r="H660" i="21"/>
  <c r="F660" i="21"/>
  <c r="L192" i="21"/>
  <c r="J192" i="21"/>
  <c r="H192" i="21"/>
  <c r="F192" i="21"/>
  <c r="L596" i="21"/>
  <c r="J596" i="21"/>
  <c r="H596" i="21"/>
  <c r="F596" i="21"/>
  <c r="L586" i="21"/>
  <c r="J586" i="21"/>
  <c r="H586" i="21"/>
  <c r="F586" i="21"/>
  <c r="L170" i="21"/>
  <c r="J170" i="21"/>
  <c r="H170" i="21"/>
  <c r="F170" i="21"/>
  <c r="L570" i="21"/>
  <c r="J570" i="21"/>
  <c r="H570" i="21"/>
  <c r="F570" i="21"/>
  <c r="L155" i="21"/>
  <c r="J155" i="21"/>
  <c r="H155" i="21"/>
  <c r="F155" i="21"/>
  <c r="L141" i="21"/>
  <c r="J141" i="21"/>
  <c r="H141" i="21"/>
  <c r="F141" i="21"/>
  <c r="L355" i="21"/>
  <c r="J355" i="21"/>
  <c r="H355" i="21"/>
  <c r="F355" i="21"/>
  <c r="L216" i="21"/>
  <c r="J216" i="21"/>
  <c r="H216" i="21"/>
  <c r="F216" i="21"/>
  <c r="L303" i="21"/>
  <c r="J303" i="21"/>
  <c r="H303" i="21"/>
  <c r="F303" i="21"/>
  <c r="L476" i="21"/>
  <c r="J476" i="21"/>
  <c r="H476" i="21"/>
  <c r="F476" i="21"/>
  <c r="L516" i="21"/>
  <c r="J516" i="21"/>
  <c r="H516" i="21"/>
  <c r="F516" i="21"/>
  <c r="L453" i="21"/>
  <c r="J453" i="21"/>
  <c r="H453" i="21"/>
  <c r="F453" i="21"/>
  <c r="L492" i="21"/>
  <c r="J492" i="21"/>
  <c r="H492" i="21"/>
  <c r="F492" i="21"/>
  <c r="L319" i="21"/>
  <c r="J319" i="21"/>
  <c r="H319" i="21"/>
  <c r="F319" i="21"/>
  <c r="L645" i="21"/>
  <c r="J645" i="21"/>
  <c r="H645" i="21"/>
  <c r="F645" i="21"/>
  <c r="L84" i="21"/>
  <c r="J84" i="21"/>
  <c r="H84" i="21"/>
  <c r="F84" i="21"/>
  <c r="L265" i="21"/>
  <c r="J265" i="21"/>
  <c r="H265" i="21"/>
  <c r="F265" i="21"/>
  <c r="L199" i="21"/>
  <c r="J199" i="21"/>
  <c r="H199" i="21"/>
  <c r="F199" i="21"/>
  <c r="L333" i="21"/>
  <c r="J333" i="21"/>
  <c r="H333" i="21"/>
  <c r="F333" i="21"/>
  <c r="L213" i="21"/>
  <c r="J213" i="21"/>
  <c r="H213" i="21"/>
  <c r="F213" i="21"/>
  <c r="L580" i="21"/>
  <c r="J580" i="21"/>
  <c r="H580" i="21"/>
  <c r="F580" i="21"/>
  <c r="L11" i="21"/>
  <c r="J11" i="21"/>
  <c r="H11" i="21"/>
  <c r="F11" i="21"/>
  <c r="L166" i="21"/>
  <c r="J166" i="21"/>
  <c r="H166" i="21"/>
  <c r="F166" i="21"/>
  <c r="L99" i="21"/>
  <c r="J99" i="21"/>
  <c r="H99" i="21"/>
  <c r="F99" i="21"/>
  <c r="L143" i="21"/>
  <c r="J143" i="21"/>
  <c r="H143" i="21"/>
  <c r="F143" i="21"/>
  <c r="L76" i="21"/>
  <c r="J76" i="21"/>
  <c r="H76" i="21"/>
  <c r="F76" i="21"/>
  <c r="L581" i="21"/>
  <c r="J581" i="21"/>
  <c r="H581" i="21"/>
  <c r="F581" i="21"/>
  <c r="L538" i="21"/>
  <c r="J538" i="21"/>
  <c r="H538" i="21"/>
  <c r="F538" i="21"/>
  <c r="L32" i="21"/>
  <c r="J32" i="21"/>
  <c r="H32" i="21"/>
  <c r="F32" i="21"/>
  <c r="L551" i="21"/>
  <c r="J551" i="21"/>
  <c r="H551" i="21"/>
  <c r="F551" i="21"/>
  <c r="L165" i="21"/>
  <c r="J165" i="21"/>
  <c r="H165" i="21"/>
  <c r="F165" i="21"/>
  <c r="L286" i="21"/>
  <c r="J286" i="21"/>
  <c r="H286" i="21"/>
  <c r="F286" i="21"/>
  <c r="L268" i="21"/>
  <c r="J268" i="21"/>
  <c r="H268" i="21"/>
  <c r="F268" i="21"/>
  <c r="L771" i="21"/>
  <c r="J771" i="21"/>
  <c r="H771" i="21"/>
  <c r="F771" i="21"/>
  <c r="L147" i="21"/>
  <c r="J147" i="21"/>
  <c r="H147" i="21"/>
  <c r="F147" i="21"/>
  <c r="L731" i="21"/>
  <c r="J731" i="21"/>
  <c r="H731" i="21"/>
  <c r="F731" i="21"/>
  <c r="L111" i="21"/>
  <c r="J111" i="21"/>
  <c r="H111" i="21"/>
  <c r="F111" i="21"/>
  <c r="L398" i="21"/>
  <c r="J398" i="21"/>
  <c r="H398" i="21"/>
  <c r="F398" i="21"/>
  <c r="L699" i="21"/>
  <c r="J699" i="21"/>
  <c r="H699" i="21"/>
  <c r="F699" i="21"/>
  <c r="L45" i="21"/>
  <c r="J45" i="21"/>
  <c r="H45" i="21"/>
  <c r="F45" i="21"/>
  <c r="L842" i="21"/>
  <c r="J842" i="21"/>
  <c r="H842" i="21"/>
  <c r="F842" i="21"/>
  <c r="L491" i="21"/>
  <c r="J491" i="21"/>
  <c r="H491" i="21"/>
  <c r="F491" i="21"/>
  <c r="L72" i="21"/>
  <c r="J72" i="21"/>
  <c r="H72" i="21"/>
  <c r="F72" i="21"/>
  <c r="L310" i="21"/>
  <c r="J310" i="21"/>
  <c r="H310" i="21"/>
  <c r="F310" i="21"/>
  <c r="L267" i="21"/>
  <c r="J267" i="21"/>
  <c r="H267" i="21"/>
  <c r="F267" i="21"/>
  <c r="L327" i="21"/>
  <c r="J327" i="21"/>
  <c r="H327" i="21"/>
  <c r="F327" i="21"/>
  <c r="L832" i="21"/>
  <c r="J832" i="21"/>
  <c r="H832" i="21"/>
  <c r="F832" i="21"/>
  <c r="L511" i="21"/>
  <c r="J511" i="21"/>
  <c r="H511" i="21"/>
  <c r="F511" i="21"/>
  <c r="L473" i="21"/>
  <c r="J473" i="21"/>
  <c r="H473" i="21"/>
  <c r="F473" i="21"/>
  <c r="L47" i="21"/>
  <c r="J47" i="21"/>
  <c r="H47" i="21"/>
  <c r="F47" i="21"/>
  <c r="L157" i="21"/>
  <c r="J157" i="21"/>
  <c r="H157" i="21"/>
  <c r="F157" i="21"/>
  <c r="L640" i="21"/>
  <c r="J640" i="21"/>
  <c r="H640" i="21"/>
  <c r="F640" i="21"/>
  <c r="L173" i="21"/>
  <c r="J173" i="21"/>
  <c r="H173" i="21"/>
  <c r="F173" i="21"/>
  <c r="L161" i="21"/>
  <c r="J161" i="21"/>
  <c r="H161" i="21"/>
  <c r="F161" i="21"/>
  <c r="L624" i="21"/>
  <c r="J624" i="21"/>
  <c r="H624" i="21"/>
  <c r="F624" i="21"/>
  <c r="L156" i="21"/>
  <c r="J156" i="21"/>
  <c r="H156" i="21"/>
  <c r="F156" i="21"/>
  <c r="L617" i="21"/>
  <c r="J617" i="21"/>
  <c r="H617" i="21"/>
  <c r="F617" i="21"/>
  <c r="L597" i="21"/>
  <c r="J597" i="21"/>
  <c r="H597" i="21"/>
  <c r="F597" i="21"/>
  <c r="L175" i="21"/>
  <c r="J175" i="21"/>
  <c r="H175" i="21"/>
  <c r="F175" i="21"/>
  <c r="L322" i="21"/>
  <c r="J322" i="21"/>
  <c r="H322" i="21"/>
  <c r="F322" i="21"/>
  <c r="L302" i="21"/>
  <c r="J302" i="21"/>
  <c r="H302" i="21"/>
  <c r="F302" i="21"/>
  <c r="L50" i="21"/>
  <c r="J50" i="21"/>
  <c r="H50" i="21"/>
  <c r="F50" i="21"/>
  <c r="L680" i="21"/>
  <c r="J680" i="21"/>
  <c r="H680" i="21"/>
  <c r="F680" i="21"/>
  <c r="L572" i="21"/>
  <c r="J572" i="21"/>
  <c r="H572" i="21"/>
  <c r="F572" i="21"/>
  <c r="L595" i="21"/>
  <c r="J595" i="21"/>
  <c r="H595" i="21"/>
  <c r="F595" i="21"/>
  <c r="L73" i="21"/>
  <c r="J73" i="21"/>
  <c r="H73" i="21"/>
  <c r="F73" i="21"/>
  <c r="L120" i="21"/>
  <c r="J120" i="21"/>
  <c r="H120" i="21"/>
  <c r="F120" i="21"/>
  <c r="L466" i="21"/>
  <c r="J466" i="21"/>
  <c r="H466" i="21"/>
  <c r="F466" i="21"/>
  <c r="L102" i="21"/>
  <c r="J102" i="21"/>
  <c r="H102" i="21"/>
  <c r="F102" i="21"/>
  <c r="L458" i="21"/>
  <c r="J458" i="21"/>
  <c r="H458" i="21"/>
  <c r="F458" i="21"/>
  <c r="L556" i="21"/>
  <c r="J556" i="21"/>
  <c r="H556" i="21"/>
  <c r="F556" i="21"/>
  <c r="L75" i="21"/>
  <c r="J75" i="21"/>
  <c r="H75" i="21"/>
  <c r="F75" i="21"/>
  <c r="L230" i="21"/>
  <c r="J230" i="21"/>
  <c r="H230" i="21"/>
  <c r="F230" i="21"/>
  <c r="L103" i="21"/>
  <c r="J103" i="21"/>
  <c r="H103" i="21"/>
  <c r="F103" i="21"/>
  <c r="L788" i="21"/>
  <c r="J788" i="21"/>
  <c r="H788" i="21"/>
  <c r="F788" i="21"/>
  <c r="L325" i="21"/>
  <c r="J325" i="21"/>
  <c r="H325" i="21"/>
  <c r="F325" i="21"/>
  <c r="L431" i="21"/>
  <c r="J431" i="21"/>
  <c r="H431" i="21"/>
  <c r="F431" i="21"/>
  <c r="L462" i="21"/>
  <c r="J462" i="21"/>
  <c r="H462" i="21"/>
  <c r="F462" i="21"/>
  <c r="L450" i="21"/>
  <c r="J450" i="21"/>
  <c r="H450" i="21"/>
  <c r="F450" i="21"/>
  <c r="L816" i="21"/>
  <c r="J816" i="21"/>
  <c r="H816" i="21"/>
  <c r="F816" i="21"/>
  <c r="L446" i="21"/>
  <c r="J446" i="21"/>
  <c r="H446" i="21"/>
  <c r="F446" i="21"/>
  <c r="L802" i="21"/>
  <c r="J802" i="21"/>
  <c r="H802" i="21"/>
  <c r="F802" i="21"/>
  <c r="L425" i="21"/>
  <c r="J425" i="21"/>
  <c r="H425" i="21"/>
  <c r="F425" i="21"/>
  <c r="L418" i="21"/>
  <c r="J418" i="21"/>
  <c r="H418" i="21"/>
  <c r="F418" i="21"/>
  <c r="L55" i="21"/>
  <c r="J55" i="21"/>
  <c r="H55" i="21"/>
  <c r="F55" i="21"/>
  <c r="L770" i="21"/>
  <c r="J770" i="21"/>
  <c r="H770" i="21"/>
  <c r="F770" i="21"/>
  <c r="L37" i="21"/>
  <c r="J37" i="21"/>
  <c r="H37" i="21"/>
  <c r="F37" i="21"/>
  <c r="L9" i="21"/>
  <c r="J9" i="21"/>
  <c r="H9" i="21"/>
  <c r="F9" i="21"/>
  <c r="L80" i="21"/>
  <c r="J80" i="21"/>
  <c r="H80" i="21"/>
  <c r="F80" i="21"/>
  <c r="L772" i="21"/>
  <c r="J772" i="21"/>
  <c r="H772" i="21"/>
  <c r="F772" i="21"/>
  <c r="L403" i="21"/>
  <c r="J403" i="21"/>
  <c r="H403" i="21"/>
  <c r="F403" i="21"/>
  <c r="L708" i="21"/>
  <c r="J708" i="21"/>
  <c r="H708" i="21"/>
  <c r="F708" i="21"/>
  <c r="L755" i="21"/>
  <c r="J755" i="21"/>
  <c r="H755" i="21"/>
  <c r="F755" i="21"/>
  <c r="L334" i="21"/>
  <c r="J334" i="21"/>
  <c r="H334" i="21"/>
  <c r="F334" i="21"/>
  <c r="L742" i="21"/>
  <c r="J742" i="21"/>
  <c r="H742" i="21"/>
  <c r="F742" i="21"/>
  <c r="L313" i="21"/>
  <c r="J313" i="21"/>
  <c r="H313" i="21"/>
  <c r="F313" i="21"/>
  <c r="L352" i="21"/>
  <c r="J352" i="21"/>
  <c r="H352" i="21"/>
  <c r="F352" i="21"/>
  <c r="L587" i="21"/>
  <c r="J587" i="21"/>
  <c r="H587" i="21"/>
  <c r="F587" i="21"/>
  <c r="L658" i="21"/>
  <c r="J658" i="21"/>
  <c r="H658" i="21"/>
  <c r="F658" i="21"/>
  <c r="L527" i="21"/>
  <c r="J527" i="21"/>
  <c r="H527" i="21"/>
  <c r="F527" i="21"/>
  <c r="L48" i="21"/>
  <c r="J48" i="21"/>
  <c r="H48" i="21"/>
  <c r="F48" i="21"/>
  <c r="L225" i="21"/>
  <c r="J225" i="21"/>
  <c r="H225" i="21"/>
  <c r="F225" i="21"/>
  <c r="L718" i="21"/>
  <c r="J718" i="21"/>
  <c r="H718" i="21"/>
  <c r="F718" i="21"/>
  <c r="L238" i="21"/>
  <c r="J238" i="21"/>
  <c r="H238" i="21"/>
  <c r="F238" i="21"/>
  <c r="L701" i="21"/>
  <c r="J701" i="21"/>
  <c r="H701" i="21"/>
  <c r="F701" i="21"/>
  <c r="L637" i="21"/>
  <c r="J637" i="21"/>
  <c r="H637" i="21"/>
  <c r="F637" i="21"/>
  <c r="L215" i="21"/>
  <c r="J215" i="21"/>
  <c r="H215" i="21"/>
  <c r="F215" i="21"/>
  <c r="L630" i="21"/>
  <c r="J630" i="21"/>
  <c r="H630" i="21"/>
  <c r="F630" i="21"/>
  <c r="L208" i="21"/>
  <c r="J208" i="21"/>
  <c r="H208" i="21"/>
  <c r="F208" i="21"/>
  <c r="L194" i="21"/>
  <c r="J194" i="21"/>
  <c r="H194" i="21"/>
  <c r="F194" i="21"/>
  <c r="L454" i="21"/>
  <c r="J454" i="21"/>
  <c r="H454" i="21"/>
  <c r="F454" i="21"/>
  <c r="L335" i="21"/>
  <c r="J335" i="21"/>
  <c r="H335" i="21"/>
  <c r="F335" i="21"/>
  <c r="L415" i="21"/>
  <c r="J415" i="21"/>
  <c r="H415" i="21"/>
  <c r="F415" i="21"/>
  <c r="L633" i="21"/>
  <c r="J633" i="21"/>
  <c r="H633" i="21"/>
  <c r="F633" i="21"/>
  <c r="L674" i="21"/>
  <c r="J674" i="21"/>
  <c r="H674" i="21"/>
  <c r="F674" i="21"/>
  <c r="L618" i="21"/>
  <c r="J618" i="21"/>
  <c r="H618" i="21"/>
  <c r="F618" i="21"/>
  <c r="L656" i="21"/>
  <c r="J656" i="21"/>
  <c r="H656" i="21"/>
  <c r="F656" i="21"/>
  <c r="L590" i="21"/>
  <c r="J590" i="21"/>
  <c r="H590" i="21"/>
  <c r="F590" i="21"/>
  <c r="L474" i="21"/>
  <c r="J474" i="21"/>
  <c r="H474" i="21"/>
  <c r="F474" i="21"/>
  <c r="L756" i="21"/>
  <c r="J756" i="21"/>
  <c r="H756" i="21"/>
  <c r="F756" i="21"/>
  <c r="L416" i="21"/>
  <c r="J416" i="21"/>
  <c r="H416" i="21"/>
  <c r="F416" i="21"/>
  <c r="L351" i="21"/>
  <c r="J351" i="21"/>
  <c r="H351" i="21"/>
  <c r="F351" i="21"/>
  <c r="L438" i="21"/>
  <c r="J438" i="21"/>
  <c r="H438" i="21"/>
  <c r="F438" i="21"/>
  <c r="L373" i="21"/>
  <c r="J373" i="21"/>
  <c r="H373" i="21"/>
  <c r="F373" i="21"/>
  <c r="L783" i="21"/>
  <c r="J783" i="21"/>
  <c r="H783" i="21"/>
  <c r="F783" i="21"/>
  <c r="L506" i="21"/>
  <c r="J506" i="21"/>
  <c r="H506" i="21"/>
  <c r="F506" i="21"/>
  <c r="L317" i="21"/>
  <c r="J317" i="21"/>
  <c r="H317" i="21"/>
  <c r="F317" i="21"/>
  <c r="L206" i="21"/>
  <c r="J206" i="21"/>
  <c r="H206" i="21"/>
  <c r="F206" i="21"/>
  <c r="L301" i="21"/>
  <c r="J301" i="21"/>
  <c r="H301" i="21"/>
  <c r="F301" i="21"/>
  <c r="L182" i="21"/>
  <c r="J182" i="21"/>
  <c r="H182" i="21"/>
  <c r="F182" i="21"/>
  <c r="L121" i="21"/>
  <c r="J121" i="21"/>
  <c r="H121" i="21"/>
  <c r="F121" i="21"/>
  <c r="L178" i="21"/>
  <c r="J178" i="21"/>
  <c r="H178" i="21"/>
  <c r="F178" i="21"/>
  <c r="L217" i="21"/>
  <c r="J217" i="21"/>
  <c r="H217" i="21"/>
  <c r="F217" i="21"/>
  <c r="L571" i="21"/>
  <c r="J571" i="21"/>
  <c r="H571" i="21"/>
  <c r="F571" i="21"/>
  <c r="L523" i="21"/>
  <c r="J523" i="21"/>
  <c r="H523" i="21"/>
  <c r="F523" i="21"/>
  <c r="L297" i="21"/>
  <c r="J297" i="21"/>
  <c r="H297" i="21"/>
  <c r="F297" i="21"/>
  <c r="L276" i="21"/>
  <c r="J276" i="21"/>
  <c r="H276" i="21"/>
  <c r="F276" i="21"/>
  <c r="L744" i="21"/>
  <c r="J744" i="21"/>
  <c r="H744" i="21"/>
  <c r="F744" i="21"/>
  <c r="L472" i="21"/>
  <c r="J472" i="21"/>
  <c r="H472" i="21"/>
  <c r="F472" i="21"/>
  <c r="L833" i="21"/>
  <c r="J833" i="21"/>
  <c r="H833" i="21"/>
  <c r="F833" i="21"/>
  <c r="L758" i="21"/>
  <c r="J758" i="21"/>
  <c r="H758" i="21"/>
  <c r="F758" i="21"/>
  <c r="L827" i="21"/>
  <c r="J827" i="21"/>
  <c r="H827" i="21"/>
  <c r="F827" i="21"/>
  <c r="L848" i="21"/>
  <c r="J848" i="21"/>
  <c r="H848" i="21"/>
  <c r="F848" i="21"/>
  <c r="L552" i="21"/>
  <c r="J552" i="21"/>
  <c r="H552" i="21"/>
  <c r="F552" i="21"/>
  <c r="L839" i="21"/>
  <c r="J839" i="21"/>
  <c r="H839" i="21"/>
  <c r="F839" i="21"/>
  <c r="L518" i="21"/>
  <c r="J518" i="21"/>
  <c r="H518" i="21"/>
  <c r="F518" i="21"/>
  <c r="L97" i="21"/>
  <c r="J97" i="21"/>
  <c r="H97" i="21"/>
  <c r="F97" i="21"/>
  <c r="L579" i="21"/>
  <c r="J579" i="21"/>
  <c r="H579" i="21"/>
  <c r="F579" i="21"/>
  <c r="L281" i="21"/>
  <c r="J281" i="21"/>
  <c r="H281" i="21"/>
  <c r="F281" i="21"/>
  <c r="L805" i="21"/>
  <c r="J805" i="21"/>
  <c r="H805" i="21"/>
  <c r="F805" i="21"/>
  <c r="L6" i="21"/>
  <c r="J6" i="21"/>
  <c r="H6" i="21"/>
  <c r="F6" i="21"/>
  <c r="L532" i="21"/>
  <c r="J532" i="21"/>
  <c r="H532" i="21"/>
  <c r="F532" i="21"/>
  <c r="L540" i="21"/>
  <c r="J540" i="21"/>
  <c r="H540" i="21"/>
  <c r="F540" i="21"/>
  <c r="L114" i="21"/>
  <c r="J114" i="21"/>
  <c r="H114" i="21"/>
  <c r="F114" i="21"/>
  <c r="L186" i="21"/>
  <c r="J186" i="21"/>
  <c r="H186" i="21"/>
  <c r="F186" i="21"/>
  <c r="L806" i="21"/>
  <c r="J806" i="21"/>
  <c r="H806" i="21"/>
  <c r="F806" i="21"/>
  <c r="L429" i="21"/>
  <c r="J429" i="21"/>
  <c r="H429" i="21"/>
  <c r="F429" i="21"/>
  <c r="L372" i="21"/>
  <c r="J372" i="21"/>
  <c r="H372" i="21"/>
  <c r="F372" i="21"/>
  <c r="L782" i="21"/>
  <c r="J782" i="21"/>
  <c r="H782" i="21"/>
  <c r="F782" i="21"/>
  <c r="L354" i="21"/>
  <c r="J354" i="21"/>
  <c r="H354" i="21"/>
  <c r="F354" i="21"/>
  <c r="L768" i="21"/>
  <c r="J768" i="21"/>
  <c r="H768" i="21"/>
  <c r="F768" i="21"/>
  <c r="L761" i="21"/>
  <c r="J761" i="21"/>
  <c r="H761" i="21"/>
  <c r="F761" i="21"/>
  <c r="L386" i="21"/>
  <c r="J386" i="21"/>
  <c r="H386" i="21"/>
  <c r="F386" i="21"/>
  <c r="L632" i="21"/>
  <c r="J632" i="21"/>
  <c r="H632" i="21"/>
  <c r="F632" i="21"/>
  <c r="L705" i="21"/>
  <c r="J705" i="21"/>
  <c r="H705" i="21"/>
  <c r="F705" i="21"/>
  <c r="L116" i="21"/>
  <c r="J116" i="21"/>
  <c r="H116" i="21"/>
  <c r="F116" i="21"/>
  <c r="L682" i="21"/>
  <c r="J682" i="21"/>
  <c r="H682" i="21"/>
  <c r="F682" i="21"/>
  <c r="L612" i="21"/>
  <c r="J612" i="21"/>
  <c r="H612" i="21"/>
  <c r="F612" i="21"/>
  <c r="L759" i="21"/>
  <c r="J759" i="21"/>
  <c r="H759" i="21"/>
  <c r="F759" i="21"/>
  <c r="L337" i="21"/>
  <c r="J337" i="21"/>
  <c r="H337" i="21"/>
  <c r="F337" i="21"/>
  <c r="L318" i="21"/>
  <c r="J318" i="21"/>
  <c r="H318" i="21"/>
  <c r="F318" i="21"/>
  <c r="L691" i="21"/>
  <c r="J691" i="21"/>
  <c r="H691" i="21"/>
  <c r="F691" i="21"/>
  <c r="L314" i="21"/>
  <c r="J314" i="21"/>
  <c r="H314" i="21"/>
  <c r="F314" i="21"/>
  <c r="L669" i="21"/>
  <c r="J669" i="21"/>
  <c r="H669" i="21"/>
  <c r="F669" i="21"/>
  <c r="L709" i="21"/>
  <c r="J709" i="21"/>
  <c r="H709" i="21"/>
  <c r="F709" i="21"/>
  <c r="L287" i="21"/>
  <c r="J287" i="21"/>
  <c r="H287" i="21"/>
  <c r="F287" i="21"/>
  <c r="L553" i="21"/>
  <c r="J553" i="21"/>
  <c r="H553" i="21"/>
  <c r="F553" i="21"/>
  <c r="L513" i="21"/>
  <c r="J513" i="21"/>
  <c r="H513" i="21"/>
  <c r="F513" i="21"/>
  <c r="L610" i="21"/>
  <c r="J610" i="21"/>
  <c r="H610" i="21"/>
  <c r="F610" i="21"/>
  <c r="L470" i="21"/>
  <c r="J470" i="21"/>
  <c r="H470" i="21"/>
  <c r="F470" i="21"/>
  <c r="L296" i="21"/>
  <c r="J296" i="21"/>
  <c r="H296" i="21"/>
  <c r="F296" i="21"/>
  <c r="L673" i="21"/>
  <c r="J673" i="21"/>
  <c r="H673" i="21"/>
  <c r="F673" i="21"/>
  <c r="L205" i="21"/>
  <c r="J205" i="21"/>
  <c r="H205" i="21"/>
  <c r="F205" i="21"/>
  <c r="L193" i="21"/>
  <c r="J193" i="21"/>
  <c r="H193" i="21"/>
  <c r="F193" i="21"/>
  <c r="L657" i="21"/>
  <c r="J657" i="21"/>
  <c r="H657" i="21"/>
  <c r="F657" i="21"/>
  <c r="L183" i="21"/>
  <c r="J183" i="21"/>
  <c r="H183" i="21"/>
  <c r="F183" i="21"/>
  <c r="L650" i="21"/>
  <c r="J650" i="21"/>
  <c r="H650" i="21"/>
  <c r="F650" i="21"/>
  <c r="L629" i="21"/>
  <c r="J629" i="21"/>
  <c r="H629" i="21"/>
  <c r="F629" i="21"/>
  <c r="L207" i="21"/>
  <c r="J207" i="21"/>
  <c r="H207" i="21"/>
  <c r="F207" i="21"/>
  <c r="L389" i="21"/>
  <c r="J389" i="21"/>
  <c r="H389" i="21"/>
  <c r="F389" i="21"/>
  <c r="L368" i="21"/>
  <c r="J368" i="21"/>
  <c r="H368" i="21"/>
  <c r="F368" i="21"/>
  <c r="L115" i="21"/>
  <c r="J115" i="21"/>
  <c r="H115" i="21"/>
  <c r="F115" i="21"/>
  <c r="L326" i="21"/>
  <c r="J326" i="21"/>
  <c r="H326" i="21"/>
  <c r="F326" i="21"/>
  <c r="L641" i="21"/>
  <c r="J641" i="21"/>
  <c r="H641" i="21"/>
  <c r="F641" i="21"/>
  <c r="L620" i="21"/>
  <c r="J620" i="21"/>
  <c r="H620" i="21"/>
  <c r="F620" i="21"/>
  <c r="L139" i="21"/>
  <c r="J139" i="21"/>
  <c r="H139" i="21"/>
  <c r="F139" i="21"/>
  <c r="L133" i="21"/>
  <c r="J133" i="21"/>
  <c r="H133" i="21"/>
  <c r="F133" i="21"/>
  <c r="L487" i="21"/>
  <c r="J487" i="21"/>
  <c r="H487" i="21"/>
  <c r="F487" i="21"/>
  <c r="L123" i="21"/>
  <c r="J123" i="21"/>
  <c r="H123" i="21"/>
  <c r="F123" i="21"/>
  <c r="L479" i="21"/>
  <c r="J479" i="21"/>
  <c r="H479" i="21"/>
  <c r="F479" i="21"/>
  <c r="L569" i="21"/>
  <c r="J569" i="21"/>
  <c r="H569" i="21"/>
  <c r="F569" i="21"/>
  <c r="L94" i="21"/>
  <c r="J94" i="21"/>
  <c r="H94" i="21"/>
  <c r="F94" i="21"/>
  <c r="L263" i="21"/>
  <c r="J263" i="21"/>
  <c r="H263" i="21"/>
  <c r="F263" i="21"/>
  <c r="L137" i="21"/>
  <c r="J137" i="21"/>
  <c r="H137" i="21"/>
  <c r="F137" i="21"/>
  <c r="L715" i="21"/>
  <c r="J715" i="21"/>
  <c r="H715" i="21"/>
  <c r="F715" i="21"/>
  <c r="L257" i="21"/>
  <c r="J257" i="21"/>
  <c r="H257" i="21"/>
  <c r="F257" i="21"/>
  <c r="L361" i="21"/>
  <c r="J361" i="21"/>
  <c r="H361" i="21"/>
  <c r="F361" i="21"/>
  <c r="L449" i="21"/>
  <c r="J449" i="21"/>
  <c r="H449" i="21"/>
  <c r="F449" i="21"/>
  <c r="L85" i="21"/>
  <c r="J85" i="21"/>
  <c r="H85" i="21"/>
  <c r="F85" i="21"/>
  <c r="L803" i="21"/>
  <c r="J803" i="21"/>
  <c r="H803" i="21"/>
  <c r="F803" i="21"/>
  <c r="L426" i="21"/>
  <c r="J426" i="21"/>
  <c r="H426" i="21"/>
  <c r="F426" i="21"/>
  <c r="L781" i="21"/>
  <c r="J781" i="21"/>
  <c r="H781" i="21"/>
  <c r="F781" i="21"/>
  <c r="L412" i="21"/>
  <c r="J412" i="21"/>
  <c r="H412" i="21"/>
  <c r="F412" i="21"/>
  <c r="L405" i="21"/>
  <c r="J405" i="21"/>
  <c r="H405" i="21"/>
  <c r="F405" i="21"/>
  <c r="L34" i="21"/>
  <c r="J34" i="21"/>
  <c r="H34" i="21"/>
  <c r="F34" i="21"/>
  <c r="L737" i="21"/>
  <c r="J737" i="21"/>
  <c r="H737" i="21"/>
  <c r="F737" i="21"/>
  <c r="L3" i="21"/>
  <c r="J3" i="21"/>
  <c r="H3" i="21"/>
  <c r="F3" i="21"/>
  <c r="L435" i="21"/>
  <c r="J435" i="21"/>
  <c r="H435" i="21"/>
  <c r="F435" i="21"/>
  <c r="L211" i="21"/>
  <c r="J211" i="21"/>
  <c r="H211" i="21"/>
  <c r="F211" i="21"/>
  <c r="L146" i="21"/>
  <c r="J146" i="21"/>
  <c r="H146" i="21"/>
  <c r="F146" i="21"/>
  <c r="L196" i="21"/>
  <c r="J196" i="21"/>
  <c r="H196" i="21"/>
  <c r="F196" i="21"/>
  <c r="L129" i="21"/>
  <c r="J129" i="21"/>
  <c r="H129" i="21"/>
  <c r="F129" i="21"/>
  <c r="L672" i="21"/>
  <c r="J672" i="21"/>
  <c r="H672" i="21"/>
  <c r="F672" i="21"/>
  <c r="L364" i="21"/>
  <c r="J364" i="21"/>
  <c r="H364" i="21"/>
  <c r="F364" i="21"/>
  <c r="L793" i="21"/>
  <c r="J793" i="21"/>
  <c r="H793" i="21"/>
  <c r="F793" i="21"/>
  <c r="L727" i="21"/>
  <c r="J727" i="21"/>
  <c r="H727" i="21"/>
  <c r="F727" i="21"/>
  <c r="L23" i="21"/>
  <c r="J23" i="21"/>
  <c r="H23" i="21"/>
  <c r="F23" i="21"/>
  <c r="L741" i="21"/>
  <c r="J741" i="21"/>
  <c r="H741" i="21"/>
  <c r="F741" i="21"/>
  <c r="L843" i="21"/>
  <c r="J843" i="21"/>
  <c r="H843" i="21"/>
  <c r="F843" i="21"/>
  <c r="L560" i="21"/>
  <c r="J560" i="21"/>
  <c r="H560" i="21"/>
  <c r="F560" i="21"/>
  <c r="L694" i="21"/>
  <c r="J694" i="21"/>
  <c r="H694" i="21"/>
  <c r="F694" i="21"/>
  <c r="L628" i="21"/>
  <c r="J628" i="21"/>
  <c r="H628" i="21"/>
  <c r="F628" i="21"/>
  <c r="L670" i="21"/>
  <c r="J670" i="21"/>
  <c r="H670" i="21"/>
  <c r="F670" i="21"/>
  <c r="L604" i="21"/>
  <c r="J604" i="21"/>
  <c r="H604" i="21"/>
  <c r="F604" i="21"/>
  <c r="L649" i="21"/>
  <c r="J649" i="21"/>
  <c r="H649" i="21"/>
  <c r="F649" i="21"/>
  <c r="L159" i="21"/>
  <c r="J159" i="21"/>
  <c r="H159" i="21"/>
  <c r="F159" i="21"/>
  <c r="L588" i="21"/>
  <c r="J588" i="21"/>
  <c r="H588" i="21"/>
  <c r="F588" i="21"/>
  <c r="L282" i="21"/>
  <c r="J282" i="21"/>
  <c r="H282" i="21"/>
  <c r="F282" i="21"/>
  <c r="L253" i="21"/>
  <c r="J253" i="21"/>
  <c r="H253" i="21"/>
  <c r="F253" i="21"/>
  <c r="L26" i="21"/>
  <c r="J26" i="21"/>
  <c r="H26" i="21"/>
  <c r="F26" i="21"/>
  <c r="L847" i="21"/>
  <c r="J847" i="21"/>
  <c r="H847" i="21"/>
  <c r="F847" i="21"/>
  <c r="L144" i="21"/>
  <c r="J144" i="21"/>
  <c r="H144" i="21"/>
  <c r="F144" i="21"/>
  <c r="L819" i="21"/>
  <c r="J819" i="21"/>
  <c r="H819" i="21"/>
  <c r="F819" i="21"/>
  <c r="L510" i="21"/>
  <c r="J510" i="21"/>
  <c r="H510" i="21"/>
  <c r="F510" i="21"/>
  <c r="L104" i="21"/>
  <c r="J104" i="21"/>
  <c r="H104" i="21"/>
  <c r="F104" i="21"/>
  <c r="L712" i="21"/>
  <c r="J712" i="21"/>
  <c r="H712" i="21"/>
  <c r="F712" i="21"/>
  <c r="L828" i="21"/>
  <c r="J828" i="21"/>
  <c r="H828" i="21"/>
  <c r="F828" i="21"/>
  <c r="L524" i="21"/>
  <c r="J524" i="21"/>
  <c r="H524" i="21"/>
  <c r="F524" i="21"/>
  <c r="L541" i="21"/>
  <c r="J541" i="21"/>
  <c r="H541" i="21"/>
  <c r="F541" i="21"/>
  <c r="L247" i="21"/>
  <c r="J247" i="21"/>
  <c r="H247" i="21"/>
  <c r="F247" i="21"/>
  <c r="L414" i="21"/>
  <c r="J414" i="21"/>
  <c r="H414" i="21"/>
  <c r="F414" i="21"/>
  <c r="L256" i="21"/>
  <c r="J256" i="21"/>
  <c r="H256" i="21"/>
  <c r="F256" i="21"/>
  <c r="L22" i="21"/>
  <c r="J22" i="21"/>
  <c r="H22" i="21"/>
  <c r="F22" i="21"/>
  <c r="L191" i="21"/>
  <c r="J191" i="21"/>
  <c r="H191" i="21"/>
  <c r="F191" i="21"/>
  <c r="L548" i="21"/>
  <c r="J548" i="21"/>
  <c r="H548" i="21"/>
  <c r="F548" i="21"/>
  <c r="L248" i="21"/>
  <c r="J248" i="21"/>
  <c r="H248" i="21"/>
  <c r="F248" i="21"/>
  <c r="L295" i="21"/>
  <c r="J295" i="21"/>
  <c r="H295" i="21"/>
  <c r="F295" i="21"/>
  <c r="L575" i="21"/>
  <c r="J575" i="21"/>
  <c r="H575" i="21"/>
  <c r="F575" i="21"/>
  <c r="L825" i="21"/>
  <c r="J825" i="21"/>
  <c r="H825" i="21"/>
  <c r="F825" i="21"/>
  <c r="L745" i="21"/>
  <c r="J745" i="21"/>
  <c r="H745" i="21"/>
  <c r="F745" i="21"/>
  <c r="L377" i="21"/>
  <c r="J377" i="21"/>
  <c r="H377" i="21"/>
  <c r="F377" i="21"/>
  <c r="L311" i="21"/>
  <c r="J311" i="21"/>
  <c r="H311" i="21"/>
  <c r="F311" i="21"/>
  <c r="L730" i="21"/>
  <c r="J730" i="21"/>
  <c r="H730" i="21"/>
  <c r="F730" i="21"/>
  <c r="L308" i="21"/>
  <c r="J308" i="21"/>
  <c r="H308" i="21"/>
  <c r="F308" i="21"/>
  <c r="L722" i="21"/>
  <c r="J722" i="21"/>
  <c r="H722" i="21"/>
  <c r="F722" i="21"/>
  <c r="L702" i="21"/>
  <c r="J702" i="21"/>
  <c r="H702" i="21"/>
  <c r="F702" i="21"/>
  <c r="L332" i="21"/>
  <c r="J332" i="21"/>
  <c r="H332" i="21"/>
  <c r="F332" i="21"/>
  <c r="L533" i="21"/>
  <c r="J533" i="21"/>
  <c r="H533" i="21"/>
  <c r="F533" i="21"/>
  <c r="L606" i="21"/>
  <c r="J606" i="21"/>
  <c r="H606" i="21"/>
  <c r="F606" i="21"/>
  <c r="L505" i="21"/>
  <c r="J505" i="21"/>
  <c r="H505" i="21"/>
  <c r="F505" i="21"/>
  <c r="L786" i="21"/>
  <c r="J786" i="21"/>
  <c r="H786" i="21"/>
  <c r="F786" i="21"/>
  <c r="L190" i="21"/>
  <c r="J190" i="21"/>
  <c r="H190" i="21"/>
  <c r="F190" i="21"/>
  <c r="L707" i="21"/>
  <c r="J707" i="21"/>
  <c r="H707" i="21"/>
  <c r="F707" i="21"/>
  <c r="L231" i="21"/>
  <c r="J231" i="21"/>
  <c r="H231" i="21"/>
  <c r="F231" i="21"/>
  <c r="L226" i="21"/>
  <c r="J226" i="21"/>
  <c r="H226" i="21"/>
  <c r="F226" i="21"/>
  <c r="L631" i="21"/>
  <c r="J631" i="21"/>
  <c r="H631" i="21"/>
  <c r="F631" i="21"/>
  <c r="L209" i="21"/>
  <c r="J209" i="21"/>
  <c r="H209" i="21"/>
  <c r="F209" i="21"/>
  <c r="L623" i="21"/>
  <c r="J623" i="21"/>
  <c r="H623" i="21"/>
  <c r="F623" i="21"/>
  <c r="L662" i="21"/>
  <c r="J662" i="21"/>
  <c r="H662" i="21"/>
  <c r="F662" i="21"/>
  <c r="L181" i="21"/>
  <c r="J181" i="21"/>
  <c r="H181" i="21"/>
  <c r="F181" i="21"/>
  <c r="L441" i="21"/>
  <c r="J441" i="21"/>
  <c r="H441" i="21"/>
  <c r="F441" i="21"/>
  <c r="L315" i="21"/>
  <c r="J315" i="21"/>
  <c r="H315" i="21"/>
  <c r="F315" i="21"/>
  <c r="L399" i="21"/>
  <c r="J399" i="21"/>
  <c r="H399" i="21"/>
  <c r="F399" i="21"/>
  <c r="L433" i="21"/>
  <c r="J433" i="21"/>
  <c r="H433" i="21"/>
  <c r="F433" i="21"/>
  <c r="L52" i="21"/>
  <c r="J52" i="21"/>
  <c r="H52" i="21"/>
  <c r="F52" i="21"/>
  <c r="L627" i="21"/>
  <c r="J627" i="21"/>
  <c r="H627" i="21"/>
  <c r="F627" i="21"/>
  <c r="L145" i="21"/>
  <c r="J145" i="21"/>
  <c r="H145" i="21"/>
  <c r="F145" i="21"/>
  <c r="L140" i="21"/>
  <c r="J140" i="21"/>
  <c r="H140" i="21"/>
  <c r="F140" i="21"/>
  <c r="L599" i="21"/>
  <c r="J599" i="21"/>
  <c r="H599" i="21"/>
  <c r="F599" i="21"/>
  <c r="L130" i="21"/>
  <c r="J130" i="21"/>
  <c r="H130" i="21"/>
  <c r="F130" i="21"/>
  <c r="L591" i="21"/>
  <c r="J591" i="21"/>
  <c r="H591" i="21"/>
  <c r="F591" i="21"/>
  <c r="L584" i="21"/>
  <c r="J584" i="21"/>
  <c r="H584" i="21"/>
  <c r="F584" i="21"/>
  <c r="L162" i="21"/>
  <c r="J162" i="21"/>
  <c r="H162" i="21"/>
  <c r="F162" i="21"/>
  <c r="L277" i="21"/>
  <c r="J277" i="21"/>
  <c r="H277" i="21"/>
  <c r="F277" i="21"/>
  <c r="L249" i="21"/>
  <c r="J249" i="21"/>
  <c r="H249" i="21"/>
  <c r="F249" i="21"/>
  <c r="L750" i="21"/>
  <c r="J750" i="21"/>
  <c r="H750" i="21"/>
  <c r="F750" i="21"/>
  <c r="L536" i="21"/>
  <c r="J536" i="21"/>
  <c r="H536" i="21"/>
  <c r="F536" i="21"/>
  <c r="L396" i="21"/>
  <c r="J396" i="21"/>
  <c r="H396" i="21"/>
  <c r="F396" i="21"/>
  <c r="L508" i="21"/>
  <c r="J508" i="21"/>
  <c r="H508" i="21"/>
  <c r="F508" i="21"/>
  <c r="L92" i="21"/>
  <c r="J92" i="21"/>
  <c r="H92" i="21"/>
  <c r="F92" i="21"/>
  <c r="L74" i="21"/>
  <c r="J74" i="21"/>
  <c r="H74" i="21"/>
  <c r="F74" i="21"/>
  <c r="L439" i="21"/>
  <c r="J439" i="21"/>
  <c r="H439" i="21"/>
  <c r="F439" i="21"/>
  <c r="L70" i="21"/>
  <c r="J70" i="21"/>
  <c r="H70" i="21"/>
  <c r="F70" i="21"/>
  <c r="L419" i="21"/>
  <c r="J419" i="21"/>
  <c r="H419" i="21"/>
  <c r="F419" i="21"/>
  <c r="L457" i="21"/>
  <c r="J457" i="21"/>
  <c r="H457" i="21"/>
  <c r="F457" i="21"/>
  <c r="L41" i="21"/>
  <c r="J41" i="21"/>
  <c r="H41" i="21"/>
  <c r="F41" i="21"/>
  <c r="L31" i="21"/>
  <c r="J31" i="21"/>
  <c r="H31" i="21"/>
  <c r="F31" i="21"/>
  <c r="L24" i="21"/>
  <c r="J24" i="21"/>
  <c r="H24" i="21"/>
  <c r="F24" i="21"/>
  <c r="L187" i="21"/>
  <c r="J187" i="21"/>
  <c r="H187" i="21"/>
  <c r="F187" i="21"/>
  <c r="L46" i="21"/>
  <c r="J46" i="21"/>
  <c r="H46" i="21"/>
  <c r="F46" i="21"/>
  <c r="L824" i="21"/>
  <c r="J824" i="21"/>
  <c r="H824" i="21"/>
  <c r="F824" i="21"/>
  <c r="L390" i="21"/>
  <c r="J390" i="21"/>
  <c r="H390" i="21"/>
  <c r="F390" i="21"/>
  <c r="L807" i="21"/>
  <c r="J807" i="21"/>
  <c r="H807" i="21"/>
  <c r="F807" i="21"/>
  <c r="L743" i="21"/>
  <c r="J743" i="21"/>
  <c r="H743" i="21"/>
  <c r="F743" i="21"/>
  <c r="L375" i="21"/>
  <c r="J375" i="21"/>
  <c r="H375" i="21"/>
  <c r="F375" i="21"/>
  <c r="L735" i="21"/>
  <c r="J735" i="21"/>
  <c r="H735" i="21"/>
  <c r="F735" i="21"/>
  <c r="L359" i="21"/>
  <c r="J359" i="21"/>
  <c r="H359" i="21"/>
  <c r="F359" i="21"/>
  <c r="L345" i="21"/>
  <c r="J345" i="21"/>
  <c r="H345" i="21"/>
  <c r="F345" i="21"/>
  <c r="L777" i="21"/>
  <c r="J777" i="21"/>
  <c r="H777" i="21"/>
  <c r="F777" i="21"/>
  <c r="L638" i="21"/>
  <c r="J638" i="21"/>
  <c r="H638" i="21"/>
  <c r="F638" i="21"/>
  <c r="L626" i="21"/>
  <c r="J626" i="21"/>
  <c r="H626" i="21"/>
  <c r="F626" i="21"/>
  <c r="L820" i="21"/>
  <c r="J820" i="21"/>
  <c r="H820" i="21"/>
  <c r="F820" i="21"/>
  <c r="L105" i="21"/>
  <c r="J105" i="21"/>
  <c r="H105" i="21"/>
  <c r="F105" i="21"/>
  <c r="L829" i="21"/>
  <c r="J829" i="21"/>
  <c r="H829" i="21"/>
  <c r="F829" i="21"/>
  <c r="L89" i="21"/>
  <c r="J89" i="21"/>
  <c r="H89" i="21"/>
  <c r="F89" i="21"/>
  <c r="L16" i="21"/>
  <c r="J16" i="21"/>
  <c r="H16" i="21"/>
  <c r="F16" i="21"/>
  <c r="L461" i="21"/>
  <c r="J461" i="21"/>
  <c r="H461" i="21"/>
  <c r="F461" i="21"/>
  <c r="L643" i="21"/>
  <c r="J643" i="21"/>
  <c r="H643" i="21"/>
  <c r="F643" i="21"/>
  <c r="L687" i="21"/>
  <c r="J687" i="21"/>
  <c r="H687" i="21"/>
  <c r="F687" i="21"/>
  <c r="L621" i="21"/>
  <c r="J621" i="21"/>
  <c r="H621" i="21"/>
  <c r="F621" i="21"/>
  <c r="L703" i="21"/>
  <c r="J703" i="21"/>
  <c r="H703" i="21"/>
  <c r="F703" i="21"/>
  <c r="L635" i="21"/>
  <c r="J635" i="21"/>
  <c r="H635" i="21"/>
  <c r="F635" i="21"/>
  <c r="L501" i="21"/>
  <c r="J501" i="21"/>
  <c r="H501" i="21"/>
  <c r="F501" i="21"/>
  <c r="L349" i="21"/>
  <c r="J349" i="21"/>
  <c r="H349" i="21"/>
  <c r="F349" i="21"/>
  <c r="L528" i="21"/>
  <c r="J528" i="21"/>
  <c r="H528" i="21"/>
  <c r="F528" i="21"/>
  <c r="L463" i="21"/>
  <c r="J463" i="21"/>
  <c r="H463" i="21"/>
  <c r="F463" i="21"/>
  <c r="L512" i="21"/>
  <c r="J512" i="21"/>
  <c r="H512" i="21"/>
  <c r="F512" i="21"/>
  <c r="L445" i="21"/>
  <c r="J445" i="21"/>
  <c r="H445" i="21"/>
  <c r="F445" i="21"/>
  <c r="L530" i="21"/>
  <c r="J530" i="21"/>
  <c r="H530" i="21"/>
  <c r="F530" i="21"/>
  <c r="L821" i="21"/>
  <c r="J821" i="21"/>
  <c r="H821" i="21"/>
  <c r="F821" i="21"/>
  <c r="L304" i="21"/>
  <c r="J304" i="21"/>
  <c r="H304" i="21"/>
  <c r="F304" i="21"/>
  <c r="L17" i="21"/>
  <c r="J17" i="21"/>
  <c r="H17" i="21"/>
  <c r="F17" i="21"/>
  <c r="L764" i="21"/>
  <c r="J764" i="21"/>
  <c r="H764" i="21"/>
  <c r="F764" i="21"/>
  <c r="L562" i="21"/>
  <c r="J562" i="21"/>
  <c r="H562" i="21"/>
  <c r="F562" i="21"/>
  <c r="L544" i="21"/>
  <c r="J544" i="21"/>
  <c r="H544" i="21"/>
  <c r="F544" i="21"/>
  <c r="L447" i="21"/>
  <c r="J447" i="21"/>
  <c r="H447" i="21"/>
  <c r="F447" i="21"/>
  <c r="L440" i="21"/>
  <c r="J440" i="21"/>
  <c r="H440" i="21"/>
  <c r="F440" i="21"/>
  <c r="L240" i="21"/>
  <c r="J240" i="21"/>
  <c r="H240" i="21"/>
  <c r="F240" i="21"/>
  <c r="L434" i="21"/>
  <c r="J434" i="21"/>
  <c r="H434" i="21"/>
  <c r="F434" i="21"/>
  <c r="L738" i="21"/>
  <c r="J738" i="21"/>
  <c r="H738" i="21"/>
  <c r="F738" i="21"/>
  <c r="L814" i="21"/>
  <c r="J814" i="21"/>
  <c r="H814" i="21"/>
  <c r="F814" i="21"/>
  <c r="L498" i="21"/>
  <c r="J498" i="21"/>
  <c r="H498" i="21"/>
  <c r="F498" i="21"/>
  <c r="L273" i="21"/>
  <c r="J273" i="21"/>
  <c r="H273" i="21"/>
  <c r="F273" i="21"/>
  <c r="L808" i="21"/>
  <c r="J808" i="21"/>
  <c r="H808" i="21"/>
  <c r="F808" i="21"/>
  <c r="L706" i="21"/>
  <c r="J706" i="21"/>
  <c r="H706" i="21"/>
  <c r="F706" i="21"/>
  <c r="L601" i="21"/>
  <c r="J601" i="21"/>
  <c r="H601" i="21"/>
  <c r="F601" i="21"/>
  <c r="L550" i="21"/>
  <c r="J550" i="21"/>
  <c r="H550" i="21"/>
  <c r="F550" i="21"/>
  <c r="L684" i="21"/>
  <c r="J684" i="21"/>
  <c r="H684" i="21"/>
  <c r="F684" i="21"/>
  <c r="L272" i="21"/>
  <c r="J272" i="21"/>
  <c r="H272" i="21"/>
  <c r="F272" i="21"/>
  <c r="L809" i="21"/>
  <c r="J809" i="21"/>
  <c r="H809" i="21"/>
  <c r="F809" i="21"/>
  <c r="L51" i="21"/>
  <c r="J51" i="21"/>
  <c r="H51" i="21"/>
  <c r="F51" i="21"/>
  <c r="L681" i="21"/>
  <c r="J681" i="21"/>
  <c r="H681" i="21"/>
  <c r="F681" i="21"/>
  <c r="L542" i="21"/>
  <c r="J542" i="21"/>
  <c r="H542" i="21"/>
  <c r="F542" i="21"/>
  <c r="L700" i="21"/>
  <c r="J700" i="21"/>
  <c r="H700" i="21"/>
  <c r="F700" i="21"/>
  <c r="L323" i="21"/>
  <c r="J323" i="21"/>
  <c r="H323" i="21"/>
  <c r="F323" i="21"/>
  <c r="L212" i="21"/>
  <c r="J212" i="21"/>
  <c r="H212" i="21"/>
  <c r="F212" i="21"/>
  <c r="L677" i="21"/>
  <c r="J677" i="21"/>
  <c r="H677" i="21"/>
  <c r="F677" i="21"/>
  <c r="L202" i="21"/>
  <c r="J202" i="21"/>
  <c r="H202" i="21"/>
  <c r="F202" i="21"/>
  <c r="L663" i="21"/>
  <c r="J663" i="21"/>
  <c r="H663" i="21"/>
  <c r="F663" i="21"/>
  <c r="L655" i="21"/>
  <c r="J655" i="21"/>
  <c r="H655" i="21"/>
  <c r="F655" i="21"/>
  <c r="L280" i="21"/>
  <c r="J280" i="21"/>
  <c r="H280" i="21"/>
  <c r="F280" i="21"/>
  <c r="L421" i="21"/>
  <c r="J421" i="21"/>
  <c r="H421" i="21"/>
  <c r="F421" i="21"/>
  <c r="L494" i="21"/>
  <c r="J494" i="21"/>
  <c r="H494" i="21"/>
  <c r="F494" i="21"/>
  <c r="L294" i="21"/>
  <c r="J294" i="21"/>
  <c r="H294" i="21"/>
  <c r="F294" i="21"/>
  <c r="L149" i="21"/>
  <c r="J149" i="21"/>
  <c r="H149" i="21"/>
  <c r="F149" i="21"/>
  <c r="L784" i="21"/>
  <c r="J784" i="21"/>
  <c r="H784" i="21"/>
  <c r="F784" i="21"/>
  <c r="L653" i="21"/>
  <c r="J653" i="21"/>
  <c r="H653" i="21"/>
  <c r="F653" i="21"/>
  <c r="L179" i="21"/>
  <c r="J179" i="21"/>
  <c r="H179" i="21"/>
  <c r="F179" i="21"/>
  <c r="L167" i="21"/>
  <c r="J167" i="21"/>
  <c r="H167" i="21"/>
  <c r="F167" i="21"/>
  <c r="L525" i="21"/>
  <c r="J525" i="21"/>
  <c r="H525" i="21"/>
  <c r="F525" i="21"/>
  <c r="L164" i="21"/>
  <c r="J164" i="21"/>
  <c r="H164" i="21"/>
  <c r="F164" i="21"/>
  <c r="L557" i="21"/>
  <c r="J557" i="21"/>
  <c r="H557" i="21"/>
  <c r="F557" i="21"/>
  <c r="L603" i="21"/>
  <c r="J603" i="21"/>
  <c r="H603" i="21"/>
  <c r="F603" i="21"/>
  <c r="L134" i="21"/>
  <c r="J134" i="21"/>
  <c r="H134" i="21"/>
  <c r="F134" i="21"/>
  <c r="L342" i="21"/>
  <c r="J342" i="21"/>
  <c r="H342" i="21"/>
  <c r="F342" i="21"/>
  <c r="L203" i="21"/>
  <c r="J203" i="21"/>
  <c r="H203" i="21"/>
  <c r="F203" i="21"/>
  <c r="L152" i="21"/>
  <c r="J152" i="21"/>
  <c r="H152" i="21"/>
  <c r="F152" i="21"/>
  <c r="L573" i="21"/>
  <c r="J573" i="21"/>
  <c r="H573" i="21"/>
  <c r="F573" i="21"/>
  <c r="L679" i="21"/>
  <c r="J679" i="21"/>
  <c r="H679" i="21"/>
  <c r="F679" i="21"/>
  <c r="L515" i="21"/>
  <c r="J515" i="21"/>
  <c r="H515" i="21"/>
  <c r="F515" i="21"/>
  <c r="L98" i="21"/>
  <c r="J98" i="21"/>
  <c r="H98" i="21"/>
  <c r="F98" i="21"/>
  <c r="L86" i="21"/>
  <c r="J86" i="21"/>
  <c r="H86" i="21"/>
  <c r="F86" i="21"/>
  <c r="L493" i="21"/>
  <c r="J493" i="21"/>
  <c r="H493" i="21"/>
  <c r="F493" i="21"/>
  <c r="L77" i="21"/>
  <c r="J77" i="21"/>
  <c r="H77" i="21"/>
  <c r="F77" i="21"/>
  <c r="L486" i="21"/>
  <c r="J486" i="21"/>
  <c r="H486" i="21"/>
  <c r="F486" i="21"/>
  <c r="L464" i="21"/>
  <c r="J464" i="21"/>
  <c r="H464" i="21"/>
  <c r="F464" i="21"/>
  <c r="L100" i="21"/>
  <c r="J100" i="21"/>
  <c r="H100" i="21"/>
  <c r="F100" i="21"/>
  <c r="L44" i="21"/>
  <c r="J44" i="21"/>
  <c r="H44" i="21"/>
  <c r="F44" i="21"/>
  <c r="L158" i="21"/>
  <c r="J158" i="21"/>
  <c r="H158" i="21"/>
  <c r="F158" i="21"/>
  <c r="L220" i="21"/>
  <c r="J220" i="21"/>
  <c r="H220" i="21"/>
  <c r="F220" i="21"/>
  <c r="L292" i="21"/>
  <c r="J292" i="21"/>
  <c r="H292" i="21"/>
  <c r="F292" i="21"/>
  <c r="L831" i="21"/>
  <c r="J831" i="21"/>
  <c r="H831" i="21"/>
  <c r="F831" i="21"/>
  <c r="L455" i="21"/>
  <c r="J455" i="21"/>
  <c r="H455" i="21"/>
  <c r="F455" i="21"/>
  <c r="L813" i="21"/>
  <c r="J813" i="21"/>
  <c r="H813" i="21"/>
  <c r="F813" i="21"/>
  <c r="L810" i="21"/>
  <c r="J810" i="21"/>
  <c r="H810" i="21"/>
  <c r="F810" i="21"/>
  <c r="L381" i="21"/>
  <c r="J381" i="21"/>
  <c r="H381" i="21"/>
  <c r="F381" i="21"/>
  <c r="L796" i="21"/>
  <c r="J796" i="21"/>
  <c r="H796" i="21"/>
  <c r="F796" i="21"/>
  <c r="L374" i="21"/>
  <c r="J374" i="21"/>
  <c r="H374" i="21"/>
  <c r="F374" i="21"/>
  <c r="L411" i="21"/>
  <c r="J411" i="21"/>
  <c r="H411" i="21"/>
  <c r="F411" i="21"/>
  <c r="L798" i="21"/>
  <c r="J798" i="21"/>
  <c r="H798" i="21"/>
  <c r="F798" i="21"/>
  <c r="L757" i="21"/>
  <c r="J757" i="21"/>
  <c r="H757" i="21"/>
  <c r="F757" i="21"/>
  <c r="L639" i="21"/>
  <c r="J639" i="21"/>
  <c r="H639" i="21"/>
  <c r="F639" i="21"/>
  <c r="L787" i="21"/>
  <c r="J787" i="21"/>
  <c r="H787" i="21"/>
  <c r="F787" i="21"/>
  <c r="L648" i="21"/>
  <c r="J648" i="21"/>
  <c r="H648" i="21"/>
  <c r="F648" i="21"/>
  <c r="L765" i="21"/>
  <c r="J765" i="21"/>
  <c r="H765" i="21"/>
  <c r="F765" i="21"/>
  <c r="L343" i="21"/>
  <c r="J343" i="21"/>
  <c r="H343" i="21"/>
  <c r="F343" i="21"/>
  <c r="L760" i="21"/>
  <c r="J760" i="21"/>
  <c r="H760" i="21"/>
  <c r="F760" i="21"/>
  <c r="L698" i="21"/>
  <c r="J698" i="21"/>
  <c r="H698" i="21"/>
  <c r="F698" i="21"/>
  <c r="L321" i="21"/>
  <c r="J321" i="21"/>
  <c r="H321" i="21"/>
  <c r="F321" i="21"/>
  <c r="L676" i="21"/>
  <c r="J676" i="21"/>
  <c r="H676" i="21"/>
  <c r="F676" i="21"/>
  <c r="L307" i="21"/>
  <c r="J307" i="21"/>
  <c r="H307" i="21"/>
  <c r="F307" i="21"/>
  <c r="L299" i="21"/>
  <c r="J299" i="21"/>
  <c r="H299" i="21"/>
  <c r="F299" i="21"/>
  <c r="L566" i="21"/>
  <c r="J566" i="21"/>
  <c r="H566" i="21"/>
  <c r="F566" i="21"/>
  <c r="L526" i="21"/>
  <c r="J526" i="21"/>
  <c r="H526" i="21"/>
  <c r="F526" i="21"/>
  <c r="L514" i="21"/>
  <c r="J514" i="21"/>
  <c r="H514" i="21"/>
  <c r="F514" i="21"/>
  <c r="L81" i="21"/>
  <c r="J81" i="21"/>
  <c r="H81" i="21"/>
  <c r="F81" i="21"/>
  <c r="L779" i="21"/>
  <c r="J779" i="21"/>
  <c r="H779" i="21"/>
  <c r="F779" i="21"/>
  <c r="L723" i="21"/>
  <c r="J723" i="21"/>
  <c r="H723" i="21"/>
  <c r="F723" i="21"/>
  <c r="L762" i="21"/>
  <c r="J762" i="21"/>
  <c r="H762" i="21"/>
  <c r="F762" i="21"/>
  <c r="L696" i="21"/>
  <c r="J696" i="21"/>
  <c r="H696" i="21"/>
  <c r="F696" i="21"/>
  <c r="L250" i="21"/>
  <c r="J250" i="21"/>
  <c r="H250" i="21"/>
  <c r="F250" i="21"/>
  <c r="L362" i="21"/>
  <c r="J362" i="21"/>
  <c r="H362" i="21"/>
  <c r="F362" i="21"/>
  <c r="L521" i="21"/>
  <c r="J521" i="21"/>
  <c r="H521" i="21"/>
  <c r="F521" i="21"/>
  <c r="L456" i="21"/>
  <c r="J456" i="21"/>
  <c r="H456" i="21"/>
  <c r="F456" i="21"/>
  <c r="L598" i="21"/>
  <c r="J598" i="21"/>
  <c r="H598" i="21"/>
  <c r="F598" i="21"/>
  <c r="L478" i="21"/>
  <c r="J478" i="21"/>
  <c r="H478" i="21"/>
  <c r="F478" i="21"/>
  <c r="L290" i="21"/>
  <c r="J290" i="21"/>
  <c r="H290" i="21"/>
  <c r="F290" i="21"/>
  <c r="L4" i="21"/>
  <c r="J4" i="21"/>
  <c r="H4" i="21"/>
  <c r="F4" i="21"/>
  <c r="L422" i="21"/>
  <c r="J422" i="21"/>
  <c r="H422" i="21"/>
  <c r="F422" i="21"/>
  <c r="L357" i="21"/>
  <c r="J357" i="21"/>
  <c r="H357" i="21"/>
  <c r="F357" i="21"/>
  <c r="L407" i="21"/>
  <c r="J407" i="21"/>
  <c r="H407" i="21"/>
  <c r="F407" i="21"/>
  <c r="L340" i="21"/>
  <c r="J340" i="21"/>
  <c r="H340" i="21"/>
  <c r="F340" i="21"/>
  <c r="L379" i="21"/>
  <c r="J379" i="21"/>
  <c r="H379" i="21"/>
  <c r="F379" i="21"/>
  <c r="L507" i="21"/>
  <c r="J507" i="21"/>
  <c r="H507" i="21"/>
  <c r="F507" i="21"/>
  <c r="L846" i="21"/>
  <c r="J846" i="21"/>
  <c r="H846" i="21"/>
  <c r="F846" i="21"/>
  <c r="L565" i="21"/>
  <c r="J565" i="21"/>
  <c r="H565" i="21"/>
  <c r="F565" i="21"/>
  <c r="L751" i="21"/>
  <c r="J751" i="21"/>
  <c r="H751" i="21"/>
  <c r="F751" i="21"/>
  <c r="L427" i="21"/>
  <c r="J427" i="21"/>
  <c r="H427" i="21"/>
  <c r="F427" i="21"/>
  <c r="L845" i="21"/>
  <c r="J845" i="21"/>
  <c r="H845" i="21"/>
  <c r="F845" i="21"/>
  <c r="L278" i="21"/>
  <c r="J278" i="21"/>
  <c r="H278" i="21"/>
  <c r="F278" i="21"/>
  <c r="L678" i="21"/>
  <c r="J678" i="21"/>
  <c r="H678" i="21"/>
  <c r="F678" i="21"/>
  <c r="L564" i="21"/>
  <c r="J564" i="21"/>
  <c r="H564" i="21"/>
  <c r="F564" i="21"/>
  <c r="L369" i="21"/>
  <c r="J369" i="21"/>
  <c r="H369" i="21"/>
  <c r="F369" i="21"/>
  <c r="L752" i="21"/>
  <c r="J752" i="21"/>
  <c r="H752" i="21"/>
  <c r="F752" i="21"/>
  <c r="L432" i="21"/>
  <c r="J432" i="21"/>
  <c r="H432" i="21"/>
  <c r="F432" i="21"/>
  <c r="L483" i="21"/>
  <c r="J483" i="21"/>
  <c r="H483" i="21"/>
  <c r="F483" i="21"/>
  <c r="L54" i="21"/>
  <c r="J54" i="21"/>
  <c r="H54" i="21"/>
  <c r="F54" i="21"/>
  <c r="L43" i="21"/>
  <c r="J43" i="21"/>
  <c r="H43" i="21"/>
  <c r="F43" i="21"/>
  <c r="L437" i="21"/>
  <c r="J437" i="21"/>
  <c r="H437" i="21"/>
  <c r="F437" i="21"/>
  <c r="L817" i="21"/>
  <c r="J817" i="21"/>
  <c r="H817" i="21"/>
  <c r="F817" i="21"/>
  <c r="L151" i="21"/>
  <c r="J151" i="21"/>
  <c r="H151" i="21"/>
  <c r="F151" i="21"/>
  <c r="L812" i="21"/>
  <c r="J812" i="21"/>
  <c r="H812" i="21"/>
  <c r="F812" i="21"/>
  <c r="L378" i="21"/>
  <c r="J378" i="21"/>
  <c r="H378" i="21"/>
  <c r="F378" i="21"/>
  <c r="L360" i="21"/>
  <c r="J360" i="21"/>
  <c r="H360" i="21"/>
  <c r="F360" i="21"/>
  <c r="L767" i="21"/>
  <c r="J767" i="21"/>
  <c r="H767" i="21"/>
  <c r="F767" i="21"/>
  <c r="L652" i="21"/>
  <c r="J652" i="21"/>
  <c r="H652" i="21"/>
  <c r="F652" i="21"/>
  <c r="L222" i="21"/>
  <c r="J222" i="21"/>
  <c r="H222" i="21"/>
  <c r="F222" i="21"/>
  <c r="L719" i="21"/>
  <c r="J719" i="21"/>
  <c r="H719" i="21"/>
  <c r="F719" i="21"/>
  <c r="L356" i="21"/>
  <c r="J356" i="21"/>
  <c r="H356" i="21"/>
  <c r="F356" i="21"/>
  <c r="L711" i="21"/>
  <c r="J711" i="21"/>
  <c r="H711" i="21"/>
  <c r="F711" i="21"/>
  <c r="L697" i="21"/>
  <c r="J697" i="21"/>
  <c r="H697" i="21"/>
  <c r="F697" i="21"/>
  <c r="L312" i="21"/>
  <c r="J312" i="21"/>
  <c r="H312" i="21"/>
  <c r="F312" i="21"/>
  <c r="L559" i="21"/>
  <c r="J559" i="21"/>
  <c r="H559" i="21"/>
  <c r="F559" i="21"/>
  <c r="L363" i="21"/>
  <c r="J363" i="21"/>
  <c r="H363" i="21"/>
  <c r="F363" i="21"/>
  <c r="L666" i="21"/>
  <c r="J666" i="21"/>
  <c r="H666" i="21"/>
  <c r="F666" i="21"/>
  <c r="L180" i="21"/>
  <c r="J180" i="21"/>
  <c r="H180" i="21"/>
  <c r="F180" i="21"/>
  <c r="L177" i="21"/>
  <c r="J177" i="21"/>
  <c r="H177" i="21"/>
  <c r="F177" i="21"/>
  <c r="L622" i="21"/>
  <c r="J622" i="21"/>
  <c r="H622" i="21"/>
  <c r="F622" i="21"/>
  <c r="L376" i="21"/>
  <c r="J376" i="21"/>
  <c r="H376" i="21"/>
  <c r="F376" i="21"/>
  <c r="L223" i="21"/>
  <c r="J223" i="21"/>
  <c r="H223" i="21"/>
  <c r="F223" i="21"/>
  <c r="L607" i="21"/>
  <c r="J607" i="21"/>
  <c r="H607" i="21"/>
  <c r="F607" i="21"/>
  <c r="L132" i="21"/>
  <c r="J132" i="21"/>
  <c r="H132" i="21"/>
  <c r="F132" i="21"/>
  <c r="L480" i="21"/>
  <c r="J480" i="21"/>
  <c r="H480" i="21"/>
  <c r="F480" i="21"/>
  <c r="L465" i="21"/>
  <c r="J465" i="21"/>
  <c r="H465" i="21"/>
  <c r="F465" i="21"/>
  <c r="L87" i="21"/>
  <c r="J87" i="21"/>
  <c r="H87" i="21"/>
  <c r="F87" i="21"/>
  <c r="L124" i="21"/>
  <c r="J124" i="21"/>
  <c r="H124" i="21"/>
  <c r="F124" i="21"/>
  <c r="L371" i="21"/>
  <c r="J371" i="21"/>
  <c r="H371" i="21"/>
  <c r="F371" i="21"/>
  <c r="L347" i="21"/>
  <c r="J347" i="21"/>
  <c r="H347" i="21"/>
  <c r="F347" i="21"/>
  <c r="L171" i="21"/>
  <c r="J171" i="21"/>
  <c r="H171" i="21"/>
  <c r="F171" i="21"/>
  <c r="L468" i="21"/>
  <c r="J468" i="21"/>
  <c r="H468" i="21"/>
  <c r="F468" i="21"/>
  <c r="L136" i="21"/>
  <c r="J136" i="21"/>
  <c r="H136" i="21"/>
  <c r="F136" i="21"/>
  <c r="L107" i="21"/>
  <c r="J107" i="21"/>
  <c r="H107" i="21"/>
  <c r="F107" i="21"/>
  <c r="L799" i="21"/>
  <c r="J799" i="21"/>
  <c r="H799" i="21"/>
  <c r="F799" i="21"/>
  <c r="L776" i="21"/>
  <c r="J776" i="21"/>
  <c r="H776" i="21"/>
  <c r="F776" i="21"/>
  <c r="L753" i="21"/>
  <c r="J753" i="21"/>
  <c r="H753" i="21"/>
  <c r="F753" i="21"/>
  <c r="L33" i="21"/>
  <c r="J33" i="21"/>
  <c r="H33" i="21"/>
  <c r="F33" i="21"/>
  <c r="L582" i="21"/>
  <c r="J582" i="21"/>
  <c r="H582" i="21"/>
  <c r="F582" i="21"/>
  <c r="L246" i="21"/>
  <c r="J246" i="21"/>
  <c r="H246" i="21"/>
  <c r="F246" i="21"/>
  <c r="L254" i="21"/>
  <c r="J254" i="21"/>
  <c r="H254" i="21"/>
  <c r="F254" i="21"/>
  <c r="L834" i="21"/>
  <c r="J834" i="21"/>
  <c r="H834" i="21"/>
  <c r="F834" i="21"/>
  <c r="L561" i="21"/>
  <c r="J561" i="21"/>
  <c r="H561" i="21"/>
  <c r="F561" i="21"/>
  <c r="L815" i="21"/>
  <c r="J815" i="21"/>
  <c r="H815" i="21"/>
  <c r="F815" i="21"/>
  <c r="L537" i="21"/>
  <c r="J537" i="21"/>
  <c r="H537" i="21"/>
  <c r="F537" i="21"/>
  <c r="L481" i="21"/>
  <c r="J481" i="21"/>
  <c r="H481" i="21"/>
  <c r="F481" i="21"/>
  <c r="L835" i="21"/>
  <c r="J835" i="21"/>
  <c r="H835" i="21"/>
  <c r="F835" i="21"/>
  <c r="L644" i="21"/>
  <c r="J644" i="21"/>
  <c r="H644" i="21"/>
  <c r="F644" i="21"/>
  <c r="L291" i="21"/>
  <c r="J291" i="21"/>
  <c r="H291" i="21"/>
  <c r="F291" i="21"/>
  <c r="L417" i="21"/>
  <c r="J417" i="21"/>
  <c r="H417" i="21"/>
  <c r="F417" i="21"/>
  <c r="L413" i="21"/>
  <c r="J413" i="21"/>
  <c r="H413" i="21"/>
  <c r="F413" i="21"/>
  <c r="L29" i="21"/>
  <c r="J29" i="21"/>
  <c r="H29" i="21"/>
  <c r="F29" i="21"/>
  <c r="L21" i="21"/>
  <c r="J21" i="21"/>
  <c r="H21" i="21"/>
  <c r="F21" i="21"/>
  <c r="L823" i="21"/>
  <c r="J823" i="21"/>
  <c r="H823" i="21"/>
  <c r="F823" i="21"/>
  <c r="L7" i="21"/>
  <c r="J7" i="21"/>
  <c r="H7" i="21"/>
  <c r="F7" i="21"/>
  <c r="L384" i="21"/>
  <c r="J384" i="21"/>
  <c r="H384" i="21"/>
  <c r="F384" i="21"/>
  <c r="L736" i="21"/>
  <c r="J736" i="21"/>
  <c r="H736" i="21"/>
  <c r="F736" i="21"/>
  <c r="L729" i="21"/>
  <c r="J729" i="21"/>
  <c r="H729" i="21"/>
  <c r="F729" i="21"/>
  <c r="L339" i="21"/>
  <c r="J339" i="21"/>
  <c r="H339" i="21"/>
  <c r="F339" i="21"/>
  <c r="L625" i="21"/>
  <c r="J625" i="21"/>
  <c r="H625" i="21"/>
  <c r="F625" i="21"/>
  <c r="L259" i="21"/>
  <c r="J259" i="21"/>
  <c r="H259" i="21"/>
  <c r="F259" i="21"/>
  <c r="L732" i="21"/>
  <c r="J732" i="21"/>
  <c r="H732" i="21"/>
  <c r="F732" i="21"/>
  <c r="L245" i="21"/>
  <c r="J245" i="21"/>
  <c r="H245" i="21"/>
  <c r="F245" i="21"/>
  <c r="L235" i="21"/>
  <c r="J235" i="21"/>
  <c r="H235" i="21"/>
  <c r="F235" i="21"/>
  <c r="L689" i="21"/>
  <c r="J689" i="21"/>
  <c r="H689" i="21"/>
  <c r="F689" i="21"/>
  <c r="L488" i="21"/>
  <c r="J488" i="21"/>
  <c r="H488" i="21"/>
  <c r="F488" i="21"/>
  <c r="L336" i="21"/>
  <c r="J336" i="21"/>
  <c r="H336" i="21"/>
  <c r="F336" i="21"/>
  <c r="L14" i="21"/>
  <c r="J14" i="21"/>
  <c r="H14" i="21"/>
  <c r="F14" i="21"/>
  <c r="L198" i="21"/>
  <c r="J198" i="21"/>
  <c r="H198" i="21"/>
  <c r="F198" i="21"/>
  <c r="L592" i="21"/>
  <c r="J592" i="21"/>
  <c r="H592" i="21"/>
  <c r="F592" i="21"/>
  <c r="L585" i="21"/>
  <c r="J585" i="21"/>
  <c r="H585" i="21"/>
  <c r="F585" i="21"/>
  <c r="L154" i="21"/>
  <c r="J154" i="21"/>
  <c r="H154" i="21"/>
  <c r="F154" i="21"/>
  <c r="L236" i="21"/>
  <c r="J236" i="21"/>
  <c r="H236" i="21"/>
  <c r="F236" i="21"/>
  <c r="L503" i="21"/>
  <c r="J503" i="21"/>
  <c r="H503" i="21"/>
  <c r="F503" i="21"/>
  <c r="L496" i="21"/>
  <c r="J496" i="21"/>
  <c r="H496" i="21"/>
  <c r="F496" i="21"/>
  <c r="L67" i="21"/>
  <c r="J67" i="21"/>
  <c r="H67" i="21"/>
  <c r="F67" i="21"/>
  <c r="L64" i="21"/>
  <c r="J64" i="21"/>
  <c r="H64" i="21"/>
  <c r="F64" i="21"/>
  <c r="L451" i="21"/>
  <c r="J451" i="21"/>
  <c r="H451" i="21"/>
  <c r="F451" i="21"/>
  <c r="L18" i="21"/>
  <c r="J18" i="21"/>
  <c r="H18" i="21"/>
  <c r="F18" i="21"/>
  <c r="L717" i="21"/>
  <c r="J717" i="21"/>
  <c r="H717" i="21"/>
  <c r="F717" i="21"/>
  <c r="L252" i="21"/>
  <c r="J252" i="21"/>
  <c r="H252" i="21"/>
  <c r="F252" i="21"/>
  <c r="L234" i="21"/>
  <c r="J234" i="21"/>
  <c r="H234" i="21"/>
  <c r="F234" i="21"/>
  <c r="L293" i="21"/>
  <c r="J293" i="21"/>
  <c r="H293" i="21"/>
  <c r="F293" i="21"/>
  <c r="L53" i="21"/>
  <c r="J53" i="21"/>
  <c r="H53" i="21"/>
  <c r="F53" i="21"/>
  <c r="L69" i="21"/>
  <c r="J69" i="21"/>
  <c r="H69" i="21"/>
  <c r="F69" i="21"/>
  <c r="L58" i="21"/>
  <c r="J58" i="21"/>
  <c r="H58" i="21"/>
  <c r="F58" i="21"/>
  <c r="L733" i="21"/>
  <c r="J733" i="21"/>
  <c r="H733" i="21"/>
  <c r="F733" i="21"/>
  <c r="L710" i="21"/>
  <c r="J710" i="21"/>
  <c r="H710" i="21"/>
  <c r="F710" i="21"/>
  <c r="L25" i="21"/>
  <c r="J25" i="21"/>
  <c r="H25" i="21"/>
  <c r="F25" i="21"/>
  <c r="L298" i="21"/>
  <c r="J298" i="21"/>
  <c r="H298" i="21"/>
  <c r="F298" i="21"/>
  <c r="L138" i="21"/>
  <c r="J138" i="21"/>
  <c r="H138" i="21"/>
  <c r="F138" i="21"/>
  <c r="L517" i="21"/>
  <c r="J517" i="21"/>
  <c r="H517" i="21"/>
  <c r="F517" i="21"/>
  <c r="L285" i="21"/>
  <c r="J285" i="21"/>
  <c r="H285" i="21"/>
  <c r="F285" i="21"/>
  <c r="L13" i="21"/>
  <c r="J13" i="21"/>
  <c r="H13" i="21"/>
  <c r="F13" i="21"/>
  <c r="L785" i="21"/>
  <c r="J785" i="21"/>
  <c r="H785" i="21"/>
  <c r="F785" i="21"/>
  <c r="L255" i="21"/>
  <c r="J255" i="21"/>
  <c r="H255" i="21"/>
  <c r="F255" i="21"/>
  <c r="L576" i="21"/>
  <c r="J576" i="21"/>
  <c r="H576" i="21"/>
  <c r="F576" i="21"/>
  <c r="L210" i="21"/>
  <c r="J210" i="21"/>
  <c r="H210" i="21"/>
  <c r="F210" i="21"/>
  <c r="L266" i="21"/>
  <c r="J266" i="21"/>
  <c r="H266" i="21"/>
  <c r="F266" i="21"/>
  <c r="L10" i="21"/>
  <c r="J10" i="21"/>
  <c r="H10" i="21"/>
  <c r="F10" i="21"/>
  <c r="L535" i="21"/>
  <c r="J535" i="21"/>
  <c r="H535" i="21"/>
  <c r="F535" i="21"/>
  <c r="L477" i="21"/>
  <c r="J477" i="21"/>
  <c r="H477" i="21"/>
  <c r="F477" i="21"/>
  <c r="L459" i="21"/>
  <c r="J459" i="21"/>
  <c r="H459" i="21"/>
  <c r="F459" i="21"/>
  <c r="L452" i="21"/>
  <c r="J452" i="21"/>
  <c r="H452" i="21"/>
  <c r="F452" i="21"/>
  <c r="L68" i="21"/>
  <c r="J68" i="21"/>
  <c r="H68" i="21"/>
  <c r="F68" i="21"/>
  <c r="L90" i="21"/>
  <c r="J90" i="21"/>
  <c r="H90" i="21"/>
  <c r="F90" i="21"/>
  <c r="L218" i="21"/>
  <c r="J218" i="21"/>
  <c r="H218" i="21"/>
  <c r="F218" i="21"/>
  <c r="L442" i="21"/>
  <c r="J442" i="21"/>
  <c r="H442" i="21"/>
  <c r="F442" i="21"/>
  <c r="L797" i="21"/>
  <c r="J797" i="21"/>
  <c r="H797" i="21"/>
  <c r="F797" i="21"/>
  <c r="L775" i="21"/>
  <c r="J775" i="21"/>
  <c r="H775" i="21"/>
  <c r="F775" i="21"/>
  <c r="L392" i="21"/>
  <c r="J392" i="21"/>
  <c r="H392" i="21"/>
  <c r="F392" i="21"/>
  <c r="L724" i="21"/>
  <c r="J724" i="21"/>
  <c r="H724" i="21"/>
  <c r="F724" i="21"/>
  <c r="L49" i="21"/>
  <c r="J49" i="21"/>
  <c r="H49" i="21"/>
  <c r="F49" i="21"/>
  <c r="L778" i="21"/>
  <c r="J778" i="21"/>
  <c r="H778" i="21"/>
  <c r="F778" i="21"/>
  <c r="L344" i="21"/>
  <c r="J344" i="21"/>
  <c r="H344" i="21"/>
  <c r="F344" i="21"/>
  <c r="L341" i="21"/>
  <c r="J341" i="21"/>
  <c r="H341" i="21"/>
  <c r="F341" i="21"/>
  <c r="L320" i="21"/>
  <c r="J320" i="21"/>
  <c r="H320" i="21"/>
  <c r="F320" i="21"/>
  <c r="L600" i="21"/>
  <c r="J600" i="21"/>
  <c r="H600" i="21"/>
  <c r="F600" i="21"/>
  <c r="L547" i="21"/>
  <c r="J547" i="21"/>
  <c r="H547" i="21"/>
  <c r="F547" i="21"/>
  <c r="L264" i="21"/>
  <c r="J264" i="21"/>
  <c r="H264" i="21"/>
  <c r="F264" i="21"/>
  <c r="L244" i="21"/>
  <c r="J244" i="21"/>
  <c r="H244" i="21"/>
  <c r="F244" i="21"/>
  <c r="L651" i="21"/>
  <c r="J651" i="21"/>
  <c r="H651" i="21"/>
  <c r="F651" i="21"/>
  <c r="L636" i="21"/>
  <c r="J636" i="21"/>
  <c r="H636" i="21"/>
  <c r="F636" i="21"/>
  <c r="L200" i="21"/>
  <c r="J200" i="21"/>
  <c r="H200" i="21"/>
  <c r="F200" i="21"/>
  <c r="L348" i="21"/>
  <c r="J348" i="21"/>
  <c r="H348" i="21"/>
  <c r="F348" i="21"/>
  <c r="L219" i="21"/>
  <c r="J219" i="21"/>
  <c r="H219" i="21"/>
  <c r="F219" i="21"/>
  <c r="L614" i="21"/>
  <c r="J614" i="21"/>
  <c r="H614" i="21"/>
  <c r="F614" i="21"/>
  <c r="L490" i="21"/>
  <c r="J490" i="21"/>
  <c r="H490" i="21"/>
  <c r="F490" i="21"/>
  <c r="L109" i="21"/>
  <c r="J109" i="21"/>
  <c r="H109" i="21"/>
  <c r="F109" i="21"/>
  <c r="L101" i="21"/>
  <c r="J101" i="21"/>
  <c r="H101" i="21"/>
  <c r="F101" i="21"/>
  <c r="L243" i="21"/>
  <c r="J243" i="21"/>
  <c r="H243" i="21"/>
  <c r="F243" i="21"/>
  <c r="L204" i="21"/>
  <c r="J204" i="21"/>
  <c r="H204" i="21"/>
  <c r="F204" i="21"/>
  <c r="L410" i="21"/>
  <c r="J410" i="21"/>
  <c r="H410" i="21"/>
  <c r="F410" i="21"/>
  <c r="L387" i="21"/>
  <c r="J387" i="21"/>
  <c r="H387" i="21"/>
  <c r="F387" i="21"/>
  <c r="L188" i="21"/>
  <c r="J188" i="21"/>
  <c r="H188" i="21"/>
  <c r="F188" i="21"/>
  <c r="L160" i="21"/>
  <c r="J160" i="21"/>
  <c r="H160" i="21"/>
  <c r="F160" i="21"/>
  <c r="L176" i="21"/>
  <c r="J176" i="21"/>
  <c r="H176" i="21"/>
  <c r="F176" i="21"/>
  <c r="L270" i="21"/>
  <c r="J270" i="21"/>
  <c r="H270" i="21"/>
  <c r="F270" i="21"/>
  <c r="L60" i="21"/>
  <c r="J60" i="21"/>
  <c r="H60" i="21"/>
  <c r="F60" i="21"/>
  <c r="L36" i="21"/>
  <c r="J36" i="21"/>
  <c r="H36" i="21"/>
  <c r="F36" i="21"/>
  <c r="L370" i="21"/>
  <c r="J370" i="21"/>
  <c r="H370" i="21"/>
  <c r="F370" i="21"/>
  <c r="E12" i="18"/>
  <c r="K3" i="21"/>
  <c r="K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G3" i="21"/>
  <c r="G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1" i="21"/>
  <c r="G92" i="21"/>
  <c r="G93" i="21"/>
  <c r="G94" i="21"/>
  <c r="G95" i="21"/>
  <c r="G96" i="21"/>
  <c r="G97" i="21"/>
  <c r="G98" i="21"/>
  <c r="G99" i="21"/>
  <c r="G100" i="21"/>
  <c r="G101" i="21"/>
  <c r="G102" i="21"/>
  <c r="G103" i="21"/>
  <c r="G104" i="21"/>
  <c r="G105" i="21"/>
  <c r="G106" i="21"/>
  <c r="G107" i="21"/>
  <c r="G108" i="21"/>
  <c r="G109" i="21"/>
  <c r="G110" i="21"/>
  <c r="G111" i="21"/>
  <c r="G112" i="21"/>
  <c r="G113" i="21"/>
  <c r="G114" i="21"/>
  <c r="G115" i="21"/>
  <c r="G116" i="21"/>
  <c r="G117" i="21"/>
  <c r="G118" i="21"/>
  <c r="G119" i="21"/>
  <c r="G120" i="21"/>
  <c r="G121" i="21"/>
  <c r="G122" i="21"/>
  <c r="G123" i="21"/>
  <c r="G124" i="21"/>
  <c r="G125" i="21"/>
  <c r="G126" i="21"/>
  <c r="G127" i="21"/>
  <c r="G128" i="21"/>
  <c r="G129" i="21"/>
  <c r="G130" i="21"/>
  <c r="G131" i="21"/>
  <c r="G132" i="21"/>
  <c r="G133" i="21"/>
  <c r="G134" i="21"/>
  <c r="G135" i="21"/>
  <c r="G136" i="21"/>
  <c r="G137" i="21"/>
  <c r="G138" i="21"/>
  <c r="G139" i="21"/>
  <c r="G140" i="21"/>
  <c r="G141" i="21"/>
  <c r="G142" i="21"/>
  <c r="G143" i="21"/>
  <c r="G144" i="21"/>
  <c r="G145" i="21"/>
  <c r="G146" i="21"/>
  <c r="G147" i="21"/>
  <c r="G148" i="21"/>
  <c r="G149" i="21"/>
  <c r="G150" i="21"/>
  <c r="G151" i="21"/>
  <c r="G152" i="21"/>
  <c r="G153" i="21"/>
  <c r="G154" i="21"/>
  <c r="G155" i="21"/>
  <c r="G156" i="21"/>
  <c r="G157" i="21"/>
  <c r="G158" i="21"/>
  <c r="G159" i="21"/>
  <c r="G160" i="21"/>
  <c r="G161" i="21"/>
  <c r="G162" i="21"/>
  <c r="G163" i="21"/>
  <c r="G164" i="21"/>
  <c r="G165" i="21"/>
  <c r="G166" i="21"/>
  <c r="G167" i="21"/>
  <c r="G168" i="21"/>
  <c r="G169" i="21"/>
  <c r="G170" i="21"/>
  <c r="G171" i="21"/>
  <c r="G172" i="21"/>
  <c r="G173" i="21"/>
  <c r="G174" i="21"/>
  <c r="G175" i="21"/>
  <c r="G176" i="21"/>
  <c r="G177" i="21"/>
  <c r="G178" i="21"/>
  <c r="G179" i="21"/>
  <c r="G180" i="21"/>
  <c r="G181" i="21"/>
  <c r="G182" i="21"/>
  <c r="G183" i="21"/>
  <c r="G184" i="21"/>
  <c r="G185" i="21"/>
  <c r="G186" i="21"/>
  <c r="G187" i="21"/>
  <c r="G188" i="21"/>
  <c r="G189" i="21"/>
  <c r="G190" i="21"/>
  <c r="G191" i="21"/>
  <c r="G192" i="21"/>
  <c r="G193" i="21"/>
  <c r="G194" i="21"/>
  <c r="G195" i="21"/>
  <c r="G196" i="21"/>
  <c r="G197" i="21"/>
  <c r="G198" i="21"/>
  <c r="G199" i="21"/>
  <c r="G200" i="21"/>
  <c r="G201" i="21"/>
  <c r="G202" i="21"/>
  <c r="G203" i="21"/>
  <c r="G204" i="21"/>
  <c r="G205" i="21"/>
  <c r="G206" i="21"/>
  <c r="G207" i="21"/>
  <c r="G208" i="21"/>
  <c r="G209" i="21"/>
  <c r="G210" i="21"/>
  <c r="G211" i="21"/>
  <c r="G212" i="21"/>
  <c r="G213" i="21"/>
  <c r="G214" i="21"/>
  <c r="G215" i="21"/>
  <c r="G216" i="21"/>
  <c r="G217" i="21"/>
  <c r="G218" i="21"/>
  <c r="G219" i="21"/>
  <c r="G220" i="21"/>
  <c r="G221" i="21"/>
  <c r="G222" i="21"/>
  <c r="G223" i="21"/>
  <c r="G224" i="21"/>
  <c r="G225" i="21"/>
  <c r="G226" i="21"/>
  <c r="G227" i="21"/>
  <c r="G228" i="21"/>
  <c r="G229" i="21"/>
  <c r="G230" i="21"/>
  <c r="G231" i="21"/>
  <c r="G232" i="21"/>
  <c r="G233" i="21"/>
  <c r="G234" i="21"/>
  <c r="G235" i="21"/>
  <c r="G236" i="21"/>
  <c r="G237" i="21"/>
  <c r="G238" i="21"/>
  <c r="G239" i="21"/>
  <c r="G240" i="21"/>
  <c r="G241" i="21"/>
  <c r="G242" i="21"/>
  <c r="G243" i="21"/>
  <c r="G244" i="21"/>
  <c r="G245" i="21"/>
  <c r="G246" i="21"/>
  <c r="G247" i="21"/>
  <c r="G248" i="21"/>
  <c r="G249" i="21"/>
  <c r="G250" i="21"/>
  <c r="G251" i="21"/>
  <c r="G252" i="21"/>
  <c r="G253" i="21"/>
  <c r="G254" i="21"/>
  <c r="G255" i="21"/>
  <c r="G256" i="21"/>
  <c r="G257" i="21"/>
  <c r="G258" i="21"/>
  <c r="G259" i="21"/>
  <c r="G260" i="21"/>
  <c r="G261" i="21"/>
  <c r="G262" i="21"/>
  <c r="G263" i="21"/>
  <c r="G264" i="21"/>
  <c r="G265" i="21"/>
  <c r="G266" i="21"/>
  <c r="G267" i="21"/>
  <c r="G268" i="21"/>
  <c r="G269" i="21"/>
  <c r="G270" i="21"/>
  <c r="G271" i="21"/>
  <c r="G272" i="21"/>
  <c r="G273" i="21"/>
  <c r="G274" i="21"/>
  <c r="G275" i="21"/>
  <c r="G276" i="21"/>
  <c r="G277" i="21"/>
  <c r="G278" i="21"/>
  <c r="G279" i="21"/>
  <c r="G280" i="21"/>
  <c r="G281" i="21"/>
  <c r="G282" i="21"/>
  <c r="G283" i="21"/>
  <c r="G284" i="21"/>
  <c r="G285" i="21"/>
  <c r="G286" i="21"/>
  <c r="G287" i="21"/>
  <c r="G288" i="21"/>
  <c r="G289" i="21"/>
  <c r="G290" i="21"/>
  <c r="G291" i="21"/>
  <c r="G292" i="21"/>
  <c r="G293" i="21"/>
  <c r="G294" i="21"/>
  <c r="G295" i="21"/>
  <c r="G296" i="21"/>
  <c r="G297" i="21"/>
  <c r="G298" i="21"/>
  <c r="G299" i="21"/>
  <c r="G300" i="21"/>
  <c r="G301" i="21"/>
  <c r="G302" i="21"/>
  <c r="G303" i="21"/>
  <c r="G304" i="21"/>
  <c r="G305" i="21"/>
  <c r="G306" i="21"/>
  <c r="G307" i="21"/>
  <c r="G308" i="21"/>
  <c r="G309" i="21"/>
  <c r="G310" i="21"/>
  <c r="G311" i="21"/>
  <c r="G312" i="21"/>
  <c r="G313" i="21"/>
  <c r="G314" i="21"/>
  <c r="G315" i="21"/>
  <c r="G316" i="21"/>
  <c r="G317" i="21"/>
  <c r="G318" i="21"/>
  <c r="G319" i="21"/>
  <c r="G320" i="21"/>
  <c r="G321" i="21"/>
  <c r="G322" i="21"/>
  <c r="G323" i="21"/>
  <c r="G324" i="21"/>
  <c r="G325" i="21"/>
  <c r="G326" i="21"/>
  <c r="G327" i="21"/>
  <c r="G328" i="21"/>
  <c r="G329" i="21"/>
  <c r="G330" i="21"/>
  <c r="G331" i="21"/>
  <c r="G332" i="21"/>
  <c r="G333" i="21"/>
  <c r="G334" i="21"/>
  <c r="G335" i="21"/>
  <c r="G336" i="21"/>
  <c r="G337" i="21"/>
  <c r="G338" i="21"/>
  <c r="G339" i="21"/>
  <c r="G340" i="21"/>
  <c r="G341" i="21"/>
  <c r="G342" i="21"/>
  <c r="G343" i="21"/>
  <c r="G344" i="21"/>
  <c r="G345" i="21"/>
  <c r="G346" i="21"/>
  <c r="G347" i="21"/>
  <c r="G348" i="21"/>
  <c r="G349" i="21"/>
  <c r="G350" i="21"/>
  <c r="G351" i="21"/>
  <c r="G352" i="21"/>
  <c r="G353" i="21"/>
  <c r="G354" i="21"/>
  <c r="G355" i="21"/>
  <c r="G356" i="21"/>
  <c r="G357" i="21"/>
  <c r="G358" i="21"/>
  <c r="G359" i="21"/>
  <c r="G360" i="21"/>
  <c r="G361" i="21"/>
  <c r="G362" i="21"/>
  <c r="G363" i="21"/>
  <c r="G364" i="21"/>
  <c r="G365" i="21"/>
  <c r="G366" i="21"/>
  <c r="G367" i="21"/>
  <c r="G368" i="21"/>
  <c r="G369" i="21"/>
  <c r="G370" i="21"/>
  <c r="G371" i="21"/>
  <c r="G372" i="21"/>
  <c r="G373" i="21"/>
  <c r="G374" i="21"/>
  <c r="G375" i="21"/>
  <c r="G376" i="21"/>
  <c r="G377" i="21"/>
  <c r="G378" i="21"/>
  <c r="G379" i="21"/>
  <c r="G380" i="21"/>
  <c r="G381" i="21"/>
  <c r="G382" i="21"/>
  <c r="G383" i="21"/>
  <c r="G384" i="21"/>
  <c r="G385" i="21"/>
  <c r="G386" i="21"/>
  <c r="G387" i="21"/>
  <c r="G388" i="21"/>
  <c r="G389" i="21"/>
  <c r="G390" i="21"/>
  <c r="G391" i="21"/>
  <c r="G392" i="21"/>
  <c r="G393" i="21"/>
  <c r="G394" i="21"/>
  <c r="G395" i="21"/>
  <c r="G396" i="21"/>
  <c r="G397" i="21"/>
  <c r="G398" i="21"/>
  <c r="G399" i="21"/>
  <c r="G400" i="21"/>
  <c r="G401" i="21"/>
  <c r="G402" i="21"/>
  <c r="G403" i="21"/>
  <c r="G404" i="21"/>
  <c r="G405" i="21"/>
  <c r="G406" i="21"/>
  <c r="G407" i="21"/>
  <c r="G408" i="21"/>
  <c r="G409" i="21"/>
  <c r="G410" i="21"/>
  <c r="G411" i="21"/>
  <c r="G412" i="21"/>
  <c r="G413" i="21"/>
  <c r="G414" i="21"/>
  <c r="G415" i="21"/>
  <c r="G416" i="21"/>
  <c r="G417" i="21"/>
  <c r="G418" i="21"/>
  <c r="G419" i="21"/>
  <c r="G420" i="21"/>
  <c r="G421" i="21"/>
  <c r="G422" i="21"/>
  <c r="G423" i="21"/>
  <c r="G424" i="21"/>
  <c r="G425" i="21"/>
  <c r="G426" i="21"/>
  <c r="G427" i="21"/>
  <c r="G428" i="21"/>
  <c r="G429" i="21"/>
  <c r="G430" i="21"/>
  <c r="G431" i="21"/>
  <c r="G432" i="21"/>
  <c r="G433" i="21"/>
  <c r="G434" i="21"/>
  <c r="G435" i="21"/>
  <c r="G436" i="21"/>
  <c r="G437" i="21"/>
  <c r="G438" i="21"/>
  <c r="G439" i="21"/>
  <c r="G440" i="21"/>
  <c r="G441" i="21"/>
  <c r="G442" i="21"/>
  <c r="G443" i="21"/>
  <c r="G444" i="21"/>
  <c r="G445" i="21"/>
  <c r="G446" i="21"/>
  <c r="G447" i="21"/>
  <c r="G448" i="21"/>
  <c r="G449" i="21"/>
  <c r="G450" i="21"/>
  <c r="G451" i="21"/>
  <c r="G452" i="21"/>
  <c r="G453" i="21"/>
  <c r="G454" i="21"/>
  <c r="G455" i="21"/>
  <c r="G456" i="21"/>
  <c r="G457" i="21"/>
  <c r="G458" i="21"/>
  <c r="G459" i="21"/>
  <c r="G460" i="21"/>
  <c r="G461" i="21"/>
  <c r="G462" i="21"/>
  <c r="G463" i="21"/>
  <c r="G464" i="21"/>
  <c r="G465" i="21"/>
  <c r="G466" i="21"/>
  <c r="G467" i="21"/>
  <c r="G468" i="21"/>
  <c r="G469" i="21"/>
  <c r="G470" i="21"/>
  <c r="G471" i="21"/>
  <c r="G472" i="21"/>
  <c r="G473" i="21"/>
  <c r="G474" i="21"/>
  <c r="G475" i="21"/>
  <c r="G476" i="21"/>
  <c r="G477" i="21"/>
  <c r="G478" i="21"/>
  <c r="G479" i="21"/>
  <c r="G480" i="21"/>
  <c r="G481" i="21"/>
  <c r="G482" i="21"/>
  <c r="G483" i="21"/>
  <c r="G484" i="21"/>
  <c r="G485" i="21"/>
  <c r="G486" i="21"/>
  <c r="G487" i="21"/>
  <c r="G488" i="21"/>
  <c r="G489" i="21"/>
  <c r="G490" i="21"/>
  <c r="G491" i="21"/>
  <c r="G492" i="21"/>
  <c r="G493" i="21"/>
  <c r="G494" i="21"/>
  <c r="G495" i="21"/>
  <c r="G496" i="21"/>
  <c r="G497" i="21"/>
  <c r="G498" i="21"/>
  <c r="G499" i="21"/>
  <c r="G500" i="21"/>
  <c r="G501" i="21"/>
  <c r="G502" i="21"/>
  <c r="G503" i="21"/>
  <c r="G504" i="21"/>
  <c r="G505" i="21"/>
  <c r="G506" i="21"/>
  <c r="G507" i="21"/>
  <c r="G508" i="21"/>
  <c r="G509" i="21"/>
  <c r="G510" i="21"/>
  <c r="G511" i="21"/>
  <c r="G512" i="21"/>
  <c r="G513" i="21"/>
  <c r="G514" i="21"/>
  <c r="G515" i="21"/>
  <c r="G516" i="21"/>
  <c r="G517" i="21"/>
  <c r="G518" i="21"/>
  <c r="G519" i="21"/>
  <c r="G520" i="21"/>
  <c r="G521" i="21"/>
  <c r="G522" i="21"/>
  <c r="G523" i="21"/>
  <c r="G524" i="21"/>
  <c r="G525" i="21"/>
  <c r="G526" i="21"/>
  <c r="G527" i="21"/>
  <c r="G528" i="21"/>
  <c r="G529" i="21"/>
  <c r="G530" i="21"/>
  <c r="G531" i="21"/>
  <c r="G532" i="21"/>
  <c r="G533" i="21"/>
  <c r="G534" i="21"/>
  <c r="G535" i="21"/>
  <c r="G536" i="21"/>
  <c r="G537" i="21"/>
  <c r="G538" i="21"/>
  <c r="G539" i="21"/>
  <c r="G540" i="21"/>
  <c r="G541" i="21"/>
  <c r="G542" i="21"/>
  <c r="G543" i="21"/>
  <c r="G544" i="21"/>
  <c r="G545" i="21"/>
  <c r="G546" i="21"/>
  <c r="G547" i="21"/>
  <c r="G548" i="21"/>
  <c r="G549" i="21"/>
  <c r="G550" i="21"/>
  <c r="G551" i="21"/>
  <c r="G552" i="21"/>
  <c r="G553" i="21"/>
  <c r="G554" i="21"/>
  <c r="G555" i="21"/>
  <c r="G556" i="21"/>
  <c r="G557" i="21"/>
  <c r="G558" i="21"/>
  <c r="G559" i="21"/>
  <c r="G560" i="21"/>
  <c r="G561" i="21"/>
  <c r="G562" i="21"/>
  <c r="G563" i="21"/>
  <c r="G564" i="21"/>
  <c r="G565" i="21"/>
  <c r="G566" i="21"/>
  <c r="G567" i="21"/>
  <c r="G568" i="21"/>
  <c r="G569" i="21"/>
  <c r="G570" i="21"/>
  <c r="G571" i="21"/>
  <c r="G572" i="21"/>
  <c r="G573" i="21"/>
  <c r="G574" i="21"/>
  <c r="G575" i="21"/>
  <c r="G576" i="21"/>
  <c r="G577" i="21"/>
  <c r="G578" i="21"/>
  <c r="G579" i="21"/>
  <c r="G580" i="21"/>
  <c r="G581" i="21"/>
  <c r="G582" i="21"/>
  <c r="G583" i="21"/>
  <c r="G584" i="21"/>
  <c r="G585" i="21"/>
  <c r="G586" i="21"/>
  <c r="G587" i="21"/>
  <c r="G588" i="21"/>
  <c r="G589" i="21"/>
  <c r="G590" i="21"/>
  <c r="G591" i="21"/>
  <c r="G592" i="21"/>
  <c r="G593" i="21"/>
  <c r="G594" i="21"/>
  <c r="G595" i="21"/>
  <c r="G596" i="21"/>
  <c r="G597" i="21"/>
  <c r="G598" i="21"/>
  <c r="G599" i="21"/>
  <c r="G600" i="21"/>
  <c r="G601" i="21"/>
  <c r="G602" i="21"/>
  <c r="G603" i="21"/>
  <c r="G604" i="21"/>
  <c r="G605" i="21"/>
  <c r="G606" i="21"/>
  <c r="G607" i="21"/>
  <c r="G608" i="21"/>
  <c r="G609" i="21"/>
  <c r="G610" i="21"/>
  <c r="G611" i="21"/>
  <c r="G612" i="21"/>
  <c r="G613" i="21"/>
  <c r="G614" i="21"/>
  <c r="G615" i="21"/>
  <c r="G616" i="21"/>
  <c r="G617" i="21"/>
  <c r="G618" i="21"/>
  <c r="G619" i="21"/>
  <c r="G620" i="21"/>
  <c r="G621" i="21"/>
  <c r="G622" i="21"/>
  <c r="G623" i="21"/>
  <c r="G624" i="21"/>
  <c r="G625" i="21"/>
  <c r="G626" i="21"/>
  <c r="G627" i="21"/>
  <c r="G628" i="21"/>
  <c r="G629" i="21"/>
  <c r="G630" i="21"/>
  <c r="G631" i="21"/>
  <c r="G632" i="21"/>
  <c r="G633" i="21"/>
  <c r="G634" i="21"/>
  <c r="G635" i="21"/>
  <c r="G636" i="21"/>
  <c r="G637" i="21"/>
  <c r="G638" i="21"/>
  <c r="G639" i="21"/>
  <c r="G640" i="21"/>
  <c r="G641" i="21"/>
  <c r="G642" i="21"/>
  <c r="G643" i="21"/>
  <c r="G644" i="21"/>
  <c r="G645" i="21"/>
  <c r="G646" i="21"/>
  <c r="G647" i="21"/>
  <c r="G648" i="21"/>
  <c r="G649" i="21"/>
  <c r="G650" i="21"/>
  <c r="G651" i="21"/>
  <c r="G652" i="21"/>
  <c r="G653" i="21"/>
  <c r="G654" i="21"/>
  <c r="G655" i="21"/>
  <c r="G656" i="21"/>
  <c r="G657" i="21"/>
  <c r="G658" i="21"/>
  <c r="G659" i="21"/>
  <c r="G660" i="21"/>
  <c r="G661" i="21"/>
  <c r="G662" i="21"/>
  <c r="G663" i="21"/>
  <c r="G664" i="21"/>
  <c r="G665" i="21"/>
  <c r="G666" i="21"/>
  <c r="G667" i="21"/>
  <c r="G668" i="21"/>
  <c r="G669" i="21"/>
  <c r="G670" i="21"/>
  <c r="G671" i="21"/>
  <c r="G672" i="21"/>
  <c r="G673" i="21"/>
  <c r="G674" i="21"/>
  <c r="G675" i="21"/>
  <c r="G676" i="21"/>
  <c r="G677" i="21"/>
  <c r="G678" i="21"/>
  <c r="G679" i="21"/>
  <c r="G680" i="21"/>
  <c r="G681" i="21"/>
  <c r="G682" i="21"/>
  <c r="G683" i="21"/>
  <c r="G684" i="21"/>
  <c r="G685" i="21"/>
  <c r="G686" i="21"/>
  <c r="G687" i="21"/>
  <c r="G688" i="21"/>
  <c r="G689" i="21"/>
  <c r="G690" i="21"/>
  <c r="G691" i="21"/>
  <c r="G692" i="21"/>
  <c r="G693" i="21"/>
  <c r="G694" i="21"/>
  <c r="G695" i="21"/>
  <c r="G696" i="21"/>
  <c r="G697" i="21"/>
  <c r="G698" i="21"/>
  <c r="G699" i="21"/>
  <c r="G700" i="21"/>
  <c r="G701" i="21"/>
  <c r="G702" i="21"/>
  <c r="G703" i="21"/>
  <c r="G704" i="21"/>
  <c r="G705" i="21"/>
  <c r="G706" i="21"/>
  <c r="G707" i="21"/>
  <c r="G708" i="21"/>
  <c r="G709" i="21"/>
  <c r="G710" i="21"/>
  <c r="G711" i="21"/>
  <c r="G712" i="21"/>
  <c r="G713" i="21"/>
  <c r="G714" i="21"/>
  <c r="G715" i="21"/>
  <c r="G716" i="21"/>
  <c r="G717" i="21"/>
  <c r="G718" i="21"/>
  <c r="G719" i="21"/>
  <c r="G720" i="21"/>
  <c r="G721" i="21"/>
  <c r="G722" i="21"/>
  <c r="G723" i="21"/>
  <c r="G724" i="21"/>
  <c r="G725" i="21"/>
  <c r="G726" i="21"/>
  <c r="G727" i="21"/>
  <c r="G728" i="21"/>
  <c r="G729" i="21"/>
  <c r="G730" i="21"/>
  <c r="G731" i="21"/>
  <c r="G732" i="21"/>
  <c r="G733" i="21"/>
  <c r="G734" i="21"/>
  <c r="G735" i="21"/>
  <c r="G736" i="21"/>
  <c r="G737" i="21"/>
  <c r="G738" i="21"/>
  <c r="G739" i="21"/>
  <c r="G740" i="21"/>
  <c r="G741" i="21"/>
  <c r="G742" i="21"/>
  <c r="G743" i="21"/>
  <c r="G744" i="21"/>
  <c r="G745" i="21"/>
  <c r="G746" i="21"/>
  <c r="G747" i="21"/>
  <c r="G748" i="21"/>
  <c r="G749" i="21"/>
  <c r="G750" i="21"/>
  <c r="G751" i="21"/>
  <c r="G752" i="21"/>
  <c r="G753" i="21"/>
  <c r="G754" i="21"/>
  <c r="G755" i="21"/>
  <c r="G756" i="21"/>
  <c r="G757" i="21"/>
  <c r="G758" i="21"/>
  <c r="G759" i="21"/>
  <c r="G760" i="21"/>
  <c r="G761" i="21"/>
  <c r="G762" i="21"/>
  <c r="G763" i="21"/>
  <c r="G764" i="21"/>
  <c r="G765" i="21"/>
  <c r="G766" i="21"/>
  <c r="G767" i="21"/>
  <c r="G768" i="21"/>
  <c r="G769" i="21"/>
  <c r="G770" i="21"/>
  <c r="G771" i="21"/>
  <c r="G772" i="21"/>
  <c r="G773" i="21"/>
  <c r="G774" i="21"/>
  <c r="G775" i="21"/>
  <c r="G776" i="21"/>
  <c r="G777" i="21"/>
  <c r="G778" i="21"/>
  <c r="G779" i="21"/>
  <c r="G780" i="21"/>
  <c r="G781" i="21"/>
  <c r="G782" i="21"/>
  <c r="G783" i="21"/>
  <c r="G784" i="21"/>
  <c r="G785" i="21"/>
  <c r="G786" i="21"/>
  <c r="G787" i="21"/>
  <c r="G788" i="21"/>
  <c r="G789" i="21"/>
  <c r="G790" i="21"/>
  <c r="G791" i="21"/>
  <c r="G792" i="21"/>
  <c r="G793" i="21"/>
  <c r="G794" i="21"/>
  <c r="G795" i="21"/>
  <c r="G796" i="21"/>
  <c r="G797" i="21"/>
  <c r="G798" i="21"/>
  <c r="G799" i="21"/>
  <c r="G800" i="21"/>
  <c r="G801" i="21"/>
  <c r="G802" i="21"/>
  <c r="G803" i="21"/>
  <c r="G804" i="21"/>
  <c r="G805" i="21"/>
  <c r="G806" i="21"/>
  <c r="G807" i="21"/>
  <c r="G808" i="21"/>
  <c r="G809" i="21"/>
  <c r="G810" i="21"/>
  <c r="G811" i="21"/>
  <c r="G812" i="21"/>
  <c r="G813" i="21"/>
  <c r="G814" i="21"/>
  <c r="G815" i="21"/>
  <c r="G816" i="21"/>
  <c r="G817" i="21"/>
  <c r="G818" i="21"/>
  <c r="G819" i="21"/>
  <c r="G820" i="21"/>
  <c r="G821" i="21"/>
  <c r="G822" i="21"/>
  <c r="G823" i="21"/>
  <c r="G824" i="21"/>
  <c r="G825" i="21"/>
  <c r="G826" i="21"/>
  <c r="G827" i="21"/>
  <c r="G828" i="21"/>
  <c r="G829" i="21"/>
  <c r="G830" i="21"/>
  <c r="G831" i="21"/>
  <c r="G832" i="21"/>
  <c r="G833" i="21"/>
  <c r="G834" i="21"/>
  <c r="G835" i="21"/>
  <c r="G836" i="21"/>
  <c r="G837" i="21"/>
  <c r="G838" i="21"/>
  <c r="G839" i="21"/>
  <c r="G840" i="21"/>
  <c r="G841" i="21"/>
  <c r="G842" i="21"/>
  <c r="G843" i="21"/>
  <c r="G844" i="21"/>
  <c r="G845" i="21"/>
  <c r="G846" i="21"/>
  <c r="G847" i="21"/>
  <c r="G848" i="21"/>
  <c r="G849" i="21"/>
  <c r="G850" i="21"/>
  <c r="G851" i="21"/>
  <c r="G852" i="21"/>
  <c r="G853" i="21"/>
  <c r="G854" i="21"/>
  <c r="G855" i="21"/>
  <c r="G856" i="21"/>
  <c r="G857" i="21"/>
  <c r="G858" i="21"/>
  <c r="G859" i="21"/>
  <c r="G860" i="21"/>
  <c r="G861" i="21"/>
  <c r="G862" i="21"/>
  <c r="G863" i="21"/>
  <c r="G864" i="21"/>
  <c r="G865" i="21"/>
  <c r="G866" i="21"/>
  <c r="G867" i="21"/>
  <c r="G868" i="21"/>
  <c r="G869" i="21"/>
  <c r="G870" i="21"/>
  <c r="G871" i="21"/>
  <c r="G872" i="21"/>
  <c r="G873" i="21"/>
  <c r="G874" i="21"/>
  <c r="G875" i="21"/>
  <c r="G876" i="21"/>
  <c r="G877" i="21"/>
  <c r="G878" i="21"/>
  <c r="G879" i="21"/>
  <c r="G880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1" i="21"/>
  <c r="K92" i="21"/>
  <c r="K93" i="21"/>
  <c r="K94" i="21"/>
  <c r="K95" i="21"/>
  <c r="K96" i="21"/>
  <c r="K97" i="21"/>
  <c r="K98" i="21"/>
  <c r="K99" i="21"/>
  <c r="K100" i="21"/>
  <c r="K101" i="21"/>
  <c r="K102" i="21"/>
  <c r="K103" i="21"/>
  <c r="K104" i="21"/>
  <c r="K105" i="21"/>
  <c r="K106" i="21"/>
  <c r="K107" i="21"/>
  <c r="K108" i="21"/>
  <c r="K109" i="21"/>
  <c r="K110" i="21"/>
  <c r="K111" i="21"/>
  <c r="K112" i="21"/>
  <c r="K113" i="21"/>
  <c r="K114" i="21"/>
  <c r="K115" i="21"/>
  <c r="K116" i="21"/>
  <c r="K117" i="21"/>
  <c r="K118" i="21"/>
  <c r="K119" i="21"/>
  <c r="K120" i="21"/>
  <c r="K121" i="21"/>
  <c r="K122" i="21"/>
  <c r="K123" i="21"/>
  <c r="K124" i="21"/>
  <c r="K125" i="21"/>
  <c r="K126" i="21"/>
  <c r="K127" i="21"/>
  <c r="K128" i="21"/>
  <c r="K129" i="21"/>
  <c r="K130" i="21"/>
  <c r="K131" i="21"/>
  <c r="K132" i="21"/>
  <c r="K133" i="21"/>
  <c r="K134" i="21"/>
  <c r="K135" i="21"/>
  <c r="K136" i="21"/>
  <c r="K137" i="21"/>
  <c r="K138" i="21"/>
  <c r="K139" i="21"/>
  <c r="K140" i="21"/>
  <c r="K141" i="21"/>
  <c r="K142" i="21"/>
  <c r="K143" i="21"/>
  <c r="K144" i="21"/>
  <c r="K145" i="21"/>
  <c r="K146" i="21"/>
  <c r="K147" i="21"/>
  <c r="K148" i="21"/>
  <c r="K149" i="21"/>
  <c r="K150" i="21"/>
  <c r="K151" i="21"/>
  <c r="K152" i="21"/>
  <c r="K153" i="21"/>
  <c r="K154" i="21"/>
  <c r="K155" i="21"/>
  <c r="K156" i="21"/>
  <c r="K157" i="21"/>
  <c r="K158" i="21"/>
  <c r="K159" i="21"/>
  <c r="K160" i="21"/>
  <c r="K161" i="21"/>
  <c r="K162" i="21"/>
  <c r="K163" i="21"/>
  <c r="K164" i="21"/>
  <c r="K165" i="21"/>
  <c r="K166" i="21"/>
  <c r="K167" i="21"/>
  <c r="K168" i="21"/>
  <c r="K169" i="21"/>
  <c r="K170" i="21"/>
  <c r="K171" i="21"/>
  <c r="K172" i="21"/>
  <c r="K173" i="21"/>
  <c r="K174" i="21"/>
  <c r="K175" i="21"/>
  <c r="K176" i="21"/>
  <c r="K177" i="21"/>
  <c r="K178" i="21"/>
  <c r="K179" i="21"/>
  <c r="K180" i="21"/>
  <c r="K181" i="21"/>
  <c r="K182" i="21"/>
  <c r="K183" i="21"/>
  <c r="K184" i="21"/>
  <c r="K185" i="21"/>
  <c r="K186" i="21"/>
  <c r="K187" i="21"/>
  <c r="K188" i="21"/>
  <c r="K189" i="21"/>
  <c r="K190" i="21"/>
  <c r="K191" i="21"/>
  <c r="K192" i="21"/>
  <c r="K193" i="21"/>
  <c r="K194" i="21"/>
  <c r="K195" i="21"/>
  <c r="K196" i="21"/>
  <c r="K197" i="21"/>
  <c r="K198" i="21"/>
  <c r="K199" i="21"/>
  <c r="K200" i="21"/>
  <c r="K201" i="21"/>
  <c r="K202" i="21"/>
  <c r="K203" i="21"/>
  <c r="K204" i="21"/>
  <c r="K205" i="21"/>
  <c r="K206" i="21"/>
  <c r="K207" i="21"/>
  <c r="K208" i="21"/>
  <c r="K209" i="21"/>
  <c r="K210" i="21"/>
  <c r="K211" i="21"/>
  <c r="K212" i="21"/>
  <c r="K213" i="21"/>
  <c r="K214" i="21"/>
  <c r="K215" i="21"/>
  <c r="K216" i="21"/>
  <c r="K217" i="21"/>
  <c r="K218" i="21"/>
  <c r="K219" i="21"/>
  <c r="K220" i="21"/>
  <c r="K221" i="21"/>
  <c r="K222" i="21"/>
  <c r="K223" i="21"/>
  <c r="K224" i="21"/>
  <c r="K225" i="21"/>
  <c r="K226" i="21"/>
  <c r="K227" i="21"/>
  <c r="K228" i="21"/>
  <c r="K229" i="21"/>
  <c r="K230" i="21"/>
  <c r="K231" i="21"/>
  <c r="K232" i="21"/>
  <c r="K233" i="21"/>
  <c r="K234" i="21"/>
  <c r="K235" i="21"/>
  <c r="K236" i="21"/>
  <c r="K237" i="21"/>
  <c r="K238" i="21"/>
  <c r="K239" i="21"/>
  <c r="K240" i="21"/>
  <c r="K241" i="21"/>
  <c r="K242" i="21"/>
  <c r="K243" i="21"/>
  <c r="K244" i="21"/>
  <c r="K245" i="21"/>
  <c r="K246" i="21"/>
  <c r="K247" i="21"/>
  <c r="K248" i="21"/>
  <c r="K249" i="21"/>
  <c r="K250" i="21"/>
  <c r="K251" i="21"/>
  <c r="K252" i="21"/>
  <c r="K253" i="21"/>
  <c r="K254" i="21"/>
  <c r="K255" i="21"/>
  <c r="K256" i="21"/>
  <c r="K257" i="21"/>
  <c r="K258" i="21"/>
  <c r="K259" i="21"/>
  <c r="K260" i="21"/>
  <c r="K261" i="21"/>
  <c r="K262" i="21"/>
  <c r="K263" i="21"/>
  <c r="K264" i="21"/>
  <c r="K265" i="21"/>
  <c r="K266" i="21"/>
  <c r="K267" i="21"/>
  <c r="K268" i="21"/>
  <c r="K269" i="21"/>
  <c r="K270" i="21"/>
  <c r="K271" i="21"/>
  <c r="K272" i="21"/>
  <c r="K273" i="21"/>
  <c r="K274" i="21"/>
  <c r="K275" i="21"/>
  <c r="K276" i="21"/>
  <c r="K277" i="21"/>
  <c r="K278" i="21"/>
  <c r="K279" i="21"/>
  <c r="K280" i="21"/>
  <c r="K281" i="21"/>
  <c r="K282" i="21"/>
  <c r="K283" i="21"/>
  <c r="K284" i="21"/>
  <c r="K285" i="21"/>
  <c r="K286" i="21"/>
  <c r="K287" i="21"/>
  <c r="K288" i="21"/>
  <c r="K289" i="21"/>
  <c r="K290" i="21"/>
  <c r="K291" i="21"/>
  <c r="K292" i="21"/>
  <c r="K293" i="21"/>
  <c r="K294" i="21"/>
  <c r="K295" i="21"/>
  <c r="K296" i="21"/>
  <c r="K297" i="21"/>
  <c r="K298" i="21"/>
  <c r="K299" i="21"/>
  <c r="K300" i="21"/>
  <c r="K301" i="21"/>
  <c r="K302" i="21"/>
  <c r="K303" i="21"/>
  <c r="K304" i="21"/>
  <c r="K305" i="21"/>
  <c r="K306" i="21"/>
  <c r="K307" i="21"/>
  <c r="K308" i="21"/>
  <c r="K309" i="21"/>
  <c r="K310" i="21"/>
  <c r="K311" i="21"/>
  <c r="K312" i="21"/>
  <c r="K313" i="21"/>
  <c r="K314" i="21"/>
  <c r="K315" i="21"/>
  <c r="K316" i="21"/>
  <c r="K317" i="21"/>
  <c r="K318" i="21"/>
  <c r="K319" i="21"/>
  <c r="K320" i="21"/>
  <c r="K321" i="21"/>
  <c r="K322" i="21"/>
  <c r="K323" i="21"/>
  <c r="K324" i="21"/>
  <c r="K325" i="21"/>
  <c r="K326" i="21"/>
  <c r="K327" i="21"/>
  <c r="K328" i="21"/>
  <c r="K329" i="21"/>
  <c r="K330" i="21"/>
  <c r="K331" i="21"/>
  <c r="K332" i="21"/>
  <c r="K333" i="21"/>
  <c r="K334" i="21"/>
  <c r="K335" i="21"/>
  <c r="K336" i="21"/>
  <c r="K337" i="21"/>
  <c r="K338" i="21"/>
  <c r="K339" i="21"/>
  <c r="K340" i="21"/>
  <c r="K341" i="21"/>
  <c r="K342" i="21"/>
  <c r="K343" i="21"/>
  <c r="K344" i="21"/>
  <c r="K345" i="21"/>
  <c r="K346" i="21"/>
  <c r="K347" i="21"/>
  <c r="K348" i="21"/>
  <c r="K349" i="21"/>
  <c r="K350" i="21"/>
  <c r="K351" i="21"/>
  <c r="K352" i="21"/>
  <c r="K353" i="21"/>
  <c r="K354" i="21"/>
  <c r="K355" i="21"/>
  <c r="K356" i="21"/>
  <c r="K357" i="21"/>
  <c r="K358" i="21"/>
  <c r="K359" i="21"/>
  <c r="K360" i="21"/>
  <c r="K361" i="21"/>
  <c r="K362" i="21"/>
  <c r="K363" i="21"/>
  <c r="K364" i="21"/>
  <c r="K365" i="21"/>
  <c r="K366" i="21"/>
  <c r="K367" i="21"/>
  <c r="K368" i="21"/>
  <c r="K369" i="21"/>
  <c r="K370" i="21"/>
  <c r="K371" i="21"/>
  <c r="K372" i="21"/>
  <c r="K373" i="21"/>
  <c r="K374" i="21"/>
  <c r="K375" i="21"/>
  <c r="K376" i="21"/>
  <c r="K377" i="21"/>
  <c r="K378" i="21"/>
  <c r="K379" i="21"/>
  <c r="K380" i="21"/>
  <c r="K381" i="21"/>
  <c r="K382" i="21"/>
  <c r="K383" i="21"/>
  <c r="K384" i="21"/>
  <c r="K385" i="21"/>
  <c r="K386" i="21"/>
  <c r="K387" i="21"/>
  <c r="K388" i="21"/>
  <c r="K389" i="21"/>
  <c r="K390" i="21"/>
  <c r="K391" i="21"/>
  <c r="K392" i="21"/>
  <c r="K393" i="21"/>
  <c r="K394" i="21"/>
  <c r="K395" i="21"/>
  <c r="K396" i="21"/>
  <c r="K397" i="21"/>
  <c r="K398" i="21"/>
  <c r="K399" i="21"/>
  <c r="K400" i="21"/>
  <c r="K401" i="21"/>
  <c r="K402" i="21"/>
  <c r="K403" i="21"/>
  <c r="K404" i="21"/>
  <c r="K405" i="21"/>
  <c r="K406" i="21"/>
  <c r="K407" i="21"/>
  <c r="K408" i="21"/>
  <c r="K409" i="21"/>
  <c r="K410" i="21"/>
  <c r="K411" i="21"/>
  <c r="K412" i="21"/>
  <c r="K413" i="21"/>
  <c r="K414" i="21"/>
  <c r="K415" i="21"/>
  <c r="K416" i="21"/>
  <c r="K417" i="21"/>
  <c r="K418" i="21"/>
  <c r="K419" i="21"/>
  <c r="K420" i="21"/>
  <c r="K421" i="21"/>
  <c r="K422" i="21"/>
  <c r="K423" i="21"/>
  <c r="K424" i="21"/>
  <c r="K425" i="21"/>
  <c r="K426" i="21"/>
  <c r="K427" i="21"/>
  <c r="K428" i="21"/>
  <c r="K429" i="21"/>
  <c r="K430" i="21"/>
  <c r="K431" i="21"/>
  <c r="K432" i="21"/>
  <c r="K433" i="21"/>
  <c r="K434" i="21"/>
  <c r="K435" i="21"/>
  <c r="K436" i="21"/>
  <c r="K437" i="21"/>
  <c r="K438" i="21"/>
  <c r="K439" i="21"/>
  <c r="K440" i="21"/>
  <c r="K441" i="21"/>
  <c r="K442" i="21"/>
  <c r="K443" i="21"/>
  <c r="K444" i="21"/>
  <c r="K445" i="21"/>
  <c r="K446" i="21"/>
  <c r="K447" i="21"/>
  <c r="K448" i="21"/>
  <c r="K449" i="21"/>
  <c r="K450" i="21"/>
  <c r="K451" i="21"/>
  <c r="K452" i="21"/>
  <c r="K453" i="21"/>
  <c r="K454" i="21"/>
  <c r="K455" i="21"/>
  <c r="K456" i="21"/>
  <c r="K457" i="21"/>
  <c r="K458" i="21"/>
  <c r="K459" i="21"/>
  <c r="K460" i="21"/>
  <c r="K461" i="21"/>
  <c r="K462" i="21"/>
  <c r="K463" i="21"/>
  <c r="K464" i="21"/>
  <c r="K465" i="21"/>
  <c r="K466" i="21"/>
  <c r="K467" i="21"/>
  <c r="K468" i="21"/>
  <c r="K469" i="21"/>
  <c r="K470" i="21"/>
  <c r="K471" i="21"/>
  <c r="K472" i="21"/>
  <c r="K473" i="21"/>
  <c r="K474" i="21"/>
  <c r="K475" i="21"/>
  <c r="K476" i="21"/>
  <c r="K477" i="21"/>
  <c r="K478" i="21"/>
  <c r="K479" i="21"/>
  <c r="K480" i="21"/>
  <c r="K481" i="21"/>
  <c r="K482" i="21"/>
  <c r="K483" i="21"/>
  <c r="K484" i="21"/>
  <c r="K485" i="21"/>
  <c r="K486" i="21"/>
  <c r="K487" i="21"/>
  <c r="K488" i="21"/>
  <c r="K489" i="21"/>
  <c r="K490" i="21"/>
  <c r="K491" i="21"/>
  <c r="K492" i="21"/>
  <c r="K493" i="21"/>
  <c r="K494" i="21"/>
  <c r="K495" i="21"/>
  <c r="K496" i="21"/>
  <c r="K497" i="21"/>
  <c r="K498" i="21"/>
  <c r="K499" i="21"/>
  <c r="K500" i="21"/>
  <c r="K501" i="21"/>
  <c r="K502" i="21"/>
  <c r="K503" i="21"/>
  <c r="K504" i="21"/>
  <c r="K505" i="21"/>
  <c r="K506" i="21"/>
  <c r="K507" i="21"/>
  <c r="K508" i="21"/>
  <c r="K509" i="21"/>
  <c r="K510" i="21"/>
  <c r="K511" i="21"/>
  <c r="K512" i="21"/>
  <c r="K513" i="21"/>
  <c r="K514" i="21"/>
  <c r="K515" i="21"/>
  <c r="K516" i="21"/>
  <c r="K517" i="21"/>
  <c r="K518" i="21"/>
  <c r="K519" i="21"/>
  <c r="K520" i="21"/>
  <c r="K521" i="21"/>
  <c r="K522" i="21"/>
  <c r="K523" i="21"/>
  <c r="K524" i="21"/>
  <c r="K525" i="21"/>
  <c r="K526" i="21"/>
  <c r="K527" i="21"/>
  <c r="K528" i="21"/>
  <c r="K529" i="21"/>
  <c r="K530" i="21"/>
  <c r="K531" i="21"/>
  <c r="K532" i="21"/>
  <c r="K533" i="21"/>
  <c r="K534" i="21"/>
  <c r="K535" i="21"/>
  <c r="K536" i="21"/>
  <c r="K537" i="21"/>
  <c r="K538" i="21"/>
  <c r="K539" i="21"/>
  <c r="K540" i="21"/>
  <c r="K541" i="21"/>
  <c r="K542" i="21"/>
  <c r="K543" i="21"/>
  <c r="K544" i="21"/>
  <c r="K545" i="21"/>
  <c r="K546" i="21"/>
  <c r="K547" i="21"/>
  <c r="K548" i="21"/>
  <c r="K549" i="21"/>
  <c r="K550" i="21"/>
  <c r="K551" i="21"/>
  <c r="K552" i="21"/>
  <c r="K553" i="21"/>
  <c r="K554" i="21"/>
  <c r="K555" i="21"/>
  <c r="K556" i="21"/>
  <c r="K557" i="21"/>
  <c r="K558" i="21"/>
  <c r="K559" i="21"/>
  <c r="K560" i="21"/>
  <c r="K561" i="21"/>
  <c r="K562" i="21"/>
  <c r="K563" i="21"/>
  <c r="K564" i="21"/>
  <c r="K565" i="21"/>
  <c r="K566" i="21"/>
  <c r="K567" i="21"/>
  <c r="K568" i="21"/>
  <c r="K569" i="21"/>
  <c r="K570" i="21"/>
  <c r="K571" i="21"/>
  <c r="K572" i="21"/>
  <c r="K573" i="21"/>
  <c r="K574" i="21"/>
  <c r="K575" i="21"/>
  <c r="K576" i="21"/>
  <c r="K577" i="21"/>
  <c r="K578" i="21"/>
  <c r="K579" i="21"/>
  <c r="K580" i="21"/>
  <c r="K581" i="21"/>
  <c r="K582" i="21"/>
  <c r="K583" i="21"/>
  <c r="K584" i="21"/>
  <c r="K585" i="21"/>
  <c r="K586" i="21"/>
  <c r="K587" i="21"/>
  <c r="K588" i="21"/>
  <c r="K589" i="21"/>
  <c r="K590" i="21"/>
  <c r="K591" i="21"/>
  <c r="K592" i="21"/>
  <c r="K593" i="21"/>
  <c r="K594" i="21"/>
  <c r="K595" i="21"/>
  <c r="K596" i="21"/>
  <c r="K597" i="21"/>
  <c r="K598" i="21"/>
  <c r="K599" i="21"/>
  <c r="K600" i="21"/>
  <c r="K601" i="21"/>
  <c r="K602" i="21"/>
  <c r="K603" i="21"/>
  <c r="K604" i="21"/>
  <c r="K605" i="21"/>
  <c r="K606" i="21"/>
  <c r="K607" i="21"/>
  <c r="K608" i="21"/>
  <c r="K609" i="21"/>
  <c r="K610" i="21"/>
  <c r="K611" i="21"/>
  <c r="K612" i="21"/>
  <c r="K613" i="21"/>
  <c r="K614" i="21"/>
  <c r="K615" i="21"/>
  <c r="K616" i="21"/>
  <c r="K617" i="21"/>
  <c r="K618" i="21"/>
  <c r="K619" i="21"/>
  <c r="K620" i="21"/>
  <c r="K621" i="21"/>
  <c r="K622" i="21"/>
  <c r="K623" i="21"/>
  <c r="K624" i="21"/>
  <c r="K625" i="21"/>
  <c r="K626" i="21"/>
  <c r="K627" i="21"/>
  <c r="K628" i="21"/>
  <c r="K629" i="21"/>
  <c r="K630" i="21"/>
  <c r="K631" i="21"/>
  <c r="K632" i="21"/>
  <c r="K633" i="21"/>
  <c r="K634" i="21"/>
  <c r="K635" i="21"/>
  <c r="K636" i="21"/>
  <c r="K637" i="21"/>
  <c r="K638" i="21"/>
  <c r="K639" i="21"/>
  <c r="K640" i="21"/>
  <c r="K641" i="21"/>
  <c r="K642" i="21"/>
  <c r="K643" i="21"/>
  <c r="K644" i="21"/>
  <c r="K645" i="21"/>
  <c r="K646" i="21"/>
  <c r="K647" i="21"/>
  <c r="K648" i="21"/>
  <c r="K649" i="21"/>
  <c r="K650" i="21"/>
  <c r="K651" i="21"/>
  <c r="K652" i="21"/>
  <c r="K653" i="21"/>
  <c r="K654" i="21"/>
  <c r="K655" i="21"/>
  <c r="K656" i="21"/>
  <c r="K657" i="21"/>
  <c r="K658" i="21"/>
  <c r="K659" i="21"/>
  <c r="K660" i="21"/>
  <c r="K661" i="21"/>
  <c r="K662" i="21"/>
  <c r="K663" i="21"/>
  <c r="K664" i="21"/>
  <c r="K665" i="21"/>
  <c r="K666" i="21"/>
  <c r="K667" i="21"/>
  <c r="K668" i="21"/>
  <c r="K669" i="21"/>
  <c r="K670" i="21"/>
  <c r="K671" i="21"/>
  <c r="K672" i="21"/>
  <c r="K673" i="21"/>
  <c r="K674" i="21"/>
  <c r="K675" i="21"/>
  <c r="K676" i="21"/>
  <c r="K677" i="21"/>
  <c r="K678" i="21"/>
  <c r="K679" i="21"/>
  <c r="K680" i="21"/>
  <c r="K681" i="21"/>
  <c r="K682" i="21"/>
  <c r="K683" i="21"/>
  <c r="K684" i="21"/>
  <c r="K685" i="21"/>
  <c r="K686" i="21"/>
  <c r="K687" i="21"/>
  <c r="K688" i="21"/>
  <c r="K689" i="21"/>
  <c r="K690" i="21"/>
  <c r="K691" i="21"/>
  <c r="K692" i="21"/>
  <c r="K693" i="21"/>
  <c r="K694" i="21"/>
  <c r="K695" i="21"/>
  <c r="K696" i="21"/>
  <c r="K697" i="21"/>
  <c r="K698" i="21"/>
  <c r="K699" i="21"/>
  <c r="K700" i="21"/>
  <c r="K701" i="21"/>
  <c r="K702" i="21"/>
  <c r="K703" i="21"/>
  <c r="K704" i="21"/>
  <c r="K705" i="21"/>
  <c r="K706" i="21"/>
  <c r="K707" i="21"/>
  <c r="K708" i="21"/>
  <c r="K709" i="21"/>
  <c r="K710" i="21"/>
  <c r="K711" i="21"/>
  <c r="K712" i="21"/>
  <c r="K713" i="21"/>
  <c r="K714" i="21"/>
  <c r="K715" i="21"/>
  <c r="K716" i="21"/>
  <c r="K717" i="21"/>
  <c r="K718" i="21"/>
  <c r="K719" i="21"/>
  <c r="K720" i="21"/>
  <c r="K721" i="21"/>
  <c r="K722" i="21"/>
  <c r="K723" i="21"/>
  <c r="K724" i="21"/>
  <c r="K725" i="21"/>
  <c r="K726" i="21"/>
  <c r="K727" i="21"/>
  <c r="K728" i="21"/>
  <c r="K729" i="21"/>
  <c r="K730" i="21"/>
  <c r="K731" i="21"/>
  <c r="K732" i="21"/>
  <c r="K733" i="21"/>
  <c r="K734" i="21"/>
  <c r="K735" i="21"/>
  <c r="K736" i="21"/>
  <c r="K737" i="21"/>
  <c r="K738" i="21"/>
  <c r="K739" i="21"/>
  <c r="K740" i="21"/>
  <c r="K741" i="21"/>
  <c r="K742" i="21"/>
  <c r="K743" i="21"/>
  <c r="K744" i="21"/>
  <c r="K745" i="21"/>
  <c r="K746" i="21"/>
  <c r="K747" i="21"/>
  <c r="K748" i="21"/>
  <c r="K749" i="21"/>
  <c r="K750" i="21"/>
  <c r="K751" i="21"/>
  <c r="K752" i="21"/>
  <c r="K753" i="21"/>
  <c r="K754" i="21"/>
  <c r="K755" i="21"/>
  <c r="K756" i="21"/>
  <c r="K757" i="21"/>
  <c r="K758" i="21"/>
  <c r="K759" i="21"/>
  <c r="K760" i="21"/>
  <c r="K761" i="21"/>
  <c r="K762" i="21"/>
  <c r="K763" i="21"/>
  <c r="K764" i="21"/>
  <c r="K765" i="21"/>
  <c r="K766" i="21"/>
  <c r="K767" i="21"/>
  <c r="K768" i="21"/>
  <c r="K769" i="21"/>
  <c r="K770" i="21"/>
  <c r="K771" i="21"/>
  <c r="K772" i="21"/>
  <c r="K773" i="21"/>
  <c r="K774" i="21"/>
  <c r="K775" i="21"/>
  <c r="K776" i="21"/>
  <c r="K777" i="21"/>
  <c r="K778" i="21"/>
  <c r="K779" i="21"/>
  <c r="K780" i="21"/>
  <c r="K781" i="21"/>
  <c r="K782" i="21"/>
  <c r="K783" i="21"/>
  <c r="K784" i="21"/>
  <c r="K785" i="21"/>
  <c r="K786" i="21"/>
  <c r="K787" i="21"/>
  <c r="K788" i="21"/>
  <c r="K789" i="21"/>
  <c r="K790" i="21"/>
  <c r="K791" i="21"/>
  <c r="K792" i="21"/>
  <c r="K793" i="21"/>
  <c r="K794" i="21"/>
  <c r="K795" i="21"/>
  <c r="K796" i="21"/>
  <c r="K797" i="21"/>
  <c r="K798" i="21"/>
  <c r="K799" i="21"/>
  <c r="K800" i="21"/>
  <c r="K801" i="21"/>
  <c r="K802" i="21"/>
  <c r="K803" i="21"/>
  <c r="K804" i="21"/>
  <c r="K805" i="21"/>
  <c r="K806" i="21"/>
  <c r="K807" i="21"/>
  <c r="K808" i="21"/>
  <c r="K809" i="21"/>
  <c r="K810" i="21"/>
  <c r="K811" i="21"/>
  <c r="K812" i="21"/>
  <c r="K813" i="21"/>
  <c r="K814" i="21"/>
  <c r="K815" i="21"/>
  <c r="K816" i="21"/>
  <c r="K817" i="21"/>
  <c r="K818" i="21"/>
  <c r="K819" i="21"/>
  <c r="K820" i="21"/>
  <c r="K821" i="21"/>
  <c r="K822" i="21"/>
  <c r="K823" i="21"/>
  <c r="K824" i="21"/>
  <c r="K825" i="21"/>
  <c r="K826" i="21"/>
  <c r="K827" i="21"/>
  <c r="K828" i="21"/>
  <c r="K829" i="21"/>
  <c r="K830" i="21"/>
  <c r="K831" i="21"/>
  <c r="K832" i="21"/>
  <c r="K833" i="21"/>
  <c r="K834" i="21"/>
  <c r="K835" i="21"/>
  <c r="K836" i="21"/>
  <c r="K837" i="21"/>
  <c r="K838" i="21"/>
  <c r="K839" i="21"/>
  <c r="K840" i="21"/>
  <c r="K841" i="21"/>
  <c r="K842" i="21"/>
  <c r="K843" i="21"/>
  <c r="K844" i="21"/>
  <c r="K845" i="21"/>
  <c r="K846" i="21"/>
  <c r="K847" i="21"/>
  <c r="K848" i="21"/>
  <c r="K849" i="21"/>
  <c r="K850" i="21"/>
  <c r="K851" i="21"/>
  <c r="K852" i="21"/>
  <c r="K853" i="21"/>
  <c r="K854" i="21"/>
  <c r="K855" i="21"/>
  <c r="K856" i="21"/>
  <c r="K857" i="21"/>
  <c r="K858" i="21"/>
  <c r="K859" i="21"/>
  <c r="K860" i="21"/>
  <c r="K861" i="21"/>
  <c r="K862" i="21"/>
  <c r="K863" i="21"/>
  <c r="K864" i="21"/>
  <c r="K865" i="21"/>
  <c r="K866" i="21"/>
  <c r="K867" i="21"/>
  <c r="K868" i="21"/>
  <c r="K869" i="21"/>
  <c r="K870" i="21"/>
  <c r="K871" i="21"/>
  <c r="K872" i="21"/>
  <c r="K873" i="21"/>
  <c r="K874" i="21"/>
  <c r="K875" i="21"/>
  <c r="K876" i="21"/>
  <c r="K877" i="21"/>
  <c r="K878" i="21"/>
  <c r="K879" i="21"/>
  <c r="K880" i="21"/>
  <c r="I3" i="21"/>
  <c r="I4" i="21"/>
  <c r="I5" i="21"/>
  <c r="I6" i="21"/>
  <c r="I7" i="21"/>
  <c r="I8" i="21"/>
  <c r="I9" i="21"/>
  <c r="I10" i="21"/>
  <c r="I11" i="21"/>
  <c r="I12" i="21"/>
  <c r="I13" i="21"/>
  <c r="I14" i="21"/>
  <c r="I15" i="21"/>
  <c r="I16" i="21"/>
  <c r="I17" i="21"/>
  <c r="I18" i="21"/>
  <c r="I19" i="21"/>
  <c r="I20" i="21"/>
  <c r="I21" i="21"/>
  <c r="I22" i="21"/>
  <c r="I23" i="21"/>
  <c r="I24" i="21"/>
  <c r="I25" i="21"/>
  <c r="I26" i="21"/>
  <c r="I27" i="21"/>
  <c r="I28" i="21"/>
  <c r="I29" i="21"/>
  <c r="I30" i="21"/>
  <c r="I31" i="21"/>
  <c r="I32" i="21"/>
  <c r="I33" i="21"/>
  <c r="I34" i="21"/>
  <c r="I35" i="21"/>
  <c r="I36" i="21"/>
  <c r="I37" i="21"/>
  <c r="I38" i="21"/>
  <c r="I39" i="21"/>
  <c r="I40" i="21"/>
  <c r="I41" i="21"/>
  <c r="I42" i="21"/>
  <c r="I43" i="21"/>
  <c r="I44" i="21"/>
  <c r="I45" i="21"/>
  <c r="I46" i="21"/>
  <c r="I47" i="21"/>
  <c r="I48" i="21"/>
  <c r="I49" i="21"/>
  <c r="I50" i="21"/>
  <c r="I51" i="21"/>
  <c r="I52" i="21"/>
  <c r="I53" i="21"/>
  <c r="I54" i="21"/>
  <c r="I55" i="21"/>
  <c r="I56" i="21"/>
  <c r="I57" i="21"/>
  <c r="I58" i="21"/>
  <c r="I59" i="21"/>
  <c r="I60" i="21"/>
  <c r="I61" i="21"/>
  <c r="I62" i="21"/>
  <c r="I63" i="21"/>
  <c r="I64" i="21"/>
  <c r="I65" i="21"/>
  <c r="I66" i="21"/>
  <c r="I67" i="21"/>
  <c r="I68" i="21"/>
  <c r="I69" i="21"/>
  <c r="I70" i="21"/>
  <c r="I71" i="21"/>
  <c r="I72" i="21"/>
  <c r="I73" i="21"/>
  <c r="I74" i="21"/>
  <c r="I75" i="21"/>
  <c r="I76" i="21"/>
  <c r="I77" i="21"/>
  <c r="I78" i="21"/>
  <c r="I79" i="21"/>
  <c r="I80" i="21"/>
  <c r="I81" i="21"/>
  <c r="I82" i="21"/>
  <c r="I83" i="21"/>
  <c r="I84" i="21"/>
  <c r="I85" i="21"/>
  <c r="I86" i="21"/>
  <c r="I87" i="21"/>
  <c r="I88" i="21"/>
  <c r="I89" i="21"/>
  <c r="I90" i="21"/>
  <c r="I91" i="21"/>
  <c r="I92" i="21"/>
  <c r="I93" i="21"/>
  <c r="I94" i="21"/>
  <c r="I95" i="21"/>
  <c r="I96" i="21"/>
  <c r="I97" i="21"/>
  <c r="I98" i="21"/>
  <c r="I99" i="21"/>
  <c r="I100" i="21"/>
  <c r="I101" i="21"/>
  <c r="I102" i="21"/>
  <c r="I103" i="21"/>
  <c r="I104" i="21"/>
  <c r="I105" i="21"/>
  <c r="I106" i="21"/>
  <c r="I107" i="21"/>
  <c r="I108" i="21"/>
  <c r="I109" i="21"/>
  <c r="I110" i="21"/>
  <c r="I111" i="21"/>
  <c r="I112" i="21"/>
  <c r="I113" i="21"/>
  <c r="I114" i="21"/>
  <c r="I115" i="21"/>
  <c r="I116" i="21"/>
  <c r="I117" i="21"/>
  <c r="I118" i="21"/>
  <c r="I119" i="21"/>
  <c r="I120" i="21"/>
  <c r="I121" i="21"/>
  <c r="I122" i="21"/>
  <c r="I123" i="21"/>
  <c r="I124" i="21"/>
  <c r="I125" i="21"/>
  <c r="I126" i="21"/>
  <c r="I127" i="21"/>
  <c r="I128" i="21"/>
  <c r="I129" i="21"/>
  <c r="I130" i="21"/>
  <c r="I131" i="21"/>
  <c r="I132" i="21"/>
  <c r="I133" i="21"/>
  <c r="I134" i="21"/>
  <c r="I135" i="21"/>
  <c r="I136" i="21"/>
  <c r="I137" i="21"/>
  <c r="I138" i="21"/>
  <c r="I139" i="21"/>
  <c r="I140" i="21"/>
  <c r="I141" i="21"/>
  <c r="I142" i="21"/>
  <c r="I143" i="21"/>
  <c r="I144" i="21"/>
  <c r="I145" i="21"/>
  <c r="I146" i="21"/>
  <c r="I147" i="21"/>
  <c r="I148" i="21"/>
  <c r="I149" i="21"/>
  <c r="I150" i="21"/>
  <c r="I151" i="21"/>
  <c r="I152" i="21"/>
  <c r="I153" i="21"/>
  <c r="I154" i="21"/>
  <c r="I155" i="21"/>
  <c r="I156" i="21"/>
  <c r="I157" i="21"/>
  <c r="I158" i="21"/>
  <c r="I159" i="21"/>
  <c r="I160" i="21"/>
  <c r="I161" i="21"/>
  <c r="I162" i="21"/>
  <c r="I163" i="21"/>
  <c r="I164" i="21"/>
  <c r="I165" i="21"/>
  <c r="I166" i="21"/>
  <c r="I167" i="21"/>
  <c r="I168" i="21"/>
  <c r="I169" i="21"/>
  <c r="I170" i="21"/>
  <c r="I171" i="21"/>
  <c r="I172" i="21"/>
  <c r="I173" i="21"/>
  <c r="I174" i="21"/>
  <c r="I175" i="21"/>
  <c r="I176" i="21"/>
  <c r="I177" i="21"/>
  <c r="I178" i="21"/>
  <c r="I179" i="21"/>
  <c r="I180" i="21"/>
  <c r="I181" i="21"/>
  <c r="I182" i="21"/>
  <c r="I183" i="21"/>
  <c r="I184" i="21"/>
  <c r="I185" i="21"/>
  <c r="I186" i="21"/>
  <c r="I187" i="21"/>
  <c r="I188" i="21"/>
  <c r="I189" i="21"/>
  <c r="I190" i="21"/>
  <c r="I191" i="21"/>
  <c r="I192" i="21"/>
  <c r="I193" i="21"/>
  <c r="I194" i="21"/>
  <c r="I195" i="21"/>
  <c r="I196" i="21"/>
  <c r="I197" i="21"/>
  <c r="I198" i="21"/>
  <c r="I199" i="21"/>
  <c r="I200" i="21"/>
  <c r="I201" i="21"/>
  <c r="I202" i="21"/>
  <c r="I203" i="21"/>
  <c r="I204" i="21"/>
  <c r="I205" i="21"/>
  <c r="I206" i="21"/>
  <c r="I207" i="21"/>
  <c r="I208" i="21"/>
  <c r="I209" i="21"/>
  <c r="I210" i="21"/>
  <c r="I211" i="21"/>
  <c r="I212" i="21"/>
  <c r="I213" i="21"/>
  <c r="I214" i="21"/>
  <c r="I215" i="21"/>
  <c r="I216" i="21"/>
  <c r="I217" i="21"/>
  <c r="I218" i="21"/>
  <c r="I219" i="21"/>
  <c r="I220" i="21"/>
  <c r="I221" i="21"/>
  <c r="I222" i="21"/>
  <c r="I223" i="21"/>
  <c r="I224" i="21"/>
  <c r="I225" i="21"/>
  <c r="I226" i="21"/>
  <c r="I227" i="21"/>
  <c r="I228" i="21"/>
  <c r="I229" i="21"/>
  <c r="I230" i="21"/>
  <c r="I231" i="21"/>
  <c r="I232" i="21"/>
  <c r="I233" i="21"/>
  <c r="I234" i="21"/>
  <c r="I235" i="21"/>
  <c r="I236" i="21"/>
  <c r="I237" i="21"/>
  <c r="I238" i="21"/>
  <c r="I239" i="21"/>
  <c r="I240" i="21"/>
  <c r="I241" i="21"/>
  <c r="I242" i="21"/>
  <c r="I243" i="21"/>
  <c r="I244" i="21"/>
  <c r="I245" i="21"/>
  <c r="I246" i="21"/>
  <c r="I247" i="21"/>
  <c r="I248" i="21"/>
  <c r="I249" i="21"/>
  <c r="I250" i="21"/>
  <c r="I251" i="21"/>
  <c r="I252" i="21"/>
  <c r="I253" i="21"/>
  <c r="I254" i="21"/>
  <c r="I255" i="21"/>
  <c r="I256" i="21"/>
  <c r="I257" i="21"/>
  <c r="I258" i="21"/>
  <c r="I259" i="21"/>
  <c r="I260" i="21"/>
  <c r="I261" i="21"/>
  <c r="I262" i="21"/>
  <c r="I263" i="21"/>
  <c r="I264" i="21"/>
  <c r="I265" i="21"/>
  <c r="I266" i="21"/>
  <c r="I267" i="21"/>
  <c r="I268" i="21"/>
  <c r="I269" i="21"/>
  <c r="I270" i="21"/>
  <c r="I271" i="21"/>
  <c r="I272" i="21"/>
  <c r="I273" i="21"/>
  <c r="I274" i="21"/>
  <c r="I275" i="21"/>
  <c r="I276" i="21"/>
  <c r="I277" i="21"/>
  <c r="I278" i="21"/>
  <c r="I279" i="21"/>
  <c r="I280" i="21"/>
  <c r="I281" i="21"/>
  <c r="I282" i="21"/>
  <c r="I283" i="21"/>
  <c r="I284" i="21"/>
  <c r="I285" i="21"/>
  <c r="I286" i="21"/>
  <c r="I287" i="21"/>
  <c r="I288" i="21"/>
  <c r="I289" i="21"/>
  <c r="I290" i="21"/>
  <c r="I291" i="21"/>
  <c r="I292" i="21"/>
  <c r="I293" i="21"/>
  <c r="I294" i="21"/>
  <c r="I295" i="21"/>
  <c r="I296" i="21"/>
  <c r="I297" i="21"/>
  <c r="I298" i="21"/>
  <c r="I299" i="21"/>
  <c r="I300" i="21"/>
  <c r="I301" i="21"/>
  <c r="I302" i="21"/>
  <c r="I303" i="21"/>
  <c r="I304" i="21"/>
  <c r="I305" i="21"/>
  <c r="I306" i="21"/>
  <c r="I307" i="21"/>
  <c r="I308" i="21"/>
  <c r="I309" i="21"/>
  <c r="I310" i="21"/>
  <c r="I311" i="21"/>
  <c r="I312" i="21"/>
  <c r="I313" i="21"/>
  <c r="I314" i="21"/>
  <c r="I315" i="21"/>
  <c r="I316" i="21"/>
  <c r="I317" i="21"/>
  <c r="I318" i="21"/>
  <c r="I319" i="21"/>
  <c r="I320" i="21"/>
  <c r="I321" i="21"/>
  <c r="I322" i="21"/>
  <c r="I323" i="21"/>
  <c r="I324" i="21"/>
  <c r="I325" i="21"/>
  <c r="I326" i="21"/>
  <c r="I327" i="21"/>
  <c r="I328" i="21"/>
  <c r="I329" i="21"/>
  <c r="I330" i="21"/>
  <c r="I331" i="21"/>
  <c r="I332" i="21"/>
  <c r="I333" i="21"/>
  <c r="I334" i="21"/>
  <c r="I335" i="21"/>
  <c r="I336" i="21"/>
  <c r="I337" i="21"/>
  <c r="I338" i="21"/>
  <c r="I339" i="21"/>
  <c r="I340" i="21"/>
  <c r="I341" i="21"/>
  <c r="I342" i="21"/>
  <c r="I343" i="21"/>
  <c r="I344" i="21"/>
  <c r="I345" i="21"/>
  <c r="I346" i="21"/>
  <c r="I347" i="21"/>
  <c r="I348" i="21"/>
  <c r="I349" i="21"/>
  <c r="I350" i="21"/>
  <c r="I351" i="21"/>
  <c r="I352" i="21"/>
  <c r="I353" i="21"/>
  <c r="I354" i="21"/>
  <c r="I355" i="21"/>
  <c r="I356" i="21"/>
  <c r="I357" i="21"/>
  <c r="I358" i="21"/>
  <c r="I359" i="21"/>
  <c r="I360" i="21"/>
  <c r="I361" i="21"/>
  <c r="I362" i="21"/>
  <c r="I363" i="21"/>
  <c r="I364" i="21"/>
  <c r="I365" i="21"/>
  <c r="I366" i="21"/>
  <c r="I367" i="21"/>
  <c r="I368" i="21"/>
  <c r="I369" i="21"/>
  <c r="I370" i="21"/>
  <c r="I371" i="21"/>
  <c r="I372" i="21"/>
  <c r="I373" i="21"/>
  <c r="I374" i="21"/>
  <c r="I375" i="21"/>
  <c r="I376" i="21"/>
  <c r="I377" i="21"/>
  <c r="I378" i="21"/>
  <c r="I379" i="21"/>
  <c r="I380" i="21"/>
  <c r="I381" i="21"/>
  <c r="I382" i="21"/>
  <c r="I383" i="21"/>
  <c r="I384" i="21"/>
  <c r="I385" i="21"/>
  <c r="I386" i="21"/>
  <c r="I387" i="21"/>
  <c r="I388" i="21"/>
  <c r="I389" i="21"/>
  <c r="I390" i="21"/>
  <c r="I391" i="21"/>
  <c r="I392" i="21"/>
  <c r="I393" i="21"/>
  <c r="I394" i="21"/>
  <c r="I395" i="21"/>
  <c r="I396" i="21"/>
  <c r="I397" i="21"/>
  <c r="I398" i="21"/>
  <c r="I399" i="21"/>
  <c r="I400" i="21"/>
  <c r="I401" i="21"/>
  <c r="I402" i="21"/>
  <c r="I403" i="21"/>
  <c r="I404" i="21"/>
  <c r="I405" i="21"/>
  <c r="I406" i="21"/>
  <c r="I407" i="21"/>
  <c r="I408" i="21"/>
  <c r="I409" i="21"/>
  <c r="I410" i="21"/>
  <c r="I411" i="21"/>
  <c r="I412" i="21"/>
  <c r="I413" i="21"/>
  <c r="I414" i="21"/>
  <c r="I415" i="21"/>
  <c r="I416" i="21"/>
  <c r="I417" i="21"/>
  <c r="I418" i="21"/>
  <c r="I419" i="21"/>
  <c r="I420" i="21"/>
  <c r="I421" i="21"/>
  <c r="I422" i="21"/>
  <c r="I423" i="21"/>
  <c r="I424" i="21"/>
  <c r="I425" i="21"/>
  <c r="I426" i="21"/>
  <c r="I427" i="21"/>
  <c r="I428" i="21"/>
  <c r="I429" i="21"/>
  <c r="I430" i="21"/>
  <c r="I431" i="21"/>
  <c r="I432" i="21"/>
  <c r="I433" i="21"/>
  <c r="I434" i="21"/>
  <c r="I435" i="21"/>
  <c r="I436" i="21"/>
  <c r="I437" i="21"/>
  <c r="I438" i="21"/>
  <c r="I439" i="21"/>
  <c r="I440" i="21"/>
  <c r="I441" i="21"/>
  <c r="I442" i="21"/>
  <c r="I443" i="21"/>
  <c r="I444" i="21"/>
  <c r="I445" i="21"/>
  <c r="I446" i="21"/>
  <c r="I447" i="21"/>
  <c r="I448" i="21"/>
  <c r="I449" i="21"/>
  <c r="I450" i="21"/>
  <c r="I451" i="21"/>
  <c r="I452" i="21"/>
  <c r="I453" i="21"/>
  <c r="I454" i="21"/>
  <c r="I455" i="21"/>
  <c r="I456" i="21"/>
  <c r="I457" i="21"/>
  <c r="I458" i="21"/>
  <c r="I459" i="21"/>
  <c r="I460" i="21"/>
  <c r="I461" i="21"/>
  <c r="I462" i="21"/>
  <c r="I463" i="21"/>
  <c r="I464" i="21"/>
  <c r="I465" i="21"/>
  <c r="I466" i="21"/>
  <c r="I467" i="21"/>
  <c r="I468" i="21"/>
  <c r="I469" i="21"/>
  <c r="I470" i="21"/>
  <c r="I471" i="21"/>
  <c r="I472" i="21"/>
  <c r="I473" i="21"/>
  <c r="I474" i="21"/>
  <c r="I475" i="21"/>
  <c r="I476" i="21"/>
  <c r="I477" i="21"/>
  <c r="I478" i="21"/>
  <c r="I479" i="21"/>
  <c r="I480" i="21"/>
  <c r="I481" i="21"/>
  <c r="I482" i="21"/>
  <c r="I483" i="21"/>
  <c r="I484" i="21"/>
  <c r="I485" i="21"/>
  <c r="I486" i="21"/>
  <c r="I487" i="21"/>
  <c r="I488" i="21"/>
  <c r="I489" i="21"/>
  <c r="I490" i="21"/>
  <c r="I491" i="21"/>
  <c r="I492" i="21"/>
  <c r="I493" i="21"/>
  <c r="I494" i="21"/>
  <c r="I495" i="21"/>
  <c r="I496" i="21"/>
  <c r="I497" i="21"/>
  <c r="I498" i="21"/>
  <c r="I499" i="21"/>
  <c r="I500" i="21"/>
  <c r="I501" i="21"/>
  <c r="I502" i="21"/>
  <c r="I503" i="21"/>
  <c r="I504" i="21"/>
  <c r="I505" i="21"/>
  <c r="I506" i="21"/>
  <c r="I507" i="21"/>
  <c r="I508" i="21"/>
  <c r="I509" i="21"/>
  <c r="I510" i="21"/>
  <c r="I511" i="21"/>
  <c r="I512" i="21"/>
  <c r="I513" i="21"/>
  <c r="I514" i="21"/>
  <c r="I515" i="21"/>
  <c r="I516" i="21"/>
  <c r="I517" i="21"/>
  <c r="I518" i="21"/>
  <c r="I519" i="21"/>
  <c r="I520" i="21"/>
  <c r="I521" i="21"/>
  <c r="I522" i="21"/>
  <c r="I523" i="21"/>
  <c r="I524" i="21"/>
  <c r="I525" i="21"/>
  <c r="I526" i="21"/>
  <c r="I527" i="21"/>
  <c r="I528" i="21"/>
  <c r="I529" i="21"/>
  <c r="I530" i="21"/>
  <c r="I531" i="21"/>
  <c r="I532" i="21"/>
  <c r="I533" i="21"/>
  <c r="I534" i="21"/>
  <c r="I535" i="21"/>
  <c r="I536" i="21"/>
  <c r="I537" i="21"/>
  <c r="I538" i="21"/>
  <c r="I539" i="21"/>
  <c r="I540" i="21"/>
  <c r="I541" i="21"/>
  <c r="I542" i="21"/>
  <c r="I543" i="21"/>
  <c r="I544" i="21"/>
  <c r="I545" i="21"/>
  <c r="I546" i="21"/>
  <c r="I547" i="21"/>
  <c r="I548" i="21"/>
  <c r="I549" i="21"/>
  <c r="I550" i="21"/>
  <c r="I551" i="21"/>
  <c r="I552" i="21"/>
  <c r="I553" i="21"/>
  <c r="I554" i="21"/>
  <c r="I555" i="21"/>
  <c r="I556" i="21"/>
  <c r="I557" i="21"/>
  <c r="I558" i="21"/>
  <c r="I559" i="21"/>
  <c r="I560" i="21"/>
  <c r="I561" i="21"/>
  <c r="I562" i="21"/>
  <c r="I563" i="21"/>
  <c r="I564" i="21"/>
  <c r="I565" i="21"/>
  <c r="I566" i="21"/>
  <c r="I567" i="21"/>
  <c r="I568" i="21"/>
  <c r="I569" i="21"/>
  <c r="I570" i="21"/>
  <c r="I571" i="21"/>
  <c r="I572" i="21"/>
  <c r="I573" i="21"/>
  <c r="I574" i="21"/>
  <c r="I575" i="21"/>
  <c r="I576" i="21"/>
  <c r="I577" i="21"/>
  <c r="I578" i="21"/>
  <c r="I579" i="21"/>
  <c r="I580" i="21"/>
  <c r="I581" i="21"/>
  <c r="I582" i="21"/>
  <c r="I583" i="21"/>
  <c r="I584" i="21"/>
  <c r="I585" i="21"/>
  <c r="I586" i="21"/>
  <c r="I587" i="21"/>
  <c r="I588" i="21"/>
  <c r="I589" i="21"/>
  <c r="I590" i="21"/>
  <c r="I591" i="21"/>
  <c r="I592" i="21"/>
  <c r="I593" i="21"/>
  <c r="I594" i="21"/>
  <c r="I595" i="21"/>
  <c r="I596" i="21"/>
  <c r="I597" i="21"/>
  <c r="I598" i="21"/>
  <c r="I599" i="21"/>
  <c r="I600" i="21"/>
  <c r="I601" i="21"/>
  <c r="I602" i="21"/>
  <c r="I603" i="21"/>
  <c r="I604" i="21"/>
  <c r="I605" i="21"/>
  <c r="I606" i="21"/>
  <c r="I607" i="21"/>
  <c r="I608" i="21"/>
  <c r="I609" i="21"/>
  <c r="I610" i="21"/>
  <c r="I611" i="21"/>
  <c r="I612" i="21"/>
  <c r="I613" i="21"/>
  <c r="I614" i="21"/>
  <c r="I615" i="21"/>
  <c r="I616" i="21"/>
  <c r="I617" i="21"/>
  <c r="I618" i="21"/>
  <c r="I619" i="21"/>
  <c r="I620" i="21"/>
  <c r="I621" i="21"/>
  <c r="I622" i="21"/>
  <c r="I623" i="21"/>
  <c r="I624" i="21"/>
  <c r="I625" i="21"/>
  <c r="I626" i="21"/>
  <c r="I627" i="21"/>
  <c r="I628" i="21"/>
  <c r="I629" i="21"/>
  <c r="I630" i="21"/>
  <c r="I631" i="21"/>
  <c r="I632" i="21"/>
  <c r="I633" i="21"/>
  <c r="I634" i="21"/>
  <c r="I635" i="21"/>
  <c r="I636" i="21"/>
  <c r="I637" i="21"/>
  <c r="I638" i="21"/>
  <c r="I639" i="21"/>
  <c r="I640" i="21"/>
  <c r="I641" i="21"/>
  <c r="I642" i="21"/>
  <c r="I643" i="21"/>
  <c r="I644" i="21"/>
  <c r="I645" i="21"/>
  <c r="I646" i="21"/>
  <c r="I647" i="21"/>
  <c r="I648" i="21"/>
  <c r="I649" i="21"/>
  <c r="I650" i="21"/>
  <c r="I651" i="21"/>
  <c r="I652" i="21"/>
  <c r="I653" i="21"/>
  <c r="I654" i="21"/>
  <c r="I655" i="21"/>
  <c r="I656" i="21"/>
  <c r="I657" i="21"/>
  <c r="I658" i="21"/>
  <c r="I659" i="21"/>
  <c r="I660" i="21"/>
  <c r="I661" i="21"/>
  <c r="I662" i="21"/>
  <c r="I663" i="21"/>
  <c r="I664" i="21"/>
  <c r="I665" i="21"/>
  <c r="I666" i="21"/>
  <c r="I667" i="21"/>
  <c r="I668" i="21"/>
  <c r="I669" i="21"/>
  <c r="I670" i="21"/>
  <c r="I671" i="21"/>
  <c r="I672" i="21"/>
  <c r="I673" i="21"/>
  <c r="I674" i="21"/>
  <c r="I675" i="21"/>
  <c r="I676" i="21"/>
  <c r="I677" i="21"/>
  <c r="I678" i="21"/>
  <c r="I679" i="21"/>
  <c r="I680" i="21"/>
  <c r="I681" i="21"/>
  <c r="I682" i="21"/>
  <c r="I683" i="21"/>
  <c r="I684" i="21"/>
  <c r="I685" i="21"/>
  <c r="I686" i="21"/>
  <c r="I687" i="21"/>
  <c r="I688" i="21"/>
  <c r="I689" i="21"/>
  <c r="I690" i="21"/>
  <c r="I691" i="21"/>
  <c r="I692" i="21"/>
  <c r="I693" i="21"/>
  <c r="I694" i="21"/>
  <c r="I695" i="21"/>
  <c r="I696" i="21"/>
  <c r="I697" i="21"/>
  <c r="I698" i="21"/>
  <c r="I699" i="21"/>
  <c r="I700" i="21"/>
  <c r="I701" i="21"/>
  <c r="I702" i="21"/>
  <c r="I703" i="21"/>
  <c r="I704" i="21"/>
  <c r="I705" i="21"/>
  <c r="I706" i="21"/>
  <c r="I707" i="21"/>
  <c r="I708" i="21"/>
  <c r="I709" i="21"/>
  <c r="I710" i="21"/>
  <c r="I711" i="21"/>
  <c r="I712" i="21"/>
  <c r="I713" i="21"/>
  <c r="I714" i="21"/>
  <c r="I715" i="21"/>
  <c r="I716" i="21"/>
  <c r="I717" i="21"/>
  <c r="I718" i="21"/>
  <c r="I719" i="21"/>
  <c r="I720" i="21"/>
  <c r="I721" i="21"/>
  <c r="I722" i="21"/>
  <c r="I723" i="21"/>
  <c r="I724" i="21"/>
  <c r="I725" i="21"/>
  <c r="I726" i="21"/>
  <c r="I727" i="21"/>
  <c r="I728" i="21"/>
  <c r="I729" i="21"/>
  <c r="I730" i="21"/>
  <c r="I731" i="21"/>
  <c r="I732" i="21"/>
  <c r="I733" i="21"/>
  <c r="I734" i="21"/>
  <c r="I735" i="21"/>
  <c r="I736" i="21"/>
  <c r="I737" i="21"/>
  <c r="I738" i="21"/>
  <c r="I739" i="21"/>
  <c r="I740" i="21"/>
  <c r="I741" i="21"/>
  <c r="I742" i="21"/>
  <c r="I743" i="21"/>
  <c r="I744" i="21"/>
  <c r="I745" i="21"/>
  <c r="I746" i="21"/>
  <c r="I747" i="21"/>
  <c r="I748" i="21"/>
  <c r="I749" i="21"/>
  <c r="I750" i="21"/>
  <c r="I751" i="21"/>
  <c r="I752" i="21"/>
  <c r="I753" i="21"/>
  <c r="I754" i="21"/>
  <c r="I755" i="21"/>
  <c r="I756" i="21"/>
  <c r="I757" i="21"/>
  <c r="I758" i="21"/>
  <c r="I759" i="21"/>
  <c r="I760" i="21"/>
  <c r="I761" i="21"/>
  <c r="I762" i="21"/>
  <c r="I763" i="21"/>
  <c r="I764" i="21"/>
  <c r="I765" i="21"/>
  <c r="I766" i="21"/>
  <c r="I767" i="21"/>
  <c r="I768" i="21"/>
  <c r="I769" i="21"/>
  <c r="I770" i="21"/>
  <c r="I771" i="21"/>
  <c r="I772" i="21"/>
  <c r="I773" i="21"/>
  <c r="I774" i="21"/>
  <c r="I775" i="21"/>
  <c r="I776" i="21"/>
  <c r="I777" i="21"/>
  <c r="I778" i="21"/>
  <c r="I779" i="21"/>
  <c r="I780" i="21"/>
  <c r="I781" i="21"/>
  <c r="I782" i="21"/>
  <c r="I783" i="21"/>
  <c r="I784" i="21"/>
  <c r="I785" i="21"/>
  <c r="I786" i="21"/>
  <c r="I787" i="21"/>
  <c r="I788" i="21"/>
  <c r="I789" i="21"/>
  <c r="I790" i="21"/>
  <c r="I791" i="21"/>
  <c r="I792" i="21"/>
  <c r="I793" i="21"/>
  <c r="I794" i="21"/>
  <c r="I795" i="21"/>
  <c r="I796" i="21"/>
  <c r="I797" i="21"/>
  <c r="I798" i="21"/>
  <c r="I799" i="21"/>
  <c r="I800" i="21"/>
  <c r="I801" i="21"/>
  <c r="I802" i="21"/>
  <c r="I803" i="21"/>
  <c r="I804" i="21"/>
  <c r="I805" i="21"/>
  <c r="I806" i="21"/>
  <c r="I807" i="21"/>
  <c r="I808" i="21"/>
  <c r="I809" i="21"/>
  <c r="I810" i="21"/>
  <c r="I811" i="21"/>
  <c r="I812" i="21"/>
  <c r="I813" i="21"/>
  <c r="I814" i="21"/>
  <c r="I815" i="21"/>
  <c r="I816" i="21"/>
  <c r="I817" i="21"/>
  <c r="I818" i="21"/>
  <c r="I819" i="21"/>
  <c r="I820" i="21"/>
  <c r="I821" i="21"/>
  <c r="I822" i="21"/>
  <c r="I823" i="21"/>
  <c r="I824" i="21"/>
  <c r="I825" i="21"/>
  <c r="I826" i="21"/>
  <c r="I827" i="21"/>
  <c r="I828" i="21"/>
  <c r="I829" i="21"/>
  <c r="I830" i="21"/>
  <c r="I831" i="21"/>
  <c r="I832" i="21"/>
  <c r="I833" i="21"/>
  <c r="I834" i="21"/>
  <c r="I835" i="21"/>
  <c r="I836" i="21"/>
  <c r="I837" i="21"/>
  <c r="I838" i="21"/>
  <c r="I839" i="21"/>
  <c r="I840" i="21"/>
  <c r="I841" i="21"/>
  <c r="I842" i="21"/>
  <c r="I843" i="21"/>
  <c r="I844" i="21"/>
  <c r="I845" i="21"/>
  <c r="I846" i="21"/>
  <c r="I847" i="21"/>
  <c r="I848" i="21"/>
  <c r="I849" i="21"/>
  <c r="I850" i="21"/>
  <c r="I851" i="21"/>
  <c r="I852" i="21"/>
  <c r="I853" i="21"/>
  <c r="I854" i="21"/>
  <c r="I855" i="21"/>
  <c r="I856" i="21"/>
  <c r="I857" i="21"/>
  <c r="I858" i="21"/>
  <c r="I859" i="21"/>
  <c r="I860" i="21"/>
  <c r="I861" i="21"/>
  <c r="I862" i="21"/>
  <c r="I863" i="21"/>
  <c r="I864" i="21"/>
  <c r="I865" i="21"/>
  <c r="I866" i="21"/>
  <c r="I867" i="21"/>
  <c r="I868" i="21"/>
  <c r="I869" i="21"/>
  <c r="I870" i="21"/>
  <c r="I871" i="21"/>
  <c r="I872" i="21"/>
  <c r="I873" i="21"/>
  <c r="I874" i="21"/>
  <c r="I875" i="21"/>
  <c r="I876" i="21"/>
  <c r="I877" i="21"/>
  <c r="I878" i="21"/>
  <c r="I879" i="21"/>
  <c r="I880" i="21"/>
  <c r="E3" i="21"/>
  <c r="E4" i="21"/>
  <c r="E5" i="21"/>
  <c r="E6" i="21"/>
  <c r="E7" i="21"/>
  <c r="E8" i="21"/>
  <c r="E9" i="21"/>
  <c r="E10" i="21"/>
  <c r="E11" i="21"/>
  <c r="E12" i="21"/>
  <c r="E13" i="21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0" i="21"/>
  <c r="E51" i="21"/>
  <c r="E52" i="21"/>
  <c r="E53" i="21"/>
  <c r="E54" i="21"/>
  <c r="E55" i="21"/>
  <c r="E56" i="21"/>
  <c r="E57" i="21"/>
  <c r="E58" i="21"/>
  <c r="E59" i="21"/>
  <c r="E60" i="21"/>
  <c r="E61" i="21"/>
  <c r="E62" i="21"/>
  <c r="E63" i="21"/>
  <c r="E64" i="21"/>
  <c r="E65" i="21"/>
  <c r="E66" i="21"/>
  <c r="E67" i="21"/>
  <c r="E68" i="21"/>
  <c r="E69" i="21"/>
  <c r="E70" i="21"/>
  <c r="E71" i="21"/>
  <c r="E72" i="21"/>
  <c r="E73" i="21"/>
  <c r="E74" i="21"/>
  <c r="E75" i="21"/>
  <c r="E76" i="21"/>
  <c r="E77" i="21"/>
  <c r="E78" i="21"/>
  <c r="E79" i="21"/>
  <c r="E80" i="21"/>
  <c r="E81" i="21"/>
  <c r="E82" i="21"/>
  <c r="E83" i="21"/>
  <c r="E84" i="21"/>
  <c r="E85" i="21"/>
  <c r="E86" i="21"/>
  <c r="E87" i="21"/>
  <c r="E88" i="21"/>
  <c r="E89" i="21"/>
  <c r="E90" i="21"/>
  <c r="E91" i="21"/>
  <c r="E92" i="21"/>
  <c r="E93" i="21"/>
  <c r="E94" i="21"/>
  <c r="E95" i="21"/>
  <c r="E96" i="21"/>
  <c r="E97" i="21"/>
  <c r="E98" i="21"/>
  <c r="E99" i="21"/>
  <c r="E100" i="21"/>
  <c r="E101" i="21"/>
  <c r="E102" i="21"/>
  <c r="E103" i="21"/>
  <c r="E104" i="21"/>
  <c r="E105" i="21"/>
  <c r="E106" i="21"/>
  <c r="E107" i="21"/>
  <c r="E108" i="21"/>
  <c r="E109" i="21"/>
  <c r="E110" i="21"/>
  <c r="E111" i="21"/>
  <c r="E112" i="21"/>
  <c r="E113" i="21"/>
  <c r="E114" i="21"/>
  <c r="E115" i="21"/>
  <c r="E116" i="21"/>
  <c r="E117" i="21"/>
  <c r="E118" i="21"/>
  <c r="E119" i="21"/>
  <c r="E120" i="21"/>
  <c r="E121" i="21"/>
  <c r="E122" i="21"/>
  <c r="E123" i="21"/>
  <c r="E124" i="21"/>
  <c r="E125" i="21"/>
  <c r="E126" i="21"/>
  <c r="E127" i="21"/>
  <c r="E128" i="21"/>
  <c r="E129" i="21"/>
  <c r="E130" i="21"/>
  <c r="E131" i="21"/>
  <c r="E132" i="21"/>
  <c r="E133" i="21"/>
  <c r="E134" i="21"/>
  <c r="E135" i="21"/>
  <c r="E136" i="21"/>
  <c r="E137" i="21"/>
  <c r="E138" i="21"/>
  <c r="E139" i="21"/>
  <c r="E140" i="21"/>
  <c r="E141" i="21"/>
  <c r="E142" i="21"/>
  <c r="E143" i="21"/>
  <c r="E144" i="21"/>
  <c r="E145" i="21"/>
  <c r="E146" i="21"/>
  <c r="E147" i="21"/>
  <c r="E148" i="21"/>
  <c r="E149" i="21"/>
  <c r="E150" i="21"/>
  <c r="E151" i="21"/>
  <c r="E152" i="21"/>
  <c r="E153" i="21"/>
  <c r="E154" i="21"/>
  <c r="E155" i="21"/>
  <c r="E156" i="21"/>
  <c r="E157" i="21"/>
  <c r="E158" i="21"/>
  <c r="E159" i="21"/>
  <c r="E160" i="21"/>
  <c r="E161" i="21"/>
  <c r="E162" i="21"/>
  <c r="E163" i="21"/>
  <c r="E164" i="21"/>
  <c r="E165" i="21"/>
  <c r="E166" i="21"/>
  <c r="E167" i="21"/>
  <c r="E168" i="21"/>
  <c r="E169" i="21"/>
  <c r="E170" i="21"/>
  <c r="E171" i="21"/>
  <c r="E172" i="21"/>
  <c r="E173" i="21"/>
  <c r="E174" i="21"/>
  <c r="E175" i="21"/>
  <c r="E176" i="21"/>
  <c r="E177" i="21"/>
  <c r="E178" i="21"/>
  <c r="E179" i="21"/>
  <c r="E180" i="21"/>
  <c r="E181" i="21"/>
  <c r="E182" i="21"/>
  <c r="E183" i="21"/>
  <c r="E184" i="21"/>
  <c r="E185" i="21"/>
  <c r="E186" i="21"/>
  <c r="E187" i="21"/>
  <c r="E188" i="21"/>
  <c r="E189" i="21"/>
  <c r="E190" i="21"/>
  <c r="E191" i="21"/>
  <c r="E192" i="21"/>
  <c r="E193" i="21"/>
  <c r="E194" i="21"/>
  <c r="E195" i="21"/>
  <c r="E196" i="21"/>
  <c r="E197" i="21"/>
  <c r="E198" i="21"/>
  <c r="E199" i="21"/>
  <c r="E200" i="21"/>
  <c r="E201" i="21"/>
  <c r="E202" i="21"/>
  <c r="E203" i="21"/>
  <c r="E204" i="21"/>
  <c r="E205" i="21"/>
  <c r="E206" i="21"/>
  <c r="E207" i="21"/>
  <c r="E208" i="21"/>
  <c r="E209" i="21"/>
  <c r="E210" i="21"/>
  <c r="E211" i="21"/>
  <c r="E212" i="21"/>
  <c r="E213" i="21"/>
  <c r="E214" i="21"/>
  <c r="E215" i="21"/>
  <c r="E216" i="21"/>
  <c r="E217" i="21"/>
  <c r="E218" i="21"/>
  <c r="E219" i="21"/>
  <c r="E220" i="21"/>
  <c r="E221" i="21"/>
  <c r="E222" i="21"/>
  <c r="E223" i="21"/>
  <c r="E224" i="21"/>
  <c r="E225" i="21"/>
  <c r="E226" i="21"/>
  <c r="E227" i="21"/>
  <c r="E228" i="21"/>
  <c r="E229" i="21"/>
  <c r="E230" i="21"/>
  <c r="E231" i="21"/>
  <c r="E232" i="21"/>
  <c r="E233" i="21"/>
  <c r="E234" i="21"/>
  <c r="E235" i="21"/>
  <c r="E236" i="21"/>
  <c r="E237" i="21"/>
  <c r="E238" i="21"/>
  <c r="E239" i="21"/>
  <c r="E240" i="21"/>
  <c r="E241" i="21"/>
  <c r="E242" i="21"/>
  <c r="E243" i="21"/>
  <c r="E244" i="21"/>
  <c r="E245" i="21"/>
  <c r="E246" i="21"/>
  <c r="E247" i="21"/>
  <c r="E248" i="21"/>
  <c r="E249" i="21"/>
  <c r="E250" i="21"/>
  <c r="E251" i="21"/>
  <c r="E252" i="21"/>
  <c r="E253" i="21"/>
  <c r="E254" i="21"/>
  <c r="E255" i="21"/>
  <c r="E256" i="21"/>
  <c r="E257" i="21"/>
  <c r="E258" i="21"/>
  <c r="E259" i="21"/>
  <c r="E260" i="21"/>
  <c r="E261" i="21"/>
  <c r="E262" i="21"/>
  <c r="E263" i="21"/>
  <c r="E264" i="21"/>
  <c r="E265" i="21"/>
  <c r="E266" i="21"/>
  <c r="E267" i="21"/>
  <c r="E268" i="21"/>
  <c r="E269" i="21"/>
  <c r="E270" i="21"/>
  <c r="E271" i="21"/>
  <c r="E272" i="21"/>
  <c r="E273" i="21"/>
  <c r="E274" i="21"/>
  <c r="E275" i="21"/>
  <c r="E276" i="21"/>
  <c r="E277" i="21"/>
  <c r="E278" i="21"/>
  <c r="E279" i="21"/>
  <c r="E280" i="21"/>
  <c r="E281" i="21"/>
  <c r="E282" i="21"/>
  <c r="E283" i="21"/>
  <c r="E284" i="21"/>
  <c r="E285" i="21"/>
  <c r="E286" i="21"/>
  <c r="E287" i="21"/>
  <c r="E288" i="21"/>
  <c r="E289" i="21"/>
  <c r="E290" i="21"/>
  <c r="E291" i="21"/>
  <c r="E292" i="21"/>
  <c r="E293" i="21"/>
  <c r="E294" i="21"/>
  <c r="E295" i="21"/>
  <c r="E296" i="21"/>
  <c r="E297" i="21"/>
  <c r="E298" i="21"/>
  <c r="E299" i="21"/>
  <c r="E300" i="21"/>
  <c r="E301" i="21"/>
  <c r="E302" i="21"/>
  <c r="E303" i="21"/>
  <c r="E304" i="21"/>
  <c r="E305" i="21"/>
  <c r="E306" i="21"/>
  <c r="E307" i="21"/>
  <c r="E308" i="21"/>
  <c r="E309" i="21"/>
  <c r="E310" i="21"/>
  <c r="E311" i="21"/>
  <c r="E312" i="21"/>
  <c r="E313" i="21"/>
  <c r="E314" i="21"/>
  <c r="E315" i="21"/>
  <c r="E316" i="21"/>
  <c r="E317" i="21"/>
  <c r="E318" i="21"/>
  <c r="E319" i="21"/>
  <c r="E320" i="21"/>
  <c r="E321" i="21"/>
  <c r="E322" i="21"/>
  <c r="E323" i="21"/>
  <c r="E324" i="21"/>
  <c r="E325" i="21"/>
  <c r="E326" i="21"/>
  <c r="E327" i="21"/>
  <c r="E328" i="21"/>
  <c r="E329" i="21"/>
  <c r="E330" i="21"/>
  <c r="E331" i="21"/>
  <c r="E332" i="21"/>
  <c r="E333" i="21"/>
  <c r="E334" i="21"/>
  <c r="E335" i="21"/>
  <c r="E336" i="21"/>
  <c r="E337" i="21"/>
  <c r="E338" i="21"/>
  <c r="E339" i="21"/>
  <c r="E340" i="21"/>
  <c r="E341" i="21"/>
  <c r="E342" i="21"/>
  <c r="E343" i="21"/>
  <c r="E344" i="21"/>
  <c r="E345" i="21"/>
  <c r="E346" i="21"/>
  <c r="E347" i="21"/>
  <c r="E348" i="21"/>
  <c r="E349" i="21"/>
  <c r="E350" i="21"/>
  <c r="E351" i="21"/>
  <c r="E352" i="21"/>
  <c r="E353" i="21"/>
  <c r="E354" i="21"/>
  <c r="E355" i="21"/>
  <c r="E356" i="21"/>
  <c r="E357" i="21"/>
  <c r="E358" i="21"/>
  <c r="E359" i="21"/>
  <c r="E360" i="21"/>
  <c r="E361" i="21"/>
  <c r="E362" i="21"/>
  <c r="E363" i="21"/>
  <c r="E364" i="21"/>
  <c r="E365" i="21"/>
  <c r="E366" i="21"/>
  <c r="E367" i="21"/>
  <c r="E368" i="21"/>
  <c r="E369" i="21"/>
  <c r="E370" i="21"/>
  <c r="E371" i="21"/>
  <c r="E372" i="21"/>
  <c r="E373" i="21"/>
  <c r="E374" i="21"/>
  <c r="E375" i="21"/>
  <c r="E376" i="21"/>
  <c r="E377" i="21"/>
  <c r="E378" i="21"/>
  <c r="E379" i="21"/>
  <c r="E380" i="21"/>
  <c r="E381" i="21"/>
  <c r="E382" i="21"/>
  <c r="E383" i="21"/>
  <c r="E384" i="21"/>
  <c r="E385" i="21"/>
  <c r="E386" i="21"/>
  <c r="E387" i="21"/>
  <c r="E388" i="21"/>
  <c r="E389" i="21"/>
  <c r="E390" i="21"/>
  <c r="E391" i="21"/>
  <c r="E392" i="21"/>
  <c r="E393" i="21"/>
  <c r="E394" i="21"/>
  <c r="E395" i="21"/>
  <c r="E396" i="21"/>
  <c r="E397" i="21"/>
  <c r="E398" i="21"/>
  <c r="E399" i="21"/>
  <c r="E400" i="21"/>
  <c r="E401" i="21"/>
  <c r="E402" i="21"/>
  <c r="E403" i="21"/>
  <c r="E404" i="21"/>
  <c r="E405" i="21"/>
  <c r="E406" i="21"/>
  <c r="E407" i="21"/>
  <c r="E408" i="21"/>
  <c r="E409" i="21"/>
  <c r="E410" i="21"/>
  <c r="E411" i="21"/>
  <c r="E412" i="21"/>
  <c r="E413" i="21"/>
  <c r="E414" i="21"/>
  <c r="E415" i="21"/>
  <c r="E416" i="21"/>
  <c r="E417" i="21"/>
  <c r="E418" i="21"/>
  <c r="E419" i="21"/>
  <c r="E420" i="21"/>
  <c r="E421" i="21"/>
  <c r="E422" i="21"/>
  <c r="E423" i="21"/>
  <c r="E424" i="21"/>
  <c r="E425" i="21"/>
  <c r="E426" i="21"/>
  <c r="E427" i="21"/>
  <c r="E428" i="21"/>
  <c r="E429" i="21"/>
  <c r="E430" i="21"/>
  <c r="E431" i="21"/>
  <c r="E432" i="21"/>
  <c r="E433" i="21"/>
  <c r="E434" i="21"/>
  <c r="E435" i="21"/>
  <c r="E436" i="21"/>
  <c r="E437" i="21"/>
  <c r="E438" i="21"/>
  <c r="E439" i="21"/>
  <c r="E440" i="21"/>
  <c r="E441" i="21"/>
  <c r="E442" i="21"/>
  <c r="E443" i="21"/>
  <c r="E444" i="21"/>
  <c r="E445" i="21"/>
  <c r="E446" i="21"/>
  <c r="E447" i="21"/>
  <c r="E448" i="21"/>
  <c r="E449" i="21"/>
  <c r="E450" i="21"/>
  <c r="E451" i="21"/>
  <c r="E452" i="21"/>
  <c r="E453" i="21"/>
  <c r="E454" i="21"/>
  <c r="E455" i="21"/>
  <c r="E456" i="21"/>
  <c r="E457" i="21"/>
  <c r="E458" i="21"/>
  <c r="E459" i="21"/>
  <c r="E460" i="21"/>
  <c r="E461" i="21"/>
  <c r="E462" i="21"/>
  <c r="E463" i="21"/>
  <c r="E464" i="21"/>
  <c r="E465" i="21"/>
  <c r="E466" i="21"/>
  <c r="E467" i="21"/>
  <c r="E468" i="21"/>
  <c r="E469" i="21"/>
  <c r="E470" i="21"/>
  <c r="E471" i="21"/>
  <c r="E472" i="21"/>
  <c r="E473" i="21"/>
  <c r="E474" i="21"/>
  <c r="E475" i="21"/>
  <c r="E476" i="21"/>
  <c r="E477" i="21"/>
  <c r="E478" i="21"/>
  <c r="E479" i="21"/>
  <c r="E480" i="21"/>
  <c r="E481" i="21"/>
  <c r="E482" i="21"/>
  <c r="E483" i="21"/>
  <c r="E484" i="21"/>
  <c r="E485" i="21"/>
  <c r="E486" i="21"/>
  <c r="E487" i="21"/>
  <c r="E488" i="21"/>
  <c r="E489" i="21"/>
  <c r="E490" i="21"/>
  <c r="E491" i="21"/>
  <c r="E492" i="21"/>
  <c r="E493" i="21"/>
  <c r="E494" i="21"/>
  <c r="E495" i="21"/>
  <c r="E496" i="21"/>
  <c r="E497" i="21"/>
  <c r="E498" i="21"/>
  <c r="E499" i="21"/>
  <c r="E500" i="21"/>
  <c r="E501" i="21"/>
  <c r="E502" i="21"/>
  <c r="E503" i="21"/>
  <c r="E504" i="21"/>
  <c r="E505" i="21"/>
  <c r="E506" i="21"/>
  <c r="E507" i="21"/>
  <c r="E508" i="21"/>
  <c r="E509" i="21"/>
  <c r="E510" i="21"/>
  <c r="E511" i="21"/>
  <c r="E512" i="21"/>
  <c r="E513" i="21"/>
  <c r="E514" i="21"/>
  <c r="E515" i="21"/>
  <c r="E516" i="21"/>
  <c r="E517" i="21"/>
  <c r="E518" i="21"/>
  <c r="E519" i="21"/>
  <c r="E520" i="21"/>
  <c r="E521" i="21"/>
  <c r="E522" i="21"/>
  <c r="E523" i="21"/>
  <c r="E524" i="21"/>
  <c r="E525" i="21"/>
  <c r="E526" i="21"/>
  <c r="E527" i="21"/>
  <c r="E528" i="21"/>
  <c r="E529" i="21"/>
  <c r="E530" i="21"/>
  <c r="E531" i="21"/>
  <c r="E532" i="21"/>
  <c r="E533" i="21"/>
  <c r="E534" i="21"/>
  <c r="E535" i="21"/>
  <c r="E536" i="21"/>
  <c r="E537" i="21"/>
  <c r="E538" i="21"/>
  <c r="E539" i="21"/>
  <c r="E540" i="21"/>
  <c r="E541" i="21"/>
  <c r="E542" i="21"/>
  <c r="E543" i="21"/>
  <c r="E544" i="21"/>
  <c r="E545" i="21"/>
  <c r="E546" i="21"/>
  <c r="E547" i="21"/>
  <c r="E548" i="21"/>
  <c r="E549" i="21"/>
  <c r="E550" i="21"/>
  <c r="E551" i="21"/>
  <c r="E552" i="21"/>
  <c r="E553" i="21"/>
  <c r="E554" i="21"/>
  <c r="E555" i="21"/>
  <c r="E556" i="21"/>
  <c r="E557" i="21"/>
  <c r="E558" i="21"/>
  <c r="E559" i="21"/>
  <c r="E560" i="21"/>
  <c r="E561" i="21"/>
  <c r="E562" i="21"/>
  <c r="E563" i="21"/>
  <c r="E564" i="21"/>
  <c r="E565" i="21"/>
  <c r="E566" i="21"/>
  <c r="E567" i="21"/>
  <c r="E568" i="21"/>
  <c r="E569" i="21"/>
  <c r="E570" i="21"/>
  <c r="E571" i="21"/>
  <c r="E572" i="21"/>
  <c r="E573" i="21"/>
  <c r="E574" i="21"/>
  <c r="E575" i="21"/>
  <c r="E576" i="21"/>
  <c r="E577" i="21"/>
  <c r="E578" i="21"/>
  <c r="E579" i="21"/>
  <c r="E580" i="21"/>
  <c r="E581" i="21"/>
  <c r="E582" i="21"/>
  <c r="E583" i="21"/>
  <c r="E584" i="21"/>
  <c r="E585" i="21"/>
  <c r="E586" i="21"/>
  <c r="E587" i="21"/>
  <c r="E588" i="21"/>
  <c r="E589" i="21"/>
  <c r="E590" i="21"/>
  <c r="E591" i="21"/>
  <c r="E592" i="21"/>
  <c r="E593" i="21"/>
  <c r="E594" i="21"/>
  <c r="E595" i="21"/>
  <c r="E596" i="21"/>
  <c r="E597" i="21"/>
  <c r="E598" i="21"/>
  <c r="E599" i="21"/>
  <c r="E600" i="21"/>
  <c r="E601" i="21"/>
  <c r="E602" i="21"/>
  <c r="E603" i="21"/>
  <c r="E604" i="21"/>
  <c r="E605" i="21"/>
  <c r="E606" i="21"/>
  <c r="E607" i="21"/>
  <c r="E608" i="21"/>
  <c r="E609" i="21"/>
  <c r="E610" i="21"/>
  <c r="E611" i="21"/>
  <c r="E612" i="21"/>
  <c r="E613" i="21"/>
  <c r="E614" i="21"/>
  <c r="E615" i="21"/>
  <c r="E616" i="21"/>
  <c r="E617" i="21"/>
  <c r="E618" i="21"/>
  <c r="E619" i="21"/>
  <c r="E620" i="21"/>
  <c r="E621" i="21"/>
  <c r="E622" i="21"/>
  <c r="E623" i="21"/>
  <c r="E624" i="21"/>
  <c r="E625" i="21"/>
  <c r="E626" i="21"/>
  <c r="E627" i="21"/>
  <c r="E628" i="21"/>
  <c r="E629" i="21"/>
  <c r="E630" i="21"/>
  <c r="E631" i="21"/>
  <c r="E632" i="21"/>
  <c r="E633" i="21"/>
  <c r="E634" i="21"/>
  <c r="E635" i="21"/>
  <c r="E636" i="21"/>
  <c r="E637" i="21"/>
  <c r="E638" i="21"/>
  <c r="E639" i="21"/>
  <c r="E640" i="21"/>
  <c r="E641" i="21"/>
  <c r="E642" i="21"/>
  <c r="E643" i="21"/>
  <c r="E644" i="21"/>
  <c r="E645" i="21"/>
  <c r="E646" i="21"/>
  <c r="E647" i="21"/>
  <c r="E648" i="21"/>
  <c r="E649" i="21"/>
  <c r="E650" i="21"/>
  <c r="E651" i="21"/>
  <c r="E652" i="21"/>
  <c r="E653" i="21"/>
  <c r="E654" i="21"/>
  <c r="E655" i="21"/>
  <c r="E656" i="21"/>
  <c r="E657" i="21"/>
  <c r="E658" i="21"/>
  <c r="E659" i="21"/>
  <c r="E660" i="21"/>
  <c r="E661" i="21"/>
  <c r="E662" i="21"/>
  <c r="E663" i="21"/>
  <c r="E664" i="21"/>
  <c r="E665" i="21"/>
  <c r="E666" i="21"/>
  <c r="E667" i="21"/>
  <c r="E668" i="21"/>
  <c r="E669" i="21"/>
  <c r="E670" i="21"/>
  <c r="E671" i="21"/>
  <c r="E672" i="21"/>
  <c r="E673" i="21"/>
  <c r="E674" i="21"/>
  <c r="E675" i="21"/>
  <c r="E676" i="21"/>
  <c r="E677" i="21"/>
  <c r="E678" i="21"/>
  <c r="E679" i="21"/>
  <c r="E680" i="21"/>
  <c r="E681" i="21"/>
  <c r="E682" i="21"/>
  <c r="E683" i="21"/>
  <c r="E684" i="21"/>
  <c r="E685" i="21"/>
  <c r="E686" i="21"/>
  <c r="E687" i="21"/>
  <c r="E688" i="21"/>
  <c r="E689" i="21"/>
  <c r="E690" i="21"/>
  <c r="E691" i="21"/>
  <c r="E692" i="21"/>
  <c r="E693" i="21"/>
  <c r="E694" i="21"/>
  <c r="E695" i="21"/>
  <c r="E696" i="21"/>
  <c r="E697" i="21"/>
  <c r="E698" i="21"/>
  <c r="E699" i="21"/>
  <c r="E700" i="21"/>
  <c r="E701" i="21"/>
  <c r="E702" i="21"/>
  <c r="E703" i="21"/>
  <c r="E704" i="21"/>
  <c r="E705" i="21"/>
  <c r="E706" i="21"/>
  <c r="E707" i="21"/>
  <c r="E708" i="21"/>
  <c r="E709" i="21"/>
  <c r="E710" i="21"/>
  <c r="E711" i="21"/>
  <c r="E712" i="21"/>
  <c r="E713" i="21"/>
  <c r="E714" i="21"/>
  <c r="E715" i="21"/>
  <c r="E716" i="21"/>
  <c r="E717" i="21"/>
  <c r="E718" i="21"/>
  <c r="E719" i="21"/>
  <c r="E720" i="21"/>
  <c r="E721" i="21"/>
  <c r="E722" i="21"/>
  <c r="E723" i="21"/>
  <c r="E724" i="21"/>
  <c r="E725" i="21"/>
  <c r="E726" i="21"/>
  <c r="E727" i="21"/>
  <c r="E728" i="21"/>
  <c r="E729" i="21"/>
  <c r="E730" i="21"/>
  <c r="E731" i="21"/>
  <c r="E732" i="21"/>
  <c r="E733" i="21"/>
  <c r="E734" i="21"/>
  <c r="E735" i="21"/>
  <c r="E736" i="21"/>
  <c r="E737" i="21"/>
  <c r="E738" i="21"/>
  <c r="E739" i="21"/>
  <c r="E740" i="21"/>
  <c r="E741" i="21"/>
  <c r="E742" i="21"/>
  <c r="E743" i="21"/>
  <c r="E744" i="21"/>
  <c r="E745" i="21"/>
  <c r="E746" i="21"/>
  <c r="E747" i="21"/>
  <c r="E748" i="21"/>
  <c r="E749" i="21"/>
  <c r="E750" i="21"/>
  <c r="E751" i="21"/>
  <c r="E752" i="21"/>
  <c r="E753" i="21"/>
  <c r="E754" i="21"/>
  <c r="E755" i="21"/>
  <c r="E756" i="21"/>
  <c r="E757" i="21"/>
  <c r="E758" i="21"/>
  <c r="E759" i="21"/>
  <c r="E760" i="21"/>
  <c r="E761" i="21"/>
  <c r="E762" i="21"/>
  <c r="E763" i="21"/>
  <c r="E764" i="21"/>
  <c r="E765" i="21"/>
  <c r="E766" i="21"/>
  <c r="E767" i="21"/>
  <c r="E768" i="21"/>
  <c r="E769" i="21"/>
  <c r="E770" i="21"/>
  <c r="E771" i="21"/>
  <c r="E772" i="21"/>
  <c r="E773" i="21"/>
  <c r="E774" i="21"/>
  <c r="E775" i="21"/>
  <c r="E776" i="21"/>
  <c r="E777" i="21"/>
  <c r="E778" i="21"/>
  <c r="E779" i="21"/>
  <c r="E780" i="21"/>
  <c r="E781" i="21"/>
  <c r="E782" i="21"/>
  <c r="E783" i="21"/>
  <c r="E784" i="21"/>
  <c r="E785" i="21"/>
  <c r="E786" i="21"/>
  <c r="E787" i="21"/>
  <c r="E788" i="21"/>
  <c r="E789" i="21"/>
  <c r="E790" i="21"/>
  <c r="E791" i="21"/>
  <c r="E792" i="21"/>
  <c r="E793" i="21"/>
  <c r="E794" i="21"/>
  <c r="E795" i="21"/>
  <c r="E796" i="21"/>
  <c r="E797" i="21"/>
  <c r="E798" i="21"/>
  <c r="E799" i="21"/>
  <c r="E800" i="21"/>
  <c r="E801" i="21"/>
  <c r="E802" i="21"/>
  <c r="E803" i="21"/>
  <c r="E804" i="21"/>
  <c r="E805" i="21"/>
  <c r="E806" i="21"/>
  <c r="E807" i="21"/>
  <c r="E808" i="21"/>
  <c r="E809" i="21"/>
  <c r="E810" i="21"/>
  <c r="E811" i="21"/>
  <c r="E812" i="21"/>
  <c r="E813" i="21"/>
  <c r="E814" i="21"/>
  <c r="E815" i="21"/>
  <c r="E816" i="21"/>
  <c r="E817" i="21"/>
  <c r="E818" i="21"/>
  <c r="E819" i="21"/>
  <c r="E820" i="21"/>
  <c r="E821" i="21"/>
  <c r="E822" i="21"/>
  <c r="E823" i="21"/>
  <c r="E824" i="21"/>
  <c r="E825" i="21"/>
  <c r="E826" i="21"/>
  <c r="E827" i="21"/>
  <c r="E828" i="21"/>
  <c r="E829" i="21"/>
  <c r="E830" i="21"/>
  <c r="E831" i="21"/>
  <c r="E832" i="21"/>
  <c r="E833" i="21"/>
  <c r="E834" i="21"/>
  <c r="E835" i="21"/>
  <c r="E836" i="21"/>
  <c r="E837" i="21"/>
  <c r="E838" i="21"/>
  <c r="E839" i="21"/>
  <c r="E840" i="21"/>
  <c r="E841" i="21"/>
  <c r="E842" i="21"/>
  <c r="E843" i="21"/>
  <c r="E844" i="21"/>
  <c r="E845" i="21"/>
  <c r="E846" i="21"/>
  <c r="E847" i="21"/>
  <c r="E848" i="21"/>
  <c r="E849" i="21"/>
  <c r="E850" i="21"/>
  <c r="E851" i="21"/>
  <c r="E852" i="21"/>
  <c r="E853" i="21"/>
  <c r="E854" i="21"/>
  <c r="E855" i="21"/>
  <c r="E856" i="21"/>
  <c r="E857" i="21"/>
  <c r="E858" i="21"/>
  <c r="E859" i="21"/>
  <c r="E860" i="21"/>
  <c r="E861" i="21"/>
  <c r="E862" i="21"/>
  <c r="E863" i="21"/>
  <c r="E864" i="21"/>
  <c r="E865" i="21"/>
  <c r="E866" i="21"/>
  <c r="E867" i="21"/>
  <c r="E868" i="21"/>
  <c r="E869" i="21"/>
  <c r="E870" i="21"/>
  <c r="E871" i="21"/>
  <c r="E872" i="21"/>
  <c r="E873" i="21"/>
  <c r="E874" i="21"/>
  <c r="E875" i="21"/>
  <c r="E876" i="21"/>
  <c r="E877" i="21"/>
  <c r="E878" i="21"/>
  <c r="E879" i="21"/>
  <c r="E880" i="21"/>
</calcChain>
</file>

<file path=xl/sharedStrings.xml><?xml version="1.0" encoding="utf-8"?>
<sst xmlns="http://schemas.openxmlformats.org/spreadsheetml/2006/main" count="6933" uniqueCount="70">
  <si>
    <t>Item</t>
  </si>
  <si>
    <t>StartDate</t>
  </si>
  <si>
    <t>Repeat Count</t>
  </si>
  <si>
    <t>Value</t>
  </si>
  <si>
    <t>Account</t>
  </si>
  <si>
    <t>Accounts</t>
  </si>
  <si>
    <t>CR01</t>
  </si>
  <si>
    <t>VISA</t>
  </si>
  <si>
    <t>ACC</t>
  </si>
  <si>
    <t>CBB</t>
  </si>
  <si>
    <t>Title</t>
  </si>
  <si>
    <t>Start Date</t>
  </si>
  <si>
    <t>End Date</t>
  </si>
  <si>
    <t>Starting Balance</t>
  </si>
  <si>
    <t>Transaction Type</t>
  </si>
  <si>
    <t>Debit</t>
  </si>
  <si>
    <t>Credit</t>
  </si>
  <si>
    <t>Transfer</t>
  </si>
  <si>
    <t>Payment</t>
  </si>
  <si>
    <t>Type</t>
  </si>
  <si>
    <t>From Account</t>
  </si>
  <si>
    <t>To Account</t>
  </si>
  <si>
    <t>Monthly</t>
  </si>
  <si>
    <t>NA</t>
  </si>
  <si>
    <t>Quaterly</t>
  </si>
  <si>
    <t>Six Monthly</t>
  </si>
  <si>
    <t>Yearly</t>
  </si>
  <si>
    <t>Day Frequency</t>
  </si>
  <si>
    <t>Month Frequency</t>
  </si>
  <si>
    <t>Description</t>
  </si>
  <si>
    <t>CR01 Balance</t>
  </si>
  <si>
    <t>CR01 Trans</t>
  </si>
  <si>
    <t>VISA Balance</t>
  </si>
  <si>
    <t>VISA Trans</t>
  </si>
  <si>
    <t>ACC Balance</t>
  </si>
  <si>
    <t>ACC Trans</t>
  </si>
  <si>
    <t>CBB Balance</t>
  </si>
  <si>
    <t>CBB Trans</t>
  </si>
  <si>
    <t>Date</t>
  </si>
  <si>
    <t>Amount</t>
  </si>
  <si>
    <t>Balance Update</t>
  </si>
  <si>
    <t>-</t>
  </si>
  <si>
    <t>Mortgage</t>
  </si>
  <si>
    <t>Amandus</t>
  </si>
  <si>
    <t>Cash</t>
  </si>
  <si>
    <t>Petrol</t>
  </si>
  <si>
    <t>Food</t>
  </si>
  <si>
    <t>Alex Allowance</t>
  </si>
  <si>
    <t>Cleaning</t>
  </si>
  <si>
    <t>SIM</t>
  </si>
  <si>
    <t>Life Insurances</t>
  </si>
  <si>
    <t>Telstra</t>
  </si>
  <si>
    <t>SA Water</t>
  </si>
  <si>
    <t>Electricity</t>
  </si>
  <si>
    <t>Rates</t>
  </si>
  <si>
    <t>Chubb</t>
  </si>
  <si>
    <t>Health Partners</t>
  </si>
  <si>
    <t>House Insurance</t>
  </si>
  <si>
    <t>SIM Debit</t>
  </si>
  <si>
    <t>Life Insurances Debit</t>
  </si>
  <si>
    <t>Telstra Debit</t>
  </si>
  <si>
    <t>SA Water Debit</t>
  </si>
  <si>
    <t>Electricity Debit</t>
  </si>
  <si>
    <t>Rates Debit</t>
  </si>
  <si>
    <t>Chubb Debit</t>
  </si>
  <si>
    <t>Health Partners Debit</t>
  </si>
  <si>
    <t>House Insurance Debit</t>
  </si>
  <si>
    <t>Johns Pay</t>
  </si>
  <si>
    <t>Car Costs</t>
  </si>
  <si>
    <t>Car Costs Debit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</si>
</sst>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7" formatCode="&quot;$&quot;#,##0.00;\-&quot;$&quot;#,##0.00"/>
    <numFmt numFmtId="44" formatCode="_-&quot;$&quot;* #,##0.00_-;\-&quot;$&quot;* #,##0.00_-;_-&quot;$&quot;* &quot;-&quot;??_-;_-@_-"/>
  </numFmts>
  <fonts count="4" x14ac:knownFonts="1">
    <font>
      <sz val="11"/>
      <name val="Times New Roman"/>
    </font>
    <font>
      <sz val="8"/>
      <name val="Times New Roman"/>
    </font>
    <font>
      <sz val="11"/>
      <name val="Tahoma"/>
      <family val="2"/>
    </font>
    <font>
      <sz val="11"/>
      <name val="Times New Roman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9">
    <xf numFmtId="0" fontId="0" fillId="0" borderId="0" xfId="0"/>
    <xf numFmtId="0" fontId="2" fillId="0" borderId="0" xfId="0" applyNumberFormat="1" applyFont="1" applyBorder="1" applyAlignment="1"/>
    <xf numFmtId="0" fontId="2" fillId="0" borderId="0" xfId="0" applyNumberFormat="1" applyFont="1" applyBorder="1"/>
    <xf numFmtId="0" fontId="2" fillId="0" borderId="0" xfId="0" applyNumberFormat="1" applyFont="1" applyBorder="1" applyAlignment="1">
      <alignment horizontal="center"/>
    </xf>
    <xf numFmtId="14" fontId="2" fillId="0" borderId="0" xfId="0" applyNumberFormat="1" applyFont="1" applyBorder="1" applyAlignment="1"/>
    <xf numFmtId="44" fontId="2" fillId="0" borderId="0" xfId="1" applyFont="1" applyBorder="1" applyAlignment="1"/>
    <xf numFmtId="14" fontId="0" fillId="0" borderId="0" xfId="0" applyNumberFormat="1"/>
    <xf numFmtId="7" fontId="0" fillId="0" borderId="0" xfId="0" applyNumberFormat="1"/>
    <xf numFmtId="44" fontId="0" fillId="0" borderId="0" xfId="1" applyFont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'45ph'!$R$16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'45ph'!$Q$17:$Q$32</c:f>
              <c:numCache>
                <c:formatCode>General</c:formatCode>
                <c:ptCount val="16"/>
              </c:numCache>
            </c:numRef>
          </c:xVal>
          <c:yVal>
            <c:numRef>
              <c:f>'45ph'!$R$17:$R$32</c:f>
              <c:numCache>
                <c:formatCode>General</c:formatCode>
                <c:ptCount val="16"/>
              </c:numCache>
            </c:numRef>
          </c:yVal>
          <c:smooth val="1"/>
        </c:ser>
        <c:ser>
          <c:idx val="1"/>
          <c:order val="1"/>
          <c:tx>
            <c:strRef>
              <c:f>'45ph'!$S$16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'45ph'!$Q$17:$Q$32</c:f>
              <c:numCache>
                <c:formatCode>General</c:formatCode>
                <c:ptCount val="16"/>
              </c:numCache>
            </c:numRef>
          </c:xVal>
          <c:yVal>
            <c:numRef>
              <c:f>'45ph'!$S$17:$S$32</c:f>
              <c:numCache>
                <c:formatCode>General</c:formatCode>
                <c:ptCount val="16"/>
              </c:numCache>
            </c:numRef>
          </c:yVal>
          <c:smooth val="1"/>
        </c:ser>
        <c:ser>
          <c:idx val="2"/>
          <c:order val="2"/>
          <c:tx>
            <c:strRef>
              <c:f>'45ph'!$T$16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'45ph'!$Q$17:$Q$32</c:f>
              <c:numCache>
                <c:formatCode>General</c:formatCode>
                <c:ptCount val="16"/>
              </c:numCache>
            </c:numRef>
          </c:xVal>
          <c:yVal>
            <c:numRef>
              <c:f>'45ph'!$T$17:$T$32</c:f>
              <c:numCache>
                <c:formatCode>General</c:formatCode>
                <c:ptCount val="16"/>
              </c:numCache>
            </c:numRef>
          </c:yVal>
          <c:smooth val="1"/>
        </c:ser>
        <c:ser>
          <c:idx val="3"/>
          <c:order val="3"/>
          <c:tx>
            <c:strRef>
              <c:f>'45ph'!$U$16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'45ph'!$Q$17:$Q$32</c:f>
              <c:numCache>
                <c:formatCode>General</c:formatCode>
                <c:ptCount val="16"/>
              </c:numCache>
            </c:numRef>
          </c:xVal>
          <c:yVal>
            <c:numRef>
              <c:f>'45ph'!$U$17:$U$32</c:f>
              <c:numCache>
                <c:formatCode>General</c:formatCode>
                <c:ptCount val="16"/>
              </c:numCache>
            </c:numRef>
          </c:yVal>
          <c:smooth val="1"/>
        </c:ser>
        <c:ser>
          <c:idx val="4"/>
          <c:order val="4"/>
          <c:tx>
            <c:strRef>
              <c:f>'45ph'!$V$16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'45ph'!$Q$17:$Q$32</c:f>
              <c:numCache>
                <c:formatCode>General</c:formatCode>
                <c:ptCount val="16"/>
              </c:numCache>
            </c:numRef>
          </c:xVal>
          <c:yVal>
            <c:numRef>
              <c:f>'45ph'!$V$17:$V$32</c:f>
              <c:numCache>
                <c:formatCode>General</c:formatCode>
                <c:ptCount val="16"/>
              </c:numCache>
            </c:numRef>
          </c:yVal>
          <c:smooth val="1"/>
        </c:ser>
        <c:ser>
          <c:idx val="5"/>
          <c:order val="5"/>
          <c:tx>
            <c:strRef>
              <c:f>'45ph'!$W$16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'45ph'!$Q$17:$Q$32</c:f>
              <c:numCache>
                <c:formatCode>General</c:formatCode>
                <c:ptCount val="16"/>
              </c:numCache>
            </c:numRef>
          </c:xVal>
          <c:yVal>
            <c:numRef>
              <c:f>'45ph'!$W$17:$W$32</c:f>
              <c:numCache>
                <c:formatCode>General</c:formatCode>
                <c:ptCount val="16"/>
              </c:numCache>
            </c:numRef>
          </c:yVal>
          <c:smooth val="1"/>
        </c:ser>
        <c:ser>
          <c:idx val="6"/>
          <c:order val="6"/>
          <c:tx>
            <c:strRef>
              <c:f>'45ph'!$X$16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'45ph'!$Q$17:$Q$32</c:f>
              <c:numCache>
                <c:formatCode>General</c:formatCode>
                <c:ptCount val="16"/>
              </c:numCache>
            </c:numRef>
          </c:xVal>
          <c:yVal>
            <c:numRef>
              <c:f>'45ph'!$X$17:$X$32</c:f>
              <c:numCache>
                <c:formatCode>General</c:formatCode>
                <c:ptCount val="16"/>
              </c:numCache>
            </c:numRef>
          </c:yVal>
          <c:smooth val="1"/>
        </c:ser>
        <c:ser>
          <c:idx val="7"/>
          <c:order val="7"/>
          <c:tx>
            <c:strRef>
              <c:f>'45ph'!$Y$16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'45ph'!$Q$17:$Q$32</c:f>
              <c:numCache>
                <c:formatCode>General</c:formatCode>
                <c:ptCount val="16"/>
              </c:numCache>
            </c:numRef>
          </c:xVal>
          <c:yVal>
            <c:numRef>
              <c:f>'45ph'!$Y$17:$Y$32</c:f>
              <c:numCache>
                <c:formatCode>General</c:formatCode>
                <c:ptCount val="16"/>
              </c:numCache>
            </c:numRef>
          </c:yVal>
          <c:smooth val="1"/>
        </c:ser>
        <c:ser>
          <c:idx val="8"/>
          <c:order val="8"/>
          <c:tx>
            <c:v>CR01</c:v>
          </c:tx>
          <c:marker>
            <c:symbol val="none"/>
          </c:marker>
          <c:xVal>
            <c:numRef>
              <c:f>'45ph'!$A$2:$A$926</c:f>
              <c:numCache>
                <c:formatCode>m/d/yyyy</c:formatCode>
                <c:ptCount val="925"/>
                <c:pt idx="0">
                  <c:v>41271</c:v>
                </c:pt>
                <c:pt idx="1">
                  <c:v>41272</c:v>
                </c:pt>
                <c:pt idx="2">
                  <c:v>41275</c:v>
                </c:pt>
                <c:pt idx="3">
                  <c:v>41275</c:v>
                </c:pt>
                <c:pt idx="4">
                  <c:v>41275</c:v>
                </c:pt>
                <c:pt idx="5">
                  <c:v>41275</c:v>
                </c:pt>
                <c:pt idx="6">
                  <c:v>41275</c:v>
                </c:pt>
                <c:pt idx="7">
                  <c:v>41275</c:v>
                </c:pt>
                <c:pt idx="8">
                  <c:v>41275</c:v>
                </c:pt>
                <c:pt idx="9">
                  <c:v>41275</c:v>
                </c:pt>
                <c:pt idx="10">
                  <c:v>41275</c:v>
                </c:pt>
                <c:pt idx="11">
                  <c:v>41276</c:v>
                </c:pt>
                <c:pt idx="12">
                  <c:v>41276</c:v>
                </c:pt>
                <c:pt idx="13">
                  <c:v>41277</c:v>
                </c:pt>
                <c:pt idx="14">
                  <c:v>41277</c:v>
                </c:pt>
                <c:pt idx="15">
                  <c:v>41277</c:v>
                </c:pt>
                <c:pt idx="16">
                  <c:v>41278</c:v>
                </c:pt>
                <c:pt idx="17">
                  <c:v>41282</c:v>
                </c:pt>
                <c:pt idx="18">
                  <c:v>41283</c:v>
                </c:pt>
                <c:pt idx="19">
                  <c:v>41284</c:v>
                </c:pt>
                <c:pt idx="20">
                  <c:v>41284</c:v>
                </c:pt>
                <c:pt idx="21">
                  <c:v>41284</c:v>
                </c:pt>
                <c:pt idx="22">
                  <c:v>41286</c:v>
                </c:pt>
                <c:pt idx="23">
                  <c:v>41289</c:v>
                </c:pt>
                <c:pt idx="24">
                  <c:v>41289</c:v>
                </c:pt>
                <c:pt idx="25">
                  <c:v>41290</c:v>
                </c:pt>
                <c:pt idx="26">
                  <c:v>41291</c:v>
                </c:pt>
                <c:pt idx="27">
                  <c:v>41291</c:v>
                </c:pt>
                <c:pt idx="28">
                  <c:v>41291</c:v>
                </c:pt>
                <c:pt idx="29">
                  <c:v>41292</c:v>
                </c:pt>
                <c:pt idx="30">
                  <c:v>41296</c:v>
                </c:pt>
                <c:pt idx="31">
                  <c:v>41297</c:v>
                </c:pt>
                <c:pt idx="32">
                  <c:v>41298</c:v>
                </c:pt>
                <c:pt idx="33">
                  <c:v>41298</c:v>
                </c:pt>
                <c:pt idx="34">
                  <c:v>41298</c:v>
                </c:pt>
                <c:pt idx="35">
                  <c:v>41300</c:v>
                </c:pt>
                <c:pt idx="36">
                  <c:v>41303</c:v>
                </c:pt>
                <c:pt idx="37">
                  <c:v>41303</c:v>
                </c:pt>
                <c:pt idx="38">
                  <c:v>41304</c:v>
                </c:pt>
                <c:pt idx="39">
                  <c:v>41305</c:v>
                </c:pt>
                <c:pt idx="40">
                  <c:v>41305</c:v>
                </c:pt>
                <c:pt idx="41">
                  <c:v>41305</c:v>
                </c:pt>
                <c:pt idx="42">
                  <c:v>41306</c:v>
                </c:pt>
                <c:pt idx="43">
                  <c:v>41306</c:v>
                </c:pt>
                <c:pt idx="44">
                  <c:v>41306</c:v>
                </c:pt>
                <c:pt idx="45">
                  <c:v>41306</c:v>
                </c:pt>
                <c:pt idx="46">
                  <c:v>41306</c:v>
                </c:pt>
                <c:pt idx="47">
                  <c:v>41306</c:v>
                </c:pt>
                <c:pt idx="48">
                  <c:v>41306</c:v>
                </c:pt>
                <c:pt idx="49">
                  <c:v>41306</c:v>
                </c:pt>
                <c:pt idx="50">
                  <c:v>41307</c:v>
                </c:pt>
                <c:pt idx="51">
                  <c:v>41310</c:v>
                </c:pt>
                <c:pt idx="52">
                  <c:v>41311</c:v>
                </c:pt>
                <c:pt idx="53">
                  <c:v>41312</c:v>
                </c:pt>
                <c:pt idx="54">
                  <c:v>41312</c:v>
                </c:pt>
                <c:pt idx="55">
                  <c:v>41312</c:v>
                </c:pt>
                <c:pt idx="56">
                  <c:v>41314</c:v>
                </c:pt>
                <c:pt idx="57">
                  <c:v>41317</c:v>
                </c:pt>
                <c:pt idx="58">
                  <c:v>41317</c:v>
                </c:pt>
                <c:pt idx="59">
                  <c:v>41318</c:v>
                </c:pt>
                <c:pt idx="60">
                  <c:v>41319</c:v>
                </c:pt>
                <c:pt idx="61">
                  <c:v>41319</c:v>
                </c:pt>
                <c:pt idx="62">
                  <c:v>41319</c:v>
                </c:pt>
                <c:pt idx="63">
                  <c:v>41320</c:v>
                </c:pt>
                <c:pt idx="64">
                  <c:v>41324</c:v>
                </c:pt>
                <c:pt idx="65">
                  <c:v>41325</c:v>
                </c:pt>
                <c:pt idx="66">
                  <c:v>41326</c:v>
                </c:pt>
                <c:pt idx="67">
                  <c:v>41326</c:v>
                </c:pt>
                <c:pt idx="68">
                  <c:v>41326</c:v>
                </c:pt>
                <c:pt idx="69">
                  <c:v>41328</c:v>
                </c:pt>
                <c:pt idx="70">
                  <c:v>41331</c:v>
                </c:pt>
                <c:pt idx="71">
                  <c:v>41331</c:v>
                </c:pt>
                <c:pt idx="72">
                  <c:v>41332</c:v>
                </c:pt>
                <c:pt idx="73">
                  <c:v>41333</c:v>
                </c:pt>
                <c:pt idx="74">
                  <c:v>41333</c:v>
                </c:pt>
                <c:pt idx="75">
                  <c:v>41333</c:v>
                </c:pt>
                <c:pt idx="76">
                  <c:v>41334</c:v>
                </c:pt>
                <c:pt idx="77">
                  <c:v>41334</c:v>
                </c:pt>
                <c:pt idx="78">
                  <c:v>41334</c:v>
                </c:pt>
                <c:pt idx="79">
                  <c:v>41334</c:v>
                </c:pt>
                <c:pt idx="80">
                  <c:v>41334</c:v>
                </c:pt>
                <c:pt idx="81">
                  <c:v>41334</c:v>
                </c:pt>
                <c:pt idx="82">
                  <c:v>41335</c:v>
                </c:pt>
                <c:pt idx="83">
                  <c:v>41338</c:v>
                </c:pt>
                <c:pt idx="84">
                  <c:v>41339</c:v>
                </c:pt>
                <c:pt idx="85">
                  <c:v>41340</c:v>
                </c:pt>
                <c:pt idx="86">
                  <c:v>41340</c:v>
                </c:pt>
                <c:pt idx="87">
                  <c:v>41340</c:v>
                </c:pt>
                <c:pt idx="88">
                  <c:v>41342</c:v>
                </c:pt>
                <c:pt idx="89">
                  <c:v>41345</c:v>
                </c:pt>
                <c:pt idx="90">
                  <c:v>41345</c:v>
                </c:pt>
                <c:pt idx="91">
                  <c:v>41346</c:v>
                </c:pt>
                <c:pt idx="92">
                  <c:v>41347</c:v>
                </c:pt>
                <c:pt idx="93">
                  <c:v>41347</c:v>
                </c:pt>
                <c:pt idx="94">
                  <c:v>41347</c:v>
                </c:pt>
                <c:pt idx="95">
                  <c:v>41348</c:v>
                </c:pt>
                <c:pt idx="96">
                  <c:v>41352</c:v>
                </c:pt>
                <c:pt idx="97">
                  <c:v>41353</c:v>
                </c:pt>
                <c:pt idx="98">
                  <c:v>41354</c:v>
                </c:pt>
                <c:pt idx="99">
                  <c:v>41354</c:v>
                </c:pt>
                <c:pt idx="100">
                  <c:v>41354</c:v>
                </c:pt>
                <c:pt idx="101">
                  <c:v>41356</c:v>
                </c:pt>
                <c:pt idx="102">
                  <c:v>41359</c:v>
                </c:pt>
                <c:pt idx="103">
                  <c:v>41359</c:v>
                </c:pt>
                <c:pt idx="104">
                  <c:v>41360</c:v>
                </c:pt>
                <c:pt idx="105">
                  <c:v>41361</c:v>
                </c:pt>
                <c:pt idx="106">
                  <c:v>41361</c:v>
                </c:pt>
                <c:pt idx="107">
                  <c:v>41361</c:v>
                </c:pt>
                <c:pt idx="108">
                  <c:v>41362</c:v>
                </c:pt>
                <c:pt idx="109">
                  <c:v>41365</c:v>
                </c:pt>
                <c:pt idx="110">
                  <c:v>41365</c:v>
                </c:pt>
                <c:pt idx="111">
                  <c:v>41365</c:v>
                </c:pt>
                <c:pt idx="112">
                  <c:v>41365</c:v>
                </c:pt>
                <c:pt idx="113">
                  <c:v>41365</c:v>
                </c:pt>
                <c:pt idx="114">
                  <c:v>41365</c:v>
                </c:pt>
                <c:pt idx="115">
                  <c:v>41365</c:v>
                </c:pt>
                <c:pt idx="116">
                  <c:v>41366</c:v>
                </c:pt>
                <c:pt idx="117">
                  <c:v>41366</c:v>
                </c:pt>
                <c:pt idx="118">
                  <c:v>41367</c:v>
                </c:pt>
                <c:pt idx="119">
                  <c:v>41368</c:v>
                </c:pt>
                <c:pt idx="120">
                  <c:v>41368</c:v>
                </c:pt>
                <c:pt idx="121">
                  <c:v>41368</c:v>
                </c:pt>
                <c:pt idx="122">
                  <c:v>41370</c:v>
                </c:pt>
                <c:pt idx="123">
                  <c:v>41373</c:v>
                </c:pt>
                <c:pt idx="124">
                  <c:v>41373</c:v>
                </c:pt>
                <c:pt idx="125">
                  <c:v>41374</c:v>
                </c:pt>
                <c:pt idx="126">
                  <c:v>41375</c:v>
                </c:pt>
                <c:pt idx="127">
                  <c:v>41375</c:v>
                </c:pt>
                <c:pt idx="128">
                  <c:v>41375</c:v>
                </c:pt>
                <c:pt idx="129">
                  <c:v>41376</c:v>
                </c:pt>
                <c:pt idx="130">
                  <c:v>41380</c:v>
                </c:pt>
                <c:pt idx="131">
                  <c:v>41381</c:v>
                </c:pt>
                <c:pt idx="132">
                  <c:v>41382</c:v>
                </c:pt>
                <c:pt idx="133">
                  <c:v>41382</c:v>
                </c:pt>
                <c:pt idx="134">
                  <c:v>41382</c:v>
                </c:pt>
                <c:pt idx="135">
                  <c:v>41384</c:v>
                </c:pt>
                <c:pt idx="136">
                  <c:v>41387</c:v>
                </c:pt>
                <c:pt idx="137">
                  <c:v>41387</c:v>
                </c:pt>
                <c:pt idx="138">
                  <c:v>41388</c:v>
                </c:pt>
                <c:pt idx="139">
                  <c:v>41389</c:v>
                </c:pt>
                <c:pt idx="140">
                  <c:v>41389</c:v>
                </c:pt>
                <c:pt idx="141">
                  <c:v>41389</c:v>
                </c:pt>
                <c:pt idx="142">
                  <c:v>41390</c:v>
                </c:pt>
                <c:pt idx="143">
                  <c:v>41394</c:v>
                </c:pt>
                <c:pt idx="144">
                  <c:v>41395</c:v>
                </c:pt>
                <c:pt idx="145">
                  <c:v>41395</c:v>
                </c:pt>
                <c:pt idx="146">
                  <c:v>41395</c:v>
                </c:pt>
                <c:pt idx="147">
                  <c:v>41395</c:v>
                </c:pt>
                <c:pt idx="148">
                  <c:v>41395</c:v>
                </c:pt>
                <c:pt idx="149">
                  <c:v>41395</c:v>
                </c:pt>
                <c:pt idx="150">
                  <c:v>41395</c:v>
                </c:pt>
                <c:pt idx="151">
                  <c:v>41395</c:v>
                </c:pt>
                <c:pt idx="152">
                  <c:v>41396</c:v>
                </c:pt>
                <c:pt idx="153">
                  <c:v>41396</c:v>
                </c:pt>
                <c:pt idx="154">
                  <c:v>41396</c:v>
                </c:pt>
                <c:pt idx="155">
                  <c:v>41396</c:v>
                </c:pt>
                <c:pt idx="156">
                  <c:v>41398</c:v>
                </c:pt>
                <c:pt idx="157">
                  <c:v>41401</c:v>
                </c:pt>
                <c:pt idx="158">
                  <c:v>41401</c:v>
                </c:pt>
                <c:pt idx="159">
                  <c:v>41402</c:v>
                </c:pt>
                <c:pt idx="160">
                  <c:v>41403</c:v>
                </c:pt>
                <c:pt idx="161">
                  <c:v>41403</c:v>
                </c:pt>
                <c:pt idx="162">
                  <c:v>41403</c:v>
                </c:pt>
                <c:pt idx="163">
                  <c:v>41404</c:v>
                </c:pt>
                <c:pt idx="164">
                  <c:v>41408</c:v>
                </c:pt>
                <c:pt idx="165">
                  <c:v>41409</c:v>
                </c:pt>
                <c:pt idx="166">
                  <c:v>41410</c:v>
                </c:pt>
                <c:pt idx="167">
                  <c:v>41410</c:v>
                </c:pt>
                <c:pt idx="168">
                  <c:v>41410</c:v>
                </c:pt>
                <c:pt idx="169">
                  <c:v>41412</c:v>
                </c:pt>
                <c:pt idx="170">
                  <c:v>41415</c:v>
                </c:pt>
                <c:pt idx="171">
                  <c:v>41415</c:v>
                </c:pt>
                <c:pt idx="172">
                  <c:v>41416</c:v>
                </c:pt>
                <c:pt idx="173">
                  <c:v>41417</c:v>
                </c:pt>
                <c:pt idx="174">
                  <c:v>41417</c:v>
                </c:pt>
                <c:pt idx="175">
                  <c:v>41417</c:v>
                </c:pt>
                <c:pt idx="176">
                  <c:v>41418</c:v>
                </c:pt>
                <c:pt idx="177">
                  <c:v>41422</c:v>
                </c:pt>
                <c:pt idx="178">
                  <c:v>41423</c:v>
                </c:pt>
                <c:pt idx="179">
                  <c:v>41424</c:v>
                </c:pt>
                <c:pt idx="180">
                  <c:v>41424</c:v>
                </c:pt>
                <c:pt idx="181">
                  <c:v>41424</c:v>
                </c:pt>
                <c:pt idx="182">
                  <c:v>41426</c:v>
                </c:pt>
                <c:pt idx="183">
                  <c:v>41426</c:v>
                </c:pt>
                <c:pt idx="184">
                  <c:v>41426</c:v>
                </c:pt>
                <c:pt idx="185">
                  <c:v>41426</c:v>
                </c:pt>
                <c:pt idx="186">
                  <c:v>41426</c:v>
                </c:pt>
                <c:pt idx="187">
                  <c:v>41426</c:v>
                </c:pt>
                <c:pt idx="188">
                  <c:v>41427</c:v>
                </c:pt>
                <c:pt idx="189">
                  <c:v>41429</c:v>
                </c:pt>
                <c:pt idx="190">
                  <c:v>41429</c:v>
                </c:pt>
                <c:pt idx="191">
                  <c:v>41430</c:v>
                </c:pt>
                <c:pt idx="192">
                  <c:v>41431</c:v>
                </c:pt>
                <c:pt idx="193">
                  <c:v>41431</c:v>
                </c:pt>
                <c:pt idx="194">
                  <c:v>41431</c:v>
                </c:pt>
                <c:pt idx="195">
                  <c:v>41432</c:v>
                </c:pt>
                <c:pt idx="196">
                  <c:v>41436</c:v>
                </c:pt>
                <c:pt idx="197">
                  <c:v>41437</c:v>
                </c:pt>
                <c:pt idx="198">
                  <c:v>41438</c:v>
                </c:pt>
                <c:pt idx="199">
                  <c:v>41438</c:v>
                </c:pt>
                <c:pt idx="200">
                  <c:v>41438</c:v>
                </c:pt>
                <c:pt idx="201">
                  <c:v>41440</c:v>
                </c:pt>
                <c:pt idx="202">
                  <c:v>41443</c:v>
                </c:pt>
                <c:pt idx="203">
                  <c:v>41443</c:v>
                </c:pt>
                <c:pt idx="204">
                  <c:v>41444</c:v>
                </c:pt>
                <c:pt idx="205">
                  <c:v>41445</c:v>
                </c:pt>
                <c:pt idx="206">
                  <c:v>41445</c:v>
                </c:pt>
                <c:pt idx="207">
                  <c:v>41445</c:v>
                </c:pt>
                <c:pt idx="208">
                  <c:v>41446</c:v>
                </c:pt>
                <c:pt idx="209">
                  <c:v>41450</c:v>
                </c:pt>
                <c:pt idx="210">
                  <c:v>41451</c:v>
                </c:pt>
                <c:pt idx="211">
                  <c:v>41452</c:v>
                </c:pt>
                <c:pt idx="212">
                  <c:v>41452</c:v>
                </c:pt>
                <c:pt idx="213">
                  <c:v>41452</c:v>
                </c:pt>
                <c:pt idx="214">
                  <c:v>41454</c:v>
                </c:pt>
                <c:pt idx="215">
                  <c:v>41456</c:v>
                </c:pt>
                <c:pt idx="216">
                  <c:v>41456</c:v>
                </c:pt>
                <c:pt idx="217">
                  <c:v>41456</c:v>
                </c:pt>
                <c:pt idx="218">
                  <c:v>41456</c:v>
                </c:pt>
                <c:pt idx="219">
                  <c:v>41456</c:v>
                </c:pt>
                <c:pt idx="220">
                  <c:v>41456</c:v>
                </c:pt>
                <c:pt idx="221">
                  <c:v>41457</c:v>
                </c:pt>
                <c:pt idx="222">
                  <c:v>41457</c:v>
                </c:pt>
                <c:pt idx="223">
                  <c:v>41457</c:v>
                </c:pt>
                <c:pt idx="224">
                  <c:v>41458</c:v>
                </c:pt>
                <c:pt idx="225">
                  <c:v>41459</c:v>
                </c:pt>
                <c:pt idx="226">
                  <c:v>41459</c:v>
                </c:pt>
                <c:pt idx="227">
                  <c:v>41459</c:v>
                </c:pt>
                <c:pt idx="228">
                  <c:v>41460</c:v>
                </c:pt>
                <c:pt idx="229">
                  <c:v>41464</c:v>
                </c:pt>
                <c:pt idx="230">
                  <c:v>41465</c:v>
                </c:pt>
                <c:pt idx="231">
                  <c:v>41466</c:v>
                </c:pt>
                <c:pt idx="232">
                  <c:v>41466</c:v>
                </c:pt>
                <c:pt idx="233">
                  <c:v>41466</c:v>
                </c:pt>
                <c:pt idx="234">
                  <c:v>41468</c:v>
                </c:pt>
                <c:pt idx="235">
                  <c:v>41471</c:v>
                </c:pt>
                <c:pt idx="236">
                  <c:v>41471</c:v>
                </c:pt>
                <c:pt idx="237">
                  <c:v>41472</c:v>
                </c:pt>
                <c:pt idx="238">
                  <c:v>41473</c:v>
                </c:pt>
                <c:pt idx="239">
                  <c:v>41473</c:v>
                </c:pt>
                <c:pt idx="240">
                  <c:v>41473</c:v>
                </c:pt>
                <c:pt idx="241">
                  <c:v>41474</c:v>
                </c:pt>
                <c:pt idx="242">
                  <c:v>41478</c:v>
                </c:pt>
                <c:pt idx="243">
                  <c:v>41479</c:v>
                </c:pt>
                <c:pt idx="244">
                  <c:v>41480</c:v>
                </c:pt>
                <c:pt idx="245">
                  <c:v>41480</c:v>
                </c:pt>
                <c:pt idx="246">
                  <c:v>41480</c:v>
                </c:pt>
                <c:pt idx="247">
                  <c:v>41482</c:v>
                </c:pt>
                <c:pt idx="248">
                  <c:v>41485</c:v>
                </c:pt>
                <c:pt idx="249">
                  <c:v>41485</c:v>
                </c:pt>
                <c:pt idx="250">
                  <c:v>41486</c:v>
                </c:pt>
                <c:pt idx="251">
                  <c:v>41487</c:v>
                </c:pt>
                <c:pt idx="252">
                  <c:v>41487</c:v>
                </c:pt>
                <c:pt idx="253">
                  <c:v>41487</c:v>
                </c:pt>
                <c:pt idx="254">
                  <c:v>41487</c:v>
                </c:pt>
                <c:pt idx="255">
                  <c:v>41487</c:v>
                </c:pt>
                <c:pt idx="256">
                  <c:v>41487</c:v>
                </c:pt>
                <c:pt idx="257">
                  <c:v>41487</c:v>
                </c:pt>
                <c:pt idx="258">
                  <c:v>41487</c:v>
                </c:pt>
                <c:pt idx="259">
                  <c:v>41487</c:v>
                </c:pt>
                <c:pt idx="260">
                  <c:v>41487</c:v>
                </c:pt>
                <c:pt idx="261">
                  <c:v>41488</c:v>
                </c:pt>
                <c:pt idx="262">
                  <c:v>41488</c:v>
                </c:pt>
                <c:pt idx="263">
                  <c:v>41492</c:v>
                </c:pt>
                <c:pt idx="264">
                  <c:v>41493</c:v>
                </c:pt>
                <c:pt idx="265">
                  <c:v>41494</c:v>
                </c:pt>
                <c:pt idx="266">
                  <c:v>41494</c:v>
                </c:pt>
                <c:pt idx="267">
                  <c:v>41494</c:v>
                </c:pt>
                <c:pt idx="268">
                  <c:v>41496</c:v>
                </c:pt>
                <c:pt idx="269">
                  <c:v>41499</c:v>
                </c:pt>
                <c:pt idx="270">
                  <c:v>41499</c:v>
                </c:pt>
                <c:pt idx="271">
                  <c:v>41500</c:v>
                </c:pt>
                <c:pt idx="272">
                  <c:v>41501</c:v>
                </c:pt>
                <c:pt idx="273">
                  <c:v>41501</c:v>
                </c:pt>
                <c:pt idx="274">
                  <c:v>41501</c:v>
                </c:pt>
                <c:pt idx="275">
                  <c:v>41502</c:v>
                </c:pt>
                <c:pt idx="276">
                  <c:v>41506</c:v>
                </c:pt>
                <c:pt idx="277">
                  <c:v>41507</c:v>
                </c:pt>
                <c:pt idx="278">
                  <c:v>41508</c:v>
                </c:pt>
                <c:pt idx="279">
                  <c:v>41508</c:v>
                </c:pt>
                <c:pt idx="280">
                  <c:v>41508</c:v>
                </c:pt>
                <c:pt idx="281">
                  <c:v>41510</c:v>
                </c:pt>
                <c:pt idx="282">
                  <c:v>41513</c:v>
                </c:pt>
                <c:pt idx="283">
                  <c:v>41513</c:v>
                </c:pt>
                <c:pt idx="284">
                  <c:v>41514</c:v>
                </c:pt>
                <c:pt idx="285">
                  <c:v>41515</c:v>
                </c:pt>
                <c:pt idx="286">
                  <c:v>41515</c:v>
                </c:pt>
                <c:pt idx="287">
                  <c:v>41515</c:v>
                </c:pt>
                <c:pt idx="288">
                  <c:v>41516</c:v>
                </c:pt>
                <c:pt idx="289">
                  <c:v>41518</c:v>
                </c:pt>
                <c:pt idx="290">
                  <c:v>41518</c:v>
                </c:pt>
                <c:pt idx="291">
                  <c:v>41518</c:v>
                </c:pt>
                <c:pt idx="292">
                  <c:v>41518</c:v>
                </c:pt>
                <c:pt idx="293">
                  <c:v>41518</c:v>
                </c:pt>
                <c:pt idx="294">
                  <c:v>41519</c:v>
                </c:pt>
                <c:pt idx="295">
                  <c:v>41520</c:v>
                </c:pt>
                <c:pt idx="296">
                  <c:v>41521</c:v>
                </c:pt>
                <c:pt idx="297">
                  <c:v>41522</c:v>
                </c:pt>
                <c:pt idx="298">
                  <c:v>41522</c:v>
                </c:pt>
                <c:pt idx="299">
                  <c:v>41522</c:v>
                </c:pt>
                <c:pt idx="300">
                  <c:v>41524</c:v>
                </c:pt>
                <c:pt idx="301">
                  <c:v>41527</c:v>
                </c:pt>
                <c:pt idx="302">
                  <c:v>41527</c:v>
                </c:pt>
                <c:pt idx="303">
                  <c:v>41528</c:v>
                </c:pt>
                <c:pt idx="304">
                  <c:v>41529</c:v>
                </c:pt>
                <c:pt idx="305">
                  <c:v>41529</c:v>
                </c:pt>
                <c:pt idx="306">
                  <c:v>41529</c:v>
                </c:pt>
                <c:pt idx="307">
                  <c:v>41530</c:v>
                </c:pt>
                <c:pt idx="308">
                  <c:v>41534</c:v>
                </c:pt>
                <c:pt idx="309">
                  <c:v>41535</c:v>
                </c:pt>
                <c:pt idx="310">
                  <c:v>41536</c:v>
                </c:pt>
                <c:pt idx="311">
                  <c:v>41536</c:v>
                </c:pt>
                <c:pt idx="312">
                  <c:v>41536</c:v>
                </c:pt>
                <c:pt idx="313">
                  <c:v>41538</c:v>
                </c:pt>
                <c:pt idx="314">
                  <c:v>41541</c:v>
                </c:pt>
                <c:pt idx="315">
                  <c:v>41541</c:v>
                </c:pt>
                <c:pt idx="316">
                  <c:v>41542</c:v>
                </c:pt>
                <c:pt idx="317">
                  <c:v>41543</c:v>
                </c:pt>
                <c:pt idx="318">
                  <c:v>41543</c:v>
                </c:pt>
                <c:pt idx="319">
                  <c:v>41543</c:v>
                </c:pt>
                <c:pt idx="320">
                  <c:v>41544</c:v>
                </c:pt>
                <c:pt idx="321">
                  <c:v>41548</c:v>
                </c:pt>
                <c:pt idx="322">
                  <c:v>41548</c:v>
                </c:pt>
                <c:pt idx="323">
                  <c:v>41548</c:v>
                </c:pt>
                <c:pt idx="324">
                  <c:v>41548</c:v>
                </c:pt>
                <c:pt idx="325">
                  <c:v>41548</c:v>
                </c:pt>
                <c:pt idx="326">
                  <c:v>41548</c:v>
                </c:pt>
                <c:pt idx="327">
                  <c:v>41548</c:v>
                </c:pt>
                <c:pt idx="328">
                  <c:v>41549</c:v>
                </c:pt>
                <c:pt idx="329">
                  <c:v>41549</c:v>
                </c:pt>
                <c:pt idx="330">
                  <c:v>41550</c:v>
                </c:pt>
                <c:pt idx="331">
                  <c:v>41550</c:v>
                </c:pt>
                <c:pt idx="332">
                  <c:v>41550</c:v>
                </c:pt>
                <c:pt idx="333">
                  <c:v>41552</c:v>
                </c:pt>
                <c:pt idx="334">
                  <c:v>41555</c:v>
                </c:pt>
                <c:pt idx="335">
                  <c:v>41555</c:v>
                </c:pt>
                <c:pt idx="336">
                  <c:v>41556</c:v>
                </c:pt>
                <c:pt idx="337">
                  <c:v>41557</c:v>
                </c:pt>
                <c:pt idx="338">
                  <c:v>41557</c:v>
                </c:pt>
                <c:pt idx="339">
                  <c:v>41557</c:v>
                </c:pt>
                <c:pt idx="340">
                  <c:v>41558</c:v>
                </c:pt>
                <c:pt idx="341">
                  <c:v>41562</c:v>
                </c:pt>
                <c:pt idx="342">
                  <c:v>41563</c:v>
                </c:pt>
                <c:pt idx="343">
                  <c:v>41564</c:v>
                </c:pt>
                <c:pt idx="344">
                  <c:v>41564</c:v>
                </c:pt>
                <c:pt idx="345">
                  <c:v>41564</c:v>
                </c:pt>
                <c:pt idx="346">
                  <c:v>41566</c:v>
                </c:pt>
                <c:pt idx="347">
                  <c:v>41569</c:v>
                </c:pt>
                <c:pt idx="348">
                  <c:v>41569</c:v>
                </c:pt>
                <c:pt idx="349">
                  <c:v>41570</c:v>
                </c:pt>
                <c:pt idx="350">
                  <c:v>41571</c:v>
                </c:pt>
                <c:pt idx="351">
                  <c:v>41571</c:v>
                </c:pt>
                <c:pt idx="352">
                  <c:v>41571</c:v>
                </c:pt>
                <c:pt idx="353">
                  <c:v>41572</c:v>
                </c:pt>
                <c:pt idx="354">
                  <c:v>41576</c:v>
                </c:pt>
                <c:pt idx="355">
                  <c:v>41577</c:v>
                </c:pt>
                <c:pt idx="356">
                  <c:v>41578</c:v>
                </c:pt>
                <c:pt idx="357">
                  <c:v>41578</c:v>
                </c:pt>
                <c:pt idx="358">
                  <c:v>41578</c:v>
                </c:pt>
                <c:pt idx="359">
                  <c:v>41579</c:v>
                </c:pt>
                <c:pt idx="360">
                  <c:v>41579</c:v>
                </c:pt>
                <c:pt idx="361">
                  <c:v>41579</c:v>
                </c:pt>
                <c:pt idx="362">
                  <c:v>41579</c:v>
                </c:pt>
                <c:pt idx="363">
                  <c:v>41579</c:v>
                </c:pt>
                <c:pt idx="364">
                  <c:v>41579</c:v>
                </c:pt>
                <c:pt idx="365">
                  <c:v>41579</c:v>
                </c:pt>
                <c:pt idx="366">
                  <c:v>41580</c:v>
                </c:pt>
                <c:pt idx="367">
                  <c:v>41580</c:v>
                </c:pt>
                <c:pt idx="368">
                  <c:v>41583</c:v>
                </c:pt>
                <c:pt idx="369">
                  <c:v>41583</c:v>
                </c:pt>
                <c:pt idx="370">
                  <c:v>41584</c:v>
                </c:pt>
                <c:pt idx="371">
                  <c:v>41585</c:v>
                </c:pt>
                <c:pt idx="372">
                  <c:v>41585</c:v>
                </c:pt>
                <c:pt idx="373">
                  <c:v>41585</c:v>
                </c:pt>
                <c:pt idx="374">
                  <c:v>41586</c:v>
                </c:pt>
                <c:pt idx="375">
                  <c:v>41590</c:v>
                </c:pt>
                <c:pt idx="376">
                  <c:v>41591</c:v>
                </c:pt>
                <c:pt idx="377">
                  <c:v>41592</c:v>
                </c:pt>
                <c:pt idx="378">
                  <c:v>41592</c:v>
                </c:pt>
                <c:pt idx="379">
                  <c:v>41592</c:v>
                </c:pt>
                <c:pt idx="380">
                  <c:v>41594</c:v>
                </c:pt>
                <c:pt idx="381">
                  <c:v>41597</c:v>
                </c:pt>
                <c:pt idx="382">
                  <c:v>41597</c:v>
                </c:pt>
                <c:pt idx="383">
                  <c:v>41598</c:v>
                </c:pt>
                <c:pt idx="384">
                  <c:v>41599</c:v>
                </c:pt>
                <c:pt idx="385">
                  <c:v>41599</c:v>
                </c:pt>
                <c:pt idx="386">
                  <c:v>41599</c:v>
                </c:pt>
                <c:pt idx="387">
                  <c:v>41600</c:v>
                </c:pt>
                <c:pt idx="388">
                  <c:v>41604</c:v>
                </c:pt>
                <c:pt idx="389">
                  <c:v>41605</c:v>
                </c:pt>
                <c:pt idx="390">
                  <c:v>41606</c:v>
                </c:pt>
                <c:pt idx="391">
                  <c:v>41606</c:v>
                </c:pt>
                <c:pt idx="392">
                  <c:v>41606</c:v>
                </c:pt>
                <c:pt idx="393">
                  <c:v>41608</c:v>
                </c:pt>
                <c:pt idx="394">
                  <c:v>41609</c:v>
                </c:pt>
                <c:pt idx="395">
                  <c:v>41609</c:v>
                </c:pt>
                <c:pt idx="396">
                  <c:v>41609</c:v>
                </c:pt>
                <c:pt idx="397">
                  <c:v>41609</c:v>
                </c:pt>
                <c:pt idx="398">
                  <c:v>41609</c:v>
                </c:pt>
                <c:pt idx="399">
                  <c:v>41610</c:v>
                </c:pt>
                <c:pt idx="400">
                  <c:v>41611</c:v>
                </c:pt>
                <c:pt idx="401">
                  <c:v>41611</c:v>
                </c:pt>
                <c:pt idx="402">
                  <c:v>41612</c:v>
                </c:pt>
                <c:pt idx="403">
                  <c:v>41613</c:v>
                </c:pt>
                <c:pt idx="404">
                  <c:v>41613</c:v>
                </c:pt>
                <c:pt idx="405">
                  <c:v>41613</c:v>
                </c:pt>
                <c:pt idx="406">
                  <c:v>41614</c:v>
                </c:pt>
                <c:pt idx="407">
                  <c:v>41618</c:v>
                </c:pt>
                <c:pt idx="408">
                  <c:v>41619</c:v>
                </c:pt>
                <c:pt idx="409">
                  <c:v>41620</c:v>
                </c:pt>
                <c:pt idx="410">
                  <c:v>41620</c:v>
                </c:pt>
                <c:pt idx="411">
                  <c:v>41620</c:v>
                </c:pt>
                <c:pt idx="412">
                  <c:v>41622</c:v>
                </c:pt>
                <c:pt idx="413">
                  <c:v>41625</c:v>
                </c:pt>
                <c:pt idx="414">
                  <c:v>41625</c:v>
                </c:pt>
                <c:pt idx="415">
                  <c:v>41626</c:v>
                </c:pt>
                <c:pt idx="416">
                  <c:v>41627</c:v>
                </c:pt>
                <c:pt idx="417">
                  <c:v>41627</c:v>
                </c:pt>
                <c:pt idx="418">
                  <c:v>41627</c:v>
                </c:pt>
                <c:pt idx="419">
                  <c:v>41628</c:v>
                </c:pt>
                <c:pt idx="420">
                  <c:v>41632</c:v>
                </c:pt>
                <c:pt idx="421">
                  <c:v>41633</c:v>
                </c:pt>
                <c:pt idx="422">
                  <c:v>41634</c:v>
                </c:pt>
                <c:pt idx="423">
                  <c:v>41634</c:v>
                </c:pt>
                <c:pt idx="424">
                  <c:v>41634</c:v>
                </c:pt>
                <c:pt idx="425">
                  <c:v>41636</c:v>
                </c:pt>
                <c:pt idx="426">
                  <c:v>41639</c:v>
                </c:pt>
                <c:pt idx="427">
                  <c:v>41639</c:v>
                </c:pt>
                <c:pt idx="428">
                  <c:v>41640</c:v>
                </c:pt>
                <c:pt idx="429">
                  <c:v>41640</c:v>
                </c:pt>
                <c:pt idx="430">
                  <c:v>41640</c:v>
                </c:pt>
                <c:pt idx="431">
                  <c:v>41640</c:v>
                </c:pt>
                <c:pt idx="432">
                  <c:v>41640</c:v>
                </c:pt>
                <c:pt idx="433">
                  <c:v>41640</c:v>
                </c:pt>
                <c:pt idx="434">
                  <c:v>41640</c:v>
                </c:pt>
                <c:pt idx="435">
                  <c:v>41641</c:v>
                </c:pt>
                <c:pt idx="436">
                  <c:v>41641</c:v>
                </c:pt>
                <c:pt idx="437">
                  <c:v>41641</c:v>
                </c:pt>
                <c:pt idx="438">
                  <c:v>41641</c:v>
                </c:pt>
                <c:pt idx="439">
                  <c:v>41642</c:v>
                </c:pt>
                <c:pt idx="440">
                  <c:v>41646</c:v>
                </c:pt>
                <c:pt idx="441">
                  <c:v>41647</c:v>
                </c:pt>
                <c:pt idx="442">
                  <c:v>41648</c:v>
                </c:pt>
                <c:pt idx="443">
                  <c:v>41648</c:v>
                </c:pt>
                <c:pt idx="444">
                  <c:v>41648</c:v>
                </c:pt>
                <c:pt idx="445">
                  <c:v>41650</c:v>
                </c:pt>
                <c:pt idx="446">
                  <c:v>41653</c:v>
                </c:pt>
                <c:pt idx="447">
                  <c:v>41653</c:v>
                </c:pt>
                <c:pt idx="448">
                  <c:v>41654</c:v>
                </c:pt>
                <c:pt idx="449">
                  <c:v>41655</c:v>
                </c:pt>
                <c:pt idx="450">
                  <c:v>41655</c:v>
                </c:pt>
                <c:pt idx="451">
                  <c:v>41655</c:v>
                </c:pt>
                <c:pt idx="452">
                  <c:v>41656</c:v>
                </c:pt>
                <c:pt idx="453">
                  <c:v>41660</c:v>
                </c:pt>
                <c:pt idx="454">
                  <c:v>41661</c:v>
                </c:pt>
                <c:pt idx="455">
                  <c:v>41662</c:v>
                </c:pt>
                <c:pt idx="456">
                  <c:v>41662</c:v>
                </c:pt>
                <c:pt idx="457">
                  <c:v>41662</c:v>
                </c:pt>
                <c:pt idx="458">
                  <c:v>41664</c:v>
                </c:pt>
                <c:pt idx="459">
                  <c:v>41667</c:v>
                </c:pt>
                <c:pt idx="460">
                  <c:v>41667</c:v>
                </c:pt>
                <c:pt idx="461">
                  <c:v>41668</c:v>
                </c:pt>
                <c:pt idx="462">
                  <c:v>41669</c:v>
                </c:pt>
                <c:pt idx="463">
                  <c:v>41669</c:v>
                </c:pt>
                <c:pt idx="464">
                  <c:v>41669</c:v>
                </c:pt>
                <c:pt idx="465">
                  <c:v>41670</c:v>
                </c:pt>
                <c:pt idx="466">
                  <c:v>41671</c:v>
                </c:pt>
                <c:pt idx="467">
                  <c:v>41671</c:v>
                </c:pt>
                <c:pt idx="468">
                  <c:v>41671</c:v>
                </c:pt>
                <c:pt idx="469">
                  <c:v>41671</c:v>
                </c:pt>
                <c:pt idx="470">
                  <c:v>41671</c:v>
                </c:pt>
                <c:pt idx="471">
                  <c:v>41671</c:v>
                </c:pt>
                <c:pt idx="472">
                  <c:v>41671</c:v>
                </c:pt>
                <c:pt idx="473">
                  <c:v>41672</c:v>
                </c:pt>
                <c:pt idx="474">
                  <c:v>41674</c:v>
                </c:pt>
                <c:pt idx="475">
                  <c:v>41675</c:v>
                </c:pt>
                <c:pt idx="476">
                  <c:v>41676</c:v>
                </c:pt>
                <c:pt idx="477">
                  <c:v>41676</c:v>
                </c:pt>
                <c:pt idx="478">
                  <c:v>41676</c:v>
                </c:pt>
                <c:pt idx="479">
                  <c:v>41678</c:v>
                </c:pt>
                <c:pt idx="480">
                  <c:v>41681</c:v>
                </c:pt>
                <c:pt idx="481">
                  <c:v>41681</c:v>
                </c:pt>
                <c:pt idx="482">
                  <c:v>41682</c:v>
                </c:pt>
                <c:pt idx="483">
                  <c:v>41683</c:v>
                </c:pt>
                <c:pt idx="484">
                  <c:v>41683</c:v>
                </c:pt>
                <c:pt idx="485">
                  <c:v>41683</c:v>
                </c:pt>
                <c:pt idx="486">
                  <c:v>41684</c:v>
                </c:pt>
                <c:pt idx="487">
                  <c:v>41688</c:v>
                </c:pt>
                <c:pt idx="488">
                  <c:v>41689</c:v>
                </c:pt>
                <c:pt idx="489">
                  <c:v>41690</c:v>
                </c:pt>
                <c:pt idx="490">
                  <c:v>41690</c:v>
                </c:pt>
                <c:pt idx="491">
                  <c:v>41690</c:v>
                </c:pt>
                <c:pt idx="492">
                  <c:v>41692</c:v>
                </c:pt>
                <c:pt idx="493">
                  <c:v>41695</c:v>
                </c:pt>
                <c:pt idx="494">
                  <c:v>41695</c:v>
                </c:pt>
                <c:pt idx="495">
                  <c:v>41696</c:v>
                </c:pt>
                <c:pt idx="496">
                  <c:v>41697</c:v>
                </c:pt>
                <c:pt idx="497">
                  <c:v>41697</c:v>
                </c:pt>
                <c:pt idx="498">
                  <c:v>41697</c:v>
                </c:pt>
                <c:pt idx="499">
                  <c:v>41698</c:v>
                </c:pt>
                <c:pt idx="500">
                  <c:v>41699</c:v>
                </c:pt>
                <c:pt idx="501">
                  <c:v>41699</c:v>
                </c:pt>
                <c:pt idx="502">
                  <c:v>41699</c:v>
                </c:pt>
                <c:pt idx="503">
                  <c:v>41699</c:v>
                </c:pt>
                <c:pt idx="504">
                  <c:v>41699</c:v>
                </c:pt>
                <c:pt idx="505">
                  <c:v>41700</c:v>
                </c:pt>
                <c:pt idx="506">
                  <c:v>41702</c:v>
                </c:pt>
                <c:pt idx="507">
                  <c:v>41703</c:v>
                </c:pt>
                <c:pt idx="508">
                  <c:v>41704</c:v>
                </c:pt>
                <c:pt idx="509">
                  <c:v>41704</c:v>
                </c:pt>
                <c:pt idx="510">
                  <c:v>41704</c:v>
                </c:pt>
                <c:pt idx="511">
                  <c:v>41706</c:v>
                </c:pt>
                <c:pt idx="512">
                  <c:v>41709</c:v>
                </c:pt>
                <c:pt idx="513">
                  <c:v>41709</c:v>
                </c:pt>
                <c:pt idx="514">
                  <c:v>41710</c:v>
                </c:pt>
                <c:pt idx="515">
                  <c:v>41711</c:v>
                </c:pt>
                <c:pt idx="516">
                  <c:v>41711</c:v>
                </c:pt>
                <c:pt idx="517">
                  <c:v>41711</c:v>
                </c:pt>
                <c:pt idx="518">
                  <c:v>41712</c:v>
                </c:pt>
                <c:pt idx="519">
                  <c:v>41716</c:v>
                </c:pt>
                <c:pt idx="520">
                  <c:v>41717</c:v>
                </c:pt>
                <c:pt idx="521">
                  <c:v>41718</c:v>
                </c:pt>
                <c:pt idx="522">
                  <c:v>41718</c:v>
                </c:pt>
                <c:pt idx="523">
                  <c:v>41718</c:v>
                </c:pt>
                <c:pt idx="524">
                  <c:v>41720</c:v>
                </c:pt>
                <c:pt idx="525">
                  <c:v>41723</c:v>
                </c:pt>
                <c:pt idx="526">
                  <c:v>41723</c:v>
                </c:pt>
                <c:pt idx="527">
                  <c:v>41724</c:v>
                </c:pt>
                <c:pt idx="528">
                  <c:v>41725</c:v>
                </c:pt>
                <c:pt idx="529">
                  <c:v>41725</c:v>
                </c:pt>
                <c:pt idx="530">
                  <c:v>41725</c:v>
                </c:pt>
                <c:pt idx="531">
                  <c:v>41726</c:v>
                </c:pt>
                <c:pt idx="532">
                  <c:v>41730</c:v>
                </c:pt>
                <c:pt idx="533">
                  <c:v>41730</c:v>
                </c:pt>
                <c:pt idx="534">
                  <c:v>41730</c:v>
                </c:pt>
                <c:pt idx="535">
                  <c:v>41730</c:v>
                </c:pt>
                <c:pt idx="536">
                  <c:v>41730</c:v>
                </c:pt>
                <c:pt idx="537">
                  <c:v>41730</c:v>
                </c:pt>
                <c:pt idx="538">
                  <c:v>41730</c:v>
                </c:pt>
                <c:pt idx="539">
                  <c:v>41731</c:v>
                </c:pt>
                <c:pt idx="540">
                  <c:v>41731</c:v>
                </c:pt>
                <c:pt idx="541">
                  <c:v>41732</c:v>
                </c:pt>
                <c:pt idx="542">
                  <c:v>41732</c:v>
                </c:pt>
                <c:pt idx="543">
                  <c:v>41732</c:v>
                </c:pt>
                <c:pt idx="544">
                  <c:v>41734</c:v>
                </c:pt>
                <c:pt idx="545">
                  <c:v>41737</c:v>
                </c:pt>
                <c:pt idx="546">
                  <c:v>41737</c:v>
                </c:pt>
                <c:pt idx="547">
                  <c:v>41738</c:v>
                </c:pt>
                <c:pt idx="548">
                  <c:v>41739</c:v>
                </c:pt>
                <c:pt idx="549">
                  <c:v>41739</c:v>
                </c:pt>
                <c:pt idx="550">
                  <c:v>41739</c:v>
                </c:pt>
                <c:pt idx="551">
                  <c:v>41740</c:v>
                </c:pt>
                <c:pt idx="552">
                  <c:v>41744</c:v>
                </c:pt>
                <c:pt idx="553">
                  <c:v>41745</c:v>
                </c:pt>
                <c:pt idx="554">
                  <c:v>41746</c:v>
                </c:pt>
                <c:pt idx="555">
                  <c:v>41746</c:v>
                </c:pt>
                <c:pt idx="556">
                  <c:v>41746</c:v>
                </c:pt>
                <c:pt idx="557">
                  <c:v>41748</c:v>
                </c:pt>
                <c:pt idx="558">
                  <c:v>41751</c:v>
                </c:pt>
                <c:pt idx="559">
                  <c:v>41751</c:v>
                </c:pt>
                <c:pt idx="560">
                  <c:v>41752</c:v>
                </c:pt>
                <c:pt idx="561">
                  <c:v>41753</c:v>
                </c:pt>
                <c:pt idx="562">
                  <c:v>41753</c:v>
                </c:pt>
                <c:pt idx="563">
                  <c:v>41753</c:v>
                </c:pt>
                <c:pt idx="564">
                  <c:v>41754</c:v>
                </c:pt>
                <c:pt idx="565">
                  <c:v>41758</c:v>
                </c:pt>
                <c:pt idx="566">
                  <c:v>41759</c:v>
                </c:pt>
                <c:pt idx="567">
                  <c:v>41760</c:v>
                </c:pt>
                <c:pt idx="568">
                  <c:v>41760</c:v>
                </c:pt>
                <c:pt idx="569">
                  <c:v>41760</c:v>
                </c:pt>
                <c:pt idx="570">
                  <c:v>41760</c:v>
                </c:pt>
                <c:pt idx="571">
                  <c:v>41760</c:v>
                </c:pt>
                <c:pt idx="572">
                  <c:v>41760</c:v>
                </c:pt>
                <c:pt idx="573">
                  <c:v>41760</c:v>
                </c:pt>
                <c:pt idx="574">
                  <c:v>41760</c:v>
                </c:pt>
                <c:pt idx="575">
                  <c:v>41760</c:v>
                </c:pt>
                <c:pt idx="576">
                  <c:v>41760</c:v>
                </c:pt>
                <c:pt idx="577">
                  <c:v>41761</c:v>
                </c:pt>
                <c:pt idx="578">
                  <c:v>41762</c:v>
                </c:pt>
                <c:pt idx="579">
                  <c:v>41765</c:v>
                </c:pt>
                <c:pt idx="580">
                  <c:v>41765</c:v>
                </c:pt>
                <c:pt idx="581">
                  <c:v>41766</c:v>
                </c:pt>
                <c:pt idx="582">
                  <c:v>41767</c:v>
                </c:pt>
                <c:pt idx="583">
                  <c:v>41767</c:v>
                </c:pt>
                <c:pt idx="584">
                  <c:v>41767</c:v>
                </c:pt>
                <c:pt idx="585">
                  <c:v>41768</c:v>
                </c:pt>
                <c:pt idx="586">
                  <c:v>41772</c:v>
                </c:pt>
                <c:pt idx="587">
                  <c:v>41773</c:v>
                </c:pt>
                <c:pt idx="588">
                  <c:v>41774</c:v>
                </c:pt>
                <c:pt idx="589">
                  <c:v>41774</c:v>
                </c:pt>
                <c:pt idx="590">
                  <c:v>41774</c:v>
                </c:pt>
                <c:pt idx="591">
                  <c:v>41776</c:v>
                </c:pt>
                <c:pt idx="592">
                  <c:v>41779</c:v>
                </c:pt>
                <c:pt idx="593">
                  <c:v>41779</c:v>
                </c:pt>
                <c:pt idx="594">
                  <c:v>41780</c:v>
                </c:pt>
                <c:pt idx="595">
                  <c:v>41781</c:v>
                </c:pt>
                <c:pt idx="596">
                  <c:v>41781</c:v>
                </c:pt>
                <c:pt idx="597">
                  <c:v>41781</c:v>
                </c:pt>
                <c:pt idx="598">
                  <c:v>41782</c:v>
                </c:pt>
                <c:pt idx="599">
                  <c:v>41786</c:v>
                </c:pt>
                <c:pt idx="600">
                  <c:v>41787</c:v>
                </c:pt>
                <c:pt idx="601">
                  <c:v>41788</c:v>
                </c:pt>
                <c:pt idx="602">
                  <c:v>41788</c:v>
                </c:pt>
                <c:pt idx="603">
                  <c:v>41788</c:v>
                </c:pt>
                <c:pt idx="604">
                  <c:v>41790</c:v>
                </c:pt>
                <c:pt idx="605">
                  <c:v>41791</c:v>
                </c:pt>
                <c:pt idx="606">
                  <c:v>41791</c:v>
                </c:pt>
                <c:pt idx="607">
                  <c:v>41791</c:v>
                </c:pt>
                <c:pt idx="608">
                  <c:v>41791</c:v>
                </c:pt>
                <c:pt idx="609">
                  <c:v>41791</c:v>
                </c:pt>
                <c:pt idx="610">
                  <c:v>41792</c:v>
                </c:pt>
                <c:pt idx="611">
                  <c:v>41793</c:v>
                </c:pt>
                <c:pt idx="612">
                  <c:v>41793</c:v>
                </c:pt>
                <c:pt idx="613">
                  <c:v>41794</c:v>
                </c:pt>
                <c:pt idx="614">
                  <c:v>41795</c:v>
                </c:pt>
                <c:pt idx="615">
                  <c:v>41795</c:v>
                </c:pt>
                <c:pt idx="616">
                  <c:v>41795</c:v>
                </c:pt>
                <c:pt idx="617">
                  <c:v>41796</c:v>
                </c:pt>
                <c:pt idx="618">
                  <c:v>41800</c:v>
                </c:pt>
                <c:pt idx="619">
                  <c:v>41801</c:v>
                </c:pt>
                <c:pt idx="620">
                  <c:v>41802</c:v>
                </c:pt>
                <c:pt idx="621">
                  <c:v>41802</c:v>
                </c:pt>
                <c:pt idx="622">
                  <c:v>41802</c:v>
                </c:pt>
                <c:pt idx="623">
                  <c:v>41804</c:v>
                </c:pt>
                <c:pt idx="624">
                  <c:v>41807</c:v>
                </c:pt>
                <c:pt idx="625">
                  <c:v>41807</c:v>
                </c:pt>
                <c:pt idx="626">
                  <c:v>41808</c:v>
                </c:pt>
                <c:pt idx="627">
                  <c:v>41809</c:v>
                </c:pt>
                <c:pt idx="628">
                  <c:v>41809</c:v>
                </c:pt>
                <c:pt idx="629">
                  <c:v>41809</c:v>
                </c:pt>
                <c:pt idx="630">
                  <c:v>41810</c:v>
                </c:pt>
                <c:pt idx="631">
                  <c:v>41814</c:v>
                </c:pt>
                <c:pt idx="632">
                  <c:v>41815</c:v>
                </c:pt>
                <c:pt idx="633">
                  <c:v>41816</c:v>
                </c:pt>
                <c:pt idx="634">
                  <c:v>41816</c:v>
                </c:pt>
                <c:pt idx="635">
                  <c:v>41816</c:v>
                </c:pt>
                <c:pt idx="636">
                  <c:v>41818</c:v>
                </c:pt>
                <c:pt idx="637">
                  <c:v>41821</c:v>
                </c:pt>
                <c:pt idx="638">
                  <c:v>41821</c:v>
                </c:pt>
                <c:pt idx="639">
                  <c:v>41821</c:v>
                </c:pt>
                <c:pt idx="640">
                  <c:v>41821</c:v>
                </c:pt>
                <c:pt idx="641">
                  <c:v>41821</c:v>
                </c:pt>
                <c:pt idx="642">
                  <c:v>41821</c:v>
                </c:pt>
                <c:pt idx="643">
                  <c:v>41821</c:v>
                </c:pt>
                <c:pt idx="644">
                  <c:v>41821</c:v>
                </c:pt>
                <c:pt idx="645">
                  <c:v>41822</c:v>
                </c:pt>
                <c:pt idx="646">
                  <c:v>41822</c:v>
                </c:pt>
                <c:pt idx="647">
                  <c:v>41823</c:v>
                </c:pt>
                <c:pt idx="648">
                  <c:v>41823</c:v>
                </c:pt>
                <c:pt idx="649">
                  <c:v>41823</c:v>
                </c:pt>
                <c:pt idx="650">
                  <c:v>41824</c:v>
                </c:pt>
                <c:pt idx="651">
                  <c:v>41828</c:v>
                </c:pt>
                <c:pt idx="652">
                  <c:v>41829</c:v>
                </c:pt>
                <c:pt idx="653">
                  <c:v>41830</c:v>
                </c:pt>
                <c:pt idx="654">
                  <c:v>41830</c:v>
                </c:pt>
                <c:pt idx="655">
                  <c:v>41830</c:v>
                </c:pt>
                <c:pt idx="656">
                  <c:v>41832</c:v>
                </c:pt>
                <c:pt idx="657">
                  <c:v>41835</c:v>
                </c:pt>
                <c:pt idx="658">
                  <c:v>41835</c:v>
                </c:pt>
                <c:pt idx="659">
                  <c:v>41836</c:v>
                </c:pt>
                <c:pt idx="660">
                  <c:v>41837</c:v>
                </c:pt>
                <c:pt idx="661">
                  <c:v>41837</c:v>
                </c:pt>
                <c:pt idx="662">
                  <c:v>41837</c:v>
                </c:pt>
                <c:pt idx="663">
                  <c:v>41838</c:v>
                </c:pt>
                <c:pt idx="664">
                  <c:v>41842</c:v>
                </c:pt>
                <c:pt idx="665">
                  <c:v>41843</c:v>
                </c:pt>
                <c:pt idx="666">
                  <c:v>41844</c:v>
                </c:pt>
                <c:pt idx="667">
                  <c:v>41844</c:v>
                </c:pt>
                <c:pt idx="668">
                  <c:v>41844</c:v>
                </c:pt>
                <c:pt idx="669">
                  <c:v>41846</c:v>
                </c:pt>
                <c:pt idx="670">
                  <c:v>41849</c:v>
                </c:pt>
                <c:pt idx="671">
                  <c:v>41849</c:v>
                </c:pt>
                <c:pt idx="672">
                  <c:v>41850</c:v>
                </c:pt>
                <c:pt idx="673">
                  <c:v>41851</c:v>
                </c:pt>
                <c:pt idx="674">
                  <c:v>41851</c:v>
                </c:pt>
                <c:pt idx="675">
                  <c:v>41851</c:v>
                </c:pt>
                <c:pt idx="676">
                  <c:v>41852</c:v>
                </c:pt>
                <c:pt idx="677">
                  <c:v>41852</c:v>
                </c:pt>
                <c:pt idx="678">
                  <c:v>41852</c:v>
                </c:pt>
                <c:pt idx="679">
                  <c:v>41852</c:v>
                </c:pt>
                <c:pt idx="680">
                  <c:v>41852</c:v>
                </c:pt>
                <c:pt idx="681">
                  <c:v>41852</c:v>
                </c:pt>
                <c:pt idx="682">
                  <c:v>41852</c:v>
                </c:pt>
                <c:pt idx="683">
                  <c:v>41852</c:v>
                </c:pt>
                <c:pt idx="684">
                  <c:v>41853</c:v>
                </c:pt>
                <c:pt idx="685">
                  <c:v>41856</c:v>
                </c:pt>
                <c:pt idx="686">
                  <c:v>41857</c:v>
                </c:pt>
                <c:pt idx="687">
                  <c:v>41858</c:v>
                </c:pt>
                <c:pt idx="688">
                  <c:v>41858</c:v>
                </c:pt>
                <c:pt idx="689">
                  <c:v>41858</c:v>
                </c:pt>
                <c:pt idx="690">
                  <c:v>41860</c:v>
                </c:pt>
                <c:pt idx="691">
                  <c:v>41863</c:v>
                </c:pt>
                <c:pt idx="692">
                  <c:v>41863</c:v>
                </c:pt>
                <c:pt idx="693">
                  <c:v>41864</c:v>
                </c:pt>
                <c:pt idx="694">
                  <c:v>41865</c:v>
                </c:pt>
                <c:pt idx="695">
                  <c:v>41865</c:v>
                </c:pt>
                <c:pt idx="696">
                  <c:v>41865</c:v>
                </c:pt>
                <c:pt idx="697">
                  <c:v>41866</c:v>
                </c:pt>
                <c:pt idx="698">
                  <c:v>41870</c:v>
                </c:pt>
                <c:pt idx="699">
                  <c:v>41871</c:v>
                </c:pt>
                <c:pt idx="700">
                  <c:v>41872</c:v>
                </c:pt>
                <c:pt idx="701">
                  <c:v>41872</c:v>
                </c:pt>
                <c:pt idx="702">
                  <c:v>41872</c:v>
                </c:pt>
                <c:pt idx="703">
                  <c:v>41874</c:v>
                </c:pt>
                <c:pt idx="704">
                  <c:v>41877</c:v>
                </c:pt>
                <c:pt idx="705">
                  <c:v>41877</c:v>
                </c:pt>
                <c:pt idx="706">
                  <c:v>41878</c:v>
                </c:pt>
                <c:pt idx="707">
                  <c:v>41879</c:v>
                </c:pt>
                <c:pt idx="708">
                  <c:v>41879</c:v>
                </c:pt>
                <c:pt idx="709">
                  <c:v>41879</c:v>
                </c:pt>
                <c:pt idx="710">
                  <c:v>41880</c:v>
                </c:pt>
                <c:pt idx="711">
                  <c:v>41883</c:v>
                </c:pt>
                <c:pt idx="712">
                  <c:v>41883</c:v>
                </c:pt>
                <c:pt idx="713">
                  <c:v>41883</c:v>
                </c:pt>
                <c:pt idx="714">
                  <c:v>41883</c:v>
                </c:pt>
                <c:pt idx="715">
                  <c:v>41883</c:v>
                </c:pt>
                <c:pt idx="716">
                  <c:v>41884</c:v>
                </c:pt>
                <c:pt idx="717">
                  <c:v>41884</c:v>
                </c:pt>
                <c:pt idx="718">
                  <c:v>41885</c:v>
                </c:pt>
                <c:pt idx="719">
                  <c:v>41886</c:v>
                </c:pt>
                <c:pt idx="720">
                  <c:v>41886</c:v>
                </c:pt>
                <c:pt idx="721">
                  <c:v>41886</c:v>
                </c:pt>
                <c:pt idx="722">
                  <c:v>41888</c:v>
                </c:pt>
                <c:pt idx="723">
                  <c:v>41891</c:v>
                </c:pt>
                <c:pt idx="724">
                  <c:v>41891</c:v>
                </c:pt>
                <c:pt idx="725">
                  <c:v>41892</c:v>
                </c:pt>
                <c:pt idx="726">
                  <c:v>41893</c:v>
                </c:pt>
                <c:pt idx="727">
                  <c:v>41893</c:v>
                </c:pt>
                <c:pt idx="728">
                  <c:v>41893</c:v>
                </c:pt>
                <c:pt idx="729">
                  <c:v>41894</c:v>
                </c:pt>
                <c:pt idx="730">
                  <c:v>41898</c:v>
                </c:pt>
                <c:pt idx="731">
                  <c:v>41899</c:v>
                </c:pt>
                <c:pt idx="732">
                  <c:v>41900</c:v>
                </c:pt>
                <c:pt idx="733">
                  <c:v>41900</c:v>
                </c:pt>
                <c:pt idx="734">
                  <c:v>41900</c:v>
                </c:pt>
                <c:pt idx="735">
                  <c:v>41902</c:v>
                </c:pt>
                <c:pt idx="736">
                  <c:v>41905</c:v>
                </c:pt>
                <c:pt idx="737">
                  <c:v>41905</c:v>
                </c:pt>
                <c:pt idx="738">
                  <c:v>41906</c:v>
                </c:pt>
                <c:pt idx="739">
                  <c:v>41907</c:v>
                </c:pt>
                <c:pt idx="740">
                  <c:v>41907</c:v>
                </c:pt>
                <c:pt idx="741">
                  <c:v>41907</c:v>
                </c:pt>
                <c:pt idx="742">
                  <c:v>41908</c:v>
                </c:pt>
                <c:pt idx="743">
                  <c:v>41912</c:v>
                </c:pt>
                <c:pt idx="744">
                  <c:v>41913</c:v>
                </c:pt>
                <c:pt idx="745">
                  <c:v>41913</c:v>
                </c:pt>
                <c:pt idx="746">
                  <c:v>41913</c:v>
                </c:pt>
                <c:pt idx="747">
                  <c:v>41913</c:v>
                </c:pt>
                <c:pt idx="748">
                  <c:v>41913</c:v>
                </c:pt>
                <c:pt idx="749">
                  <c:v>41913</c:v>
                </c:pt>
                <c:pt idx="750">
                  <c:v>41913</c:v>
                </c:pt>
                <c:pt idx="751">
                  <c:v>41914</c:v>
                </c:pt>
                <c:pt idx="752">
                  <c:v>41914</c:v>
                </c:pt>
                <c:pt idx="753">
                  <c:v>41914</c:v>
                </c:pt>
                <c:pt idx="754">
                  <c:v>41914</c:v>
                </c:pt>
                <c:pt idx="755">
                  <c:v>41916</c:v>
                </c:pt>
                <c:pt idx="756">
                  <c:v>41919</c:v>
                </c:pt>
                <c:pt idx="757">
                  <c:v>41919</c:v>
                </c:pt>
                <c:pt idx="758">
                  <c:v>41920</c:v>
                </c:pt>
                <c:pt idx="759">
                  <c:v>41921</c:v>
                </c:pt>
                <c:pt idx="760">
                  <c:v>41921</c:v>
                </c:pt>
                <c:pt idx="761">
                  <c:v>41921</c:v>
                </c:pt>
                <c:pt idx="762">
                  <c:v>41922</c:v>
                </c:pt>
                <c:pt idx="763">
                  <c:v>41926</c:v>
                </c:pt>
                <c:pt idx="764">
                  <c:v>41927</c:v>
                </c:pt>
                <c:pt idx="765">
                  <c:v>41928</c:v>
                </c:pt>
                <c:pt idx="766">
                  <c:v>41928</c:v>
                </c:pt>
                <c:pt idx="767">
                  <c:v>41928</c:v>
                </c:pt>
                <c:pt idx="768">
                  <c:v>41930</c:v>
                </c:pt>
                <c:pt idx="769">
                  <c:v>41933</c:v>
                </c:pt>
                <c:pt idx="770">
                  <c:v>41933</c:v>
                </c:pt>
                <c:pt idx="771">
                  <c:v>41934</c:v>
                </c:pt>
                <c:pt idx="772">
                  <c:v>41935</c:v>
                </c:pt>
                <c:pt idx="773">
                  <c:v>41935</c:v>
                </c:pt>
                <c:pt idx="774">
                  <c:v>41935</c:v>
                </c:pt>
                <c:pt idx="775">
                  <c:v>41936</c:v>
                </c:pt>
                <c:pt idx="776">
                  <c:v>41940</c:v>
                </c:pt>
                <c:pt idx="777">
                  <c:v>41941</c:v>
                </c:pt>
                <c:pt idx="778">
                  <c:v>41942</c:v>
                </c:pt>
                <c:pt idx="779">
                  <c:v>41942</c:v>
                </c:pt>
                <c:pt idx="780">
                  <c:v>41942</c:v>
                </c:pt>
                <c:pt idx="781">
                  <c:v>41944</c:v>
                </c:pt>
                <c:pt idx="782">
                  <c:v>41944</c:v>
                </c:pt>
                <c:pt idx="783">
                  <c:v>41944</c:v>
                </c:pt>
                <c:pt idx="784">
                  <c:v>41944</c:v>
                </c:pt>
                <c:pt idx="785">
                  <c:v>41944</c:v>
                </c:pt>
                <c:pt idx="786">
                  <c:v>41944</c:v>
                </c:pt>
                <c:pt idx="787">
                  <c:v>41944</c:v>
                </c:pt>
                <c:pt idx="788">
                  <c:v>41944</c:v>
                </c:pt>
                <c:pt idx="789">
                  <c:v>41945</c:v>
                </c:pt>
                <c:pt idx="790">
                  <c:v>41947</c:v>
                </c:pt>
                <c:pt idx="791">
                  <c:v>41947</c:v>
                </c:pt>
                <c:pt idx="792">
                  <c:v>41948</c:v>
                </c:pt>
                <c:pt idx="793">
                  <c:v>41949</c:v>
                </c:pt>
                <c:pt idx="794">
                  <c:v>41949</c:v>
                </c:pt>
                <c:pt idx="795">
                  <c:v>41949</c:v>
                </c:pt>
                <c:pt idx="796">
                  <c:v>41950</c:v>
                </c:pt>
                <c:pt idx="797">
                  <c:v>41954</c:v>
                </c:pt>
                <c:pt idx="798">
                  <c:v>41955</c:v>
                </c:pt>
                <c:pt idx="799">
                  <c:v>41956</c:v>
                </c:pt>
                <c:pt idx="800">
                  <c:v>41956</c:v>
                </c:pt>
                <c:pt idx="801">
                  <c:v>41956</c:v>
                </c:pt>
                <c:pt idx="802">
                  <c:v>41958</c:v>
                </c:pt>
                <c:pt idx="803">
                  <c:v>41961</c:v>
                </c:pt>
                <c:pt idx="804">
                  <c:v>41961</c:v>
                </c:pt>
                <c:pt idx="805">
                  <c:v>41962</c:v>
                </c:pt>
                <c:pt idx="806">
                  <c:v>41963</c:v>
                </c:pt>
                <c:pt idx="807">
                  <c:v>41963</c:v>
                </c:pt>
                <c:pt idx="808">
                  <c:v>41963</c:v>
                </c:pt>
                <c:pt idx="809">
                  <c:v>41964</c:v>
                </c:pt>
                <c:pt idx="810">
                  <c:v>41968</c:v>
                </c:pt>
                <c:pt idx="811">
                  <c:v>41969</c:v>
                </c:pt>
                <c:pt idx="812">
                  <c:v>41970</c:v>
                </c:pt>
                <c:pt idx="813">
                  <c:v>41970</c:v>
                </c:pt>
                <c:pt idx="814">
                  <c:v>41970</c:v>
                </c:pt>
                <c:pt idx="815">
                  <c:v>41972</c:v>
                </c:pt>
                <c:pt idx="816">
                  <c:v>41974</c:v>
                </c:pt>
                <c:pt idx="817">
                  <c:v>41974</c:v>
                </c:pt>
                <c:pt idx="818">
                  <c:v>41974</c:v>
                </c:pt>
                <c:pt idx="819">
                  <c:v>41974</c:v>
                </c:pt>
                <c:pt idx="820">
                  <c:v>41974</c:v>
                </c:pt>
                <c:pt idx="821">
                  <c:v>41975</c:v>
                </c:pt>
                <c:pt idx="822">
                  <c:v>41975</c:v>
                </c:pt>
                <c:pt idx="823">
                  <c:v>41975</c:v>
                </c:pt>
                <c:pt idx="824">
                  <c:v>41976</c:v>
                </c:pt>
                <c:pt idx="825">
                  <c:v>41977</c:v>
                </c:pt>
                <c:pt idx="826">
                  <c:v>41977</c:v>
                </c:pt>
                <c:pt idx="827">
                  <c:v>41977</c:v>
                </c:pt>
                <c:pt idx="828">
                  <c:v>41978</c:v>
                </c:pt>
                <c:pt idx="829">
                  <c:v>41982</c:v>
                </c:pt>
                <c:pt idx="830">
                  <c:v>41983</c:v>
                </c:pt>
                <c:pt idx="831">
                  <c:v>41984</c:v>
                </c:pt>
                <c:pt idx="832">
                  <c:v>41984</c:v>
                </c:pt>
                <c:pt idx="833">
                  <c:v>41984</c:v>
                </c:pt>
                <c:pt idx="834">
                  <c:v>41986</c:v>
                </c:pt>
                <c:pt idx="835">
                  <c:v>41989</c:v>
                </c:pt>
                <c:pt idx="836">
                  <c:v>41989</c:v>
                </c:pt>
                <c:pt idx="837">
                  <c:v>41990</c:v>
                </c:pt>
                <c:pt idx="838">
                  <c:v>41991</c:v>
                </c:pt>
                <c:pt idx="839">
                  <c:v>41991</c:v>
                </c:pt>
                <c:pt idx="840">
                  <c:v>41991</c:v>
                </c:pt>
                <c:pt idx="841">
                  <c:v>41992</c:v>
                </c:pt>
                <c:pt idx="842">
                  <c:v>41996</c:v>
                </c:pt>
                <c:pt idx="843">
                  <c:v>41997</c:v>
                </c:pt>
                <c:pt idx="844">
                  <c:v>41998</c:v>
                </c:pt>
                <c:pt idx="845">
                  <c:v>41998</c:v>
                </c:pt>
                <c:pt idx="846">
                  <c:v>41998</c:v>
                </c:pt>
              </c:numCache>
            </c:numRef>
          </c:xVal>
          <c:yVal>
            <c:numRef>
              <c:f>'45ph'!$E$2:$E$926</c:f>
              <c:numCache>
                <c:formatCode>_("$"* #,##0.00_);_("$"* \(#,##0.00\);_("$"* "-"??_);_(@_)</c:formatCode>
                <c:ptCount val="925"/>
                <c:pt idx="0">
                  <c:v>3000</c:v>
                </c:pt>
                <c:pt idx="1">
                  <c:v>6600</c:v>
                </c:pt>
                <c:pt idx="2">
                  <c:v>3794</c:v>
                </c:pt>
                <c:pt idx="3">
                  <c:v>3694</c:v>
                </c:pt>
                <c:pt idx="4">
                  <c:v>3494</c:v>
                </c:pt>
                <c:pt idx="5">
                  <c:v>3094</c:v>
                </c:pt>
                <c:pt idx="6">
                  <c:v>2794</c:v>
                </c:pt>
                <c:pt idx="7">
                  <c:v>2768</c:v>
                </c:pt>
                <c:pt idx="8">
                  <c:v>2528</c:v>
                </c:pt>
                <c:pt idx="9">
                  <c:v>2408</c:v>
                </c:pt>
                <c:pt idx="10">
                  <c:v>908</c:v>
                </c:pt>
                <c:pt idx="11">
                  <c:v>788</c:v>
                </c:pt>
                <c:pt idx="12">
                  <c:v>-112</c:v>
                </c:pt>
                <c:pt idx="13">
                  <c:v>-512</c:v>
                </c:pt>
                <c:pt idx="14">
                  <c:v>-692</c:v>
                </c:pt>
                <c:pt idx="15">
                  <c:v>-992</c:v>
                </c:pt>
                <c:pt idx="16">
                  <c:v>2234</c:v>
                </c:pt>
                <c:pt idx="17">
                  <c:v>2134</c:v>
                </c:pt>
                <c:pt idx="18">
                  <c:v>2014</c:v>
                </c:pt>
                <c:pt idx="19">
                  <c:v>1614</c:v>
                </c:pt>
                <c:pt idx="20">
                  <c:v>1434</c:v>
                </c:pt>
                <c:pt idx="21">
                  <c:v>1134</c:v>
                </c:pt>
                <c:pt idx="22">
                  <c:v>4734</c:v>
                </c:pt>
                <c:pt idx="23">
                  <c:v>1928</c:v>
                </c:pt>
                <c:pt idx="24">
                  <c:v>1828</c:v>
                </c:pt>
                <c:pt idx="25">
                  <c:v>1708</c:v>
                </c:pt>
                <c:pt idx="26">
                  <c:v>1308</c:v>
                </c:pt>
                <c:pt idx="27">
                  <c:v>1128</c:v>
                </c:pt>
                <c:pt idx="28">
                  <c:v>828</c:v>
                </c:pt>
                <c:pt idx="29">
                  <c:v>4054</c:v>
                </c:pt>
                <c:pt idx="30">
                  <c:v>3954</c:v>
                </c:pt>
                <c:pt idx="31">
                  <c:v>3834</c:v>
                </c:pt>
                <c:pt idx="32">
                  <c:v>3434</c:v>
                </c:pt>
                <c:pt idx="33">
                  <c:v>3254</c:v>
                </c:pt>
                <c:pt idx="34">
                  <c:v>2954</c:v>
                </c:pt>
                <c:pt idx="35">
                  <c:v>6554</c:v>
                </c:pt>
                <c:pt idx="36">
                  <c:v>3748</c:v>
                </c:pt>
                <c:pt idx="37">
                  <c:v>3648</c:v>
                </c:pt>
                <c:pt idx="38">
                  <c:v>3528</c:v>
                </c:pt>
                <c:pt idx="39">
                  <c:v>3128</c:v>
                </c:pt>
                <c:pt idx="40">
                  <c:v>2948</c:v>
                </c:pt>
                <c:pt idx="41">
                  <c:v>2648</c:v>
                </c:pt>
                <c:pt idx="42">
                  <c:v>5874</c:v>
                </c:pt>
                <c:pt idx="43">
                  <c:v>5674</c:v>
                </c:pt>
                <c:pt idx="44">
                  <c:v>5274</c:v>
                </c:pt>
                <c:pt idx="45">
                  <c:v>4974</c:v>
                </c:pt>
                <c:pt idx="46">
                  <c:v>4674</c:v>
                </c:pt>
                <c:pt idx="47">
                  <c:v>4648</c:v>
                </c:pt>
                <c:pt idx="48">
                  <c:v>4408</c:v>
                </c:pt>
                <c:pt idx="49">
                  <c:v>4288</c:v>
                </c:pt>
                <c:pt idx="50">
                  <c:v>3388</c:v>
                </c:pt>
                <c:pt idx="51">
                  <c:v>3288</c:v>
                </c:pt>
                <c:pt idx="52">
                  <c:v>3168</c:v>
                </c:pt>
                <c:pt idx="53">
                  <c:v>2768</c:v>
                </c:pt>
                <c:pt idx="54">
                  <c:v>2588</c:v>
                </c:pt>
                <c:pt idx="55">
                  <c:v>2288</c:v>
                </c:pt>
                <c:pt idx="56">
                  <c:v>5888</c:v>
                </c:pt>
                <c:pt idx="57">
                  <c:v>3082</c:v>
                </c:pt>
                <c:pt idx="58">
                  <c:v>2982</c:v>
                </c:pt>
                <c:pt idx="59">
                  <c:v>2862</c:v>
                </c:pt>
                <c:pt idx="60">
                  <c:v>2462</c:v>
                </c:pt>
                <c:pt idx="61">
                  <c:v>2282</c:v>
                </c:pt>
                <c:pt idx="62">
                  <c:v>1982</c:v>
                </c:pt>
                <c:pt idx="63">
                  <c:v>5208</c:v>
                </c:pt>
                <c:pt idx="64">
                  <c:v>5108</c:v>
                </c:pt>
                <c:pt idx="65">
                  <c:v>4988</c:v>
                </c:pt>
                <c:pt idx="66">
                  <c:v>4588</c:v>
                </c:pt>
                <c:pt idx="67">
                  <c:v>4408</c:v>
                </c:pt>
                <c:pt idx="68">
                  <c:v>4108</c:v>
                </c:pt>
                <c:pt idx="69">
                  <c:v>7708</c:v>
                </c:pt>
                <c:pt idx="70">
                  <c:v>4902</c:v>
                </c:pt>
                <c:pt idx="71">
                  <c:v>4802</c:v>
                </c:pt>
                <c:pt idx="72">
                  <c:v>4682</c:v>
                </c:pt>
                <c:pt idx="73">
                  <c:v>4282</c:v>
                </c:pt>
                <c:pt idx="74">
                  <c:v>4102</c:v>
                </c:pt>
                <c:pt idx="75">
                  <c:v>3802</c:v>
                </c:pt>
                <c:pt idx="76">
                  <c:v>7028</c:v>
                </c:pt>
                <c:pt idx="77">
                  <c:v>6828</c:v>
                </c:pt>
                <c:pt idx="78">
                  <c:v>6428</c:v>
                </c:pt>
                <c:pt idx="79">
                  <c:v>6402</c:v>
                </c:pt>
                <c:pt idx="80">
                  <c:v>6162</c:v>
                </c:pt>
                <c:pt idx="81">
                  <c:v>6042</c:v>
                </c:pt>
                <c:pt idx="82">
                  <c:v>5142</c:v>
                </c:pt>
                <c:pt idx="83">
                  <c:v>5042</c:v>
                </c:pt>
                <c:pt idx="84">
                  <c:v>4922</c:v>
                </c:pt>
                <c:pt idx="85">
                  <c:v>4522</c:v>
                </c:pt>
                <c:pt idx="86">
                  <c:v>4342</c:v>
                </c:pt>
                <c:pt idx="87">
                  <c:v>4042</c:v>
                </c:pt>
                <c:pt idx="88">
                  <c:v>7642</c:v>
                </c:pt>
                <c:pt idx="89">
                  <c:v>4836</c:v>
                </c:pt>
                <c:pt idx="90">
                  <c:v>4736</c:v>
                </c:pt>
                <c:pt idx="91">
                  <c:v>4616</c:v>
                </c:pt>
                <c:pt idx="92">
                  <c:v>4216</c:v>
                </c:pt>
                <c:pt idx="93">
                  <c:v>4036</c:v>
                </c:pt>
                <c:pt idx="94">
                  <c:v>3736</c:v>
                </c:pt>
                <c:pt idx="95">
                  <c:v>6962</c:v>
                </c:pt>
                <c:pt idx="96">
                  <c:v>6862</c:v>
                </c:pt>
                <c:pt idx="97">
                  <c:v>6742</c:v>
                </c:pt>
                <c:pt idx="98">
                  <c:v>6342</c:v>
                </c:pt>
                <c:pt idx="99">
                  <c:v>6162</c:v>
                </c:pt>
                <c:pt idx="100">
                  <c:v>5862</c:v>
                </c:pt>
                <c:pt idx="101">
                  <c:v>9462</c:v>
                </c:pt>
                <c:pt idx="102">
                  <c:v>6656</c:v>
                </c:pt>
                <c:pt idx="103">
                  <c:v>6556</c:v>
                </c:pt>
                <c:pt idx="104">
                  <c:v>6436</c:v>
                </c:pt>
                <c:pt idx="105">
                  <c:v>6036</c:v>
                </c:pt>
                <c:pt idx="106">
                  <c:v>5856</c:v>
                </c:pt>
                <c:pt idx="107">
                  <c:v>5556</c:v>
                </c:pt>
                <c:pt idx="108">
                  <c:v>8782</c:v>
                </c:pt>
                <c:pt idx="109">
                  <c:v>8582</c:v>
                </c:pt>
                <c:pt idx="110">
                  <c:v>8182</c:v>
                </c:pt>
                <c:pt idx="111">
                  <c:v>7882</c:v>
                </c:pt>
                <c:pt idx="112">
                  <c:v>7856</c:v>
                </c:pt>
                <c:pt idx="113">
                  <c:v>7616</c:v>
                </c:pt>
                <c:pt idx="114">
                  <c:v>7496</c:v>
                </c:pt>
                <c:pt idx="115">
                  <c:v>5996</c:v>
                </c:pt>
                <c:pt idx="116">
                  <c:v>5896</c:v>
                </c:pt>
                <c:pt idx="117">
                  <c:v>4996</c:v>
                </c:pt>
                <c:pt idx="118">
                  <c:v>4876</c:v>
                </c:pt>
                <c:pt idx="119">
                  <c:v>4476</c:v>
                </c:pt>
                <c:pt idx="120">
                  <c:v>4296</c:v>
                </c:pt>
                <c:pt idx="121">
                  <c:v>3996</c:v>
                </c:pt>
                <c:pt idx="122">
                  <c:v>7596</c:v>
                </c:pt>
                <c:pt idx="123">
                  <c:v>4790</c:v>
                </c:pt>
                <c:pt idx="124">
                  <c:v>4690</c:v>
                </c:pt>
                <c:pt idx="125">
                  <c:v>4570</c:v>
                </c:pt>
                <c:pt idx="126">
                  <c:v>4170</c:v>
                </c:pt>
                <c:pt idx="127">
                  <c:v>3990</c:v>
                </c:pt>
                <c:pt idx="128">
                  <c:v>3690</c:v>
                </c:pt>
                <c:pt idx="129">
                  <c:v>6916</c:v>
                </c:pt>
                <c:pt idx="130">
                  <c:v>6816</c:v>
                </c:pt>
                <c:pt idx="131">
                  <c:v>6696</c:v>
                </c:pt>
                <c:pt idx="132">
                  <c:v>6296</c:v>
                </c:pt>
                <c:pt idx="133">
                  <c:v>6116</c:v>
                </c:pt>
                <c:pt idx="134">
                  <c:v>5816</c:v>
                </c:pt>
                <c:pt idx="135">
                  <c:v>9416</c:v>
                </c:pt>
                <c:pt idx="136">
                  <c:v>6610</c:v>
                </c:pt>
                <c:pt idx="137">
                  <c:v>6510</c:v>
                </c:pt>
                <c:pt idx="138">
                  <c:v>6390</c:v>
                </c:pt>
                <c:pt idx="139">
                  <c:v>5990</c:v>
                </c:pt>
                <c:pt idx="140">
                  <c:v>5810</c:v>
                </c:pt>
                <c:pt idx="141">
                  <c:v>5510</c:v>
                </c:pt>
                <c:pt idx="142">
                  <c:v>8736</c:v>
                </c:pt>
                <c:pt idx="143">
                  <c:v>8636</c:v>
                </c:pt>
                <c:pt idx="144">
                  <c:v>8516</c:v>
                </c:pt>
                <c:pt idx="145">
                  <c:v>8316</c:v>
                </c:pt>
                <c:pt idx="146">
                  <c:v>7916</c:v>
                </c:pt>
                <c:pt idx="147">
                  <c:v>7616</c:v>
                </c:pt>
                <c:pt idx="148">
                  <c:v>7316</c:v>
                </c:pt>
                <c:pt idx="149">
                  <c:v>7290</c:v>
                </c:pt>
                <c:pt idx="150">
                  <c:v>7050</c:v>
                </c:pt>
                <c:pt idx="151">
                  <c:v>6930</c:v>
                </c:pt>
                <c:pt idx="152">
                  <c:v>6530</c:v>
                </c:pt>
                <c:pt idx="153">
                  <c:v>6350</c:v>
                </c:pt>
                <c:pt idx="154">
                  <c:v>6050</c:v>
                </c:pt>
                <c:pt idx="155">
                  <c:v>5150</c:v>
                </c:pt>
                <c:pt idx="156">
                  <c:v>8750</c:v>
                </c:pt>
                <c:pt idx="157">
                  <c:v>5944</c:v>
                </c:pt>
                <c:pt idx="158">
                  <c:v>5844</c:v>
                </c:pt>
                <c:pt idx="159">
                  <c:v>5724</c:v>
                </c:pt>
                <c:pt idx="160">
                  <c:v>5324</c:v>
                </c:pt>
                <c:pt idx="161">
                  <c:v>5144</c:v>
                </c:pt>
                <c:pt idx="162">
                  <c:v>4844</c:v>
                </c:pt>
                <c:pt idx="163">
                  <c:v>8070</c:v>
                </c:pt>
                <c:pt idx="164">
                  <c:v>7970</c:v>
                </c:pt>
                <c:pt idx="165">
                  <c:v>7850</c:v>
                </c:pt>
                <c:pt idx="166">
                  <c:v>7450</c:v>
                </c:pt>
                <c:pt idx="167">
                  <c:v>7270</c:v>
                </c:pt>
                <c:pt idx="168">
                  <c:v>6970</c:v>
                </c:pt>
                <c:pt idx="169">
                  <c:v>10570</c:v>
                </c:pt>
                <c:pt idx="170">
                  <c:v>7764</c:v>
                </c:pt>
                <c:pt idx="171">
                  <c:v>7664</c:v>
                </c:pt>
                <c:pt idx="172">
                  <c:v>7544</c:v>
                </c:pt>
                <c:pt idx="173">
                  <c:v>7144</c:v>
                </c:pt>
                <c:pt idx="174">
                  <c:v>6964</c:v>
                </c:pt>
                <c:pt idx="175">
                  <c:v>6664</c:v>
                </c:pt>
                <c:pt idx="176">
                  <c:v>9890</c:v>
                </c:pt>
                <c:pt idx="177">
                  <c:v>9790</c:v>
                </c:pt>
                <c:pt idx="178">
                  <c:v>9670</c:v>
                </c:pt>
                <c:pt idx="179">
                  <c:v>9270</c:v>
                </c:pt>
                <c:pt idx="180">
                  <c:v>9090</c:v>
                </c:pt>
                <c:pt idx="181">
                  <c:v>8790</c:v>
                </c:pt>
                <c:pt idx="182">
                  <c:v>12390</c:v>
                </c:pt>
                <c:pt idx="183">
                  <c:v>12190</c:v>
                </c:pt>
                <c:pt idx="184">
                  <c:v>11790</c:v>
                </c:pt>
                <c:pt idx="185">
                  <c:v>11764</c:v>
                </c:pt>
                <c:pt idx="186">
                  <c:v>11524</c:v>
                </c:pt>
                <c:pt idx="187">
                  <c:v>11404</c:v>
                </c:pt>
                <c:pt idx="188">
                  <c:v>10504</c:v>
                </c:pt>
                <c:pt idx="189">
                  <c:v>7698</c:v>
                </c:pt>
                <c:pt idx="190">
                  <c:v>7598</c:v>
                </c:pt>
                <c:pt idx="191">
                  <c:v>7478</c:v>
                </c:pt>
                <c:pt idx="192">
                  <c:v>7078</c:v>
                </c:pt>
                <c:pt idx="193">
                  <c:v>6898</c:v>
                </c:pt>
                <c:pt idx="194">
                  <c:v>6598</c:v>
                </c:pt>
                <c:pt idx="195">
                  <c:v>9824</c:v>
                </c:pt>
                <c:pt idx="196">
                  <c:v>9724</c:v>
                </c:pt>
                <c:pt idx="197">
                  <c:v>9604</c:v>
                </c:pt>
                <c:pt idx="198">
                  <c:v>9204</c:v>
                </c:pt>
                <c:pt idx="199">
                  <c:v>9024</c:v>
                </c:pt>
                <c:pt idx="200">
                  <c:v>8724</c:v>
                </c:pt>
                <c:pt idx="201">
                  <c:v>12324</c:v>
                </c:pt>
                <c:pt idx="202">
                  <c:v>9518</c:v>
                </c:pt>
                <c:pt idx="203">
                  <c:v>9418</c:v>
                </c:pt>
                <c:pt idx="204">
                  <c:v>9298</c:v>
                </c:pt>
                <c:pt idx="205">
                  <c:v>8898</c:v>
                </c:pt>
                <c:pt idx="206">
                  <c:v>8718</c:v>
                </c:pt>
                <c:pt idx="207">
                  <c:v>8418</c:v>
                </c:pt>
                <c:pt idx="208">
                  <c:v>11644</c:v>
                </c:pt>
                <c:pt idx="209">
                  <c:v>11544</c:v>
                </c:pt>
                <c:pt idx="210">
                  <c:v>11424</c:v>
                </c:pt>
                <c:pt idx="211">
                  <c:v>11024</c:v>
                </c:pt>
                <c:pt idx="212">
                  <c:v>10844</c:v>
                </c:pt>
                <c:pt idx="213">
                  <c:v>10544</c:v>
                </c:pt>
                <c:pt idx="214">
                  <c:v>14144</c:v>
                </c:pt>
                <c:pt idx="215">
                  <c:v>13944</c:v>
                </c:pt>
                <c:pt idx="216">
                  <c:v>13544</c:v>
                </c:pt>
                <c:pt idx="217">
                  <c:v>13244</c:v>
                </c:pt>
                <c:pt idx="218">
                  <c:v>13218</c:v>
                </c:pt>
                <c:pt idx="219">
                  <c:v>12978</c:v>
                </c:pt>
                <c:pt idx="220">
                  <c:v>12858</c:v>
                </c:pt>
                <c:pt idx="221">
                  <c:v>10052</c:v>
                </c:pt>
                <c:pt idx="222">
                  <c:v>9952</c:v>
                </c:pt>
                <c:pt idx="223">
                  <c:v>9052</c:v>
                </c:pt>
                <c:pt idx="224">
                  <c:v>8932</c:v>
                </c:pt>
                <c:pt idx="225">
                  <c:v>8532</c:v>
                </c:pt>
                <c:pt idx="226">
                  <c:v>8352</c:v>
                </c:pt>
                <c:pt idx="227">
                  <c:v>8052</c:v>
                </c:pt>
                <c:pt idx="228">
                  <c:v>11278</c:v>
                </c:pt>
                <c:pt idx="229">
                  <c:v>11178</c:v>
                </c:pt>
                <c:pt idx="230">
                  <c:v>11058</c:v>
                </c:pt>
                <c:pt idx="231">
                  <c:v>10658</c:v>
                </c:pt>
                <c:pt idx="232">
                  <c:v>10478</c:v>
                </c:pt>
                <c:pt idx="233">
                  <c:v>10178</c:v>
                </c:pt>
                <c:pt idx="234">
                  <c:v>13778</c:v>
                </c:pt>
                <c:pt idx="235">
                  <c:v>10972</c:v>
                </c:pt>
                <c:pt idx="236">
                  <c:v>10872</c:v>
                </c:pt>
                <c:pt idx="237">
                  <c:v>10752</c:v>
                </c:pt>
                <c:pt idx="238">
                  <c:v>10352</c:v>
                </c:pt>
                <c:pt idx="239">
                  <c:v>10172</c:v>
                </c:pt>
                <c:pt idx="240">
                  <c:v>9872</c:v>
                </c:pt>
                <c:pt idx="241">
                  <c:v>13098</c:v>
                </c:pt>
                <c:pt idx="242">
                  <c:v>12998</c:v>
                </c:pt>
                <c:pt idx="243">
                  <c:v>12878</c:v>
                </c:pt>
                <c:pt idx="244">
                  <c:v>12478</c:v>
                </c:pt>
                <c:pt idx="245">
                  <c:v>12298</c:v>
                </c:pt>
                <c:pt idx="246">
                  <c:v>11998</c:v>
                </c:pt>
                <c:pt idx="247">
                  <c:v>15598</c:v>
                </c:pt>
                <c:pt idx="248">
                  <c:v>12792</c:v>
                </c:pt>
                <c:pt idx="249">
                  <c:v>12692</c:v>
                </c:pt>
                <c:pt idx="250">
                  <c:v>12572</c:v>
                </c:pt>
                <c:pt idx="251">
                  <c:v>12172</c:v>
                </c:pt>
                <c:pt idx="252">
                  <c:v>11992</c:v>
                </c:pt>
                <c:pt idx="253">
                  <c:v>11692</c:v>
                </c:pt>
                <c:pt idx="254">
                  <c:v>11492</c:v>
                </c:pt>
                <c:pt idx="255">
                  <c:v>11092</c:v>
                </c:pt>
                <c:pt idx="256">
                  <c:v>10792</c:v>
                </c:pt>
                <c:pt idx="257">
                  <c:v>10492</c:v>
                </c:pt>
                <c:pt idx="258">
                  <c:v>10466</c:v>
                </c:pt>
                <c:pt idx="259">
                  <c:v>10226</c:v>
                </c:pt>
                <c:pt idx="260">
                  <c:v>10106</c:v>
                </c:pt>
                <c:pt idx="261">
                  <c:v>13332</c:v>
                </c:pt>
                <c:pt idx="262">
                  <c:v>12432</c:v>
                </c:pt>
                <c:pt idx="263">
                  <c:v>12332</c:v>
                </c:pt>
                <c:pt idx="264">
                  <c:v>12212</c:v>
                </c:pt>
                <c:pt idx="265">
                  <c:v>11812</c:v>
                </c:pt>
                <c:pt idx="266">
                  <c:v>11632</c:v>
                </c:pt>
                <c:pt idx="267">
                  <c:v>11332</c:v>
                </c:pt>
                <c:pt idx="268">
                  <c:v>14932</c:v>
                </c:pt>
                <c:pt idx="269">
                  <c:v>12126</c:v>
                </c:pt>
                <c:pt idx="270">
                  <c:v>12026</c:v>
                </c:pt>
                <c:pt idx="271">
                  <c:v>11906</c:v>
                </c:pt>
                <c:pt idx="272">
                  <c:v>11506</c:v>
                </c:pt>
                <c:pt idx="273">
                  <c:v>11326</c:v>
                </c:pt>
                <c:pt idx="274">
                  <c:v>11026</c:v>
                </c:pt>
                <c:pt idx="275">
                  <c:v>14252</c:v>
                </c:pt>
                <c:pt idx="276">
                  <c:v>14152</c:v>
                </c:pt>
                <c:pt idx="277">
                  <c:v>14032</c:v>
                </c:pt>
                <c:pt idx="278">
                  <c:v>13632</c:v>
                </c:pt>
                <c:pt idx="279">
                  <c:v>13452</c:v>
                </c:pt>
                <c:pt idx="280">
                  <c:v>13152</c:v>
                </c:pt>
                <c:pt idx="281">
                  <c:v>16752</c:v>
                </c:pt>
                <c:pt idx="282">
                  <c:v>13946</c:v>
                </c:pt>
                <c:pt idx="283">
                  <c:v>13846</c:v>
                </c:pt>
                <c:pt idx="284">
                  <c:v>13726</c:v>
                </c:pt>
                <c:pt idx="285">
                  <c:v>13326</c:v>
                </c:pt>
                <c:pt idx="286">
                  <c:v>13146</c:v>
                </c:pt>
                <c:pt idx="287">
                  <c:v>12846</c:v>
                </c:pt>
                <c:pt idx="288">
                  <c:v>16072</c:v>
                </c:pt>
                <c:pt idx="289">
                  <c:v>15872</c:v>
                </c:pt>
                <c:pt idx="290">
                  <c:v>15472</c:v>
                </c:pt>
                <c:pt idx="291">
                  <c:v>15446</c:v>
                </c:pt>
                <c:pt idx="292">
                  <c:v>15206</c:v>
                </c:pt>
                <c:pt idx="293">
                  <c:v>15086</c:v>
                </c:pt>
                <c:pt idx="294">
                  <c:v>14186</c:v>
                </c:pt>
                <c:pt idx="295">
                  <c:v>14086</c:v>
                </c:pt>
                <c:pt idx="296">
                  <c:v>13966</c:v>
                </c:pt>
                <c:pt idx="297">
                  <c:v>13566</c:v>
                </c:pt>
                <c:pt idx="298">
                  <c:v>13386</c:v>
                </c:pt>
                <c:pt idx="299">
                  <c:v>13086</c:v>
                </c:pt>
                <c:pt idx="300">
                  <c:v>16686</c:v>
                </c:pt>
                <c:pt idx="301">
                  <c:v>13880</c:v>
                </c:pt>
                <c:pt idx="302">
                  <c:v>13780</c:v>
                </c:pt>
                <c:pt idx="303">
                  <c:v>13660</c:v>
                </c:pt>
                <c:pt idx="304">
                  <c:v>13260</c:v>
                </c:pt>
                <c:pt idx="305">
                  <c:v>13080</c:v>
                </c:pt>
                <c:pt idx="306">
                  <c:v>12780</c:v>
                </c:pt>
                <c:pt idx="307">
                  <c:v>16006</c:v>
                </c:pt>
                <c:pt idx="308">
                  <c:v>15906</c:v>
                </c:pt>
                <c:pt idx="309">
                  <c:v>15786</c:v>
                </c:pt>
                <c:pt idx="310">
                  <c:v>15386</c:v>
                </c:pt>
                <c:pt idx="311">
                  <c:v>15206</c:v>
                </c:pt>
                <c:pt idx="312">
                  <c:v>14906</c:v>
                </c:pt>
                <c:pt idx="313">
                  <c:v>18506</c:v>
                </c:pt>
                <c:pt idx="314">
                  <c:v>15700</c:v>
                </c:pt>
                <c:pt idx="315">
                  <c:v>15600</c:v>
                </c:pt>
                <c:pt idx="316">
                  <c:v>15480</c:v>
                </c:pt>
                <c:pt idx="317">
                  <c:v>15080</c:v>
                </c:pt>
                <c:pt idx="318">
                  <c:v>14900</c:v>
                </c:pt>
                <c:pt idx="319">
                  <c:v>14600</c:v>
                </c:pt>
                <c:pt idx="320">
                  <c:v>17826</c:v>
                </c:pt>
                <c:pt idx="321">
                  <c:v>17726</c:v>
                </c:pt>
                <c:pt idx="322">
                  <c:v>17526</c:v>
                </c:pt>
                <c:pt idx="323">
                  <c:v>17126</c:v>
                </c:pt>
                <c:pt idx="324">
                  <c:v>16826</c:v>
                </c:pt>
                <c:pt idx="325">
                  <c:v>16800</c:v>
                </c:pt>
                <c:pt idx="326">
                  <c:v>16560</c:v>
                </c:pt>
                <c:pt idx="327">
                  <c:v>16440</c:v>
                </c:pt>
                <c:pt idx="328">
                  <c:v>16320</c:v>
                </c:pt>
                <c:pt idx="329">
                  <c:v>15420</c:v>
                </c:pt>
                <c:pt idx="330">
                  <c:v>15020</c:v>
                </c:pt>
                <c:pt idx="331">
                  <c:v>14840</c:v>
                </c:pt>
                <c:pt idx="332">
                  <c:v>14540</c:v>
                </c:pt>
                <c:pt idx="333">
                  <c:v>18140</c:v>
                </c:pt>
                <c:pt idx="334">
                  <c:v>15334</c:v>
                </c:pt>
                <c:pt idx="335">
                  <c:v>15234</c:v>
                </c:pt>
                <c:pt idx="336">
                  <c:v>15114</c:v>
                </c:pt>
                <c:pt idx="337">
                  <c:v>14714</c:v>
                </c:pt>
                <c:pt idx="338">
                  <c:v>14534</c:v>
                </c:pt>
                <c:pt idx="339">
                  <c:v>14234</c:v>
                </c:pt>
                <c:pt idx="340">
                  <c:v>17460</c:v>
                </c:pt>
                <c:pt idx="341">
                  <c:v>17360</c:v>
                </c:pt>
                <c:pt idx="342">
                  <c:v>17240</c:v>
                </c:pt>
                <c:pt idx="343">
                  <c:v>16840</c:v>
                </c:pt>
                <c:pt idx="344">
                  <c:v>16660</c:v>
                </c:pt>
                <c:pt idx="345">
                  <c:v>16360</c:v>
                </c:pt>
                <c:pt idx="346">
                  <c:v>19960</c:v>
                </c:pt>
                <c:pt idx="347">
                  <c:v>17154</c:v>
                </c:pt>
                <c:pt idx="348">
                  <c:v>17054</c:v>
                </c:pt>
                <c:pt idx="349">
                  <c:v>16934</c:v>
                </c:pt>
                <c:pt idx="350">
                  <c:v>16534</c:v>
                </c:pt>
                <c:pt idx="351">
                  <c:v>16354</c:v>
                </c:pt>
                <c:pt idx="352">
                  <c:v>16054</c:v>
                </c:pt>
                <c:pt idx="353">
                  <c:v>19280</c:v>
                </c:pt>
                <c:pt idx="354">
                  <c:v>19180</c:v>
                </c:pt>
                <c:pt idx="355">
                  <c:v>19060</c:v>
                </c:pt>
                <c:pt idx="356">
                  <c:v>18660</c:v>
                </c:pt>
                <c:pt idx="357">
                  <c:v>18480</c:v>
                </c:pt>
                <c:pt idx="358">
                  <c:v>18180</c:v>
                </c:pt>
                <c:pt idx="359">
                  <c:v>17980</c:v>
                </c:pt>
                <c:pt idx="360">
                  <c:v>17580</c:v>
                </c:pt>
                <c:pt idx="361">
                  <c:v>17280</c:v>
                </c:pt>
                <c:pt idx="362">
                  <c:v>16980</c:v>
                </c:pt>
                <c:pt idx="363">
                  <c:v>16954</c:v>
                </c:pt>
                <c:pt idx="364">
                  <c:v>16714</c:v>
                </c:pt>
                <c:pt idx="365">
                  <c:v>16594</c:v>
                </c:pt>
                <c:pt idx="366">
                  <c:v>20194</c:v>
                </c:pt>
                <c:pt idx="367">
                  <c:v>19294</c:v>
                </c:pt>
                <c:pt idx="368">
                  <c:v>16488</c:v>
                </c:pt>
                <c:pt idx="369">
                  <c:v>16388</c:v>
                </c:pt>
                <c:pt idx="370">
                  <c:v>16268</c:v>
                </c:pt>
                <c:pt idx="371">
                  <c:v>15868</c:v>
                </c:pt>
                <c:pt idx="372">
                  <c:v>15688</c:v>
                </c:pt>
                <c:pt idx="373">
                  <c:v>15388</c:v>
                </c:pt>
                <c:pt idx="374">
                  <c:v>18614</c:v>
                </c:pt>
                <c:pt idx="375">
                  <c:v>18514</c:v>
                </c:pt>
                <c:pt idx="376">
                  <c:v>18394</c:v>
                </c:pt>
                <c:pt idx="377">
                  <c:v>17994</c:v>
                </c:pt>
                <c:pt idx="378">
                  <c:v>17814</c:v>
                </c:pt>
                <c:pt idx="379">
                  <c:v>17514</c:v>
                </c:pt>
                <c:pt idx="380">
                  <c:v>21114</c:v>
                </c:pt>
                <c:pt idx="381">
                  <c:v>18308</c:v>
                </c:pt>
                <c:pt idx="382">
                  <c:v>18208</c:v>
                </c:pt>
                <c:pt idx="383">
                  <c:v>18088</c:v>
                </c:pt>
                <c:pt idx="384">
                  <c:v>17688</c:v>
                </c:pt>
                <c:pt idx="385">
                  <c:v>17508</c:v>
                </c:pt>
                <c:pt idx="386">
                  <c:v>17208</c:v>
                </c:pt>
                <c:pt idx="387">
                  <c:v>20434</c:v>
                </c:pt>
                <c:pt idx="388">
                  <c:v>20334</c:v>
                </c:pt>
                <c:pt idx="389">
                  <c:v>20214</c:v>
                </c:pt>
                <c:pt idx="390">
                  <c:v>19814</c:v>
                </c:pt>
                <c:pt idx="391">
                  <c:v>19634</c:v>
                </c:pt>
                <c:pt idx="392">
                  <c:v>19334</c:v>
                </c:pt>
                <c:pt idx="393">
                  <c:v>22934</c:v>
                </c:pt>
                <c:pt idx="394">
                  <c:v>22734</c:v>
                </c:pt>
                <c:pt idx="395">
                  <c:v>22334</c:v>
                </c:pt>
                <c:pt idx="396">
                  <c:v>22308</c:v>
                </c:pt>
                <c:pt idx="397">
                  <c:v>22068</c:v>
                </c:pt>
                <c:pt idx="398">
                  <c:v>21948</c:v>
                </c:pt>
                <c:pt idx="399">
                  <c:v>21048</c:v>
                </c:pt>
                <c:pt idx="400">
                  <c:v>18242</c:v>
                </c:pt>
                <c:pt idx="401">
                  <c:v>18142</c:v>
                </c:pt>
                <c:pt idx="402">
                  <c:v>18022</c:v>
                </c:pt>
                <c:pt idx="403">
                  <c:v>17622</c:v>
                </c:pt>
                <c:pt idx="404">
                  <c:v>17442</c:v>
                </c:pt>
                <c:pt idx="405">
                  <c:v>17142</c:v>
                </c:pt>
                <c:pt idx="406">
                  <c:v>20368</c:v>
                </c:pt>
                <c:pt idx="407">
                  <c:v>20268</c:v>
                </c:pt>
                <c:pt idx="408">
                  <c:v>20148</c:v>
                </c:pt>
                <c:pt idx="409">
                  <c:v>19748</c:v>
                </c:pt>
                <c:pt idx="410">
                  <c:v>19568</c:v>
                </c:pt>
                <c:pt idx="411">
                  <c:v>19268</c:v>
                </c:pt>
                <c:pt idx="412">
                  <c:v>22868</c:v>
                </c:pt>
                <c:pt idx="413">
                  <c:v>20062</c:v>
                </c:pt>
                <c:pt idx="414">
                  <c:v>19962</c:v>
                </c:pt>
                <c:pt idx="415">
                  <c:v>19842</c:v>
                </c:pt>
                <c:pt idx="416">
                  <c:v>19442</c:v>
                </c:pt>
                <c:pt idx="417">
                  <c:v>19262</c:v>
                </c:pt>
                <c:pt idx="418">
                  <c:v>18962</c:v>
                </c:pt>
                <c:pt idx="419">
                  <c:v>22188</c:v>
                </c:pt>
                <c:pt idx="420">
                  <c:v>22088</c:v>
                </c:pt>
                <c:pt idx="421">
                  <c:v>21968</c:v>
                </c:pt>
                <c:pt idx="422">
                  <c:v>21568</c:v>
                </c:pt>
                <c:pt idx="423">
                  <c:v>21388</c:v>
                </c:pt>
                <c:pt idx="424">
                  <c:v>21088</c:v>
                </c:pt>
                <c:pt idx="425">
                  <c:v>24688</c:v>
                </c:pt>
                <c:pt idx="426">
                  <c:v>21882</c:v>
                </c:pt>
                <c:pt idx="427">
                  <c:v>21782</c:v>
                </c:pt>
                <c:pt idx="428">
                  <c:v>21662</c:v>
                </c:pt>
                <c:pt idx="429">
                  <c:v>21462</c:v>
                </c:pt>
                <c:pt idx="430">
                  <c:v>21062</c:v>
                </c:pt>
                <c:pt idx="431">
                  <c:v>20762</c:v>
                </c:pt>
                <c:pt idx="432">
                  <c:v>20736</c:v>
                </c:pt>
                <c:pt idx="433">
                  <c:v>20496</c:v>
                </c:pt>
                <c:pt idx="434">
                  <c:v>20376</c:v>
                </c:pt>
                <c:pt idx="435">
                  <c:v>19976</c:v>
                </c:pt>
                <c:pt idx="436">
                  <c:v>19796</c:v>
                </c:pt>
                <c:pt idx="437">
                  <c:v>19496</c:v>
                </c:pt>
                <c:pt idx="438">
                  <c:v>18596</c:v>
                </c:pt>
                <c:pt idx="439">
                  <c:v>21822</c:v>
                </c:pt>
                <c:pt idx="440">
                  <c:v>21722</c:v>
                </c:pt>
                <c:pt idx="441">
                  <c:v>21602</c:v>
                </c:pt>
                <c:pt idx="442">
                  <c:v>21202</c:v>
                </c:pt>
                <c:pt idx="443">
                  <c:v>21022</c:v>
                </c:pt>
                <c:pt idx="444">
                  <c:v>20722</c:v>
                </c:pt>
                <c:pt idx="445">
                  <c:v>24322</c:v>
                </c:pt>
                <c:pt idx="446">
                  <c:v>21516</c:v>
                </c:pt>
                <c:pt idx="447">
                  <c:v>21416</c:v>
                </c:pt>
                <c:pt idx="448">
                  <c:v>21296</c:v>
                </c:pt>
                <c:pt idx="449">
                  <c:v>20896</c:v>
                </c:pt>
                <c:pt idx="450">
                  <c:v>20716</c:v>
                </c:pt>
                <c:pt idx="451">
                  <c:v>20416</c:v>
                </c:pt>
                <c:pt idx="452">
                  <c:v>23642</c:v>
                </c:pt>
                <c:pt idx="453">
                  <c:v>23542</c:v>
                </c:pt>
                <c:pt idx="454">
                  <c:v>23422</c:v>
                </c:pt>
                <c:pt idx="455">
                  <c:v>23022</c:v>
                </c:pt>
                <c:pt idx="456">
                  <c:v>22842</c:v>
                </c:pt>
                <c:pt idx="457">
                  <c:v>22542</c:v>
                </c:pt>
                <c:pt idx="458">
                  <c:v>26142</c:v>
                </c:pt>
                <c:pt idx="459">
                  <c:v>23336</c:v>
                </c:pt>
                <c:pt idx="460">
                  <c:v>23236</c:v>
                </c:pt>
                <c:pt idx="461">
                  <c:v>23116</c:v>
                </c:pt>
                <c:pt idx="462">
                  <c:v>22716</c:v>
                </c:pt>
                <c:pt idx="463">
                  <c:v>22536</c:v>
                </c:pt>
                <c:pt idx="464">
                  <c:v>22236</c:v>
                </c:pt>
                <c:pt idx="465">
                  <c:v>25462</c:v>
                </c:pt>
                <c:pt idx="466">
                  <c:v>25262</c:v>
                </c:pt>
                <c:pt idx="467">
                  <c:v>24862</c:v>
                </c:pt>
                <c:pt idx="468">
                  <c:v>24562</c:v>
                </c:pt>
                <c:pt idx="469">
                  <c:v>24262</c:v>
                </c:pt>
                <c:pt idx="470">
                  <c:v>24236</c:v>
                </c:pt>
                <c:pt idx="471">
                  <c:v>23996</c:v>
                </c:pt>
                <c:pt idx="472">
                  <c:v>23876</c:v>
                </c:pt>
                <c:pt idx="473">
                  <c:v>22976</c:v>
                </c:pt>
                <c:pt idx="474">
                  <c:v>22876</c:v>
                </c:pt>
                <c:pt idx="475">
                  <c:v>22756</c:v>
                </c:pt>
                <c:pt idx="476">
                  <c:v>22356</c:v>
                </c:pt>
                <c:pt idx="477">
                  <c:v>22176</c:v>
                </c:pt>
                <c:pt idx="478">
                  <c:v>21876</c:v>
                </c:pt>
                <c:pt idx="479">
                  <c:v>25476</c:v>
                </c:pt>
                <c:pt idx="480">
                  <c:v>22670</c:v>
                </c:pt>
                <c:pt idx="481">
                  <c:v>22570</c:v>
                </c:pt>
                <c:pt idx="482">
                  <c:v>22450</c:v>
                </c:pt>
                <c:pt idx="483">
                  <c:v>22050</c:v>
                </c:pt>
                <c:pt idx="484">
                  <c:v>21870</c:v>
                </c:pt>
                <c:pt idx="485">
                  <c:v>21570</c:v>
                </c:pt>
                <c:pt idx="486">
                  <c:v>24796</c:v>
                </c:pt>
                <c:pt idx="487">
                  <c:v>24696</c:v>
                </c:pt>
                <c:pt idx="488">
                  <c:v>24576</c:v>
                </c:pt>
                <c:pt idx="489">
                  <c:v>24176</c:v>
                </c:pt>
                <c:pt idx="490">
                  <c:v>23996</c:v>
                </c:pt>
                <c:pt idx="491">
                  <c:v>23696</c:v>
                </c:pt>
                <c:pt idx="492">
                  <c:v>27296</c:v>
                </c:pt>
                <c:pt idx="493">
                  <c:v>24490</c:v>
                </c:pt>
                <c:pt idx="494">
                  <c:v>24390</c:v>
                </c:pt>
                <c:pt idx="495">
                  <c:v>24270</c:v>
                </c:pt>
                <c:pt idx="496">
                  <c:v>23870</c:v>
                </c:pt>
                <c:pt idx="497">
                  <c:v>23690</c:v>
                </c:pt>
                <c:pt idx="498">
                  <c:v>23390</c:v>
                </c:pt>
                <c:pt idx="499">
                  <c:v>26616</c:v>
                </c:pt>
                <c:pt idx="500">
                  <c:v>26416</c:v>
                </c:pt>
                <c:pt idx="501">
                  <c:v>26016</c:v>
                </c:pt>
                <c:pt idx="502">
                  <c:v>25990</c:v>
                </c:pt>
                <c:pt idx="503">
                  <c:v>25750</c:v>
                </c:pt>
                <c:pt idx="504">
                  <c:v>25630</c:v>
                </c:pt>
                <c:pt idx="505">
                  <c:v>24730</c:v>
                </c:pt>
                <c:pt idx="506">
                  <c:v>24630</c:v>
                </c:pt>
                <c:pt idx="507">
                  <c:v>24510</c:v>
                </c:pt>
                <c:pt idx="508">
                  <c:v>24110</c:v>
                </c:pt>
                <c:pt idx="509">
                  <c:v>23930</c:v>
                </c:pt>
                <c:pt idx="510">
                  <c:v>23630</c:v>
                </c:pt>
                <c:pt idx="511">
                  <c:v>27230</c:v>
                </c:pt>
                <c:pt idx="512">
                  <c:v>24424</c:v>
                </c:pt>
                <c:pt idx="513">
                  <c:v>24324</c:v>
                </c:pt>
                <c:pt idx="514">
                  <c:v>24204</c:v>
                </c:pt>
                <c:pt idx="515">
                  <c:v>23804</c:v>
                </c:pt>
                <c:pt idx="516">
                  <c:v>23624</c:v>
                </c:pt>
                <c:pt idx="517">
                  <c:v>23324</c:v>
                </c:pt>
                <c:pt idx="518">
                  <c:v>26550</c:v>
                </c:pt>
                <c:pt idx="519">
                  <c:v>26450</c:v>
                </c:pt>
                <c:pt idx="520">
                  <c:v>26330</c:v>
                </c:pt>
                <c:pt idx="521">
                  <c:v>25930</c:v>
                </c:pt>
                <c:pt idx="522">
                  <c:v>25750</c:v>
                </c:pt>
                <c:pt idx="523">
                  <c:v>25450</c:v>
                </c:pt>
                <c:pt idx="524">
                  <c:v>29050</c:v>
                </c:pt>
                <c:pt idx="525">
                  <c:v>26244</c:v>
                </c:pt>
                <c:pt idx="526">
                  <c:v>26144</c:v>
                </c:pt>
                <c:pt idx="527">
                  <c:v>26024</c:v>
                </c:pt>
                <c:pt idx="528">
                  <c:v>25624</c:v>
                </c:pt>
                <c:pt idx="529">
                  <c:v>25444</c:v>
                </c:pt>
                <c:pt idx="530">
                  <c:v>25144</c:v>
                </c:pt>
                <c:pt idx="531">
                  <c:v>28370</c:v>
                </c:pt>
                <c:pt idx="532">
                  <c:v>28270</c:v>
                </c:pt>
                <c:pt idx="533">
                  <c:v>28070</c:v>
                </c:pt>
                <c:pt idx="534">
                  <c:v>27670</c:v>
                </c:pt>
                <c:pt idx="535">
                  <c:v>27370</c:v>
                </c:pt>
                <c:pt idx="536">
                  <c:v>27344</c:v>
                </c:pt>
                <c:pt idx="537">
                  <c:v>27104</c:v>
                </c:pt>
                <c:pt idx="538">
                  <c:v>26984</c:v>
                </c:pt>
                <c:pt idx="539">
                  <c:v>26864</c:v>
                </c:pt>
                <c:pt idx="540">
                  <c:v>25964</c:v>
                </c:pt>
                <c:pt idx="541">
                  <c:v>25564</c:v>
                </c:pt>
                <c:pt idx="542">
                  <c:v>25384</c:v>
                </c:pt>
                <c:pt idx="543">
                  <c:v>25084</c:v>
                </c:pt>
                <c:pt idx="544">
                  <c:v>28684</c:v>
                </c:pt>
                <c:pt idx="545">
                  <c:v>25878</c:v>
                </c:pt>
                <c:pt idx="546">
                  <c:v>25778</c:v>
                </c:pt>
                <c:pt idx="547">
                  <c:v>25658</c:v>
                </c:pt>
                <c:pt idx="548">
                  <c:v>25258</c:v>
                </c:pt>
                <c:pt idx="549">
                  <c:v>25078</c:v>
                </c:pt>
                <c:pt idx="550">
                  <c:v>24778</c:v>
                </c:pt>
                <c:pt idx="551">
                  <c:v>28004</c:v>
                </c:pt>
                <c:pt idx="552">
                  <c:v>27904</c:v>
                </c:pt>
                <c:pt idx="553">
                  <c:v>27784</c:v>
                </c:pt>
                <c:pt idx="554">
                  <c:v>27384</c:v>
                </c:pt>
                <c:pt idx="555">
                  <c:v>27204</c:v>
                </c:pt>
                <c:pt idx="556">
                  <c:v>26904</c:v>
                </c:pt>
                <c:pt idx="557">
                  <c:v>30504</c:v>
                </c:pt>
                <c:pt idx="558">
                  <c:v>27698</c:v>
                </c:pt>
                <c:pt idx="559">
                  <c:v>27598</c:v>
                </c:pt>
                <c:pt idx="560">
                  <c:v>27478</c:v>
                </c:pt>
                <c:pt idx="561">
                  <c:v>27078</c:v>
                </c:pt>
                <c:pt idx="562">
                  <c:v>26898</c:v>
                </c:pt>
                <c:pt idx="563">
                  <c:v>26598</c:v>
                </c:pt>
                <c:pt idx="564">
                  <c:v>29824</c:v>
                </c:pt>
                <c:pt idx="565">
                  <c:v>29724</c:v>
                </c:pt>
                <c:pt idx="566">
                  <c:v>29604</c:v>
                </c:pt>
                <c:pt idx="567">
                  <c:v>29204</c:v>
                </c:pt>
                <c:pt idx="568">
                  <c:v>29024</c:v>
                </c:pt>
                <c:pt idx="569">
                  <c:v>28724</c:v>
                </c:pt>
                <c:pt idx="570">
                  <c:v>28524</c:v>
                </c:pt>
                <c:pt idx="571">
                  <c:v>28124</c:v>
                </c:pt>
                <c:pt idx="572">
                  <c:v>27824</c:v>
                </c:pt>
                <c:pt idx="573">
                  <c:v>27524</c:v>
                </c:pt>
                <c:pt idx="574">
                  <c:v>27498</c:v>
                </c:pt>
                <c:pt idx="575">
                  <c:v>27258</c:v>
                </c:pt>
                <c:pt idx="576">
                  <c:v>27138</c:v>
                </c:pt>
                <c:pt idx="577">
                  <c:v>26238</c:v>
                </c:pt>
                <c:pt idx="578">
                  <c:v>29838</c:v>
                </c:pt>
                <c:pt idx="579">
                  <c:v>27032</c:v>
                </c:pt>
                <c:pt idx="580">
                  <c:v>26932</c:v>
                </c:pt>
                <c:pt idx="581">
                  <c:v>26812</c:v>
                </c:pt>
                <c:pt idx="582">
                  <c:v>26412</c:v>
                </c:pt>
                <c:pt idx="583">
                  <c:v>26232</c:v>
                </c:pt>
                <c:pt idx="584">
                  <c:v>25932</c:v>
                </c:pt>
                <c:pt idx="585">
                  <c:v>29158</c:v>
                </c:pt>
                <c:pt idx="586">
                  <c:v>29058</c:v>
                </c:pt>
                <c:pt idx="587">
                  <c:v>28938</c:v>
                </c:pt>
                <c:pt idx="588">
                  <c:v>28538</c:v>
                </c:pt>
                <c:pt idx="589">
                  <c:v>28358</c:v>
                </c:pt>
                <c:pt idx="590">
                  <c:v>28058</c:v>
                </c:pt>
                <c:pt idx="591">
                  <c:v>31658</c:v>
                </c:pt>
                <c:pt idx="592">
                  <c:v>28852</c:v>
                </c:pt>
                <c:pt idx="593">
                  <c:v>28752</c:v>
                </c:pt>
                <c:pt idx="594">
                  <c:v>28632</c:v>
                </c:pt>
                <c:pt idx="595">
                  <c:v>28232</c:v>
                </c:pt>
                <c:pt idx="596">
                  <c:v>28052</c:v>
                </c:pt>
                <c:pt idx="597">
                  <c:v>27752</c:v>
                </c:pt>
                <c:pt idx="598">
                  <c:v>30978</c:v>
                </c:pt>
                <c:pt idx="599">
                  <c:v>30878</c:v>
                </c:pt>
                <c:pt idx="600">
                  <c:v>30758</c:v>
                </c:pt>
                <c:pt idx="601">
                  <c:v>30358</c:v>
                </c:pt>
                <c:pt idx="602">
                  <c:v>30178</c:v>
                </c:pt>
                <c:pt idx="603">
                  <c:v>29878</c:v>
                </c:pt>
                <c:pt idx="604">
                  <c:v>33478</c:v>
                </c:pt>
                <c:pt idx="605">
                  <c:v>33278</c:v>
                </c:pt>
                <c:pt idx="606">
                  <c:v>32878</c:v>
                </c:pt>
                <c:pt idx="607">
                  <c:v>32852</c:v>
                </c:pt>
                <c:pt idx="608">
                  <c:v>32612</c:v>
                </c:pt>
                <c:pt idx="609">
                  <c:v>32492</c:v>
                </c:pt>
                <c:pt idx="610">
                  <c:v>31592</c:v>
                </c:pt>
                <c:pt idx="611">
                  <c:v>28786</c:v>
                </c:pt>
                <c:pt idx="612">
                  <c:v>28686</c:v>
                </c:pt>
                <c:pt idx="613">
                  <c:v>28566</c:v>
                </c:pt>
                <c:pt idx="614">
                  <c:v>28166</c:v>
                </c:pt>
                <c:pt idx="615">
                  <c:v>27986</c:v>
                </c:pt>
                <c:pt idx="616">
                  <c:v>27686</c:v>
                </c:pt>
                <c:pt idx="617">
                  <c:v>30912</c:v>
                </c:pt>
                <c:pt idx="618">
                  <c:v>30812</c:v>
                </c:pt>
                <c:pt idx="619">
                  <c:v>30692</c:v>
                </c:pt>
                <c:pt idx="620">
                  <c:v>30292</c:v>
                </c:pt>
                <c:pt idx="621">
                  <c:v>30112</c:v>
                </c:pt>
                <c:pt idx="622">
                  <c:v>29812</c:v>
                </c:pt>
                <c:pt idx="623">
                  <c:v>33412</c:v>
                </c:pt>
                <c:pt idx="624">
                  <c:v>30606</c:v>
                </c:pt>
                <c:pt idx="625">
                  <c:v>30506</c:v>
                </c:pt>
                <c:pt idx="626">
                  <c:v>30386</c:v>
                </c:pt>
                <c:pt idx="627">
                  <c:v>29986</c:v>
                </c:pt>
                <c:pt idx="628">
                  <c:v>29806</c:v>
                </c:pt>
                <c:pt idx="629">
                  <c:v>29506</c:v>
                </c:pt>
                <c:pt idx="630">
                  <c:v>32732</c:v>
                </c:pt>
                <c:pt idx="631">
                  <c:v>32632</c:v>
                </c:pt>
                <c:pt idx="632">
                  <c:v>32512</c:v>
                </c:pt>
                <c:pt idx="633">
                  <c:v>32112</c:v>
                </c:pt>
                <c:pt idx="634">
                  <c:v>31932</c:v>
                </c:pt>
                <c:pt idx="635">
                  <c:v>31632</c:v>
                </c:pt>
                <c:pt idx="636">
                  <c:v>35232</c:v>
                </c:pt>
                <c:pt idx="637">
                  <c:v>32426</c:v>
                </c:pt>
                <c:pt idx="638">
                  <c:v>32326</c:v>
                </c:pt>
                <c:pt idx="639">
                  <c:v>32126</c:v>
                </c:pt>
                <c:pt idx="640">
                  <c:v>31726</c:v>
                </c:pt>
                <c:pt idx="641">
                  <c:v>31426</c:v>
                </c:pt>
                <c:pt idx="642">
                  <c:v>31400</c:v>
                </c:pt>
                <c:pt idx="643">
                  <c:v>31160</c:v>
                </c:pt>
                <c:pt idx="644">
                  <c:v>31040</c:v>
                </c:pt>
                <c:pt idx="645">
                  <c:v>30920</c:v>
                </c:pt>
                <c:pt idx="646">
                  <c:v>30020</c:v>
                </c:pt>
                <c:pt idx="647">
                  <c:v>29620</c:v>
                </c:pt>
                <c:pt idx="648">
                  <c:v>29440</c:v>
                </c:pt>
                <c:pt idx="649">
                  <c:v>29140</c:v>
                </c:pt>
                <c:pt idx="650">
                  <c:v>32366</c:v>
                </c:pt>
                <c:pt idx="651">
                  <c:v>32266</c:v>
                </c:pt>
                <c:pt idx="652">
                  <c:v>32146</c:v>
                </c:pt>
                <c:pt idx="653">
                  <c:v>31746</c:v>
                </c:pt>
                <c:pt idx="654">
                  <c:v>31566</c:v>
                </c:pt>
                <c:pt idx="655">
                  <c:v>31266</c:v>
                </c:pt>
                <c:pt idx="656">
                  <c:v>34866</c:v>
                </c:pt>
                <c:pt idx="657">
                  <c:v>32060</c:v>
                </c:pt>
                <c:pt idx="658">
                  <c:v>31960</c:v>
                </c:pt>
                <c:pt idx="659">
                  <c:v>31840</c:v>
                </c:pt>
                <c:pt idx="660">
                  <c:v>31440</c:v>
                </c:pt>
                <c:pt idx="661">
                  <c:v>31260</c:v>
                </c:pt>
                <c:pt idx="662">
                  <c:v>30960</c:v>
                </c:pt>
                <c:pt idx="663">
                  <c:v>34186</c:v>
                </c:pt>
                <c:pt idx="664">
                  <c:v>34086</c:v>
                </c:pt>
                <c:pt idx="665">
                  <c:v>33966</c:v>
                </c:pt>
                <c:pt idx="666">
                  <c:v>33566</c:v>
                </c:pt>
                <c:pt idx="667">
                  <c:v>33386</c:v>
                </c:pt>
                <c:pt idx="668">
                  <c:v>33086</c:v>
                </c:pt>
                <c:pt idx="669">
                  <c:v>36686</c:v>
                </c:pt>
                <c:pt idx="670">
                  <c:v>33880</c:v>
                </c:pt>
                <c:pt idx="671">
                  <c:v>33780</c:v>
                </c:pt>
                <c:pt idx="672">
                  <c:v>33660</c:v>
                </c:pt>
                <c:pt idx="673">
                  <c:v>33260</c:v>
                </c:pt>
                <c:pt idx="674">
                  <c:v>33080</c:v>
                </c:pt>
                <c:pt idx="675">
                  <c:v>32780</c:v>
                </c:pt>
                <c:pt idx="676">
                  <c:v>36006</c:v>
                </c:pt>
                <c:pt idx="677">
                  <c:v>35806</c:v>
                </c:pt>
                <c:pt idx="678">
                  <c:v>35406</c:v>
                </c:pt>
                <c:pt idx="679">
                  <c:v>35106</c:v>
                </c:pt>
                <c:pt idx="680">
                  <c:v>34806</c:v>
                </c:pt>
                <c:pt idx="681">
                  <c:v>34780</c:v>
                </c:pt>
                <c:pt idx="682">
                  <c:v>34540</c:v>
                </c:pt>
                <c:pt idx="683">
                  <c:v>34420</c:v>
                </c:pt>
                <c:pt idx="684">
                  <c:v>33520</c:v>
                </c:pt>
                <c:pt idx="685">
                  <c:v>33420</c:v>
                </c:pt>
                <c:pt idx="686">
                  <c:v>33300</c:v>
                </c:pt>
                <c:pt idx="687">
                  <c:v>32900</c:v>
                </c:pt>
                <c:pt idx="688">
                  <c:v>32720</c:v>
                </c:pt>
                <c:pt idx="689">
                  <c:v>32420</c:v>
                </c:pt>
                <c:pt idx="690">
                  <c:v>36020</c:v>
                </c:pt>
                <c:pt idx="691">
                  <c:v>33214</c:v>
                </c:pt>
                <c:pt idx="692">
                  <c:v>33114</c:v>
                </c:pt>
                <c:pt idx="693">
                  <c:v>32994</c:v>
                </c:pt>
                <c:pt idx="694">
                  <c:v>32594</c:v>
                </c:pt>
                <c:pt idx="695">
                  <c:v>32414</c:v>
                </c:pt>
                <c:pt idx="696">
                  <c:v>32114</c:v>
                </c:pt>
                <c:pt idx="697">
                  <c:v>35340</c:v>
                </c:pt>
                <c:pt idx="698">
                  <c:v>35240</c:v>
                </c:pt>
                <c:pt idx="699">
                  <c:v>35120</c:v>
                </c:pt>
                <c:pt idx="700">
                  <c:v>34720</c:v>
                </c:pt>
                <c:pt idx="701">
                  <c:v>34540</c:v>
                </c:pt>
                <c:pt idx="702">
                  <c:v>34240</c:v>
                </c:pt>
                <c:pt idx="703">
                  <c:v>37840</c:v>
                </c:pt>
                <c:pt idx="704">
                  <c:v>35034</c:v>
                </c:pt>
                <c:pt idx="705">
                  <c:v>34934</c:v>
                </c:pt>
                <c:pt idx="706">
                  <c:v>34814</c:v>
                </c:pt>
                <c:pt idx="707">
                  <c:v>34414</c:v>
                </c:pt>
                <c:pt idx="708">
                  <c:v>34234</c:v>
                </c:pt>
                <c:pt idx="709">
                  <c:v>33934</c:v>
                </c:pt>
                <c:pt idx="710">
                  <c:v>37160</c:v>
                </c:pt>
                <c:pt idx="711">
                  <c:v>36960</c:v>
                </c:pt>
                <c:pt idx="712">
                  <c:v>36560</c:v>
                </c:pt>
                <c:pt idx="713">
                  <c:v>36534</c:v>
                </c:pt>
                <c:pt idx="714">
                  <c:v>36294</c:v>
                </c:pt>
                <c:pt idx="715">
                  <c:v>36174</c:v>
                </c:pt>
                <c:pt idx="716">
                  <c:v>36074</c:v>
                </c:pt>
                <c:pt idx="717">
                  <c:v>35174</c:v>
                </c:pt>
                <c:pt idx="718">
                  <c:v>35054</c:v>
                </c:pt>
                <c:pt idx="719">
                  <c:v>34654</c:v>
                </c:pt>
                <c:pt idx="720">
                  <c:v>34474</c:v>
                </c:pt>
                <c:pt idx="721">
                  <c:v>34174</c:v>
                </c:pt>
                <c:pt idx="722">
                  <c:v>37774</c:v>
                </c:pt>
                <c:pt idx="723">
                  <c:v>34968</c:v>
                </c:pt>
                <c:pt idx="724">
                  <c:v>34868</c:v>
                </c:pt>
                <c:pt idx="725">
                  <c:v>34748</c:v>
                </c:pt>
                <c:pt idx="726">
                  <c:v>34348</c:v>
                </c:pt>
                <c:pt idx="727">
                  <c:v>34168</c:v>
                </c:pt>
                <c:pt idx="728">
                  <c:v>33868</c:v>
                </c:pt>
                <c:pt idx="729">
                  <c:v>37094</c:v>
                </c:pt>
                <c:pt idx="730">
                  <c:v>36994</c:v>
                </c:pt>
                <c:pt idx="731">
                  <c:v>36874</c:v>
                </c:pt>
                <c:pt idx="732">
                  <c:v>36474</c:v>
                </c:pt>
                <c:pt idx="733">
                  <c:v>36294</c:v>
                </c:pt>
                <c:pt idx="734">
                  <c:v>35994</c:v>
                </c:pt>
                <c:pt idx="735">
                  <c:v>39594</c:v>
                </c:pt>
                <c:pt idx="736">
                  <c:v>36788</c:v>
                </c:pt>
                <c:pt idx="737">
                  <c:v>36688</c:v>
                </c:pt>
                <c:pt idx="738">
                  <c:v>36568</c:v>
                </c:pt>
                <c:pt idx="739">
                  <c:v>36168</c:v>
                </c:pt>
                <c:pt idx="740">
                  <c:v>35988</c:v>
                </c:pt>
                <c:pt idx="741">
                  <c:v>35688</c:v>
                </c:pt>
                <c:pt idx="742">
                  <c:v>38914</c:v>
                </c:pt>
                <c:pt idx="743">
                  <c:v>38814</c:v>
                </c:pt>
                <c:pt idx="744">
                  <c:v>38694</c:v>
                </c:pt>
                <c:pt idx="745">
                  <c:v>38494</c:v>
                </c:pt>
                <c:pt idx="746">
                  <c:v>38094</c:v>
                </c:pt>
                <c:pt idx="747">
                  <c:v>37794</c:v>
                </c:pt>
                <c:pt idx="748">
                  <c:v>37768</c:v>
                </c:pt>
                <c:pt idx="749">
                  <c:v>37528</c:v>
                </c:pt>
                <c:pt idx="750">
                  <c:v>37408</c:v>
                </c:pt>
                <c:pt idx="751">
                  <c:v>37008</c:v>
                </c:pt>
                <c:pt idx="752">
                  <c:v>36828</c:v>
                </c:pt>
                <c:pt idx="753">
                  <c:v>36528</c:v>
                </c:pt>
                <c:pt idx="754">
                  <c:v>35628</c:v>
                </c:pt>
                <c:pt idx="755">
                  <c:v>39228</c:v>
                </c:pt>
                <c:pt idx="756">
                  <c:v>36422</c:v>
                </c:pt>
                <c:pt idx="757">
                  <c:v>36322</c:v>
                </c:pt>
                <c:pt idx="758">
                  <c:v>36202</c:v>
                </c:pt>
                <c:pt idx="759">
                  <c:v>35802</c:v>
                </c:pt>
                <c:pt idx="760">
                  <c:v>35622</c:v>
                </c:pt>
                <c:pt idx="761">
                  <c:v>35322</c:v>
                </c:pt>
                <c:pt idx="762">
                  <c:v>38548</c:v>
                </c:pt>
                <c:pt idx="763">
                  <c:v>38448</c:v>
                </c:pt>
                <c:pt idx="764">
                  <c:v>38328</c:v>
                </c:pt>
                <c:pt idx="765">
                  <c:v>37928</c:v>
                </c:pt>
                <c:pt idx="766">
                  <c:v>37748</c:v>
                </c:pt>
                <c:pt idx="767">
                  <c:v>37448</c:v>
                </c:pt>
                <c:pt idx="768">
                  <c:v>41048</c:v>
                </c:pt>
                <c:pt idx="769">
                  <c:v>38242</c:v>
                </c:pt>
                <c:pt idx="770">
                  <c:v>38142</c:v>
                </c:pt>
                <c:pt idx="771">
                  <c:v>38022</c:v>
                </c:pt>
                <c:pt idx="772">
                  <c:v>37622</c:v>
                </c:pt>
                <c:pt idx="773">
                  <c:v>37442</c:v>
                </c:pt>
                <c:pt idx="774">
                  <c:v>37142</c:v>
                </c:pt>
                <c:pt idx="775">
                  <c:v>40368</c:v>
                </c:pt>
                <c:pt idx="776">
                  <c:v>40268</c:v>
                </c:pt>
                <c:pt idx="777">
                  <c:v>40148</c:v>
                </c:pt>
                <c:pt idx="778">
                  <c:v>39748</c:v>
                </c:pt>
                <c:pt idx="779">
                  <c:v>39568</c:v>
                </c:pt>
                <c:pt idx="780">
                  <c:v>39268</c:v>
                </c:pt>
                <c:pt idx="781">
                  <c:v>42868</c:v>
                </c:pt>
                <c:pt idx="782">
                  <c:v>42668</c:v>
                </c:pt>
                <c:pt idx="783">
                  <c:v>42268</c:v>
                </c:pt>
                <c:pt idx="784">
                  <c:v>41968</c:v>
                </c:pt>
                <c:pt idx="785">
                  <c:v>41668</c:v>
                </c:pt>
                <c:pt idx="786">
                  <c:v>41642</c:v>
                </c:pt>
                <c:pt idx="787">
                  <c:v>41402</c:v>
                </c:pt>
                <c:pt idx="788">
                  <c:v>41282</c:v>
                </c:pt>
                <c:pt idx="789">
                  <c:v>40382</c:v>
                </c:pt>
                <c:pt idx="790">
                  <c:v>37576</c:v>
                </c:pt>
                <c:pt idx="791">
                  <c:v>37476</c:v>
                </c:pt>
                <c:pt idx="792">
                  <c:v>37356</c:v>
                </c:pt>
                <c:pt idx="793">
                  <c:v>36956</c:v>
                </c:pt>
                <c:pt idx="794">
                  <c:v>36776</c:v>
                </c:pt>
                <c:pt idx="795">
                  <c:v>36476</c:v>
                </c:pt>
                <c:pt idx="796">
                  <c:v>39702</c:v>
                </c:pt>
                <c:pt idx="797">
                  <c:v>39602</c:v>
                </c:pt>
                <c:pt idx="798">
                  <c:v>39482</c:v>
                </c:pt>
                <c:pt idx="799">
                  <c:v>39082</c:v>
                </c:pt>
                <c:pt idx="800">
                  <c:v>38902</c:v>
                </c:pt>
                <c:pt idx="801">
                  <c:v>38602</c:v>
                </c:pt>
                <c:pt idx="802">
                  <c:v>42202</c:v>
                </c:pt>
                <c:pt idx="803">
                  <c:v>39396</c:v>
                </c:pt>
                <c:pt idx="804">
                  <c:v>39296</c:v>
                </c:pt>
                <c:pt idx="805">
                  <c:v>39176</c:v>
                </c:pt>
                <c:pt idx="806">
                  <c:v>38776</c:v>
                </c:pt>
                <c:pt idx="807">
                  <c:v>38596</c:v>
                </c:pt>
                <c:pt idx="808">
                  <c:v>38296</c:v>
                </c:pt>
                <c:pt idx="809">
                  <c:v>41522</c:v>
                </c:pt>
                <c:pt idx="810">
                  <c:v>41422</c:v>
                </c:pt>
                <c:pt idx="811">
                  <c:v>41302</c:v>
                </c:pt>
                <c:pt idx="812">
                  <c:v>40902</c:v>
                </c:pt>
                <c:pt idx="813">
                  <c:v>40722</c:v>
                </c:pt>
                <c:pt idx="814">
                  <c:v>40422</c:v>
                </c:pt>
                <c:pt idx="815">
                  <c:v>44022</c:v>
                </c:pt>
                <c:pt idx="816">
                  <c:v>43822</c:v>
                </c:pt>
                <c:pt idx="817">
                  <c:v>43422</c:v>
                </c:pt>
                <c:pt idx="818">
                  <c:v>43396</c:v>
                </c:pt>
                <c:pt idx="819">
                  <c:v>43156</c:v>
                </c:pt>
                <c:pt idx="820">
                  <c:v>43036</c:v>
                </c:pt>
                <c:pt idx="821">
                  <c:v>40230</c:v>
                </c:pt>
                <c:pt idx="822">
                  <c:v>40130</c:v>
                </c:pt>
                <c:pt idx="823">
                  <c:v>39230</c:v>
                </c:pt>
                <c:pt idx="824">
                  <c:v>39110</c:v>
                </c:pt>
                <c:pt idx="825">
                  <c:v>38710</c:v>
                </c:pt>
                <c:pt idx="826">
                  <c:v>38530</c:v>
                </c:pt>
                <c:pt idx="827">
                  <c:v>38230</c:v>
                </c:pt>
                <c:pt idx="828">
                  <c:v>41456</c:v>
                </c:pt>
                <c:pt idx="829">
                  <c:v>41356</c:v>
                </c:pt>
                <c:pt idx="830">
                  <c:v>41236</c:v>
                </c:pt>
                <c:pt idx="831">
                  <c:v>40836</c:v>
                </c:pt>
                <c:pt idx="832">
                  <c:v>40656</c:v>
                </c:pt>
                <c:pt idx="833">
                  <c:v>40356</c:v>
                </c:pt>
                <c:pt idx="834">
                  <c:v>43956</c:v>
                </c:pt>
                <c:pt idx="835">
                  <c:v>41150</c:v>
                </c:pt>
                <c:pt idx="836">
                  <c:v>41050</c:v>
                </c:pt>
                <c:pt idx="837">
                  <c:v>40930</c:v>
                </c:pt>
                <c:pt idx="838">
                  <c:v>40530</c:v>
                </c:pt>
                <c:pt idx="839">
                  <c:v>40350</c:v>
                </c:pt>
                <c:pt idx="840">
                  <c:v>40050</c:v>
                </c:pt>
                <c:pt idx="841">
                  <c:v>43276</c:v>
                </c:pt>
                <c:pt idx="842">
                  <c:v>43176</c:v>
                </c:pt>
                <c:pt idx="843">
                  <c:v>43056</c:v>
                </c:pt>
                <c:pt idx="844">
                  <c:v>42656</c:v>
                </c:pt>
                <c:pt idx="845">
                  <c:v>42476</c:v>
                </c:pt>
                <c:pt idx="846">
                  <c:v>42176</c:v>
                </c:pt>
                <c:pt idx="847">
                  <c:v>42176</c:v>
                </c:pt>
                <c:pt idx="848">
                  <c:v>42176</c:v>
                </c:pt>
                <c:pt idx="849">
                  <c:v>42176</c:v>
                </c:pt>
                <c:pt idx="850">
                  <c:v>42176</c:v>
                </c:pt>
                <c:pt idx="851">
                  <c:v>42176</c:v>
                </c:pt>
                <c:pt idx="852">
                  <c:v>42176</c:v>
                </c:pt>
                <c:pt idx="853">
                  <c:v>42176</c:v>
                </c:pt>
                <c:pt idx="854">
                  <c:v>42176</c:v>
                </c:pt>
                <c:pt idx="855">
                  <c:v>42176</c:v>
                </c:pt>
                <c:pt idx="856">
                  <c:v>42176</c:v>
                </c:pt>
                <c:pt idx="857">
                  <c:v>42176</c:v>
                </c:pt>
                <c:pt idx="858">
                  <c:v>42176</c:v>
                </c:pt>
                <c:pt idx="859">
                  <c:v>42176</c:v>
                </c:pt>
                <c:pt idx="860">
                  <c:v>42176</c:v>
                </c:pt>
                <c:pt idx="861">
                  <c:v>42176</c:v>
                </c:pt>
                <c:pt idx="862">
                  <c:v>42176</c:v>
                </c:pt>
                <c:pt idx="863">
                  <c:v>42176</c:v>
                </c:pt>
                <c:pt idx="864">
                  <c:v>42176</c:v>
                </c:pt>
                <c:pt idx="865">
                  <c:v>42176</c:v>
                </c:pt>
                <c:pt idx="866">
                  <c:v>42176</c:v>
                </c:pt>
                <c:pt idx="867">
                  <c:v>42176</c:v>
                </c:pt>
                <c:pt idx="868">
                  <c:v>42176</c:v>
                </c:pt>
                <c:pt idx="869">
                  <c:v>42176</c:v>
                </c:pt>
                <c:pt idx="870">
                  <c:v>42176</c:v>
                </c:pt>
                <c:pt idx="871">
                  <c:v>42176</c:v>
                </c:pt>
                <c:pt idx="872">
                  <c:v>42176</c:v>
                </c:pt>
                <c:pt idx="873">
                  <c:v>42176</c:v>
                </c:pt>
                <c:pt idx="874">
                  <c:v>42176</c:v>
                </c:pt>
                <c:pt idx="875">
                  <c:v>42176</c:v>
                </c:pt>
                <c:pt idx="876">
                  <c:v>42176</c:v>
                </c:pt>
                <c:pt idx="877">
                  <c:v>42176</c:v>
                </c:pt>
                <c:pt idx="878">
                  <c:v>42176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011776"/>
        <c:axId val="140016960"/>
      </c:scatterChart>
      <c:valAx>
        <c:axId val="140011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0016960"/>
        <c:crosses val="autoZero"/>
        <c:crossBetween val="midCat"/>
      </c:valAx>
      <c:valAx>
        <c:axId val="140016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00117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'65ph'!$R$16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'65ph'!$Q$17:$Q$32</c:f>
              <c:numCache>
                <c:formatCode>General</c:formatCode>
                <c:ptCount val="16"/>
              </c:numCache>
            </c:numRef>
          </c:xVal>
          <c:yVal>
            <c:numRef>
              <c:f>'65ph'!$R$17:$R$32</c:f>
              <c:numCache>
                <c:formatCode>General</c:formatCode>
                <c:ptCount val="16"/>
              </c:numCache>
            </c:numRef>
          </c:yVal>
          <c:smooth val="1"/>
        </c:ser>
        <c:ser>
          <c:idx val="1"/>
          <c:order val="1"/>
          <c:tx>
            <c:strRef>
              <c:f>'65ph'!$S$16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'65ph'!$Q$17:$Q$32</c:f>
              <c:numCache>
                <c:formatCode>General</c:formatCode>
                <c:ptCount val="16"/>
              </c:numCache>
            </c:numRef>
          </c:xVal>
          <c:yVal>
            <c:numRef>
              <c:f>'65ph'!$S$17:$S$32</c:f>
              <c:numCache>
                <c:formatCode>General</c:formatCode>
                <c:ptCount val="16"/>
              </c:numCache>
            </c:numRef>
          </c:yVal>
          <c:smooth val="1"/>
        </c:ser>
        <c:ser>
          <c:idx val="2"/>
          <c:order val="2"/>
          <c:tx>
            <c:strRef>
              <c:f>'65ph'!$T$16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'65ph'!$Q$17:$Q$32</c:f>
              <c:numCache>
                <c:formatCode>General</c:formatCode>
                <c:ptCount val="16"/>
              </c:numCache>
            </c:numRef>
          </c:xVal>
          <c:yVal>
            <c:numRef>
              <c:f>'65ph'!$T$17:$T$32</c:f>
              <c:numCache>
                <c:formatCode>General</c:formatCode>
                <c:ptCount val="16"/>
              </c:numCache>
            </c:numRef>
          </c:yVal>
          <c:smooth val="1"/>
        </c:ser>
        <c:ser>
          <c:idx val="3"/>
          <c:order val="3"/>
          <c:tx>
            <c:strRef>
              <c:f>'65ph'!$U$16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'65ph'!$Q$17:$Q$32</c:f>
              <c:numCache>
                <c:formatCode>General</c:formatCode>
                <c:ptCount val="16"/>
              </c:numCache>
            </c:numRef>
          </c:xVal>
          <c:yVal>
            <c:numRef>
              <c:f>'65ph'!$U$17:$U$32</c:f>
              <c:numCache>
                <c:formatCode>General</c:formatCode>
                <c:ptCount val="16"/>
              </c:numCache>
            </c:numRef>
          </c:yVal>
          <c:smooth val="1"/>
        </c:ser>
        <c:ser>
          <c:idx val="4"/>
          <c:order val="4"/>
          <c:tx>
            <c:strRef>
              <c:f>'65ph'!$V$16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'65ph'!$Q$17:$Q$32</c:f>
              <c:numCache>
                <c:formatCode>General</c:formatCode>
                <c:ptCount val="16"/>
              </c:numCache>
            </c:numRef>
          </c:xVal>
          <c:yVal>
            <c:numRef>
              <c:f>'65ph'!$V$17:$V$32</c:f>
              <c:numCache>
                <c:formatCode>General</c:formatCode>
                <c:ptCount val="16"/>
              </c:numCache>
            </c:numRef>
          </c:yVal>
          <c:smooth val="1"/>
        </c:ser>
        <c:ser>
          <c:idx val="5"/>
          <c:order val="5"/>
          <c:tx>
            <c:strRef>
              <c:f>'65ph'!$W$16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'65ph'!$Q$17:$Q$32</c:f>
              <c:numCache>
                <c:formatCode>General</c:formatCode>
                <c:ptCount val="16"/>
              </c:numCache>
            </c:numRef>
          </c:xVal>
          <c:yVal>
            <c:numRef>
              <c:f>'65ph'!$W$17:$W$32</c:f>
              <c:numCache>
                <c:formatCode>General</c:formatCode>
                <c:ptCount val="16"/>
              </c:numCache>
            </c:numRef>
          </c:yVal>
          <c:smooth val="1"/>
        </c:ser>
        <c:ser>
          <c:idx val="6"/>
          <c:order val="6"/>
          <c:tx>
            <c:strRef>
              <c:f>'65ph'!$X$16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'65ph'!$Q$17:$Q$32</c:f>
              <c:numCache>
                <c:formatCode>General</c:formatCode>
                <c:ptCount val="16"/>
              </c:numCache>
            </c:numRef>
          </c:xVal>
          <c:yVal>
            <c:numRef>
              <c:f>'65ph'!$X$17:$X$32</c:f>
              <c:numCache>
                <c:formatCode>General</c:formatCode>
                <c:ptCount val="16"/>
              </c:numCache>
            </c:numRef>
          </c:yVal>
          <c:smooth val="1"/>
        </c:ser>
        <c:ser>
          <c:idx val="7"/>
          <c:order val="7"/>
          <c:tx>
            <c:strRef>
              <c:f>'65ph'!$Y$16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'65ph'!$Q$17:$Q$32</c:f>
              <c:numCache>
                <c:formatCode>General</c:formatCode>
                <c:ptCount val="16"/>
              </c:numCache>
            </c:numRef>
          </c:xVal>
          <c:yVal>
            <c:numRef>
              <c:f>'65ph'!$Y$17:$Y$32</c:f>
              <c:numCache>
                <c:formatCode>General</c:formatCode>
                <c:ptCount val="16"/>
              </c:numCache>
            </c:numRef>
          </c:yVal>
          <c:smooth val="1"/>
        </c:ser>
        <c:ser>
          <c:idx val="8"/>
          <c:order val="8"/>
          <c:tx>
            <c:v>CR01</c:v>
          </c:tx>
          <c:marker>
            <c:symbol val="none"/>
          </c:marker>
          <c:xVal>
            <c:numRef>
              <c:f>'65ph'!$A$2:$A$926</c:f>
              <c:numCache>
                <c:formatCode>m/d/yyyy</c:formatCode>
                <c:ptCount val="925"/>
                <c:pt idx="0">
                  <c:v>41271</c:v>
                </c:pt>
                <c:pt idx="1">
                  <c:v>41272</c:v>
                </c:pt>
                <c:pt idx="2">
                  <c:v>41275</c:v>
                </c:pt>
                <c:pt idx="3">
                  <c:v>41275</c:v>
                </c:pt>
                <c:pt idx="4">
                  <c:v>41275</c:v>
                </c:pt>
                <c:pt idx="5">
                  <c:v>41275</c:v>
                </c:pt>
                <c:pt idx="6">
                  <c:v>41275</c:v>
                </c:pt>
                <c:pt idx="7">
                  <c:v>41275</c:v>
                </c:pt>
                <c:pt idx="8">
                  <c:v>41275</c:v>
                </c:pt>
                <c:pt idx="9">
                  <c:v>41275</c:v>
                </c:pt>
                <c:pt idx="10">
                  <c:v>41275</c:v>
                </c:pt>
                <c:pt idx="11">
                  <c:v>41276</c:v>
                </c:pt>
                <c:pt idx="12">
                  <c:v>41276</c:v>
                </c:pt>
                <c:pt idx="13">
                  <c:v>41277</c:v>
                </c:pt>
                <c:pt idx="14">
                  <c:v>41277</c:v>
                </c:pt>
                <c:pt idx="15">
                  <c:v>41277</c:v>
                </c:pt>
                <c:pt idx="16">
                  <c:v>41278</c:v>
                </c:pt>
                <c:pt idx="17">
                  <c:v>41282</c:v>
                </c:pt>
                <c:pt idx="18">
                  <c:v>41283</c:v>
                </c:pt>
                <c:pt idx="19">
                  <c:v>41284</c:v>
                </c:pt>
                <c:pt idx="20">
                  <c:v>41284</c:v>
                </c:pt>
                <c:pt idx="21">
                  <c:v>41284</c:v>
                </c:pt>
                <c:pt idx="22">
                  <c:v>41286</c:v>
                </c:pt>
                <c:pt idx="23">
                  <c:v>41289</c:v>
                </c:pt>
                <c:pt idx="24">
                  <c:v>41289</c:v>
                </c:pt>
                <c:pt idx="25">
                  <c:v>41290</c:v>
                </c:pt>
                <c:pt idx="26">
                  <c:v>41291</c:v>
                </c:pt>
                <c:pt idx="27">
                  <c:v>41291</c:v>
                </c:pt>
                <c:pt idx="28">
                  <c:v>41291</c:v>
                </c:pt>
                <c:pt idx="29">
                  <c:v>41292</c:v>
                </c:pt>
                <c:pt idx="30">
                  <c:v>41296</c:v>
                </c:pt>
                <c:pt idx="31">
                  <c:v>41297</c:v>
                </c:pt>
                <c:pt idx="32">
                  <c:v>41298</c:v>
                </c:pt>
                <c:pt idx="33">
                  <c:v>41298</c:v>
                </c:pt>
                <c:pt idx="34">
                  <c:v>41298</c:v>
                </c:pt>
                <c:pt idx="35">
                  <c:v>41300</c:v>
                </c:pt>
                <c:pt idx="36">
                  <c:v>41303</c:v>
                </c:pt>
                <c:pt idx="37">
                  <c:v>41303</c:v>
                </c:pt>
                <c:pt idx="38">
                  <c:v>41304</c:v>
                </c:pt>
                <c:pt idx="39">
                  <c:v>41305</c:v>
                </c:pt>
                <c:pt idx="40">
                  <c:v>41305</c:v>
                </c:pt>
                <c:pt idx="41">
                  <c:v>41305</c:v>
                </c:pt>
                <c:pt idx="42">
                  <c:v>41306</c:v>
                </c:pt>
                <c:pt idx="43">
                  <c:v>41306</c:v>
                </c:pt>
                <c:pt idx="44">
                  <c:v>41306</c:v>
                </c:pt>
                <c:pt idx="45">
                  <c:v>41306</c:v>
                </c:pt>
                <c:pt idx="46">
                  <c:v>41306</c:v>
                </c:pt>
                <c:pt idx="47">
                  <c:v>41306</c:v>
                </c:pt>
                <c:pt idx="48">
                  <c:v>41306</c:v>
                </c:pt>
                <c:pt idx="49">
                  <c:v>41306</c:v>
                </c:pt>
                <c:pt idx="50">
                  <c:v>41307</c:v>
                </c:pt>
                <c:pt idx="51">
                  <c:v>41310</c:v>
                </c:pt>
                <c:pt idx="52">
                  <c:v>41311</c:v>
                </c:pt>
                <c:pt idx="53">
                  <c:v>41312</c:v>
                </c:pt>
                <c:pt idx="54">
                  <c:v>41312</c:v>
                </c:pt>
                <c:pt idx="55">
                  <c:v>41312</c:v>
                </c:pt>
                <c:pt idx="56">
                  <c:v>41314</c:v>
                </c:pt>
                <c:pt idx="57">
                  <c:v>41317</c:v>
                </c:pt>
                <c:pt idx="58">
                  <c:v>41317</c:v>
                </c:pt>
                <c:pt idx="59">
                  <c:v>41318</c:v>
                </c:pt>
                <c:pt idx="60">
                  <c:v>41319</c:v>
                </c:pt>
                <c:pt idx="61">
                  <c:v>41319</c:v>
                </c:pt>
                <c:pt idx="62">
                  <c:v>41319</c:v>
                </c:pt>
                <c:pt idx="63">
                  <c:v>41320</c:v>
                </c:pt>
                <c:pt idx="64">
                  <c:v>41324</c:v>
                </c:pt>
                <c:pt idx="65">
                  <c:v>41325</c:v>
                </c:pt>
                <c:pt idx="66">
                  <c:v>41326</c:v>
                </c:pt>
                <c:pt idx="67">
                  <c:v>41326</c:v>
                </c:pt>
                <c:pt idx="68">
                  <c:v>41326</c:v>
                </c:pt>
                <c:pt idx="69">
                  <c:v>41328</c:v>
                </c:pt>
                <c:pt idx="70">
                  <c:v>41331</c:v>
                </c:pt>
                <c:pt idx="71">
                  <c:v>41331</c:v>
                </c:pt>
                <c:pt idx="72">
                  <c:v>41332</c:v>
                </c:pt>
                <c:pt idx="73">
                  <c:v>41333</c:v>
                </c:pt>
                <c:pt idx="74">
                  <c:v>41333</c:v>
                </c:pt>
                <c:pt idx="75">
                  <c:v>41333</c:v>
                </c:pt>
                <c:pt idx="76">
                  <c:v>41334</c:v>
                </c:pt>
                <c:pt idx="77">
                  <c:v>41334</c:v>
                </c:pt>
                <c:pt idx="78">
                  <c:v>41334</c:v>
                </c:pt>
                <c:pt idx="79">
                  <c:v>41334</c:v>
                </c:pt>
                <c:pt idx="80">
                  <c:v>41334</c:v>
                </c:pt>
                <c:pt idx="81">
                  <c:v>41334</c:v>
                </c:pt>
                <c:pt idx="82">
                  <c:v>41335</c:v>
                </c:pt>
                <c:pt idx="83">
                  <c:v>41338</c:v>
                </c:pt>
                <c:pt idx="84">
                  <c:v>41339</c:v>
                </c:pt>
                <c:pt idx="85">
                  <c:v>41340</c:v>
                </c:pt>
                <c:pt idx="86">
                  <c:v>41340</c:v>
                </c:pt>
                <c:pt idx="87">
                  <c:v>41340</c:v>
                </c:pt>
                <c:pt idx="88">
                  <c:v>41342</c:v>
                </c:pt>
                <c:pt idx="89">
                  <c:v>41345</c:v>
                </c:pt>
                <c:pt idx="90">
                  <c:v>41345</c:v>
                </c:pt>
                <c:pt idx="91">
                  <c:v>41346</c:v>
                </c:pt>
                <c:pt idx="92">
                  <c:v>41347</c:v>
                </c:pt>
                <c:pt idx="93">
                  <c:v>41347</c:v>
                </c:pt>
                <c:pt idx="94">
                  <c:v>41347</c:v>
                </c:pt>
                <c:pt idx="95">
                  <c:v>41348</c:v>
                </c:pt>
                <c:pt idx="96">
                  <c:v>41352</c:v>
                </c:pt>
                <c:pt idx="97">
                  <c:v>41353</c:v>
                </c:pt>
                <c:pt idx="98">
                  <c:v>41354</c:v>
                </c:pt>
                <c:pt idx="99">
                  <c:v>41354</c:v>
                </c:pt>
                <c:pt idx="100">
                  <c:v>41354</c:v>
                </c:pt>
                <c:pt idx="101">
                  <c:v>41356</c:v>
                </c:pt>
                <c:pt idx="102">
                  <c:v>41359</c:v>
                </c:pt>
                <c:pt idx="103">
                  <c:v>41359</c:v>
                </c:pt>
                <c:pt idx="104">
                  <c:v>41360</c:v>
                </c:pt>
                <c:pt idx="105">
                  <c:v>41361</c:v>
                </c:pt>
                <c:pt idx="106">
                  <c:v>41361</c:v>
                </c:pt>
                <c:pt idx="107">
                  <c:v>41361</c:v>
                </c:pt>
                <c:pt idx="108">
                  <c:v>41362</c:v>
                </c:pt>
                <c:pt idx="109">
                  <c:v>41365</c:v>
                </c:pt>
                <c:pt idx="110">
                  <c:v>41365</c:v>
                </c:pt>
                <c:pt idx="111">
                  <c:v>41365</c:v>
                </c:pt>
                <c:pt idx="112">
                  <c:v>41365</c:v>
                </c:pt>
                <c:pt idx="113">
                  <c:v>41365</c:v>
                </c:pt>
                <c:pt idx="114">
                  <c:v>41365</c:v>
                </c:pt>
                <c:pt idx="115">
                  <c:v>41365</c:v>
                </c:pt>
                <c:pt idx="116">
                  <c:v>41366</c:v>
                </c:pt>
                <c:pt idx="117">
                  <c:v>41366</c:v>
                </c:pt>
                <c:pt idx="118">
                  <c:v>41367</c:v>
                </c:pt>
                <c:pt idx="119">
                  <c:v>41368</c:v>
                </c:pt>
                <c:pt idx="120">
                  <c:v>41368</c:v>
                </c:pt>
                <c:pt idx="121">
                  <c:v>41368</c:v>
                </c:pt>
                <c:pt idx="122">
                  <c:v>41370</c:v>
                </c:pt>
                <c:pt idx="123">
                  <c:v>41373</c:v>
                </c:pt>
                <c:pt idx="124">
                  <c:v>41373</c:v>
                </c:pt>
                <c:pt idx="125">
                  <c:v>41374</c:v>
                </c:pt>
                <c:pt idx="126">
                  <c:v>41375</c:v>
                </c:pt>
                <c:pt idx="127">
                  <c:v>41375</c:v>
                </c:pt>
                <c:pt idx="128">
                  <c:v>41375</c:v>
                </c:pt>
                <c:pt idx="129">
                  <c:v>41376</c:v>
                </c:pt>
                <c:pt idx="130">
                  <c:v>41380</c:v>
                </c:pt>
                <c:pt idx="131">
                  <c:v>41381</c:v>
                </c:pt>
                <c:pt idx="132">
                  <c:v>41382</c:v>
                </c:pt>
                <c:pt idx="133">
                  <c:v>41382</c:v>
                </c:pt>
                <c:pt idx="134">
                  <c:v>41382</c:v>
                </c:pt>
                <c:pt idx="135">
                  <c:v>41384</c:v>
                </c:pt>
                <c:pt idx="136">
                  <c:v>41387</c:v>
                </c:pt>
                <c:pt idx="137">
                  <c:v>41387</c:v>
                </c:pt>
                <c:pt idx="138">
                  <c:v>41388</c:v>
                </c:pt>
                <c:pt idx="139">
                  <c:v>41389</c:v>
                </c:pt>
                <c:pt idx="140">
                  <c:v>41389</c:v>
                </c:pt>
                <c:pt idx="141">
                  <c:v>41389</c:v>
                </c:pt>
                <c:pt idx="142">
                  <c:v>41390</c:v>
                </c:pt>
                <c:pt idx="143">
                  <c:v>41394</c:v>
                </c:pt>
                <c:pt idx="144">
                  <c:v>41395</c:v>
                </c:pt>
                <c:pt idx="145">
                  <c:v>41395</c:v>
                </c:pt>
                <c:pt idx="146">
                  <c:v>41395</c:v>
                </c:pt>
                <c:pt idx="147">
                  <c:v>41395</c:v>
                </c:pt>
                <c:pt idx="148">
                  <c:v>41395</c:v>
                </c:pt>
                <c:pt idx="149">
                  <c:v>41395</c:v>
                </c:pt>
                <c:pt idx="150">
                  <c:v>41395</c:v>
                </c:pt>
                <c:pt idx="151">
                  <c:v>41395</c:v>
                </c:pt>
                <c:pt idx="152">
                  <c:v>41396</c:v>
                </c:pt>
                <c:pt idx="153">
                  <c:v>41396</c:v>
                </c:pt>
                <c:pt idx="154">
                  <c:v>41396</c:v>
                </c:pt>
                <c:pt idx="155">
                  <c:v>41396</c:v>
                </c:pt>
                <c:pt idx="156">
                  <c:v>41398</c:v>
                </c:pt>
                <c:pt idx="157">
                  <c:v>41401</c:v>
                </c:pt>
                <c:pt idx="158">
                  <c:v>41401</c:v>
                </c:pt>
                <c:pt idx="159">
                  <c:v>41402</c:v>
                </c:pt>
                <c:pt idx="160">
                  <c:v>41403</c:v>
                </c:pt>
                <c:pt idx="161">
                  <c:v>41403</c:v>
                </c:pt>
                <c:pt idx="162">
                  <c:v>41403</c:v>
                </c:pt>
                <c:pt idx="163">
                  <c:v>41404</c:v>
                </c:pt>
                <c:pt idx="164">
                  <c:v>41408</c:v>
                </c:pt>
                <c:pt idx="165">
                  <c:v>41409</c:v>
                </c:pt>
                <c:pt idx="166">
                  <c:v>41410</c:v>
                </c:pt>
                <c:pt idx="167">
                  <c:v>41410</c:v>
                </c:pt>
                <c:pt idx="168">
                  <c:v>41410</c:v>
                </c:pt>
                <c:pt idx="169">
                  <c:v>41412</c:v>
                </c:pt>
                <c:pt idx="170">
                  <c:v>41415</c:v>
                </c:pt>
                <c:pt idx="171">
                  <c:v>41415</c:v>
                </c:pt>
                <c:pt idx="172">
                  <c:v>41416</c:v>
                </c:pt>
                <c:pt idx="173">
                  <c:v>41417</c:v>
                </c:pt>
                <c:pt idx="174">
                  <c:v>41417</c:v>
                </c:pt>
                <c:pt idx="175">
                  <c:v>41417</c:v>
                </c:pt>
                <c:pt idx="176">
                  <c:v>41418</c:v>
                </c:pt>
                <c:pt idx="177">
                  <c:v>41422</c:v>
                </c:pt>
                <c:pt idx="178">
                  <c:v>41423</c:v>
                </c:pt>
                <c:pt idx="179">
                  <c:v>41424</c:v>
                </c:pt>
                <c:pt idx="180">
                  <c:v>41424</c:v>
                </c:pt>
                <c:pt idx="181">
                  <c:v>41424</c:v>
                </c:pt>
                <c:pt idx="182">
                  <c:v>41426</c:v>
                </c:pt>
                <c:pt idx="183">
                  <c:v>41426</c:v>
                </c:pt>
                <c:pt idx="184">
                  <c:v>41426</c:v>
                </c:pt>
                <c:pt idx="185">
                  <c:v>41426</c:v>
                </c:pt>
                <c:pt idx="186">
                  <c:v>41426</c:v>
                </c:pt>
                <c:pt idx="187">
                  <c:v>41426</c:v>
                </c:pt>
                <c:pt idx="188">
                  <c:v>41427</c:v>
                </c:pt>
                <c:pt idx="189">
                  <c:v>41429</c:v>
                </c:pt>
                <c:pt idx="190">
                  <c:v>41429</c:v>
                </c:pt>
                <c:pt idx="191">
                  <c:v>41430</c:v>
                </c:pt>
                <c:pt idx="192">
                  <c:v>41431</c:v>
                </c:pt>
                <c:pt idx="193">
                  <c:v>41431</c:v>
                </c:pt>
                <c:pt idx="194">
                  <c:v>41431</c:v>
                </c:pt>
                <c:pt idx="195">
                  <c:v>41432</c:v>
                </c:pt>
                <c:pt idx="196">
                  <c:v>41436</c:v>
                </c:pt>
                <c:pt idx="197">
                  <c:v>41437</c:v>
                </c:pt>
                <c:pt idx="198">
                  <c:v>41438</c:v>
                </c:pt>
                <c:pt idx="199">
                  <c:v>41438</c:v>
                </c:pt>
                <c:pt idx="200">
                  <c:v>41438</c:v>
                </c:pt>
                <c:pt idx="201">
                  <c:v>41440</c:v>
                </c:pt>
                <c:pt idx="202">
                  <c:v>41443</c:v>
                </c:pt>
                <c:pt idx="203">
                  <c:v>41443</c:v>
                </c:pt>
                <c:pt idx="204">
                  <c:v>41444</c:v>
                </c:pt>
                <c:pt idx="205">
                  <c:v>41445</c:v>
                </c:pt>
                <c:pt idx="206">
                  <c:v>41445</c:v>
                </c:pt>
                <c:pt idx="207">
                  <c:v>41445</c:v>
                </c:pt>
                <c:pt idx="208">
                  <c:v>41446</c:v>
                </c:pt>
                <c:pt idx="209">
                  <c:v>41450</c:v>
                </c:pt>
                <c:pt idx="210">
                  <c:v>41451</c:v>
                </c:pt>
                <c:pt idx="211">
                  <c:v>41452</c:v>
                </c:pt>
                <c:pt idx="212">
                  <c:v>41452</c:v>
                </c:pt>
                <c:pt idx="213">
                  <c:v>41452</c:v>
                </c:pt>
                <c:pt idx="214">
                  <c:v>41454</c:v>
                </c:pt>
                <c:pt idx="215">
                  <c:v>41456</c:v>
                </c:pt>
                <c:pt idx="216">
                  <c:v>41456</c:v>
                </c:pt>
                <c:pt idx="217">
                  <c:v>41456</c:v>
                </c:pt>
                <c:pt idx="218">
                  <c:v>41456</c:v>
                </c:pt>
                <c:pt idx="219">
                  <c:v>41456</c:v>
                </c:pt>
                <c:pt idx="220">
                  <c:v>41456</c:v>
                </c:pt>
                <c:pt idx="221">
                  <c:v>41457</c:v>
                </c:pt>
                <c:pt idx="222">
                  <c:v>41457</c:v>
                </c:pt>
                <c:pt idx="223">
                  <c:v>41457</c:v>
                </c:pt>
                <c:pt idx="224">
                  <c:v>41458</c:v>
                </c:pt>
                <c:pt idx="225">
                  <c:v>41459</c:v>
                </c:pt>
                <c:pt idx="226">
                  <c:v>41459</c:v>
                </c:pt>
                <c:pt idx="227">
                  <c:v>41459</c:v>
                </c:pt>
                <c:pt idx="228">
                  <c:v>41460</c:v>
                </c:pt>
                <c:pt idx="229">
                  <c:v>41464</c:v>
                </c:pt>
                <c:pt idx="230">
                  <c:v>41465</c:v>
                </c:pt>
                <c:pt idx="231">
                  <c:v>41466</c:v>
                </c:pt>
                <c:pt idx="232">
                  <c:v>41466</c:v>
                </c:pt>
                <c:pt idx="233">
                  <c:v>41466</c:v>
                </c:pt>
                <c:pt idx="234">
                  <c:v>41468</c:v>
                </c:pt>
                <c:pt idx="235">
                  <c:v>41471</c:v>
                </c:pt>
                <c:pt idx="236">
                  <c:v>41471</c:v>
                </c:pt>
                <c:pt idx="237">
                  <c:v>41472</c:v>
                </c:pt>
                <c:pt idx="238">
                  <c:v>41473</c:v>
                </c:pt>
                <c:pt idx="239">
                  <c:v>41473</c:v>
                </c:pt>
                <c:pt idx="240">
                  <c:v>41473</c:v>
                </c:pt>
                <c:pt idx="241">
                  <c:v>41474</c:v>
                </c:pt>
                <c:pt idx="242">
                  <c:v>41478</c:v>
                </c:pt>
                <c:pt idx="243">
                  <c:v>41479</c:v>
                </c:pt>
                <c:pt idx="244">
                  <c:v>41480</c:v>
                </c:pt>
                <c:pt idx="245">
                  <c:v>41480</c:v>
                </c:pt>
                <c:pt idx="246">
                  <c:v>41480</c:v>
                </c:pt>
                <c:pt idx="247">
                  <c:v>41482</c:v>
                </c:pt>
                <c:pt idx="248">
                  <c:v>41485</c:v>
                </c:pt>
                <c:pt idx="249">
                  <c:v>41485</c:v>
                </c:pt>
                <c:pt idx="250">
                  <c:v>41486</c:v>
                </c:pt>
                <c:pt idx="251">
                  <c:v>41487</c:v>
                </c:pt>
                <c:pt idx="252">
                  <c:v>41487</c:v>
                </c:pt>
                <c:pt idx="253">
                  <c:v>41487</c:v>
                </c:pt>
                <c:pt idx="254">
                  <c:v>41487</c:v>
                </c:pt>
                <c:pt idx="255">
                  <c:v>41487</c:v>
                </c:pt>
                <c:pt idx="256">
                  <c:v>41487</c:v>
                </c:pt>
                <c:pt idx="257">
                  <c:v>41487</c:v>
                </c:pt>
                <c:pt idx="258">
                  <c:v>41487</c:v>
                </c:pt>
                <c:pt idx="259">
                  <c:v>41487</c:v>
                </c:pt>
                <c:pt idx="260">
                  <c:v>41487</c:v>
                </c:pt>
                <c:pt idx="261">
                  <c:v>41488</c:v>
                </c:pt>
                <c:pt idx="262">
                  <c:v>41488</c:v>
                </c:pt>
                <c:pt idx="263">
                  <c:v>41492</c:v>
                </c:pt>
                <c:pt idx="264">
                  <c:v>41493</c:v>
                </c:pt>
                <c:pt idx="265">
                  <c:v>41494</c:v>
                </c:pt>
                <c:pt idx="266">
                  <c:v>41494</c:v>
                </c:pt>
                <c:pt idx="267">
                  <c:v>41494</c:v>
                </c:pt>
                <c:pt idx="268">
                  <c:v>41496</c:v>
                </c:pt>
                <c:pt idx="269">
                  <c:v>41499</c:v>
                </c:pt>
                <c:pt idx="270">
                  <c:v>41499</c:v>
                </c:pt>
                <c:pt idx="271">
                  <c:v>41500</c:v>
                </c:pt>
                <c:pt idx="272">
                  <c:v>41501</c:v>
                </c:pt>
                <c:pt idx="273">
                  <c:v>41501</c:v>
                </c:pt>
                <c:pt idx="274">
                  <c:v>41501</c:v>
                </c:pt>
                <c:pt idx="275">
                  <c:v>41502</c:v>
                </c:pt>
                <c:pt idx="276">
                  <c:v>41506</c:v>
                </c:pt>
                <c:pt idx="277">
                  <c:v>41507</c:v>
                </c:pt>
                <c:pt idx="278">
                  <c:v>41508</c:v>
                </c:pt>
                <c:pt idx="279">
                  <c:v>41508</c:v>
                </c:pt>
                <c:pt idx="280">
                  <c:v>41508</c:v>
                </c:pt>
                <c:pt idx="281">
                  <c:v>41510</c:v>
                </c:pt>
                <c:pt idx="282">
                  <c:v>41513</c:v>
                </c:pt>
                <c:pt idx="283">
                  <c:v>41513</c:v>
                </c:pt>
                <c:pt idx="284">
                  <c:v>41514</c:v>
                </c:pt>
                <c:pt idx="285">
                  <c:v>41515</c:v>
                </c:pt>
                <c:pt idx="286">
                  <c:v>41515</c:v>
                </c:pt>
                <c:pt idx="287">
                  <c:v>41515</c:v>
                </c:pt>
                <c:pt idx="288">
                  <c:v>41516</c:v>
                </c:pt>
                <c:pt idx="289">
                  <c:v>41518</c:v>
                </c:pt>
                <c:pt idx="290">
                  <c:v>41518</c:v>
                </c:pt>
                <c:pt idx="291">
                  <c:v>41518</c:v>
                </c:pt>
                <c:pt idx="292">
                  <c:v>41518</c:v>
                </c:pt>
                <c:pt idx="293">
                  <c:v>41518</c:v>
                </c:pt>
                <c:pt idx="294">
                  <c:v>41519</c:v>
                </c:pt>
                <c:pt idx="295">
                  <c:v>41520</c:v>
                </c:pt>
                <c:pt idx="296">
                  <c:v>41521</c:v>
                </c:pt>
                <c:pt idx="297">
                  <c:v>41522</c:v>
                </c:pt>
                <c:pt idx="298">
                  <c:v>41522</c:v>
                </c:pt>
                <c:pt idx="299">
                  <c:v>41522</c:v>
                </c:pt>
                <c:pt idx="300">
                  <c:v>41524</c:v>
                </c:pt>
                <c:pt idx="301">
                  <c:v>41527</c:v>
                </c:pt>
                <c:pt idx="302">
                  <c:v>41527</c:v>
                </c:pt>
                <c:pt idx="303">
                  <c:v>41528</c:v>
                </c:pt>
                <c:pt idx="304">
                  <c:v>41529</c:v>
                </c:pt>
                <c:pt idx="305">
                  <c:v>41529</c:v>
                </c:pt>
                <c:pt idx="306">
                  <c:v>41529</c:v>
                </c:pt>
                <c:pt idx="307">
                  <c:v>41530</c:v>
                </c:pt>
                <c:pt idx="308">
                  <c:v>41534</c:v>
                </c:pt>
                <c:pt idx="309">
                  <c:v>41535</c:v>
                </c:pt>
                <c:pt idx="310">
                  <c:v>41536</c:v>
                </c:pt>
                <c:pt idx="311">
                  <c:v>41536</c:v>
                </c:pt>
                <c:pt idx="312">
                  <c:v>41536</c:v>
                </c:pt>
                <c:pt idx="313">
                  <c:v>41538</c:v>
                </c:pt>
                <c:pt idx="314">
                  <c:v>41541</c:v>
                </c:pt>
                <c:pt idx="315">
                  <c:v>41541</c:v>
                </c:pt>
                <c:pt idx="316">
                  <c:v>41542</c:v>
                </c:pt>
                <c:pt idx="317">
                  <c:v>41543</c:v>
                </c:pt>
                <c:pt idx="318">
                  <c:v>41543</c:v>
                </c:pt>
                <c:pt idx="319">
                  <c:v>41543</c:v>
                </c:pt>
                <c:pt idx="320">
                  <c:v>41544</c:v>
                </c:pt>
                <c:pt idx="321">
                  <c:v>41548</c:v>
                </c:pt>
                <c:pt idx="322">
                  <c:v>41548</c:v>
                </c:pt>
                <c:pt idx="323">
                  <c:v>41548</c:v>
                </c:pt>
                <c:pt idx="324">
                  <c:v>41548</c:v>
                </c:pt>
                <c:pt idx="325">
                  <c:v>41548</c:v>
                </c:pt>
                <c:pt idx="326">
                  <c:v>41548</c:v>
                </c:pt>
                <c:pt idx="327">
                  <c:v>41548</c:v>
                </c:pt>
                <c:pt idx="328">
                  <c:v>41549</c:v>
                </c:pt>
                <c:pt idx="329">
                  <c:v>41549</c:v>
                </c:pt>
                <c:pt idx="330">
                  <c:v>41550</c:v>
                </c:pt>
                <c:pt idx="331">
                  <c:v>41550</c:v>
                </c:pt>
                <c:pt idx="332">
                  <c:v>41550</c:v>
                </c:pt>
                <c:pt idx="333">
                  <c:v>41552</c:v>
                </c:pt>
                <c:pt idx="334">
                  <c:v>41555</c:v>
                </c:pt>
                <c:pt idx="335">
                  <c:v>41555</c:v>
                </c:pt>
                <c:pt idx="336">
                  <c:v>41556</c:v>
                </c:pt>
                <c:pt idx="337">
                  <c:v>41557</c:v>
                </c:pt>
                <c:pt idx="338">
                  <c:v>41557</c:v>
                </c:pt>
                <c:pt idx="339">
                  <c:v>41557</c:v>
                </c:pt>
                <c:pt idx="340">
                  <c:v>41558</c:v>
                </c:pt>
                <c:pt idx="341">
                  <c:v>41562</c:v>
                </c:pt>
                <c:pt idx="342">
                  <c:v>41563</c:v>
                </c:pt>
                <c:pt idx="343">
                  <c:v>41564</c:v>
                </c:pt>
                <c:pt idx="344">
                  <c:v>41564</c:v>
                </c:pt>
                <c:pt idx="345">
                  <c:v>41564</c:v>
                </c:pt>
                <c:pt idx="346">
                  <c:v>41566</c:v>
                </c:pt>
                <c:pt idx="347">
                  <c:v>41569</c:v>
                </c:pt>
                <c:pt idx="348">
                  <c:v>41569</c:v>
                </c:pt>
                <c:pt idx="349">
                  <c:v>41570</c:v>
                </c:pt>
                <c:pt idx="350">
                  <c:v>41571</c:v>
                </c:pt>
                <c:pt idx="351">
                  <c:v>41571</c:v>
                </c:pt>
                <c:pt idx="352">
                  <c:v>41571</c:v>
                </c:pt>
                <c:pt idx="353">
                  <c:v>41572</c:v>
                </c:pt>
                <c:pt idx="354">
                  <c:v>41576</c:v>
                </c:pt>
                <c:pt idx="355">
                  <c:v>41577</c:v>
                </c:pt>
                <c:pt idx="356">
                  <c:v>41578</c:v>
                </c:pt>
                <c:pt idx="357">
                  <c:v>41578</c:v>
                </c:pt>
                <c:pt idx="358">
                  <c:v>41578</c:v>
                </c:pt>
                <c:pt idx="359">
                  <c:v>41579</c:v>
                </c:pt>
                <c:pt idx="360">
                  <c:v>41579</c:v>
                </c:pt>
                <c:pt idx="361">
                  <c:v>41579</c:v>
                </c:pt>
                <c:pt idx="362">
                  <c:v>41579</c:v>
                </c:pt>
                <c:pt idx="363">
                  <c:v>41579</c:v>
                </c:pt>
                <c:pt idx="364">
                  <c:v>41579</c:v>
                </c:pt>
                <c:pt idx="365">
                  <c:v>41579</c:v>
                </c:pt>
                <c:pt idx="366">
                  <c:v>41580</c:v>
                </c:pt>
                <c:pt idx="367">
                  <c:v>41580</c:v>
                </c:pt>
                <c:pt idx="368">
                  <c:v>41583</c:v>
                </c:pt>
                <c:pt idx="369">
                  <c:v>41583</c:v>
                </c:pt>
                <c:pt idx="370">
                  <c:v>41584</c:v>
                </c:pt>
                <c:pt idx="371">
                  <c:v>41585</c:v>
                </c:pt>
                <c:pt idx="372">
                  <c:v>41585</c:v>
                </c:pt>
                <c:pt idx="373">
                  <c:v>41585</c:v>
                </c:pt>
                <c:pt idx="374">
                  <c:v>41586</c:v>
                </c:pt>
                <c:pt idx="375">
                  <c:v>41590</c:v>
                </c:pt>
                <c:pt idx="376">
                  <c:v>41591</c:v>
                </c:pt>
                <c:pt idx="377">
                  <c:v>41592</c:v>
                </c:pt>
                <c:pt idx="378">
                  <c:v>41592</c:v>
                </c:pt>
                <c:pt idx="379">
                  <c:v>41592</c:v>
                </c:pt>
                <c:pt idx="380">
                  <c:v>41594</c:v>
                </c:pt>
                <c:pt idx="381">
                  <c:v>41597</c:v>
                </c:pt>
                <c:pt idx="382">
                  <c:v>41597</c:v>
                </c:pt>
                <c:pt idx="383">
                  <c:v>41598</c:v>
                </c:pt>
                <c:pt idx="384">
                  <c:v>41599</c:v>
                </c:pt>
                <c:pt idx="385">
                  <c:v>41599</c:v>
                </c:pt>
                <c:pt idx="386">
                  <c:v>41599</c:v>
                </c:pt>
                <c:pt idx="387">
                  <c:v>41600</c:v>
                </c:pt>
                <c:pt idx="388">
                  <c:v>41604</c:v>
                </c:pt>
                <c:pt idx="389">
                  <c:v>41605</c:v>
                </c:pt>
                <c:pt idx="390">
                  <c:v>41606</c:v>
                </c:pt>
                <c:pt idx="391">
                  <c:v>41606</c:v>
                </c:pt>
                <c:pt idx="392">
                  <c:v>41606</c:v>
                </c:pt>
                <c:pt idx="393">
                  <c:v>41608</c:v>
                </c:pt>
                <c:pt idx="394">
                  <c:v>41609</c:v>
                </c:pt>
                <c:pt idx="395">
                  <c:v>41609</c:v>
                </c:pt>
                <c:pt idx="396">
                  <c:v>41609</c:v>
                </c:pt>
                <c:pt idx="397">
                  <c:v>41609</c:v>
                </c:pt>
                <c:pt idx="398">
                  <c:v>41609</c:v>
                </c:pt>
                <c:pt idx="399">
                  <c:v>41610</c:v>
                </c:pt>
                <c:pt idx="400">
                  <c:v>41611</c:v>
                </c:pt>
                <c:pt idx="401">
                  <c:v>41611</c:v>
                </c:pt>
                <c:pt idx="402">
                  <c:v>41612</c:v>
                </c:pt>
                <c:pt idx="403">
                  <c:v>41613</c:v>
                </c:pt>
                <c:pt idx="404">
                  <c:v>41613</c:v>
                </c:pt>
                <c:pt idx="405">
                  <c:v>41613</c:v>
                </c:pt>
                <c:pt idx="406">
                  <c:v>41614</c:v>
                </c:pt>
                <c:pt idx="407">
                  <c:v>41618</c:v>
                </c:pt>
                <c:pt idx="408">
                  <c:v>41619</c:v>
                </c:pt>
                <c:pt idx="409">
                  <c:v>41620</c:v>
                </c:pt>
                <c:pt idx="410">
                  <c:v>41620</c:v>
                </c:pt>
                <c:pt idx="411">
                  <c:v>41620</c:v>
                </c:pt>
                <c:pt idx="412">
                  <c:v>41622</c:v>
                </c:pt>
                <c:pt idx="413">
                  <c:v>41625</c:v>
                </c:pt>
                <c:pt idx="414">
                  <c:v>41625</c:v>
                </c:pt>
                <c:pt idx="415">
                  <c:v>41626</c:v>
                </c:pt>
                <c:pt idx="416">
                  <c:v>41627</c:v>
                </c:pt>
                <c:pt idx="417">
                  <c:v>41627</c:v>
                </c:pt>
                <c:pt idx="418">
                  <c:v>41627</c:v>
                </c:pt>
                <c:pt idx="419">
                  <c:v>41628</c:v>
                </c:pt>
                <c:pt idx="420">
                  <c:v>41632</c:v>
                </c:pt>
                <c:pt idx="421">
                  <c:v>41633</c:v>
                </c:pt>
                <c:pt idx="422">
                  <c:v>41634</c:v>
                </c:pt>
                <c:pt idx="423">
                  <c:v>41634</c:v>
                </c:pt>
                <c:pt idx="424">
                  <c:v>41634</c:v>
                </c:pt>
                <c:pt idx="425">
                  <c:v>41636</c:v>
                </c:pt>
                <c:pt idx="426">
                  <c:v>41639</c:v>
                </c:pt>
                <c:pt idx="427">
                  <c:v>41639</c:v>
                </c:pt>
                <c:pt idx="428">
                  <c:v>41640</c:v>
                </c:pt>
                <c:pt idx="429">
                  <c:v>41640</c:v>
                </c:pt>
                <c:pt idx="430">
                  <c:v>41640</c:v>
                </c:pt>
                <c:pt idx="431">
                  <c:v>41640</c:v>
                </c:pt>
                <c:pt idx="432">
                  <c:v>41640</c:v>
                </c:pt>
                <c:pt idx="433">
                  <c:v>41640</c:v>
                </c:pt>
                <c:pt idx="434">
                  <c:v>41640</c:v>
                </c:pt>
                <c:pt idx="435">
                  <c:v>41641</c:v>
                </c:pt>
                <c:pt idx="436">
                  <c:v>41641</c:v>
                </c:pt>
                <c:pt idx="437">
                  <c:v>41641</c:v>
                </c:pt>
                <c:pt idx="438">
                  <c:v>41641</c:v>
                </c:pt>
                <c:pt idx="439">
                  <c:v>41642</c:v>
                </c:pt>
                <c:pt idx="440">
                  <c:v>41646</c:v>
                </c:pt>
                <c:pt idx="441">
                  <c:v>41647</c:v>
                </c:pt>
                <c:pt idx="442">
                  <c:v>41648</c:v>
                </c:pt>
                <c:pt idx="443">
                  <c:v>41648</c:v>
                </c:pt>
                <c:pt idx="444">
                  <c:v>41648</c:v>
                </c:pt>
                <c:pt idx="445">
                  <c:v>41650</c:v>
                </c:pt>
                <c:pt idx="446">
                  <c:v>41653</c:v>
                </c:pt>
                <c:pt idx="447">
                  <c:v>41653</c:v>
                </c:pt>
                <c:pt idx="448">
                  <c:v>41654</c:v>
                </c:pt>
                <c:pt idx="449">
                  <c:v>41655</c:v>
                </c:pt>
                <c:pt idx="450">
                  <c:v>41655</c:v>
                </c:pt>
                <c:pt idx="451">
                  <c:v>41655</c:v>
                </c:pt>
                <c:pt idx="452">
                  <c:v>41656</c:v>
                </c:pt>
                <c:pt idx="453">
                  <c:v>41660</c:v>
                </c:pt>
                <c:pt idx="454">
                  <c:v>41661</c:v>
                </c:pt>
                <c:pt idx="455">
                  <c:v>41662</c:v>
                </c:pt>
                <c:pt idx="456">
                  <c:v>41662</c:v>
                </c:pt>
                <c:pt idx="457">
                  <c:v>41662</c:v>
                </c:pt>
                <c:pt idx="458">
                  <c:v>41664</c:v>
                </c:pt>
                <c:pt idx="459">
                  <c:v>41667</c:v>
                </c:pt>
                <c:pt idx="460">
                  <c:v>41667</c:v>
                </c:pt>
                <c:pt idx="461">
                  <c:v>41668</c:v>
                </c:pt>
                <c:pt idx="462">
                  <c:v>41669</c:v>
                </c:pt>
                <c:pt idx="463">
                  <c:v>41669</c:v>
                </c:pt>
                <c:pt idx="464">
                  <c:v>41669</c:v>
                </c:pt>
                <c:pt idx="465">
                  <c:v>41670</c:v>
                </c:pt>
                <c:pt idx="466">
                  <c:v>41671</c:v>
                </c:pt>
                <c:pt idx="467">
                  <c:v>41671</c:v>
                </c:pt>
                <c:pt idx="468">
                  <c:v>41671</c:v>
                </c:pt>
                <c:pt idx="469">
                  <c:v>41671</c:v>
                </c:pt>
                <c:pt idx="470">
                  <c:v>41671</c:v>
                </c:pt>
                <c:pt idx="471">
                  <c:v>41671</c:v>
                </c:pt>
                <c:pt idx="472">
                  <c:v>41671</c:v>
                </c:pt>
                <c:pt idx="473">
                  <c:v>41672</c:v>
                </c:pt>
                <c:pt idx="474">
                  <c:v>41674</c:v>
                </c:pt>
                <c:pt idx="475">
                  <c:v>41675</c:v>
                </c:pt>
                <c:pt idx="476">
                  <c:v>41676</c:v>
                </c:pt>
                <c:pt idx="477">
                  <c:v>41676</c:v>
                </c:pt>
                <c:pt idx="478">
                  <c:v>41676</c:v>
                </c:pt>
                <c:pt idx="479">
                  <c:v>41678</c:v>
                </c:pt>
                <c:pt idx="480">
                  <c:v>41681</c:v>
                </c:pt>
                <c:pt idx="481">
                  <c:v>41681</c:v>
                </c:pt>
                <c:pt idx="482">
                  <c:v>41682</c:v>
                </c:pt>
                <c:pt idx="483">
                  <c:v>41683</c:v>
                </c:pt>
                <c:pt idx="484">
                  <c:v>41683</c:v>
                </c:pt>
                <c:pt idx="485">
                  <c:v>41683</c:v>
                </c:pt>
                <c:pt idx="486">
                  <c:v>41684</c:v>
                </c:pt>
                <c:pt idx="487">
                  <c:v>41688</c:v>
                </c:pt>
                <c:pt idx="488">
                  <c:v>41689</c:v>
                </c:pt>
                <c:pt idx="489">
                  <c:v>41690</c:v>
                </c:pt>
                <c:pt idx="490">
                  <c:v>41690</c:v>
                </c:pt>
                <c:pt idx="491">
                  <c:v>41690</c:v>
                </c:pt>
                <c:pt idx="492">
                  <c:v>41692</c:v>
                </c:pt>
                <c:pt idx="493">
                  <c:v>41695</c:v>
                </c:pt>
                <c:pt idx="494">
                  <c:v>41695</c:v>
                </c:pt>
                <c:pt idx="495">
                  <c:v>41696</c:v>
                </c:pt>
                <c:pt idx="496">
                  <c:v>41697</c:v>
                </c:pt>
                <c:pt idx="497">
                  <c:v>41697</c:v>
                </c:pt>
                <c:pt idx="498">
                  <c:v>41697</c:v>
                </c:pt>
                <c:pt idx="499">
                  <c:v>41698</c:v>
                </c:pt>
                <c:pt idx="500">
                  <c:v>41699</c:v>
                </c:pt>
                <c:pt idx="501">
                  <c:v>41699</c:v>
                </c:pt>
                <c:pt idx="502">
                  <c:v>41699</c:v>
                </c:pt>
                <c:pt idx="503">
                  <c:v>41699</c:v>
                </c:pt>
                <c:pt idx="504">
                  <c:v>41699</c:v>
                </c:pt>
                <c:pt idx="505">
                  <c:v>41700</c:v>
                </c:pt>
                <c:pt idx="506">
                  <c:v>41702</c:v>
                </c:pt>
                <c:pt idx="507">
                  <c:v>41703</c:v>
                </c:pt>
                <c:pt idx="508">
                  <c:v>41704</c:v>
                </c:pt>
                <c:pt idx="509">
                  <c:v>41704</c:v>
                </c:pt>
                <c:pt idx="510">
                  <c:v>41704</c:v>
                </c:pt>
                <c:pt idx="511">
                  <c:v>41706</c:v>
                </c:pt>
                <c:pt idx="512">
                  <c:v>41709</c:v>
                </c:pt>
                <c:pt idx="513">
                  <c:v>41709</c:v>
                </c:pt>
                <c:pt idx="514">
                  <c:v>41710</c:v>
                </c:pt>
                <c:pt idx="515">
                  <c:v>41711</c:v>
                </c:pt>
                <c:pt idx="516">
                  <c:v>41711</c:v>
                </c:pt>
                <c:pt idx="517">
                  <c:v>41711</c:v>
                </c:pt>
                <c:pt idx="518">
                  <c:v>41712</c:v>
                </c:pt>
                <c:pt idx="519">
                  <c:v>41716</c:v>
                </c:pt>
                <c:pt idx="520">
                  <c:v>41717</c:v>
                </c:pt>
                <c:pt idx="521">
                  <c:v>41718</c:v>
                </c:pt>
                <c:pt idx="522">
                  <c:v>41718</c:v>
                </c:pt>
                <c:pt idx="523">
                  <c:v>41718</c:v>
                </c:pt>
                <c:pt idx="524">
                  <c:v>41720</c:v>
                </c:pt>
                <c:pt idx="525">
                  <c:v>41723</c:v>
                </c:pt>
                <c:pt idx="526">
                  <c:v>41723</c:v>
                </c:pt>
                <c:pt idx="527">
                  <c:v>41724</c:v>
                </c:pt>
                <c:pt idx="528">
                  <c:v>41725</c:v>
                </c:pt>
                <c:pt idx="529">
                  <c:v>41725</c:v>
                </c:pt>
                <c:pt idx="530">
                  <c:v>41725</c:v>
                </c:pt>
                <c:pt idx="531">
                  <c:v>41726</c:v>
                </c:pt>
                <c:pt idx="532">
                  <c:v>41730</c:v>
                </c:pt>
                <c:pt idx="533">
                  <c:v>41730</c:v>
                </c:pt>
                <c:pt idx="534">
                  <c:v>41730</c:v>
                </c:pt>
                <c:pt idx="535">
                  <c:v>41730</c:v>
                </c:pt>
                <c:pt idx="536">
                  <c:v>41730</c:v>
                </c:pt>
                <c:pt idx="537">
                  <c:v>41730</c:v>
                </c:pt>
                <c:pt idx="538">
                  <c:v>41730</c:v>
                </c:pt>
                <c:pt idx="539">
                  <c:v>41731</c:v>
                </c:pt>
                <c:pt idx="540">
                  <c:v>41731</c:v>
                </c:pt>
                <c:pt idx="541">
                  <c:v>41732</c:v>
                </c:pt>
                <c:pt idx="542">
                  <c:v>41732</c:v>
                </c:pt>
                <c:pt idx="543">
                  <c:v>41732</c:v>
                </c:pt>
                <c:pt idx="544">
                  <c:v>41734</c:v>
                </c:pt>
                <c:pt idx="545">
                  <c:v>41737</c:v>
                </c:pt>
                <c:pt idx="546">
                  <c:v>41737</c:v>
                </c:pt>
                <c:pt idx="547">
                  <c:v>41738</c:v>
                </c:pt>
                <c:pt idx="548">
                  <c:v>41739</c:v>
                </c:pt>
                <c:pt idx="549">
                  <c:v>41739</c:v>
                </c:pt>
                <c:pt idx="550">
                  <c:v>41739</c:v>
                </c:pt>
                <c:pt idx="551">
                  <c:v>41740</c:v>
                </c:pt>
                <c:pt idx="552">
                  <c:v>41744</c:v>
                </c:pt>
                <c:pt idx="553">
                  <c:v>41745</c:v>
                </c:pt>
                <c:pt idx="554">
                  <c:v>41746</c:v>
                </c:pt>
                <c:pt idx="555">
                  <c:v>41746</c:v>
                </c:pt>
                <c:pt idx="556">
                  <c:v>41746</c:v>
                </c:pt>
                <c:pt idx="557">
                  <c:v>41748</c:v>
                </c:pt>
                <c:pt idx="558">
                  <c:v>41751</c:v>
                </c:pt>
                <c:pt idx="559">
                  <c:v>41751</c:v>
                </c:pt>
                <c:pt idx="560">
                  <c:v>41752</c:v>
                </c:pt>
                <c:pt idx="561">
                  <c:v>41753</c:v>
                </c:pt>
                <c:pt idx="562">
                  <c:v>41753</c:v>
                </c:pt>
                <c:pt idx="563">
                  <c:v>41753</c:v>
                </c:pt>
                <c:pt idx="564">
                  <c:v>41754</c:v>
                </c:pt>
                <c:pt idx="565">
                  <c:v>41758</c:v>
                </c:pt>
                <c:pt idx="566">
                  <c:v>41759</c:v>
                </c:pt>
                <c:pt idx="567">
                  <c:v>41760</c:v>
                </c:pt>
                <c:pt idx="568">
                  <c:v>41760</c:v>
                </c:pt>
                <c:pt idx="569">
                  <c:v>41760</c:v>
                </c:pt>
                <c:pt idx="570">
                  <c:v>41760</c:v>
                </c:pt>
                <c:pt idx="571">
                  <c:v>41760</c:v>
                </c:pt>
                <c:pt idx="572">
                  <c:v>41760</c:v>
                </c:pt>
                <c:pt idx="573">
                  <c:v>41760</c:v>
                </c:pt>
                <c:pt idx="574">
                  <c:v>41760</c:v>
                </c:pt>
                <c:pt idx="575">
                  <c:v>41760</c:v>
                </c:pt>
                <c:pt idx="576">
                  <c:v>41760</c:v>
                </c:pt>
                <c:pt idx="577">
                  <c:v>41761</c:v>
                </c:pt>
                <c:pt idx="578">
                  <c:v>41762</c:v>
                </c:pt>
                <c:pt idx="579">
                  <c:v>41765</c:v>
                </c:pt>
                <c:pt idx="580">
                  <c:v>41765</c:v>
                </c:pt>
                <c:pt idx="581">
                  <c:v>41766</c:v>
                </c:pt>
                <c:pt idx="582">
                  <c:v>41767</c:v>
                </c:pt>
                <c:pt idx="583">
                  <c:v>41767</c:v>
                </c:pt>
                <c:pt idx="584">
                  <c:v>41767</c:v>
                </c:pt>
                <c:pt idx="585">
                  <c:v>41768</c:v>
                </c:pt>
                <c:pt idx="586">
                  <c:v>41772</c:v>
                </c:pt>
                <c:pt idx="587">
                  <c:v>41773</c:v>
                </c:pt>
                <c:pt idx="588">
                  <c:v>41774</c:v>
                </c:pt>
                <c:pt idx="589">
                  <c:v>41774</c:v>
                </c:pt>
                <c:pt idx="590">
                  <c:v>41774</c:v>
                </c:pt>
                <c:pt idx="591">
                  <c:v>41776</c:v>
                </c:pt>
                <c:pt idx="592">
                  <c:v>41779</c:v>
                </c:pt>
                <c:pt idx="593">
                  <c:v>41779</c:v>
                </c:pt>
                <c:pt idx="594">
                  <c:v>41780</c:v>
                </c:pt>
                <c:pt idx="595">
                  <c:v>41781</c:v>
                </c:pt>
                <c:pt idx="596">
                  <c:v>41781</c:v>
                </c:pt>
                <c:pt idx="597">
                  <c:v>41781</c:v>
                </c:pt>
                <c:pt idx="598">
                  <c:v>41782</c:v>
                </c:pt>
                <c:pt idx="599">
                  <c:v>41786</c:v>
                </c:pt>
                <c:pt idx="600">
                  <c:v>41787</c:v>
                </c:pt>
                <c:pt idx="601">
                  <c:v>41788</c:v>
                </c:pt>
                <c:pt idx="602">
                  <c:v>41788</c:v>
                </c:pt>
                <c:pt idx="603">
                  <c:v>41788</c:v>
                </c:pt>
                <c:pt idx="604">
                  <c:v>41790</c:v>
                </c:pt>
                <c:pt idx="605">
                  <c:v>41791</c:v>
                </c:pt>
                <c:pt idx="606">
                  <c:v>41791</c:v>
                </c:pt>
                <c:pt idx="607">
                  <c:v>41791</c:v>
                </c:pt>
                <c:pt idx="608">
                  <c:v>41791</c:v>
                </c:pt>
                <c:pt idx="609">
                  <c:v>41791</c:v>
                </c:pt>
                <c:pt idx="610">
                  <c:v>41792</c:v>
                </c:pt>
                <c:pt idx="611">
                  <c:v>41793</c:v>
                </c:pt>
                <c:pt idx="612">
                  <c:v>41793</c:v>
                </c:pt>
                <c:pt idx="613">
                  <c:v>41794</c:v>
                </c:pt>
                <c:pt idx="614">
                  <c:v>41795</c:v>
                </c:pt>
                <c:pt idx="615">
                  <c:v>41795</c:v>
                </c:pt>
                <c:pt idx="616">
                  <c:v>41795</c:v>
                </c:pt>
                <c:pt idx="617">
                  <c:v>41796</c:v>
                </c:pt>
                <c:pt idx="618">
                  <c:v>41800</c:v>
                </c:pt>
                <c:pt idx="619">
                  <c:v>41801</c:v>
                </c:pt>
                <c:pt idx="620">
                  <c:v>41802</c:v>
                </c:pt>
                <c:pt idx="621">
                  <c:v>41802</c:v>
                </c:pt>
                <c:pt idx="622">
                  <c:v>41802</c:v>
                </c:pt>
                <c:pt idx="623">
                  <c:v>41804</c:v>
                </c:pt>
                <c:pt idx="624">
                  <c:v>41807</c:v>
                </c:pt>
                <c:pt idx="625">
                  <c:v>41807</c:v>
                </c:pt>
                <c:pt idx="626">
                  <c:v>41808</c:v>
                </c:pt>
                <c:pt idx="627">
                  <c:v>41809</c:v>
                </c:pt>
                <c:pt idx="628">
                  <c:v>41809</c:v>
                </c:pt>
                <c:pt idx="629">
                  <c:v>41809</c:v>
                </c:pt>
                <c:pt idx="630">
                  <c:v>41810</c:v>
                </c:pt>
                <c:pt idx="631">
                  <c:v>41814</c:v>
                </c:pt>
                <c:pt idx="632">
                  <c:v>41815</c:v>
                </c:pt>
                <c:pt idx="633">
                  <c:v>41816</c:v>
                </c:pt>
                <c:pt idx="634">
                  <c:v>41816</c:v>
                </c:pt>
                <c:pt idx="635">
                  <c:v>41816</c:v>
                </c:pt>
                <c:pt idx="636">
                  <c:v>41818</c:v>
                </c:pt>
                <c:pt idx="637">
                  <c:v>41821</c:v>
                </c:pt>
                <c:pt idx="638">
                  <c:v>41821</c:v>
                </c:pt>
                <c:pt idx="639">
                  <c:v>41821</c:v>
                </c:pt>
                <c:pt idx="640">
                  <c:v>41821</c:v>
                </c:pt>
                <c:pt idx="641">
                  <c:v>41821</c:v>
                </c:pt>
                <c:pt idx="642">
                  <c:v>41821</c:v>
                </c:pt>
                <c:pt idx="643">
                  <c:v>41821</c:v>
                </c:pt>
                <c:pt idx="644">
                  <c:v>41821</c:v>
                </c:pt>
                <c:pt idx="645">
                  <c:v>41822</c:v>
                </c:pt>
                <c:pt idx="646">
                  <c:v>41822</c:v>
                </c:pt>
                <c:pt idx="647">
                  <c:v>41823</c:v>
                </c:pt>
                <c:pt idx="648">
                  <c:v>41823</c:v>
                </c:pt>
                <c:pt idx="649">
                  <c:v>41823</c:v>
                </c:pt>
                <c:pt idx="650">
                  <c:v>41824</c:v>
                </c:pt>
                <c:pt idx="651">
                  <c:v>41828</c:v>
                </c:pt>
                <c:pt idx="652">
                  <c:v>41829</c:v>
                </c:pt>
                <c:pt idx="653">
                  <c:v>41830</c:v>
                </c:pt>
                <c:pt idx="654">
                  <c:v>41830</c:v>
                </c:pt>
                <c:pt idx="655">
                  <c:v>41830</c:v>
                </c:pt>
                <c:pt idx="656">
                  <c:v>41832</c:v>
                </c:pt>
                <c:pt idx="657">
                  <c:v>41835</c:v>
                </c:pt>
                <c:pt idx="658">
                  <c:v>41835</c:v>
                </c:pt>
                <c:pt idx="659">
                  <c:v>41836</c:v>
                </c:pt>
                <c:pt idx="660">
                  <c:v>41837</c:v>
                </c:pt>
                <c:pt idx="661">
                  <c:v>41837</c:v>
                </c:pt>
                <c:pt idx="662">
                  <c:v>41837</c:v>
                </c:pt>
                <c:pt idx="663">
                  <c:v>41838</c:v>
                </c:pt>
                <c:pt idx="664">
                  <c:v>41842</c:v>
                </c:pt>
                <c:pt idx="665">
                  <c:v>41843</c:v>
                </c:pt>
                <c:pt idx="666">
                  <c:v>41844</c:v>
                </c:pt>
                <c:pt idx="667">
                  <c:v>41844</c:v>
                </c:pt>
                <c:pt idx="668">
                  <c:v>41844</c:v>
                </c:pt>
                <c:pt idx="669">
                  <c:v>41846</c:v>
                </c:pt>
                <c:pt idx="670">
                  <c:v>41849</c:v>
                </c:pt>
                <c:pt idx="671">
                  <c:v>41849</c:v>
                </c:pt>
                <c:pt idx="672">
                  <c:v>41850</c:v>
                </c:pt>
                <c:pt idx="673">
                  <c:v>41851</c:v>
                </c:pt>
                <c:pt idx="674">
                  <c:v>41851</c:v>
                </c:pt>
                <c:pt idx="675">
                  <c:v>41851</c:v>
                </c:pt>
                <c:pt idx="676">
                  <c:v>41852</c:v>
                </c:pt>
                <c:pt idx="677">
                  <c:v>41852</c:v>
                </c:pt>
                <c:pt idx="678">
                  <c:v>41852</c:v>
                </c:pt>
                <c:pt idx="679">
                  <c:v>41852</c:v>
                </c:pt>
                <c:pt idx="680">
                  <c:v>41852</c:v>
                </c:pt>
                <c:pt idx="681">
                  <c:v>41852</c:v>
                </c:pt>
                <c:pt idx="682">
                  <c:v>41852</c:v>
                </c:pt>
                <c:pt idx="683">
                  <c:v>41852</c:v>
                </c:pt>
                <c:pt idx="684">
                  <c:v>41853</c:v>
                </c:pt>
                <c:pt idx="685">
                  <c:v>41856</c:v>
                </c:pt>
                <c:pt idx="686">
                  <c:v>41857</c:v>
                </c:pt>
                <c:pt idx="687">
                  <c:v>41858</c:v>
                </c:pt>
                <c:pt idx="688">
                  <c:v>41858</c:v>
                </c:pt>
                <c:pt idx="689">
                  <c:v>41858</c:v>
                </c:pt>
                <c:pt idx="690">
                  <c:v>41860</c:v>
                </c:pt>
                <c:pt idx="691">
                  <c:v>41863</c:v>
                </c:pt>
                <c:pt idx="692">
                  <c:v>41863</c:v>
                </c:pt>
                <c:pt idx="693">
                  <c:v>41864</c:v>
                </c:pt>
                <c:pt idx="694">
                  <c:v>41865</c:v>
                </c:pt>
                <c:pt idx="695">
                  <c:v>41865</c:v>
                </c:pt>
                <c:pt idx="696">
                  <c:v>41865</c:v>
                </c:pt>
                <c:pt idx="697">
                  <c:v>41866</c:v>
                </c:pt>
                <c:pt idx="698">
                  <c:v>41870</c:v>
                </c:pt>
                <c:pt idx="699">
                  <c:v>41871</c:v>
                </c:pt>
                <c:pt idx="700">
                  <c:v>41872</c:v>
                </c:pt>
                <c:pt idx="701">
                  <c:v>41872</c:v>
                </c:pt>
                <c:pt idx="702">
                  <c:v>41872</c:v>
                </c:pt>
                <c:pt idx="703">
                  <c:v>41874</c:v>
                </c:pt>
                <c:pt idx="704">
                  <c:v>41877</c:v>
                </c:pt>
                <c:pt idx="705">
                  <c:v>41877</c:v>
                </c:pt>
                <c:pt idx="706">
                  <c:v>41878</c:v>
                </c:pt>
                <c:pt idx="707">
                  <c:v>41879</c:v>
                </c:pt>
                <c:pt idx="708">
                  <c:v>41879</c:v>
                </c:pt>
                <c:pt idx="709">
                  <c:v>41879</c:v>
                </c:pt>
                <c:pt idx="710">
                  <c:v>41880</c:v>
                </c:pt>
                <c:pt idx="711">
                  <c:v>41883</c:v>
                </c:pt>
                <c:pt idx="712">
                  <c:v>41883</c:v>
                </c:pt>
                <c:pt idx="713">
                  <c:v>41883</c:v>
                </c:pt>
                <c:pt idx="714">
                  <c:v>41883</c:v>
                </c:pt>
                <c:pt idx="715">
                  <c:v>41883</c:v>
                </c:pt>
                <c:pt idx="716">
                  <c:v>41884</c:v>
                </c:pt>
                <c:pt idx="717">
                  <c:v>41884</c:v>
                </c:pt>
                <c:pt idx="718">
                  <c:v>41885</c:v>
                </c:pt>
                <c:pt idx="719">
                  <c:v>41886</c:v>
                </c:pt>
                <c:pt idx="720">
                  <c:v>41886</c:v>
                </c:pt>
                <c:pt idx="721">
                  <c:v>41886</c:v>
                </c:pt>
                <c:pt idx="722">
                  <c:v>41888</c:v>
                </c:pt>
                <c:pt idx="723">
                  <c:v>41891</c:v>
                </c:pt>
                <c:pt idx="724">
                  <c:v>41891</c:v>
                </c:pt>
                <c:pt idx="725">
                  <c:v>41892</c:v>
                </c:pt>
                <c:pt idx="726">
                  <c:v>41893</c:v>
                </c:pt>
                <c:pt idx="727">
                  <c:v>41893</c:v>
                </c:pt>
                <c:pt idx="728">
                  <c:v>41893</c:v>
                </c:pt>
                <c:pt idx="729">
                  <c:v>41894</c:v>
                </c:pt>
                <c:pt idx="730">
                  <c:v>41898</c:v>
                </c:pt>
                <c:pt idx="731">
                  <c:v>41899</c:v>
                </c:pt>
                <c:pt idx="732">
                  <c:v>41900</c:v>
                </c:pt>
                <c:pt idx="733">
                  <c:v>41900</c:v>
                </c:pt>
                <c:pt idx="734">
                  <c:v>41900</c:v>
                </c:pt>
                <c:pt idx="735">
                  <c:v>41902</c:v>
                </c:pt>
                <c:pt idx="736">
                  <c:v>41905</c:v>
                </c:pt>
                <c:pt idx="737">
                  <c:v>41905</c:v>
                </c:pt>
                <c:pt idx="738">
                  <c:v>41906</c:v>
                </c:pt>
                <c:pt idx="739">
                  <c:v>41907</c:v>
                </c:pt>
                <c:pt idx="740">
                  <c:v>41907</c:v>
                </c:pt>
                <c:pt idx="741">
                  <c:v>41907</c:v>
                </c:pt>
                <c:pt idx="742">
                  <c:v>41908</c:v>
                </c:pt>
                <c:pt idx="743">
                  <c:v>41912</c:v>
                </c:pt>
                <c:pt idx="744">
                  <c:v>41913</c:v>
                </c:pt>
                <c:pt idx="745">
                  <c:v>41913</c:v>
                </c:pt>
                <c:pt idx="746">
                  <c:v>41913</c:v>
                </c:pt>
                <c:pt idx="747">
                  <c:v>41913</c:v>
                </c:pt>
                <c:pt idx="748">
                  <c:v>41913</c:v>
                </c:pt>
                <c:pt idx="749">
                  <c:v>41913</c:v>
                </c:pt>
                <c:pt idx="750">
                  <c:v>41913</c:v>
                </c:pt>
                <c:pt idx="751">
                  <c:v>41914</c:v>
                </c:pt>
                <c:pt idx="752">
                  <c:v>41914</c:v>
                </c:pt>
                <c:pt idx="753">
                  <c:v>41914</c:v>
                </c:pt>
                <c:pt idx="754">
                  <c:v>41914</c:v>
                </c:pt>
                <c:pt idx="755">
                  <c:v>41916</c:v>
                </c:pt>
                <c:pt idx="756">
                  <c:v>41919</c:v>
                </c:pt>
                <c:pt idx="757">
                  <c:v>41919</c:v>
                </c:pt>
                <c:pt idx="758">
                  <c:v>41920</c:v>
                </c:pt>
                <c:pt idx="759">
                  <c:v>41921</c:v>
                </c:pt>
                <c:pt idx="760">
                  <c:v>41921</c:v>
                </c:pt>
                <c:pt idx="761">
                  <c:v>41921</c:v>
                </c:pt>
                <c:pt idx="762">
                  <c:v>41922</c:v>
                </c:pt>
                <c:pt idx="763">
                  <c:v>41926</c:v>
                </c:pt>
                <c:pt idx="764">
                  <c:v>41927</c:v>
                </c:pt>
                <c:pt idx="765">
                  <c:v>41928</c:v>
                </c:pt>
                <c:pt idx="766">
                  <c:v>41928</c:v>
                </c:pt>
                <c:pt idx="767">
                  <c:v>41928</c:v>
                </c:pt>
                <c:pt idx="768">
                  <c:v>41930</c:v>
                </c:pt>
                <c:pt idx="769">
                  <c:v>41933</c:v>
                </c:pt>
                <c:pt idx="770">
                  <c:v>41933</c:v>
                </c:pt>
                <c:pt idx="771">
                  <c:v>41934</c:v>
                </c:pt>
                <c:pt idx="772">
                  <c:v>41935</c:v>
                </c:pt>
                <c:pt idx="773">
                  <c:v>41935</c:v>
                </c:pt>
                <c:pt idx="774">
                  <c:v>41935</c:v>
                </c:pt>
                <c:pt idx="775">
                  <c:v>41936</c:v>
                </c:pt>
                <c:pt idx="776">
                  <c:v>41940</c:v>
                </c:pt>
                <c:pt idx="777">
                  <c:v>41941</c:v>
                </c:pt>
                <c:pt idx="778">
                  <c:v>41942</c:v>
                </c:pt>
                <c:pt idx="779">
                  <c:v>41942</c:v>
                </c:pt>
                <c:pt idx="780">
                  <c:v>41942</c:v>
                </c:pt>
                <c:pt idx="781">
                  <c:v>41944</c:v>
                </c:pt>
                <c:pt idx="782">
                  <c:v>41944</c:v>
                </c:pt>
                <c:pt idx="783">
                  <c:v>41944</c:v>
                </c:pt>
                <c:pt idx="784">
                  <c:v>41944</c:v>
                </c:pt>
                <c:pt idx="785">
                  <c:v>41944</c:v>
                </c:pt>
                <c:pt idx="786">
                  <c:v>41944</c:v>
                </c:pt>
                <c:pt idx="787">
                  <c:v>41944</c:v>
                </c:pt>
                <c:pt idx="788">
                  <c:v>41944</c:v>
                </c:pt>
                <c:pt idx="789">
                  <c:v>41945</c:v>
                </c:pt>
                <c:pt idx="790">
                  <c:v>41947</c:v>
                </c:pt>
                <c:pt idx="791">
                  <c:v>41947</c:v>
                </c:pt>
                <c:pt idx="792">
                  <c:v>41948</c:v>
                </c:pt>
                <c:pt idx="793">
                  <c:v>41949</c:v>
                </c:pt>
                <c:pt idx="794">
                  <c:v>41949</c:v>
                </c:pt>
                <c:pt idx="795">
                  <c:v>41949</c:v>
                </c:pt>
                <c:pt idx="796">
                  <c:v>41950</c:v>
                </c:pt>
                <c:pt idx="797">
                  <c:v>41954</c:v>
                </c:pt>
                <c:pt idx="798">
                  <c:v>41955</c:v>
                </c:pt>
                <c:pt idx="799">
                  <c:v>41956</c:v>
                </c:pt>
                <c:pt idx="800">
                  <c:v>41956</c:v>
                </c:pt>
                <c:pt idx="801">
                  <c:v>41956</c:v>
                </c:pt>
                <c:pt idx="802">
                  <c:v>41958</c:v>
                </c:pt>
                <c:pt idx="803">
                  <c:v>41961</c:v>
                </c:pt>
                <c:pt idx="804">
                  <c:v>41961</c:v>
                </c:pt>
                <c:pt idx="805">
                  <c:v>41962</c:v>
                </c:pt>
                <c:pt idx="806">
                  <c:v>41963</c:v>
                </c:pt>
                <c:pt idx="807">
                  <c:v>41963</c:v>
                </c:pt>
                <c:pt idx="808">
                  <c:v>41963</c:v>
                </c:pt>
                <c:pt idx="809">
                  <c:v>41964</c:v>
                </c:pt>
                <c:pt idx="810">
                  <c:v>41968</c:v>
                </c:pt>
                <c:pt idx="811">
                  <c:v>41969</c:v>
                </c:pt>
                <c:pt idx="812">
                  <c:v>41970</c:v>
                </c:pt>
                <c:pt idx="813">
                  <c:v>41970</c:v>
                </c:pt>
                <c:pt idx="814">
                  <c:v>41970</c:v>
                </c:pt>
                <c:pt idx="815">
                  <c:v>41972</c:v>
                </c:pt>
                <c:pt idx="816">
                  <c:v>41974</c:v>
                </c:pt>
                <c:pt idx="817">
                  <c:v>41974</c:v>
                </c:pt>
                <c:pt idx="818">
                  <c:v>41974</c:v>
                </c:pt>
                <c:pt idx="819">
                  <c:v>41974</c:v>
                </c:pt>
                <c:pt idx="820">
                  <c:v>41974</c:v>
                </c:pt>
                <c:pt idx="821">
                  <c:v>41975</c:v>
                </c:pt>
                <c:pt idx="822">
                  <c:v>41975</c:v>
                </c:pt>
                <c:pt idx="823">
                  <c:v>41975</c:v>
                </c:pt>
                <c:pt idx="824">
                  <c:v>41976</c:v>
                </c:pt>
                <c:pt idx="825">
                  <c:v>41977</c:v>
                </c:pt>
                <c:pt idx="826">
                  <c:v>41977</c:v>
                </c:pt>
                <c:pt idx="827">
                  <c:v>41977</c:v>
                </c:pt>
                <c:pt idx="828">
                  <c:v>41978</c:v>
                </c:pt>
                <c:pt idx="829">
                  <c:v>41982</c:v>
                </c:pt>
                <c:pt idx="830">
                  <c:v>41983</c:v>
                </c:pt>
                <c:pt idx="831">
                  <c:v>41984</c:v>
                </c:pt>
                <c:pt idx="832">
                  <c:v>41984</c:v>
                </c:pt>
                <c:pt idx="833">
                  <c:v>41984</c:v>
                </c:pt>
                <c:pt idx="834">
                  <c:v>41986</c:v>
                </c:pt>
                <c:pt idx="835">
                  <c:v>41989</c:v>
                </c:pt>
                <c:pt idx="836">
                  <c:v>41989</c:v>
                </c:pt>
                <c:pt idx="837">
                  <c:v>41990</c:v>
                </c:pt>
                <c:pt idx="838">
                  <c:v>41991</c:v>
                </c:pt>
                <c:pt idx="839">
                  <c:v>41991</c:v>
                </c:pt>
                <c:pt idx="840">
                  <c:v>41991</c:v>
                </c:pt>
                <c:pt idx="841">
                  <c:v>41992</c:v>
                </c:pt>
                <c:pt idx="842">
                  <c:v>41996</c:v>
                </c:pt>
                <c:pt idx="843">
                  <c:v>41997</c:v>
                </c:pt>
                <c:pt idx="844">
                  <c:v>41998</c:v>
                </c:pt>
                <c:pt idx="845">
                  <c:v>41998</c:v>
                </c:pt>
                <c:pt idx="846">
                  <c:v>41998</c:v>
                </c:pt>
              </c:numCache>
            </c:numRef>
          </c:xVal>
          <c:yVal>
            <c:numRef>
              <c:f>'65ph'!$E$2:$E$926</c:f>
              <c:numCache>
                <c:formatCode>_("$"* #,##0.00_);_("$"* \(#,##0.00\);_("$"* "-"??_);_(@_)</c:formatCode>
                <c:ptCount val="925"/>
                <c:pt idx="0">
                  <c:v>3000</c:v>
                </c:pt>
                <c:pt idx="1">
                  <c:v>8200</c:v>
                </c:pt>
                <c:pt idx="2">
                  <c:v>5394</c:v>
                </c:pt>
                <c:pt idx="3">
                  <c:v>5294</c:v>
                </c:pt>
                <c:pt idx="4">
                  <c:v>5094</c:v>
                </c:pt>
                <c:pt idx="5">
                  <c:v>4694</c:v>
                </c:pt>
                <c:pt idx="6">
                  <c:v>4394</c:v>
                </c:pt>
                <c:pt idx="7">
                  <c:v>4368</c:v>
                </c:pt>
                <c:pt idx="8">
                  <c:v>4128</c:v>
                </c:pt>
                <c:pt idx="9">
                  <c:v>4008</c:v>
                </c:pt>
                <c:pt idx="10">
                  <c:v>2508</c:v>
                </c:pt>
                <c:pt idx="11">
                  <c:v>2388</c:v>
                </c:pt>
                <c:pt idx="12">
                  <c:v>1488</c:v>
                </c:pt>
                <c:pt idx="13">
                  <c:v>1088</c:v>
                </c:pt>
                <c:pt idx="14">
                  <c:v>908</c:v>
                </c:pt>
                <c:pt idx="15">
                  <c:v>608</c:v>
                </c:pt>
                <c:pt idx="16">
                  <c:v>3834</c:v>
                </c:pt>
                <c:pt idx="17">
                  <c:v>3734</c:v>
                </c:pt>
                <c:pt idx="18">
                  <c:v>3614</c:v>
                </c:pt>
                <c:pt idx="19">
                  <c:v>3214</c:v>
                </c:pt>
                <c:pt idx="20">
                  <c:v>3034</c:v>
                </c:pt>
                <c:pt idx="21">
                  <c:v>2734</c:v>
                </c:pt>
                <c:pt idx="22">
                  <c:v>7934</c:v>
                </c:pt>
                <c:pt idx="23">
                  <c:v>5128</c:v>
                </c:pt>
                <c:pt idx="24">
                  <c:v>5028</c:v>
                </c:pt>
                <c:pt idx="25">
                  <c:v>4908</c:v>
                </c:pt>
                <c:pt idx="26">
                  <c:v>4508</c:v>
                </c:pt>
                <c:pt idx="27">
                  <c:v>4328</c:v>
                </c:pt>
                <c:pt idx="28">
                  <c:v>4028</c:v>
                </c:pt>
                <c:pt idx="29">
                  <c:v>7254</c:v>
                </c:pt>
                <c:pt idx="30">
                  <c:v>7154</c:v>
                </c:pt>
                <c:pt idx="31">
                  <c:v>7034</c:v>
                </c:pt>
                <c:pt idx="32">
                  <c:v>6634</c:v>
                </c:pt>
                <c:pt idx="33">
                  <c:v>6454</c:v>
                </c:pt>
                <c:pt idx="34">
                  <c:v>6154</c:v>
                </c:pt>
                <c:pt idx="35">
                  <c:v>11354</c:v>
                </c:pt>
                <c:pt idx="36">
                  <c:v>8548</c:v>
                </c:pt>
                <c:pt idx="37">
                  <c:v>8448</c:v>
                </c:pt>
                <c:pt idx="38">
                  <c:v>8328</c:v>
                </c:pt>
                <c:pt idx="39">
                  <c:v>7928</c:v>
                </c:pt>
                <c:pt idx="40">
                  <c:v>7748</c:v>
                </c:pt>
                <c:pt idx="41">
                  <c:v>7448</c:v>
                </c:pt>
                <c:pt idx="42">
                  <c:v>10674</c:v>
                </c:pt>
                <c:pt idx="43">
                  <c:v>10474</c:v>
                </c:pt>
                <c:pt idx="44">
                  <c:v>10074</c:v>
                </c:pt>
                <c:pt idx="45">
                  <c:v>9774</c:v>
                </c:pt>
                <c:pt idx="46">
                  <c:v>9474</c:v>
                </c:pt>
                <c:pt idx="47">
                  <c:v>9448</c:v>
                </c:pt>
                <c:pt idx="48">
                  <c:v>9208</c:v>
                </c:pt>
                <c:pt idx="49">
                  <c:v>9088</c:v>
                </c:pt>
                <c:pt idx="50">
                  <c:v>8188</c:v>
                </c:pt>
                <c:pt idx="51">
                  <c:v>8088</c:v>
                </c:pt>
                <c:pt idx="52">
                  <c:v>7968</c:v>
                </c:pt>
                <c:pt idx="53">
                  <c:v>7568</c:v>
                </c:pt>
                <c:pt idx="54">
                  <c:v>7388</c:v>
                </c:pt>
                <c:pt idx="55">
                  <c:v>7088</c:v>
                </c:pt>
                <c:pt idx="56">
                  <c:v>12288</c:v>
                </c:pt>
                <c:pt idx="57">
                  <c:v>9482</c:v>
                </c:pt>
                <c:pt idx="58">
                  <c:v>9382</c:v>
                </c:pt>
                <c:pt idx="59">
                  <c:v>9262</c:v>
                </c:pt>
                <c:pt idx="60">
                  <c:v>8862</c:v>
                </c:pt>
                <c:pt idx="61">
                  <c:v>8682</c:v>
                </c:pt>
                <c:pt idx="62">
                  <c:v>8382</c:v>
                </c:pt>
                <c:pt idx="63">
                  <c:v>11608</c:v>
                </c:pt>
                <c:pt idx="64">
                  <c:v>11508</c:v>
                </c:pt>
                <c:pt idx="65">
                  <c:v>11388</c:v>
                </c:pt>
                <c:pt idx="66">
                  <c:v>10988</c:v>
                </c:pt>
                <c:pt idx="67">
                  <c:v>10808</c:v>
                </c:pt>
                <c:pt idx="68">
                  <c:v>10508</c:v>
                </c:pt>
                <c:pt idx="69">
                  <c:v>15708</c:v>
                </c:pt>
                <c:pt idx="70">
                  <c:v>12902</c:v>
                </c:pt>
                <c:pt idx="71">
                  <c:v>12802</c:v>
                </c:pt>
                <c:pt idx="72">
                  <c:v>12682</c:v>
                </c:pt>
                <c:pt idx="73">
                  <c:v>12282</c:v>
                </c:pt>
                <c:pt idx="74">
                  <c:v>12102</c:v>
                </c:pt>
                <c:pt idx="75">
                  <c:v>11802</c:v>
                </c:pt>
                <c:pt idx="76">
                  <c:v>15028</c:v>
                </c:pt>
                <c:pt idx="77">
                  <c:v>14828</c:v>
                </c:pt>
                <c:pt idx="78">
                  <c:v>14428</c:v>
                </c:pt>
                <c:pt idx="79">
                  <c:v>14402</c:v>
                </c:pt>
                <c:pt idx="80">
                  <c:v>14162</c:v>
                </c:pt>
                <c:pt idx="81">
                  <c:v>14042</c:v>
                </c:pt>
                <c:pt idx="82">
                  <c:v>13142</c:v>
                </c:pt>
                <c:pt idx="83">
                  <c:v>13042</c:v>
                </c:pt>
                <c:pt idx="84">
                  <c:v>12922</c:v>
                </c:pt>
                <c:pt idx="85">
                  <c:v>12522</c:v>
                </c:pt>
                <c:pt idx="86">
                  <c:v>12342</c:v>
                </c:pt>
                <c:pt idx="87">
                  <c:v>12042</c:v>
                </c:pt>
                <c:pt idx="88">
                  <c:v>17242</c:v>
                </c:pt>
                <c:pt idx="89">
                  <c:v>14436</c:v>
                </c:pt>
                <c:pt idx="90">
                  <c:v>14336</c:v>
                </c:pt>
                <c:pt idx="91">
                  <c:v>14216</c:v>
                </c:pt>
                <c:pt idx="92">
                  <c:v>13816</c:v>
                </c:pt>
                <c:pt idx="93">
                  <c:v>13636</c:v>
                </c:pt>
                <c:pt idx="94">
                  <c:v>13336</c:v>
                </c:pt>
                <c:pt idx="95">
                  <c:v>16562</c:v>
                </c:pt>
                <c:pt idx="96">
                  <c:v>16462</c:v>
                </c:pt>
                <c:pt idx="97">
                  <c:v>16342</c:v>
                </c:pt>
                <c:pt idx="98">
                  <c:v>15942</c:v>
                </c:pt>
                <c:pt idx="99">
                  <c:v>15762</c:v>
                </c:pt>
                <c:pt idx="100">
                  <c:v>15462</c:v>
                </c:pt>
                <c:pt idx="101">
                  <c:v>20662</c:v>
                </c:pt>
                <c:pt idx="102">
                  <c:v>17856</c:v>
                </c:pt>
                <c:pt idx="103">
                  <c:v>17756</c:v>
                </c:pt>
                <c:pt idx="104">
                  <c:v>17636</c:v>
                </c:pt>
                <c:pt idx="105">
                  <c:v>17236</c:v>
                </c:pt>
                <c:pt idx="106">
                  <c:v>17056</c:v>
                </c:pt>
                <c:pt idx="107">
                  <c:v>16756</c:v>
                </c:pt>
                <c:pt idx="108">
                  <c:v>19982</c:v>
                </c:pt>
                <c:pt idx="109">
                  <c:v>19782</c:v>
                </c:pt>
                <c:pt idx="110">
                  <c:v>19382</c:v>
                </c:pt>
                <c:pt idx="111">
                  <c:v>19082</c:v>
                </c:pt>
                <c:pt idx="112">
                  <c:v>19056</c:v>
                </c:pt>
                <c:pt idx="113">
                  <c:v>18816</c:v>
                </c:pt>
                <c:pt idx="114">
                  <c:v>18696</c:v>
                </c:pt>
                <c:pt idx="115">
                  <c:v>17196</c:v>
                </c:pt>
                <c:pt idx="116">
                  <c:v>17096</c:v>
                </c:pt>
                <c:pt idx="117">
                  <c:v>16196</c:v>
                </c:pt>
                <c:pt idx="118">
                  <c:v>16076</c:v>
                </c:pt>
                <c:pt idx="119">
                  <c:v>15676</c:v>
                </c:pt>
                <c:pt idx="120">
                  <c:v>15496</c:v>
                </c:pt>
                <c:pt idx="121">
                  <c:v>15196</c:v>
                </c:pt>
                <c:pt idx="122">
                  <c:v>20396</c:v>
                </c:pt>
                <c:pt idx="123">
                  <c:v>17590</c:v>
                </c:pt>
                <c:pt idx="124">
                  <c:v>17490</c:v>
                </c:pt>
                <c:pt idx="125">
                  <c:v>17370</c:v>
                </c:pt>
                <c:pt idx="126">
                  <c:v>16970</c:v>
                </c:pt>
                <c:pt idx="127">
                  <c:v>16790</c:v>
                </c:pt>
                <c:pt idx="128">
                  <c:v>16490</c:v>
                </c:pt>
                <c:pt idx="129">
                  <c:v>19716</c:v>
                </c:pt>
                <c:pt idx="130">
                  <c:v>19616</c:v>
                </c:pt>
                <c:pt idx="131">
                  <c:v>19496</c:v>
                </c:pt>
                <c:pt idx="132">
                  <c:v>19096</c:v>
                </c:pt>
                <c:pt idx="133">
                  <c:v>18916</c:v>
                </c:pt>
                <c:pt idx="134">
                  <c:v>18616</c:v>
                </c:pt>
                <c:pt idx="135">
                  <c:v>23816</c:v>
                </c:pt>
                <c:pt idx="136">
                  <c:v>21010</c:v>
                </c:pt>
                <c:pt idx="137">
                  <c:v>20910</c:v>
                </c:pt>
                <c:pt idx="138">
                  <c:v>20790</c:v>
                </c:pt>
                <c:pt idx="139">
                  <c:v>20390</c:v>
                </c:pt>
                <c:pt idx="140">
                  <c:v>20210</c:v>
                </c:pt>
                <c:pt idx="141">
                  <c:v>19910</c:v>
                </c:pt>
                <c:pt idx="142">
                  <c:v>23136</c:v>
                </c:pt>
                <c:pt idx="143">
                  <c:v>23036</c:v>
                </c:pt>
                <c:pt idx="144">
                  <c:v>22916</c:v>
                </c:pt>
                <c:pt idx="145">
                  <c:v>22716</c:v>
                </c:pt>
                <c:pt idx="146">
                  <c:v>22316</c:v>
                </c:pt>
                <c:pt idx="147">
                  <c:v>22016</c:v>
                </c:pt>
                <c:pt idx="148">
                  <c:v>21716</c:v>
                </c:pt>
                <c:pt idx="149">
                  <c:v>21690</c:v>
                </c:pt>
                <c:pt idx="150">
                  <c:v>21450</c:v>
                </c:pt>
                <c:pt idx="151">
                  <c:v>21330</c:v>
                </c:pt>
                <c:pt idx="152">
                  <c:v>20930</c:v>
                </c:pt>
                <c:pt idx="153">
                  <c:v>20750</c:v>
                </c:pt>
                <c:pt idx="154">
                  <c:v>20450</c:v>
                </c:pt>
                <c:pt idx="155">
                  <c:v>19550</c:v>
                </c:pt>
                <c:pt idx="156">
                  <c:v>24750</c:v>
                </c:pt>
                <c:pt idx="157">
                  <c:v>21944</c:v>
                </c:pt>
                <c:pt idx="158">
                  <c:v>21844</c:v>
                </c:pt>
                <c:pt idx="159">
                  <c:v>21724</c:v>
                </c:pt>
                <c:pt idx="160">
                  <c:v>21324</c:v>
                </c:pt>
                <c:pt idx="161">
                  <c:v>21144</c:v>
                </c:pt>
                <c:pt idx="162">
                  <c:v>20844</c:v>
                </c:pt>
                <c:pt idx="163">
                  <c:v>24070</c:v>
                </c:pt>
                <c:pt idx="164">
                  <c:v>23970</c:v>
                </c:pt>
                <c:pt idx="165">
                  <c:v>23850</c:v>
                </c:pt>
                <c:pt idx="166">
                  <c:v>23450</c:v>
                </c:pt>
                <c:pt idx="167">
                  <c:v>23270</c:v>
                </c:pt>
                <c:pt idx="168">
                  <c:v>22970</c:v>
                </c:pt>
                <c:pt idx="169">
                  <c:v>28170</c:v>
                </c:pt>
                <c:pt idx="170">
                  <c:v>25364</c:v>
                </c:pt>
                <c:pt idx="171">
                  <c:v>25264</c:v>
                </c:pt>
                <c:pt idx="172">
                  <c:v>25144</c:v>
                </c:pt>
                <c:pt idx="173">
                  <c:v>24744</c:v>
                </c:pt>
                <c:pt idx="174">
                  <c:v>24564</c:v>
                </c:pt>
                <c:pt idx="175">
                  <c:v>24264</c:v>
                </c:pt>
                <c:pt idx="176">
                  <c:v>27490</c:v>
                </c:pt>
                <c:pt idx="177">
                  <c:v>27390</c:v>
                </c:pt>
                <c:pt idx="178">
                  <c:v>27270</c:v>
                </c:pt>
                <c:pt idx="179">
                  <c:v>26870</c:v>
                </c:pt>
                <c:pt idx="180">
                  <c:v>26690</c:v>
                </c:pt>
                <c:pt idx="181">
                  <c:v>26390</c:v>
                </c:pt>
                <c:pt idx="182">
                  <c:v>31590</c:v>
                </c:pt>
                <c:pt idx="183">
                  <c:v>31390</c:v>
                </c:pt>
                <c:pt idx="184">
                  <c:v>30990</c:v>
                </c:pt>
                <c:pt idx="185">
                  <c:v>30964</c:v>
                </c:pt>
                <c:pt idx="186">
                  <c:v>30724</c:v>
                </c:pt>
                <c:pt idx="187">
                  <c:v>30604</c:v>
                </c:pt>
                <c:pt idx="188">
                  <c:v>29704</c:v>
                </c:pt>
                <c:pt idx="189">
                  <c:v>26898</c:v>
                </c:pt>
                <c:pt idx="190">
                  <c:v>26798</c:v>
                </c:pt>
                <c:pt idx="191">
                  <c:v>26678</c:v>
                </c:pt>
                <c:pt idx="192">
                  <c:v>26278</c:v>
                </c:pt>
                <c:pt idx="193">
                  <c:v>26098</c:v>
                </c:pt>
                <c:pt idx="194">
                  <c:v>25798</c:v>
                </c:pt>
                <c:pt idx="195">
                  <c:v>29024</c:v>
                </c:pt>
                <c:pt idx="196">
                  <c:v>28924</c:v>
                </c:pt>
                <c:pt idx="197">
                  <c:v>28804</c:v>
                </c:pt>
                <c:pt idx="198">
                  <c:v>28404</c:v>
                </c:pt>
                <c:pt idx="199">
                  <c:v>28224</c:v>
                </c:pt>
                <c:pt idx="200">
                  <c:v>27924</c:v>
                </c:pt>
                <c:pt idx="201">
                  <c:v>33124</c:v>
                </c:pt>
                <c:pt idx="202">
                  <c:v>30318</c:v>
                </c:pt>
                <c:pt idx="203">
                  <c:v>30218</c:v>
                </c:pt>
                <c:pt idx="204">
                  <c:v>30098</c:v>
                </c:pt>
                <c:pt idx="205">
                  <c:v>29698</c:v>
                </c:pt>
                <c:pt idx="206">
                  <c:v>29518</c:v>
                </c:pt>
                <c:pt idx="207">
                  <c:v>29218</c:v>
                </c:pt>
                <c:pt idx="208">
                  <c:v>32444</c:v>
                </c:pt>
                <c:pt idx="209">
                  <c:v>32344</c:v>
                </c:pt>
                <c:pt idx="210">
                  <c:v>32224</c:v>
                </c:pt>
                <c:pt idx="211">
                  <c:v>31824</c:v>
                </c:pt>
                <c:pt idx="212">
                  <c:v>31644</c:v>
                </c:pt>
                <c:pt idx="213">
                  <c:v>31344</c:v>
                </c:pt>
                <c:pt idx="214">
                  <c:v>36544</c:v>
                </c:pt>
                <c:pt idx="215">
                  <c:v>36344</c:v>
                </c:pt>
                <c:pt idx="216">
                  <c:v>35944</c:v>
                </c:pt>
                <c:pt idx="217">
                  <c:v>35644</c:v>
                </c:pt>
                <c:pt idx="218">
                  <c:v>35618</c:v>
                </c:pt>
                <c:pt idx="219">
                  <c:v>35378</c:v>
                </c:pt>
                <c:pt idx="220">
                  <c:v>35258</c:v>
                </c:pt>
                <c:pt idx="221">
                  <c:v>32452</c:v>
                </c:pt>
                <c:pt idx="222">
                  <c:v>32352</c:v>
                </c:pt>
                <c:pt idx="223">
                  <c:v>31452</c:v>
                </c:pt>
                <c:pt idx="224">
                  <c:v>31332</c:v>
                </c:pt>
                <c:pt idx="225">
                  <c:v>30932</c:v>
                </c:pt>
                <c:pt idx="226">
                  <c:v>30752</c:v>
                </c:pt>
                <c:pt idx="227">
                  <c:v>30452</c:v>
                </c:pt>
                <c:pt idx="228">
                  <c:v>33678</c:v>
                </c:pt>
                <c:pt idx="229">
                  <c:v>33578</c:v>
                </c:pt>
                <c:pt idx="230">
                  <c:v>33458</c:v>
                </c:pt>
                <c:pt idx="231">
                  <c:v>33058</c:v>
                </c:pt>
                <c:pt idx="232">
                  <c:v>32878</c:v>
                </c:pt>
                <c:pt idx="233">
                  <c:v>32578</c:v>
                </c:pt>
                <c:pt idx="234">
                  <c:v>37778</c:v>
                </c:pt>
                <c:pt idx="235">
                  <c:v>34972</c:v>
                </c:pt>
                <c:pt idx="236">
                  <c:v>34872</c:v>
                </c:pt>
                <c:pt idx="237">
                  <c:v>34752</c:v>
                </c:pt>
                <c:pt idx="238">
                  <c:v>34352</c:v>
                </c:pt>
                <c:pt idx="239">
                  <c:v>34172</c:v>
                </c:pt>
                <c:pt idx="240">
                  <c:v>33872</c:v>
                </c:pt>
                <c:pt idx="241">
                  <c:v>37098</c:v>
                </c:pt>
                <c:pt idx="242">
                  <c:v>36998</c:v>
                </c:pt>
                <c:pt idx="243">
                  <c:v>36878</c:v>
                </c:pt>
                <c:pt idx="244">
                  <c:v>36478</c:v>
                </c:pt>
                <c:pt idx="245">
                  <c:v>36298</c:v>
                </c:pt>
                <c:pt idx="246">
                  <c:v>35998</c:v>
                </c:pt>
                <c:pt idx="247">
                  <c:v>41198</c:v>
                </c:pt>
                <c:pt idx="248">
                  <c:v>38392</c:v>
                </c:pt>
                <c:pt idx="249">
                  <c:v>38292</c:v>
                </c:pt>
                <c:pt idx="250">
                  <c:v>38172</c:v>
                </c:pt>
                <c:pt idx="251">
                  <c:v>37772</c:v>
                </c:pt>
                <c:pt idx="252">
                  <c:v>37592</c:v>
                </c:pt>
                <c:pt idx="253">
                  <c:v>37292</c:v>
                </c:pt>
                <c:pt idx="254">
                  <c:v>37092</c:v>
                </c:pt>
                <c:pt idx="255">
                  <c:v>36692</c:v>
                </c:pt>
                <c:pt idx="256">
                  <c:v>36392</c:v>
                </c:pt>
                <c:pt idx="257">
                  <c:v>36092</c:v>
                </c:pt>
                <c:pt idx="258">
                  <c:v>36066</c:v>
                </c:pt>
                <c:pt idx="259">
                  <c:v>35826</c:v>
                </c:pt>
                <c:pt idx="260">
                  <c:v>35706</c:v>
                </c:pt>
                <c:pt idx="261">
                  <c:v>38932</c:v>
                </c:pt>
                <c:pt idx="262">
                  <c:v>38032</c:v>
                </c:pt>
                <c:pt idx="263">
                  <c:v>37932</c:v>
                </c:pt>
                <c:pt idx="264">
                  <c:v>37812</c:v>
                </c:pt>
                <c:pt idx="265">
                  <c:v>37412</c:v>
                </c:pt>
                <c:pt idx="266">
                  <c:v>37232</c:v>
                </c:pt>
                <c:pt idx="267">
                  <c:v>36932</c:v>
                </c:pt>
                <c:pt idx="268">
                  <c:v>42132</c:v>
                </c:pt>
                <c:pt idx="269">
                  <c:v>39326</c:v>
                </c:pt>
                <c:pt idx="270">
                  <c:v>39226</c:v>
                </c:pt>
                <c:pt idx="271">
                  <c:v>39106</c:v>
                </c:pt>
                <c:pt idx="272">
                  <c:v>38706</c:v>
                </c:pt>
                <c:pt idx="273">
                  <c:v>38526</c:v>
                </c:pt>
                <c:pt idx="274">
                  <c:v>38226</c:v>
                </c:pt>
                <c:pt idx="275">
                  <c:v>41452</c:v>
                </c:pt>
                <c:pt idx="276">
                  <c:v>41352</c:v>
                </c:pt>
                <c:pt idx="277">
                  <c:v>41232</c:v>
                </c:pt>
                <c:pt idx="278">
                  <c:v>40832</c:v>
                </c:pt>
                <c:pt idx="279">
                  <c:v>40652</c:v>
                </c:pt>
                <c:pt idx="280">
                  <c:v>40352</c:v>
                </c:pt>
                <c:pt idx="281">
                  <c:v>45552</c:v>
                </c:pt>
                <c:pt idx="282">
                  <c:v>42746</c:v>
                </c:pt>
                <c:pt idx="283">
                  <c:v>42646</c:v>
                </c:pt>
                <c:pt idx="284">
                  <c:v>42526</c:v>
                </c:pt>
                <c:pt idx="285">
                  <c:v>42126</c:v>
                </c:pt>
                <c:pt idx="286">
                  <c:v>41946</c:v>
                </c:pt>
                <c:pt idx="287">
                  <c:v>41646</c:v>
                </c:pt>
                <c:pt idx="288">
                  <c:v>44872</c:v>
                </c:pt>
                <c:pt idx="289">
                  <c:v>44672</c:v>
                </c:pt>
                <c:pt idx="290">
                  <c:v>44272</c:v>
                </c:pt>
                <c:pt idx="291">
                  <c:v>44246</c:v>
                </c:pt>
                <c:pt idx="292">
                  <c:v>44006</c:v>
                </c:pt>
                <c:pt idx="293">
                  <c:v>43886</c:v>
                </c:pt>
                <c:pt idx="294">
                  <c:v>42986</c:v>
                </c:pt>
                <c:pt idx="295">
                  <c:v>42886</c:v>
                </c:pt>
                <c:pt idx="296">
                  <c:v>42766</c:v>
                </c:pt>
                <c:pt idx="297">
                  <c:v>42366</c:v>
                </c:pt>
                <c:pt idx="298">
                  <c:v>42186</c:v>
                </c:pt>
                <c:pt idx="299">
                  <c:v>41886</c:v>
                </c:pt>
                <c:pt idx="300">
                  <c:v>47086</c:v>
                </c:pt>
                <c:pt idx="301">
                  <c:v>44280</c:v>
                </c:pt>
                <c:pt idx="302">
                  <c:v>44180</c:v>
                </c:pt>
                <c:pt idx="303">
                  <c:v>44060</c:v>
                </c:pt>
                <c:pt idx="304">
                  <c:v>43660</c:v>
                </c:pt>
                <c:pt idx="305">
                  <c:v>43480</c:v>
                </c:pt>
                <c:pt idx="306">
                  <c:v>43180</c:v>
                </c:pt>
                <c:pt idx="307">
                  <c:v>46406</c:v>
                </c:pt>
                <c:pt idx="308">
                  <c:v>46306</c:v>
                </c:pt>
                <c:pt idx="309">
                  <c:v>46186</c:v>
                </c:pt>
                <c:pt idx="310">
                  <c:v>45786</c:v>
                </c:pt>
                <c:pt idx="311">
                  <c:v>45606</c:v>
                </c:pt>
                <c:pt idx="312">
                  <c:v>45306</c:v>
                </c:pt>
                <c:pt idx="313">
                  <c:v>50506</c:v>
                </c:pt>
                <c:pt idx="314">
                  <c:v>47700</c:v>
                </c:pt>
                <c:pt idx="315">
                  <c:v>47600</c:v>
                </c:pt>
                <c:pt idx="316">
                  <c:v>47480</c:v>
                </c:pt>
                <c:pt idx="317">
                  <c:v>47080</c:v>
                </c:pt>
                <c:pt idx="318">
                  <c:v>46900</c:v>
                </c:pt>
                <c:pt idx="319">
                  <c:v>46600</c:v>
                </c:pt>
                <c:pt idx="320">
                  <c:v>49826</c:v>
                </c:pt>
                <c:pt idx="321">
                  <c:v>49726</c:v>
                </c:pt>
                <c:pt idx="322">
                  <c:v>49526</c:v>
                </c:pt>
                <c:pt idx="323">
                  <c:v>49126</c:v>
                </c:pt>
                <c:pt idx="324">
                  <c:v>48826</c:v>
                </c:pt>
                <c:pt idx="325">
                  <c:v>48800</c:v>
                </c:pt>
                <c:pt idx="326">
                  <c:v>48560</c:v>
                </c:pt>
                <c:pt idx="327">
                  <c:v>48440</c:v>
                </c:pt>
                <c:pt idx="328">
                  <c:v>48320</c:v>
                </c:pt>
                <c:pt idx="329">
                  <c:v>47420</c:v>
                </c:pt>
                <c:pt idx="330">
                  <c:v>47020</c:v>
                </c:pt>
                <c:pt idx="331">
                  <c:v>46840</c:v>
                </c:pt>
                <c:pt idx="332">
                  <c:v>46540</c:v>
                </c:pt>
                <c:pt idx="333">
                  <c:v>51740</c:v>
                </c:pt>
                <c:pt idx="334">
                  <c:v>48934</c:v>
                </c:pt>
                <c:pt idx="335">
                  <c:v>48834</c:v>
                </c:pt>
                <c:pt idx="336">
                  <c:v>48714</c:v>
                </c:pt>
                <c:pt idx="337">
                  <c:v>48314</c:v>
                </c:pt>
                <c:pt idx="338">
                  <c:v>48134</c:v>
                </c:pt>
                <c:pt idx="339">
                  <c:v>47834</c:v>
                </c:pt>
                <c:pt idx="340">
                  <c:v>51060</c:v>
                </c:pt>
                <c:pt idx="341">
                  <c:v>50960</c:v>
                </c:pt>
                <c:pt idx="342">
                  <c:v>50840</c:v>
                </c:pt>
                <c:pt idx="343">
                  <c:v>50440</c:v>
                </c:pt>
                <c:pt idx="344">
                  <c:v>50260</c:v>
                </c:pt>
                <c:pt idx="345">
                  <c:v>49960</c:v>
                </c:pt>
                <c:pt idx="346">
                  <c:v>55160</c:v>
                </c:pt>
                <c:pt idx="347">
                  <c:v>52354</c:v>
                </c:pt>
                <c:pt idx="348">
                  <c:v>52254</c:v>
                </c:pt>
                <c:pt idx="349">
                  <c:v>52134</c:v>
                </c:pt>
                <c:pt idx="350">
                  <c:v>51734</c:v>
                </c:pt>
                <c:pt idx="351">
                  <c:v>51554</c:v>
                </c:pt>
                <c:pt idx="352">
                  <c:v>51254</c:v>
                </c:pt>
                <c:pt idx="353">
                  <c:v>54480</c:v>
                </c:pt>
                <c:pt idx="354">
                  <c:v>54380</c:v>
                </c:pt>
                <c:pt idx="355">
                  <c:v>54260</c:v>
                </c:pt>
                <c:pt idx="356">
                  <c:v>53860</c:v>
                </c:pt>
                <c:pt idx="357">
                  <c:v>53680</c:v>
                </c:pt>
                <c:pt idx="358">
                  <c:v>53380</c:v>
                </c:pt>
                <c:pt idx="359">
                  <c:v>53180</c:v>
                </c:pt>
                <c:pt idx="360">
                  <c:v>52780</c:v>
                </c:pt>
                <c:pt idx="361">
                  <c:v>52480</c:v>
                </c:pt>
                <c:pt idx="362">
                  <c:v>52180</c:v>
                </c:pt>
                <c:pt idx="363">
                  <c:v>52154</c:v>
                </c:pt>
                <c:pt idx="364">
                  <c:v>51914</c:v>
                </c:pt>
                <c:pt idx="365">
                  <c:v>51794</c:v>
                </c:pt>
                <c:pt idx="366">
                  <c:v>56994</c:v>
                </c:pt>
                <c:pt idx="367">
                  <c:v>56094</c:v>
                </c:pt>
                <c:pt idx="368">
                  <c:v>53288</c:v>
                </c:pt>
                <c:pt idx="369">
                  <c:v>53188</c:v>
                </c:pt>
                <c:pt idx="370">
                  <c:v>53068</c:v>
                </c:pt>
                <c:pt idx="371">
                  <c:v>52668</c:v>
                </c:pt>
                <c:pt idx="372">
                  <c:v>52488</c:v>
                </c:pt>
                <c:pt idx="373">
                  <c:v>52188</c:v>
                </c:pt>
                <c:pt idx="374">
                  <c:v>55414</c:v>
                </c:pt>
                <c:pt idx="375">
                  <c:v>55314</c:v>
                </c:pt>
                <c:pt idx="376">
                  <c:v>55194</c:v>
                </c:pt>
                <c:pt idx="377">
                  <c:v>54794</c:v>
                </c:pt>
                <c:pt idx="378">
                  <c:v>54614</c:v>
                </c:pt>
                <c:pt idx="379">
                  <c:v>54314</c:v>
                </c:pt>
                <c:pt idx="380">
                  <c:v>59514</c:v>
                </c:pt>
                <c:pt idx="381">
                  <c:v>56708</c:v>
                </c:pt>
                <c:pt idx="382">
                  <c:v>56608</c:v>
                </c:pt>
                <c:pt idx="383">
                  <c:v>56488</c:v>
                </c:pt>
                <c:pt idx="384">
                  <c:v>56088</c:v>
                </c:pt>
                <c:pt idx="385">
                  <c:v>55908</c:v>
                </c:pt>
                <c:pt idx="386">
                  <c:v>55608</c:v>
                </c:pt>
                <c:pt idx="387">
                  <c:v>58834</c:v>
                </c:pt>
                <c:pt idx="388">
                  <c:v>58734</c:v>
                </c:pt>
                <c:pt idx="389">
                  <c:v>58614</c:v>
                </c:pt>
                <c:pt idx="390">
                  <c:v>58214</c:v>
                </c:pt>
                <c:pt idx="391">
                  <c:v>58034</c:v>
                </c:pt>
                <c:pt idx="392">
                  <c:v>57734</c:v>
                </c:pt>
                <c:pt idx="393">
                  <c:v>62934</c:v>
                </c:pt>
                <c:pt idx="394">
                  <c:v>62734</c:v>
                </c:pt>
                <c:pt idx="395">
                  <c:v>62334</c:v>
                </c:pt>
                <c:pt idx="396">
                  <c:v>62308</c:v>
                </c:pt>
                <c:pt idx="397">
                  <c:v>62068</c:v>
                </c:pt>
                <c:pt idx="398">
                  <c:v>61948</c:v>
                </c:pt>
                <c:pt idx="399">
                  <c:v>61048</c:v>
                </c:pt>
                <c:pt idx="400">
                  <c:v>58242</c:v>
                </c:pt>
                <c:pt idx="401">
                  <c:v>58142</c:v>
                </c:pt>
                <c:pt idx="402">
                  <c:v>58022</c:v>
                </c:pt>
                <c:pt idx="403">
                  <c:v>57622</c:v>
                </c:pt>
                <c:pt idx="404">
                  <c:v>57442</c:v>
                </c:pt>
                <c:pt idx="405">
                  <c:v>57142</c:v>
                </c:pt>
                <c:pt idx="406">
                  <c:v>60368</c:v>
                </c:pt>
                <c:pt idx="407">
                  <c:v>60268</c:v>
                </c:pt>
                <c:pt idx="408">
                  <c:v>60148</c:v>
                </c:pt>
                <c:pt idx="409">
                  <c:v>59748</c:v>
                </c:pt>
                <c:pt idx="410">
                  <c:v>59568</c:v>
                </c:pt>
                <c:pt idx="411">
                  <c:v>59268</c:v>
                </c:pt>
                <c:pt idx="412">
                  <c:v>64468</c:v>
                </c:pt>
                <c:pt idx="413">
                  <c:v>61662</c:v>
                </c:pt>
                <c:pt idx="414">
                  <c:v>61562</c:v>
                </c:pt>
                <c:pt idx="415">
                  <c:v>61442</c:v>
                </c:pt>
                <c:pt idx="416">
                  <c:v>61042</c:v>
                </c:pt>
                <c:pt idx="417">
                  <c:v>60862</c:v>
                </c:pt>
                <c:pt idx="418">
                  <c:v>60562</c:v>
                </c:pt>
                <c:pt idx="419">
                  <c:v>63788</c:v>
                </c:pt>
                <c:pt idx="420">
                  <c:v>63688</c:v>
                </c:pt>
                <c:pt idx="421">
                  <c:v>63568</c:v>
                </c:pt>
                <c:pt idx="422">
                  <c:v>63168</c:v>
                </c:pt>
                <c:pt idx="423">
                  <c:v>62988</c:v>
                </c:pt>
                <c:pt idx="424">
                  <c:v>62688</c:v>
                </c:pt>
                <c:pt idx="425">
                  <c:v>67888</c:v>
                </c:pt>
                <c:pt idx="426">
                  <c:v>65082</c:v>
                </c:pt>
                <c:pt idx="427">
                  <c:v>64982</c:v>
                </c:pt>
                <c:pt idx="428">
                  <c:v>64862</c:v>
                </c:pt>
                <c:pt idx="429">
                  <c:v>64662</c:v>
                </c:pt>
                <c:pt idx="430">
                  <c:v>64262</c:v>
                </c:pt>
                <c:pt idx="431">
                  <c:v>63962</c:v>
                </c:pt>
                <c:pt idx="432">
                  <c:v>63936</c:v>
                </c:pt>
                <c:pt idx="433">
                  <c:v>63696</c:v>
                </c:pt>
                <c:pt idx="434">
                  <c:v>63576</c:v>
                </c:pt>
                <c:pt idx="435">
                  <c:v>63176</c:v>
                </c:pt>
                <c:pt idx="436">
                  <c:v>62996</c:v>
                </c:pt>
                <c:pt idx="437">
                  <c:v>62696</c:v>
                </c:pt>
                <c:pt idx="438">
                  <c:v>61796</c:v>
                </c:pt>
                <c:pt idx="439">
                  <c:v>65022</c:v>
                </c:pt>
                <c:pt idx="440">
                  <c:v>64922</c:v>
                </c:pt>
                <c:pt idx="441">
                  <c:v>64802</c:v>
                </c:pt>
                <c:pt idx="442">
                  <c:v>64402</c:v>
                </c:pt>
                <c:pt idx="443">
                  <c:v>64222</c:v>
                </c:pt>
                <c:pt idx="444">
                  <c:v>63922</c:v>
                </c:pt>
                <c:pt idx="445">
                  <c:v>69122</c:v>
                </c:pt>
                <c:pt idx="446">
                  <c:v>66316</c:v>
                </c:pt>
                <c:pt idx="447">
                  <c:v>66216</c:v>
                </c:pt>
                <c:pt idx="448">
                  <c:v>66096</c:v>
                </c:pt>
                <c:pt idx="449">
                  <c:v>65696</c:v>
                </c:pt>
                <c:pt idx="450">
                  <c:v>65516</c:v>
                </c:pt>
                <c:pt idx="451">
                  <c:v>65216</c:v>
                </c:pt>
                <c:pt idx="452">
                  <c:v>68442</c:v>
                </c:pt>
                <c:pt idx="453">
                  <c:v>68342</c:v>
                </c:pt>
                <c:pt idx="454">
                  <c:v>68222</c:v>
                </c:pt>
                <c:pt idx="455">
                  <c:v>67822</c:v>
                </c:pt>
                <c:pt idx="456">
                  <c:v>67642</c:v>
                </c:pt>
                <c:pt idx="457">
                  <c:v>67342</c:v>
                </c:pt>
                <c:pt idx="458">
                  <c:v>72542</c:v>
                </c:pt>
                <c:pt idx="459">
                  <c:v>69736</c:v>
                </c:pt>
                <c:pt idx="460">
                  <c:v>69636</c:v>
                </c:pt>
                <c:pt idx="461">
                  <c:v>69516</c:v>
                </c:pt>
                <c:pt idx="462">
                  <c:v>69116</c:v>
                </c:pt>
                <c:pt idx="463">
                  <c:v>68936</c:v>
                </c:pt>
                <c:pt idx="464">
                  <c:v>68636</c:v>
                </c:pt>
                <c:pt idx="465">
                  <c:v>71862</c:v>
                </c:pt>
                <c:pt idx="466">
                  <c:v>71662</c:v>
                </c:pt>
                <c:pt idx="467">
                  <c:v>71262</c:v>
                </c:pt>
                <c:pt idx="468">
                  <c:v>70962</c:v>
                </c:pt>
                <c:pt idx="469">
                  <c:v>70662</c:v>
                </c:pt>
                <c:pt idx="470">
                  <c:v>70636</c:v>
                </c:pt>
                <c:pt idx="471">
                  <c:v>70396</c:v>
                </c:pt>
                <c:pt idx="472">
                  <c:v>70276</c:v>
                </c:pt>
                <c:pt idx="473">
                  <c:v>69376</c:v>
                </c:pt>
                <c:pt idx="474">
                  <c:v>69276</c:v>
                </c:pt>
                <c:pt idx="475">
                  <c:v>69156</c:v>
                </c:pt>
                <c:pt idx="476">
                  <c:v>68756</c:v>
                </c:pt>
                <c:pt idx="477">
                  <c:v>68576</c:v>
                </c:pt>
                <c:pt idx="478">
                  <c:v>68276</c:v>
                </c:pt>
                <c:pt idx="479">
                  <c:v>73476</c:v>
                </c:pt>
                <c:pt idx="480">
                  <c:v>70670</c:v>
                </c:pt>
                <c:pt idx="481">
                  <c:v>70570</c:v>
                </c:pt>
                <c:pt idx="482">
                  <c:v>70450</c:v>
                </c:pt>
                <c:pt idx="483">
                  <c:v>70050</c:v>
                </c:pt>
                <c:pt idx="484">
                  <c:v>69870</c:v>
                </c:pt>
                <c:pt idx="485">
                  <c:v>69570</c:v>
                </c:pt>
                <c:pt idx="486">
                  <c:v>72796</c:v>
                </c:pt>
                <c:pt idx="487">
                  <c:v>72696</c:v>
                </c:pt>
                <c:pt idx="488">
                  <c:v>72576</c:v>
                </c:pt>
                <c:pt idx="489">
                  <c:v>72176</c:v>
                </c:pt>
                <c:pt idx="490">
                  <c:v>71996</c:v>
                </c:pt>
                <c:pt idx="491">
                  <c:v>71696</c:v>
                </c:pt>
                <c:pt idx="492">
                  <c:v>76896</c:v>
                </c:pt>
                <c:pt idx="493">
                  <c:v>74090</c:v>
                </c:pt>
                <c:pt idx="494">
                  <c:v>73990</c:v>
                </c:pt>
                <c:pt idx="495">
                  <c:v>73870</c:v>
                </c:pt>
                <c:pt idx="496">
                  <c:v>73470</c:v>
                </c:pt>
                <c:pt idx="497">
                  <c:v>73290</c:v>
                </c:pt>
                <c:pt idx="498">
                  <c:v>72990</c:v>
                </c:pt>
                <c:pt idx="499">
                  <c:v>76216</c:v>
                </c:pt>
                <c:pt idx="500">
                  <c:v>76016</c:v>
                </c:pt>
                <c:pt idx="501">
                  <c:v>75616</c:v>
                </c:pt>
                <c:pt idx="502">
                  <c:v>75590</c:v>
                </c:pt>
                <c:pt idx="503">
                  <c:v>75350</c:v>
                </c:pt>
                <c:pt idx="504">
                  <c:v>75230</c:v>
                </c:pt>
                <c:pt idx="505">
                  <c:v>74330</c:v>
                </c:pt>
                <c:pt idx="506">
                  <c:v>74230</c:v>
                </c:pt>
                <c:pt idx="507">
                  <c:v>74110</c:v>
                </c:pt>
                <c:pt idx="508">
                  <c:v>73710</c:v>
                </c:pt>
                <c:pt idx="509">
                  <c:v>73530</c:v>
                </c:pt>
                <c:pt idx="510">
                  <c:v>73230</c:v>
                </c:pt>
                <c:pt idx="511">
                  <c:v>78430</c:v>
                </c:pt>
                <c:pt idx="512">
                  <c:v>75624</c:v>
                </c:pt>
                <c:pt idx="513">
                  <c:v>75524</c:v>
                </c:pt>
                <c:pt idx="514">
                  <c:v>75404</c:v>
                </c:pt>
                <c:pt idx="515">
                  <c:v>75004</c:v>
                </c:pt>
                <c:pt idx="516">
                  <c:v>74824</c:v>
                </c:pt>
                <c:pt idx="517">
                  <c:v>74524</c:v>
                </c:pt>
                <c:pt idx="518">
                  <c:v>77750</c:v>
                </c:pt>
                <c:pt idx="519">
                  <c:v>77650</c:v>
                </c:pt>
                <c:pt idx="520">
                  <c:v>77530</c:v>
                </c:pt>
                <c:pt idx="521">
                  <c:v>77130</c:v>
                </c:pt>
                <c:pt idx="522">
                  <c:v>76950</c:v>
                </c:pt>
                <c:pt idx="523">
                  <c:v>76650</c:v>
                </c:pt>
                <c:pt idx="524">
                  <c:v>81850</c:v>
                </c:pt>
                <c:pt idx="525">
                  <c:v>79044</c:v>
                </c:pt>
                <c:pt idx="526">
                  <c:v>78944</c:v>
                </c:pt>
                <c:pt idx="527">
                  <c:v>78824</c:v>
                </c:pt>
                <c:pt idx="528">
                  <c:v>78424</c:v>
                </c:pt>
                <c:pt idx="529">
                  <c:v>78244</c:v>
                </c:pt>
                <c:pt idx="530">
                  <c:v>77944</c:v>
                </c:pt>
                <c:pt idx="531">
                  <c:v>81170</c:v>
                </c:pt>
                <c:pt idx="532">
                  <c:v>81070</c:v>
                </c:pt>
                <c:pt idx="533">
                  <c:v>80870</c:v>
                </c:pt>
                <c:pt idx="534">
                  <c:v>80470</c:v>
                </c:pt>
                <c:pt idx="535">
                  <c:v>80170</c:v>
                </c:pt>
                <c:pt idx="536">
                  <c:v>80144</c:v>
                </c:pt>
                <c:pt idx="537">
                  <c:v>79904</c:v>
                </c:pt>
                <c:pt idx="538">
                  <c:v>79784</c:v>
                </c:pt>
                <c:pt idx="539">
                  <c:v>79664</c:v>
                </c:pt>
                <c:pt idx="540">
                  <c:v>78764</c:v>
                </c:pt>
                <c:pt idx="541">
                  <c:v>78364</c:v>
                </c:pt>
                <c:pt idx="542">
                  <c:v>78184</c:v>
                </c:pt>
                <c:pt idx="543">
                  <c:v>77884</c:v>
                </c:pt>
                <c:pt idx="544">
                  <c:v>83084</c:v>
                </c:pt>
                <c:pt idx="545">
                  <c:v>80278</c:v>
                </c:pt>
                <c:pt idx="546">
                  <c:v>80178</c:v>
                </c:pt>
                <c:pt idx="547">
                  <c:v>80058</c:v>
                </c:pt>
                <c:pt idx="548">
                  <c:v>79658</c:v>
                </c:pt>
                <c:pt idx="549">
                  <c:v>79478</c:v>
                </c:pt>
                <c:pt idx="550">
                  <c:v>79178</c:v>
                </c:pt>
                <c:pt idx="551">
                  <c:v>82404</c:v>
                </c:pt>
                <c:pt idx="552">
                  <c:v>82304</c:v>
                </c:pt>
                <c:pt idx="553">
                  <c:v>82184</c:v>
                </c:pt>
                <c:pt idx="554">
                  <c:v>81784</c:v>
                </c:pt>
                <c:pt idx="555">
                  <c:v>81604</c:v>
                </c:pt>
                <c:pt idx="556">
                  <c:v>81304</c:v>
                </c:pt>
                <c:pt idx="557">
                  <c:v>86504</c:v>
                </c:pt>
                <c:pt idx="558">
                  <c:v>83698</c:v>
                </c:pt>
                <c:pt idx="559">
                  <c:v>83598</c:v>
                </c:pt>
                <c:pt idx="560">
                  <c:v>83478</c:v>
                </c:pt>
                <c:pt idx="561">
                  <c:v>83078</c:v>
                </c:pt>
                <c:pt idx="562">
                  <c:v>82898</c:v>
                </c:pt>
                <c:pt idx="563">
                  <c:v>82598</c:v>
                </c:pt>
                <c:pt idx="564">
                  <c:v>85824</c:v>
                </c:pt>
                <c:pt idx="565">
                  <c:v>85724</c:v>
                </c:pt>
                <c:pt idx="566">
                  <c:v>85604</c:v>
                </c:pt>
                <c:pt idx="567">
                  <c:v>85204</c:v>
                </c:pt>
                <c:pt idx="568">
                  <c:v>85024</c:v>
                </c:pt>
                <c:pt idx="569">
                  <c:v>84724</c:v>
                </c:pt>
                <c:pt idx="570">
                  <c:v>84524</c:v>
                </c:pt>
                <c:pt idx="571">
                  <c:v>84124</c:v>
                </c:pt>
                <c:pt idx="572">
                  <c:v>83824</c:v>
                </c:pt>
                <c:pt idx="573">
                  <c:v>83524</c:v>
                </c:pt>
                <c:pt idx="574">
                  <c:v>83498</c:v>
                </c:pt>
                <c:pt idx="575">
                  <c:v>83258</c:v>
                </c:pt>
                <c:pt idx="576">
                  <c:v>83138</c:v>
                </c:pt>
                <c:pt idx="577">
                  <c:v>82238</c:v>
                </c:pt>
                <c:pt idx="578">
                  <c:v>87438</c:v>
                </c:pt>
                <c:pt idx="579">
                  <c:v>84632</c:v>
                </c:pt>
                <c:pt idx="580">
                  <c:v>84532</c:v>
                </c:pt>
                <c:pt idx="581">
                  <c:v>84412</c:v>
                </c:pt>
                <c:pt idx="582">
                  <c:v>84012</c:v>
                </c:pt>
                <c:pt idx="583">
                  <c:v>83832</c:v>
                </c:pt>
                <c:pt idx="584">
                  <c:v>83532</c:v>
                </c:pt>
                <c:pt idx="585">
                  <c:v>86758</c:v>
                </c:pt>
                <c:pt idx="586">
                  <c:v>86658</c:v>
                </c:pt>
                <c:pt idx="587">
                  <c:v>86538</c:v>
                </c:pt>
                <c:pt idx="588">
                  <c:v>86138</c:v>
                </c:pt>
                <c:pt idx="589">
                  <c:v>85958</c:v>
                </c:pt>
                <c:pt idx="590">
                  <c:v>85658</c:v>
                </c:pt>
                <c:pt idx="591">
                  <c:v>90858</c:v>
                </c:pt>
                <c:pt idx="592">
                  <c:v>88052</c:v>
                </c:pt>
                <c:pt idx="593">
                  <c:v>87952</c:v>
                </c:pt>
                <c:pt idx="594">
                  <c:v>87832</c:v>
                </c:pt>
                <c:pt idx="595">
                  <c:v>87432</c:v>
                </c:pt>
                <c:pt idx="596">
                  <c:v>87252</c:v>
                </c:pt>
                <c:pt idx="597">
                  <c:v>86952</c:v>
                </c:pt>
                <c:pt idx="598">
                  <c:v>90178</c:v>
                </c:pt>
                <c:pt idx="599">
                  <c:v>90078</c:v>
                </c:pt>
                <c:pt idx="600">
                  <c:v>89958</c:v>
                </c:pt>
                <c:pt idx="601">
                  <c:v>89558</c:v>
                </c:pt>
                <c:pt idx="602">
                  <c:v>89378</c:v>
                </c:pt>
                <c:pt idx="603">
                  <c:v>89078</c:v>
                </c:pt>
                <c:pt idx="604">
                  <c:v>94278</c:v>
                </c:pt>
                <c:pt idx="605">
                  <c:v>94078</c:v>
                </c:pt>
                <c:pt idx="606">
                  <c:v>93678</c:v>
                </c:pt>
                <c:pt idx="607">
                  <c:v>93652</c:v>
                </c:pt>
                <c:pt idx="608">
                  <c:v>93412</c:v>
                </c:pt>
                <c:pt idx="609">
                  <c:v>93292</c:v>
                </c:pt>
                <c:pt idx="610">
                  <c:v>92392</c:v>
                </c:pt>
                <c:pt idx="611">
                  <c:v>89586</c:v>
                </c:pt>
                <c:pt idx="612">
                  <c:v>89486</c:v>
                </c:pt>
                <c:pt idx="613">
                  <c:v>89366</c:v>
                </c:pt>
                <c:pt idx="614">
                  <c:v>88966</c:v>
                </c:pt>
                <c:pt idx="615">
                  <c:v>88786</c:v>
                </c:pt>
                <c:pt idx="616">
                  <c:v>88486</c:v>
                </c:pt>
                <c:pt idx="617">
                  <c:v>91712</c:v>
                </c:pt>
                <c:pt idx="618">
                  <c:v>91612</c:v>
                </c:pt>
                <c:pt idx="619">
                  <c:v>91492</c:v>
                </c:pt>
                <c:pt idx="620">
                  <c:v>91092</c:v>
                </c:pt>
                <c:pt idx="621">
                  <c:v>90912</c:v>
                </c:pt>
                <c:pt idx="622">
                  <c:v>90612</c:v>
                </c:pt>
                <c:pt idx="623">
                  <c:v>95812</c:v>
                </c:pt>
                <c:pt idx="624">
                  <c:v>93006</c:v>
                </c:pt>
                <c:pt idx="625">
                  <c:v>92906</c:v>
                </c:pt>
                <c:pt idx="626">
                  <c:v>92786</c:v>
                </c:pt>
                <c:pt idx="627">
                  <c:v>92386</c:v>
                </c:pt>
                <c:pt idx="628">
                  <c:v>92206</c:v>
                </c:pt>
                <c:pt idx="629">
                  <c:v>91906</c:v>
                </c:pt>
                <c:pt idx="630">
                  <c:v>95132</c:v>
                </c:pt>
                <c:pt idx="631">
                  <c:v>95032</c:v>
                </c:pt>
                <c:pt idx="632">
                  <c:v>94912</c:v>
                </c:pt>
                <c:pt idx="633">
                  <c:v>94512</c:v>
                </c:pt>
                <c:pt idx="634">
                  <c:v>94332</c:v>
                </c:pt>
                <c:pt idx="635">
                  <c:v>94032</c:v>
                </c:pt>
                <c:pt idx="636">
                  <c:v>99232</c:v>
                </c:pt>
                <c:pt idx="637">
                  <c:v>96426</c:v>
                </c:pt>
                <c:pt idx="638">
                  <c:v>96326</c:v>
                </c:pt>
                <c:pt idx="639">
                  <c:v>96126</c:v>
                </c:pt>
                <c:pt idx="640">
                  <c:v>95726</c:v>
                </c:pt>
                <c:pt idx="641">
                  <c:v>95426</c:v>
                </c:pt>
                <c:pt idx="642">
                  <c:v>95400</c:v>
                </c:pt>
                <c:pt idx="643">
                  <c:v>95160</c:v>
                </c:pt>
                <c:pt idx="644">
                  <c:v>95040</c:v>
                </c:pt>
                <c:pt idx="645">
                  <c:v>94920</c:v>
                </c:pt>
                <c:pt idx="646">
                  <c:v>94020</c:v>
                </c:pt>
                <c:pt idx="647">
                  <c:v>93620</c:v>
                </c:pt>
                <c:pt idx="648">
                  <c:v>93440</c:v>
                </c:pt>
                <c:pt idx="649">
                  <c:v>93140</c:v>
                </c:pt>
                <c:pt idx="650">
                  <c:v>96366</c:v>
                </c:pt>
                <c:pt idx="651">
                  <c:v>96266</c:v>
                </c:pt>
                <c:pt idx="652">
                  <c:v>96146</c:v>
                </c:pt>
                <c:pt idx="653">
                  <c:v>95746</c:v>
                </c:pt>
                <c:pt idx="654">
                  <c:v>95566</c:v>
                </c:pt>
                <c:pt idx="655">
                  <c:v>95266</c:v>
                </c:pt>
                <c:pt idx="656">
                  <c:v>100466</c:v>
                </c:pt>
                <c:pt idx="657">
                  <c:v>97660</c:v>
                </c:pt>
                <c:pt idx="658">
                  <c:v>97560</c:v>
                </c:pt>
                <c:pt idx="659">
                  <c:v>97440</c:v>
                </c:pt>
                <c:pt idx="660">
                  <c:v>97040</c:v>
                </c:pt>
                <c:pt idx="661">
                  <c:v>96860</c:v>
                </c:pt>
                <c:pt idx="662">
                  <c:v>96560</c:v>
                </c:pt>
                <c:pt idx="663">
                  <c:v>99786</c:v>
                </c:pt>
                <c:pt idx="664">
                  <c:v>99686</c:v>
                </c:pt>
                <c:pt idx="665">
                  <c:v>99566</c:v>
                </c:pt>
                <c:pt idx="666">
                  <c:v>99166</c:v>
                </c:pt>
                <c:pt idx="667">
                  <c:v>98986</c:v>
                </c:pt>
                <c:pt idx="668">
                  <c:v>98686</c:v>
                </c:pt>
                <c:pt idx="669">
                  <c:v>103886</c:v>
                </c:pt>
                <c:pt idx="670">
                  <c:v>101080</c:v>
                </c:pt>
                <c:pt idx="671">
                  <c:v>100980</c:v>
                </c:pt>
                <c:pt idx="672">
                  <c:v>100860</c:v>
                </c:pt>
                <c:pt idx="673">
                  <c:v>100460</c:v>
                </c:pt>
                <c:pt idx="674">
                  <c:v>100280</c:v>
                </c:pt>
                <c:pt idx="675">
                  <c:v>99980</c:v>
                </c:pt>
                <c:pt idx="676">
                  <c:v>103206</c:v>
                </c:pt>
                <c:pt idx="677">
                  <c:v>103006</c:v>
                </c:pt>
                <c:pt idx="678">
                  <c:v>102606</c:v>
                </c:pt>
                <c:pt idx="679">
                  <c:v>102306</c:v>
                </c:pt>
                <c:pt idx="680">
                  <c:v>102006</c:v>
                </c:pt>
                <c:pt idx="681">
                  <c:v>101980</c:v>
                </c:pt>
                <c:pt idx="682">
                  <c:v>101740</c:v>
                </c:pt>
                <c:pt idx="683">
                  <c:v>101620</c:v>
                </c:pt>
                <c:pt idx="684">
                  <c:v>100720</c:v>
                </c:pt>
                <c:pt idx="685">
                  <c:v>100620</c:v>
                </c:pt>
                <c:pt idx="686">
                  <c:v>100500</c:v>
                </c:pt>
                <c:pt idx="687">
                  <c:v>100100</c:v>
                </c:pt>
                <c:pt idx="688">
                  <c:v>99920</c:v>
                </c:pt>
                <c:pt idx="689">
                  <c:v>99620</c:v>
                </c:pt>
                <c:pt idx="690">
                  <c:v>104820</c:v>
                </c:pt>
                <c:pt idx="691">
                  <c:v>102014</c:v>
                </c:pt>
                <c:pt idx="692">
                  <c:v>101914</c:v>
                </c:pt>
                <c:pt idx="693">
                  <c:v>101794</c:v>
                </c:pt>
                <c:pt idx="694">
                  <c:v>101394</c:v>
                </c:pt>
                <c:pt idx="695">
                  <c:v>101214</c:v>
                </c:pt>
                <c:pt idx="696">
                  <c:v>100914</c:v>
                </c:pt>
                <c:pt idx="697">
                  <c:v>104140</c:v>
                </c:pt>
                <c:pt idx="698">
                  <c:v>104040</c:v>
                </c:pt>
                <c:pt idx="699">
                  <c:v>103920</c:v>
                </c:pt>
                <c:pt idx="700">
                  <c:v>103520</c:v>
                </c:pt>
                <c:pt idx="701">
                  <c:v>103340</c:v>
                </c:pt>
                <c:pt idx="702">
                  <c:v>103040</c:v>
                </c:pt>
                <c:pt idx="703">
                  <c:v>108240</c:v>
                </c:pt>
                <c:pt idx="704">
                  <c:v>105434</c:v>
                </c:pt>
                <c:pt idx="705">
                  <c:v>105334</c:v>
                </c:pt>
                <c:pt idx="706">
                  <c:v>105214</c:v>
                </c:pt>
                <c:pt idx="707">
                  <c:v>104814</c:v>
                </c:pt>
                <c:pt idx="708">
                  <c:v>104634</c:v>
                </c:pt>
                <c:pt idx="709">
                  <c:v>104334</c:v>
                </c:pt>
                <c:pt idx="710">
                  <c:v>107560</c:v>
                </c:pt>
                <c:pt idx="711">
                  <c:v>107360</c:v>
                </c:pt>
                <c:pt idx="712">
                  <c:v>106960</c:v>
                </c:pt>
                <c:pt idx="713">
                  <c:v>106934</c:v>
                </c:pt>
                <c:pt idx="714">
                  <c:v>106694</c:v>
                </c:pt>
                <c:pt idx="715">
                  <c:v>106574</c:v>
                </c:pt>
                <c:pt idx="716">
                  <c:v>106474</c:v>
                </c:pt>
                <c:pt idx="717">
                  <c:v>105574</c:v>
                </c:pt>
                <c:pt idx="718">
                  <c:v>105454</c:v>
                </c:pt>
                <c:pt idx="719">
                  <c:v>105054</c:v>
                </c:pt>
                <c:pt idx="720">
                  <c:v>104874</c:v>
                </c:pt>
                <c:pt idx="721">
                  <c:v>104574</c:v>
                </c:pt>
                <c:pt idx="722">
                  <c:v>109774</c:v>
                </c:pt>
                <c:pt idx="723">
                  <c:v>106968</c:v>
                </c:pt>
                <c:pt idx="724">
                  <c:v>106868</c:v>
                </c:pt>
                <c:pt idx="725">
                  <c:v>106748</c:v>
                </c:pt>
                <c:pt idx="726">
                  <c:v>106348</c:v>
                </c:pt>
                <c:pt idx="727">
                  <c:v>106168</c:v>
                </c:pt>
                <c:pt idx="728">
                  <c:v>105868</c:v>
                </c:pt>
                <c:pt idx="729">
                  <c:v>109094</c:v>
                </c:pt>
                <c:pt idx="730">
                  <c:v>108994</c:v>
                </c:pt>
                <c:pt idx="731">
                  <c:v>108874</c:v>
                </c:pt>
                <c:pt idx="732">
                  <c:v>108474</c:v>
                </c:pt>
                <c:pt idx="733">
                  <c:v>108294</c:v>
                </c:pt>
                <c:pt idx="734">
                  <c:v>107994</c:v>
                </c:pt>
                <c:pt idx="735">
                  <c:v>113194</c:v>
                </c:pt>
                <c:pt idx="736">
                  <c:v>110388</c:v>
                </c:pt>
                <c:pt idx="737">
                  <c:v>110288</c:v>
                </c:pt>
                <c:pt idx="738">
                  <c:v>110168</c:v>
                </c:pt>
                <c:pt idx="739">
                  <c:v>109768</c:v>
                </c:pt>
                <c:pt idx="740">
                  <c:v>109588</c:v>
                </c:pt>
                <c:pt idx="741">
                  <c:v>109288</c:v>
                </c:pt>
                <c:pt idx="742">
                  <c:v>112514</c:v>
                </c:pt>
                <c:pt idx="743">
                  <c:v>112414</c:v>
                </c:pt>
                <c:pt idx="744">
                  <c:v>112294</c:v>
                </c:pt>
                <c:pt idx="745">
                  <c:v>112094</c:v>
                </c:pt>
                <c:pt idx="746">
                  <c:v>111694</c:v>
                </c:pt>
                <c:pt idx="747">
                  <c:v>111394</c:v>
                </c:pt>
                <c:pt idx="748">
                  <c:v>111368</c:v>
                </c:pt>
                <c:pt idx="749">
                  <c:v>111128</c:v>
                </c:pt>
                <c:pt idx="750">
                  <c:v>111008</c:v>
                </c:pt>
                <c:pt idx="751">
                  <c:v>110608</c:v>
                </c:pt>
                <c:pt idx="752">
                  <c:v>110428</c:v>
                </c:pt>
                <c:pt idx="753">
                  <c:v>110128</c:v>
                </c:pt>
                <c:pt idx="754">
                  <c:v>109228</c:v>
                </c:pt>
                <c:pt idx="755">
                  <c:v>114428</c:v>
                </c:pt>
                <c:pt idx="756">
                  <c:v>111622</c:v>
                </c:pt>
                <c:pt idx="757">
                  <c:v>111522</c:v>
                </c:pt>
                <c:pt idx="758">
                  <c:v>111402</c:v>
                </c:pt>
                <c:pt idx="759">
                  <c:v>111002</c:v>
                </c:pt>
                <c:pt idx="760">
                  <c:v>110822</c:v>
                </c:pt>
                <c:pt idx="761">
                  <c:v>110522</c:v>
                </c:pt>
                <c:pt idx="762">
                  <c:v>113748</c:v>
                </c:pt>
                <c:pt idx="763">
                  <c:v>113648</c:v>
                </c:pt>
                <c:pt idx="764">
                  <c:v>113528</c:v>
                </c:pt>
                <c:pt idx="765">
                  <c:v>113128</c:v>
                </c:pt>
                <c:pt idx="766">
                  <c:v>112948</c:v>
                </c:pt>
                <c:pt idx="767">
                  <c:v>112648</c:v>
                </c:pt>
                <c:pt idx="768">
                  <c:v>117848</c:v>
                </c:pt>
                <c:pt idx="769">
                  <c:v>115042</c:v>
                </c:pt>
                <c:pt idx="770">
                  <c:v>114942</c:v>
                </c:pt>
                <c:pt idx="771">
                  <c:v>114822</c:v>
                </c:pt>
                <c:pt idx="772">
                  <c:v>114422</c:v>
                </c:pt>
                <c:pt idx="773">
                  <c:v>114242</c:v>
                </c:pt>
                <c:pt idx="774">
                  <c:v>113942</c:v>
                </c:pt>
                <c:pt idx="775">
                  <c:v>117168</c:v>
                </c:pt>
                <c:pt idx="776">
                  <c:v>117068</c:v>
                </c:pt>
                <c:pt idx="777">
                  <c:v>116948</c:v>
                </c:pt>
                <c:pt idx="778">
                  <c:v>116548</c:v>
                </c:pt>
                <c:pt idx="779">
                  <c:v>116368</c:v>
                </c:pt>
                <c:pt idx="780">
                  <c:v>116068</c:v>
                </c:pt>
                <c:pt idx="781">
                  <c:v>121268</c:v>
                </c:pt>
                <c:pt idx="782">
                  <c:v>121068</c:v>
                </c:pt>
                <c:pt idx="783">
                  <c:v>120668</c:v>
                </c:pt>
                <c:pt idx="784">
                  <c:v>120368</c:v>
                </c:pt>
                <c:pt idx="785">
                  <c:v>120068</c:v>
                </c:pt>
                <c:pt idx="786">
                  <c:v>120042</c:v>
                </c:pt>
                <c:pt idx="787">
                  <c:v>119802</c:v>
                </c:pt>
                <c:pt idx="788">
                  <c:v>119682</c:v>
                </c:pt>
                <c:pt idx="789">
                  <c:v>118782</c:v>
                </c:pt>
                <c:pt idx="790">
                  <c:v>115976</c:v>
                </c:pt>
                <c:pt idx="791">
                  <c:v>115876</c:v>
                </c:pt>
                <c:pt idx="792">
                  <c:v>115756</c:v>
                </c:pt>
                <c:pt idx="793">
                  <c:v>115356</c:v>
                </c:pt>
                <c:pt idx="794">
                  <c:v>115176</c:v>
                </c:pt>
                <c:pt idx="795">
                  <c:v>114876</c:v>
                </c:pt>
                <c:pt idx="796">
                  <c:v>118102</c:v>
                </c:pt>
                <c:pt idx="797">
                  <c:v>118002</c:v>
                </c:pt>
                <c:pt idx="798">
                  <c:v>117882</c:v>
                </c:pt>
                <c:pt idx="799">
                  <c:v>117482</c:v>
                </c:pt>
                <c:pt idx="800">
                  <c:v>117302</c:v>
                </c:pt>
                <c:pt idx="801">
                  <c:v>117002</c:v>
                </c:pt>
                <c:pt idx="802">
                  <c:v>122202</c:v>
                </c:pt>
                <c:pt idx="803">
                  <c:v>119396</c:v>
                </c:pt>
                <c:pt idx="804">
                  <c:v>119296</c:v>
                </c:pt>
                <c:pt idx="805">
                  <c:v>119176</c:v>
                </c:pt>
                <c:pt idx="806">
                  <c:v>118776</c:v>
                </c:pt>
                <c:pt idx="807">
                  <c:v>118596</c:v>
                </c:pt>
                <c:pt idx="808">
                  <c:v>118296</c:v>
                </c:pt>
                <c:pt idx="809">
                  <c:v>121522</c:v>
                </c:pt>
                <c:pt idx="810">
                  <c:v>121422</c:v>
                </c:pt>
                <c:pt idx="811">
                  <c:v>121302</c:v>
                </c:pt>
                <c:pt idx="812">
                  <c:v>120902</c:v>
                </c:pt>
                <c:pt idx="813">
                  <c:v>120722</c:v>
                </c:pt>
                <c:pt idx="814">
                  <c:v>120422</c:v>
                </c:pt>
                <c:pt idx="815">
                  <c:v>125622</c:v>
                </c:pt>
                <c:pt idx="816">
                  <c:v>125422</c:v>
                </c:pt>
                <c:pt idx="817">
                  <c:v>125022</c:v>
                </c:pt>
                <c:pt idx="818">
                  <c:v>124996</c:v>
                </c:pt>
                <c:pt idx="819">
                  <c:v>124756</c:v>
                </c:pt>
                <c:pt idx="820">
                  <c:v>124636</c:v>
                </c:pt>
                <c:pt idx="821">
                  <c:v>121830</c:v>
                </c:pt>
                <c:pt idx="822">
                  <c:v>121730</c:v>
                </c:pt>
                <c:pt idx="823">
                  <c:v>120830</c:v>
                </c:pt>
                <c:pt idx="824">
                  <c:v>120710</c:v>
                </c:pt>
                <c:pt idx="825">
                  <c:v>120310</c:v>
                </c:pt>
                <c:pt idx="826">
                  <c:v>120130</c:v>
                </c:pt>
                <c:pt idx="827">
                  <c:v>119830</c:v>
                </c:pt>
                <c:pt idx="828">
                  <c:v>123056</c:v>
                </c:pt>
                <c:pt idx="829">
                  <c:v>122956</c:v>
                </c:pt>
                <c:pt idx="830">
                  <c:v>122836</c:v>
                </c:pt>
                <c:pt idx="831">
                  <c:v>122436</c:v>
                </c:pt>
                <c:pt idx="832">
                  <c:v>122256</c:v>
                </c:pt>
                <c:pt idx="833">
                  <c:v>121956</c:v>
                </c:pt>
                <c:pt idx="834">
                  <c:v>127156</c:v>
                </c:pt>
                <c:pt idx="835">
                  <c:v>124350</c:v>
                </c:pt>
                <c:pt idx="836">
                  <c:v>124250</c:v>
                </c:pt>
                <c:pt idx="837">
                  <c:v>124130</c:v>
                </c:pt>
                <c:pt idx="838">
                  <c:v>123730</c:v>
                </c:pt>
                <c:pt idx="839">
                  <c:v>123550</c:v>
                </c:pt>
                <c:pt idx="840">
                  <c:v>123250</c:v>
                </c:pt>
                <c:pt idx="841">
                  <c:v>126476</c:v>
                </c:pt>
                <c:pt idx="842">
                  <c:v>126376</c:v>
                </c:pt>
                <c:pt idx="843">
                  <c:v>126256</c:v>
                </c:pt>
                <c:pt idx="844">
                  <c:v>125856</c:v>
                </c:pt>
                <c:pt idx="845">
                  <c:v>125676</c:v>
                </c:pt>
                <c:pt idx="846">
                  <c:v>125376</c:v>
                </c:pt>
                <c:pt idx="847">
                  <c:v>125376</c:v>
                </c:pt>
                <c:pt idx="848">
                  <c:v>125376</c:v>
                </c:pt>
                <c:pt idx="849">
                  <c:v>125376</c:v>
                </c:pt>
                <c:pt idx="850">
                  <c:v>125376</c:v>
                </c:pt>
                <c:pt idx="851">
                  <c:v>125376</c:v>
                </c:pt>
                <c:pt idx="852">
                  <c:v>125376</c:v>
                </c:pt>
                <c:pt idx="853">
                  <c:v>125376</c:v>
                </c:pt>
                <c:pt idx="854">
                  <c:v>125376</c:v>
                </c:pt>
                <c:pt idx="855">
                  <c:v>125376</c:v>
                </c:pt>
                <c:pt idx="856">
                  <c:v>125376</c:v>
                </c:pt>
                <c:pt idx="857">
                  <c:v>125376</c:v>
                </c:pt>
                <c:pt idx="858">
                  <c:v>125376</c:v>
                </c:pt>
                <c:pt idx="859">
                  <c:v>125376</c:v>
                </c:pt>
                <c:pt idx="860">
                  <c:v>125376</c:v>
                </c:pt>
                <c:pt idx="861">
                  <c:v>125376</c:v>
                </c:pt>
                <c:pt idx="862">
                  <c:v>125376</c:v>
                </c:pt>
                <c:pt idx="863">
                  <c:v>125376</c:v>
                </c:pt>
                <c:pt idx="864">
                  <c:v>125376</c:v>
                </c:pt>
                <c:pt idx="865">
                  <c:v>125376</c:v>
                </c:pt>
                <c:pt idx="866">
                  <c:v>125376</c:v>
                </c:pt>
                <c:pt idx="867">
                  <c:v>125376</c:v>
                </c:pt>
                <c:pt idx="868">
                  <c:v>125376</c:v>
                </c:pt>
                <c:pt idx="869">
                  <c:v>125376</c:v>
                </c:pt>
                <c:pt idx="870">
                  <c:v>125376</c:v>
                </c:pt>
                <c:pt idx="871">
                  <c:v>125376</c:v>
                </c:pt>
                <c:pt idx="872">
                  <c:v>125376</c:v>
                </c:pt>
                <c:pt idx="873">
                  <c:v>125376</c:v>
                </c:pt>
                <c:pt idx="874">
                  <c:v>125376</c:v>
                </c:pt>
                <c:pt idx="875">
                  <c:v>125376</c:v>
                </c:pt>
                <c:pt idx="876">
                  <c:v>125376</c:v>
                </c:pt>
                <c:pt idx="877">
                  <c:v>125376</c:v>
                </c:pt>
                <c:pt idx="878">
                  <c:v>125376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894080"/>
        <c:axId val="135894656"/>
      </c:scatterChart>
      <c:valAx>
        <c:axId val="135894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5894656"/>
        <c:crosses val="autoZero"/>
        <c:crossBetween val="midCat"/>
      </c:valAx>
      <c:valAx>
        <c:axId val="135894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589408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'85ph'!$R$16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'85ph'!$Q$17:$Q$32</c:f>
              <c:numCache>
                <c:formatCode>General</c:formatCode>
                <c:ptCount val="16"/>
              </c:numCache>
            </c:numRef>
          </c:xVal>
          <c:yVal>
            <c:numRef>
              <c:f>'85ph'!$R$17:$R$32</c:f>
              <c:numCache>
                <c:formatCode>General</c:formatCode>
                <c:ptCount val="16"/>
              </c:numCache>
            </c:numRef>
          </c:yVal>
          <c:smooth val="1"/>
        </c:ser>
        <c:ser>
          <c:idx val="1"/>
          <c:order val="1"/>
          <c:tx>
            <c:strRef>
              <c:f>'85ph'!$S$16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'85ph'!$Q$17:$Q$32</c:f>
              <c:numCache>
                <c:formatCode>General</c:formatCode>
                <c:ptCount val="16"/>
              </c:numCache>
            </c:numRef>
          </c:xVal>
          <c:yVal>
            <c:numRef>
              <c:f>'85ph'!$S$17:$S$32</c:f>
              <c:numCache>
                <c:formatCode>General</c:formatCode>
                <c:ptCount val="16"/>
              </c:numCache>
            </c:numRef>
          </c:yVal>
          <c:smooth val="1"/>
        </c:ser>
        <c:ser>
          <c:idx val="2"/>
          <c:order val="2"/>
          <c:tx>
            <c:strRef>
              <c:f>'85ph'!$T$16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'85ph'!$Q$17:$Q$32</c:f>
              <c:numCache>
                <c:formatCode>General</c:formatCode>
                <c:ptCount val="16"/>
              </c:numCache>
            </c:numRef>
          </c:xVal>
          <c:yVal>
            <c:numRef>
              <c:f>'85ph'!$T$17:$T$32</c:f>
              <c:numCache>
                <c:formatCode>General</c:formatCode>
                <c:ptCount val="16"/>
              </c:numCache>
            </c:numRef>
          </c:yVal>
          <c:smooth val="1"/>
        </c:ser>
        <c:ser>
          <c:idx val="3"/>
          <c:order val="3"/>
          <c:tx>
            <c:strRef>
              <c:f>'85ph'!$U$16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'85ph'!$Q$17:$Q$32</c:f>
              <c:numCache>
                <c:formatCode>General</c:formatCode>
                <c:ptCount val="16"/>
              </c:numCache>
            </c:numRef>
          </c:xVal>
          <c:yVal>
            <c:numRef>
              <c:f>'85ph'!$U$17:$U$32</c:f>
              <c:numCache>
                <c:formatCode>General</c:formatCode>
                <c:ptCount val="16"/>
              </c:numCache>
            </c:numRef>
          </c:yVal>
          <c:smooth val="1"/>
        </c:ser>
        <c:ser>
          <c:idx val="4"/>
          <c:order val="4"/>
          <c:tx>
            <c:strRef>
              <c:f>'85ph'!$V$16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'85ph'!$Q$17:$Q$32</c:f>
              <c:numCache>
                <c:formatCode>General</c:formatCode>
                <c:ptCount val="16"/>
              </c:numCache>
            </c:numRef>
          </c:xVal>
          <c:yVal>
            <c:numRef>
              <c:f>'85ph'!$V$17:$V$32</c:f>
              <c:numCache>
                <c:formatCode>General</c:formatCode>
                <c:ptCount val="16"/>
              </c:numCache>
            </c:numRef>
          </c:yVal>
          <c:smooth val="1"/>
        </c:ser>
        <c:ser>
          <c:idx val="5"/>
          <c:order val="5"/>
          <c:tx>
            <c:strRef>
              <c:f>'85ph'!$W$16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'85ph'!$Q$17:$Q$32</c:f>
              <c:numCache>
                <c:formatCode>General</c:formatCode>
                <c:ptCount val="16"/>
              </c:numCache>
            </c:numRef>
          </c:xVal>
          <c:yVal>
            <c:numRef>
              <c:f>'85ph'!$W$17:$W$32</c:f>
              <c:numCache>
                <c:formatCode>General</c:formatCode>
                <c:ptCount val="16"/>
              </c:numCache>
            </c:numRef>
          </c:yVal>
          <c:smooth val="1"/>
        </c:ser>
        <c:ser>
          <c:idx val="6"/>
          <c:order val="6"/>
          <c:tx>
            <c:strRef>
              <c:f>'85ph'!$X$16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'85ph'!$Q$17:$Q$32</c:f>
              <c:numCache>
                <c:formatCode>General</c:formatCode>
                <c:ptCount val="16"/>
              </c:numCache>
            </c:numRef>
          </c:xVal>
          <c:yVal>
            <c:numRef>
              <c:f>'85ph'!$X$17:$X$32</c:f>
              <c:numCache>
                <c:formatCode>General</c:formatCode>
                <c:ptCount val="16"/>
              </c:numCache>
            </c:numRef>
          </c:yVal>
          <c:smooth val="1"/>
        </c:ser>
        <c:ser>
          <c:idx val="7"/>
          <c:order val="7"/>
          <c:tx>
            <c:strRef>
              <c:f>'85ph'!$Y$16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'85ph'!$Q$17:$Q$32</c:f>
              <c:numCache>
                <c:formatCode>General</c:formatCode>
                <c:ptCount val="16"/>
              </c:numCache>
            </c:numRef>
          </c:xVal>
          <c:yVal>
            <c:numRef>
              <c:f>'85ph'!$Y$17:$Y$32</c:f>
              <c:numCache>
                <c:formatCode>General</c:formatCode>
                <c:ptCount val="16"/>
              </c:numCache>
            </c:numRef>
          </c:yVal>
          <c:smooth val="1"/>
        </c:ser>
        <c:ser>
          <c:idx val="8"/>
          <c:order val="8"/>
          <c:tx>
            <c:v>CR01</c:v>
          </c:tx>
          <c:marker>
            <c:symbol val="none"/>
          </c:marker>
          <c:xVal>
            <c:numRef>
              <c:f>'85ph'!$A$2:$A$926</c:f>
              <c:numCache>
                <c:formatCode>m/d/yyyy</c:formatCode>
                <c:ptCount val="925"/>
                <c:pt idx="0">
                  <c:v>41271</c:v>
                </c:pt>
                <c:pt idx="1">
                  <c:v>41272</c:v>
                </c:pt>
                <c:pt idx="2">
                  <c:v>41275</c:v>
                </c:pt>
                <c:pt idx="3">
                  <c:v>41275</c:v>
                </c:pt>
                <c:pt idx="4">
                  <c:v>41275</c:v>
                </c:pt>
                <c:pt idx="5">
                  <c:v>41275</c:v>
                </c:pt>
                <c:pt idx="6">
                  <c:v>41275</c:v>
                </c:pt>
                <c:pt idx="7">
                  <c:v>41275</c:v>
                </c:pt>
                <c:pt idx="8">
                  <c:v>41275</c:v>
                </c:pt>
                <c:pt idx="9">
                  <c:v>41275</c:v>
                </c:pt>
                <c:pt idx="10">
                  <c:v>41275</c:v>
                </c:pt>
                <c:pt idx="11">
                  <c:v>41276</c:v>
                </c:pt>
                <c:pt idx="12">
                  <c:v>41276</c:v>
                </c:pt>
                <c:pt idx="13">
                  <c:v>41277</c:v>
                </c:pt>
                <c:pt idx="14">
                  <c:v>41277</c:v>
                </c:pt>
                <c:pt idx="15">
                  <c:v>41277</c:v>
                </c:pt>
                <c:pt idx="16">
                  <c:v>41278</c:v>
                </c:pt>
                <c:pt idx="17">
                  <c:v>41282</c:v>
                </c:pt>
                <c:pt idx="18">
                  <c:v>41283</c:v>
                </c:pt>
                <c:pt idx="19">
                  <c:v>41284</c:v>
                </c:pt>
                <c:pt idx="20">
                  <c:v>41284</c:v>
                </c:pt>
                <c:pt idx="21">
                  <c:v>41284</c:v>
                </c:pt>
                <c:pt idx="22">
                  <c:v>41286</c:v>
                </c:pt>
                <c:pt idx="23">
                  <c:v>41289</c:v>
                </c:pt>
                <c:pt idx="24">
                  <c:v>41289</c:v>
                </c:pt>
                <c:pt idx="25">
                  <c:v>41290</c:v>
                </c:pt>
                <c:pt idx="26">
                  <c:v>41291</c:v>
                </c:pt>
                <c:pt idx="27">
                  <c:v>41291</c:v>
                </c:pt>
                <c:pt idx="28">
                  <c:v>41291</c:v>
                </c:pt>
                <c:pt idx="29">
                  <c:v>41292</c:v>
                </c:pt>
                <c:pt idx="30">
                  <c:v>41296</c:v>
                </c:pt>
                <c:pt idx="31">
                  <c:v>41297</c:v>
                </c:pt>
                <c:pt idx="32">
                  <c:v>41298</c:v>
                </c:pt>
                <c:pt idx="33">
                  <c:v>41298</c:v>
                </c:pt>
                <c:pt idx="34">
                  <c:v>41298</c:v>
                </c:pt>
                <c:pt idx="35">
                  <c:v>41300</c:v>
                </c:pt>
                <c:pt idx="36">
                  <c:v>41303</c:v>
                </c:pt>
                <c:pt idx="37">
                  <c:v>41303</c:v>
                </c:pt>
                <c:pt idx="38">
                  <c:v>41304</c:v>
                </c:pt>
                <c:pt idx="39">
                  <c:v>41305</c:v>
                </c:pt>
                <c:pt idx="40">
                  <c:v>41305</c:v>
                </c:pt>
                <c:pt idx="41">
                  <c:v>41305</c:v>
                </c:pt>
                <c:pt idx="42">
                  <c:v>41306</c:v>
                </c:pt>
                <c:pt idx="43">
                  <c:v>41306</c:v>
                </c:pt>
                <c:pt idx="44">
                  <c:v>41306</c:v>
                </c:pt>
                <c:pt idx="45">
                  <c:v>41306</c:v>
                </c:pt>
                <c:pt idx="46">
                  <c:v>41306</c:v>
                </c:pt>
                <c:pt idx="47">
                  <c:v>41306</c:v>
                </c:pt>
                <c:pt idx="48">
                  <c:v>41306</c:v>
                </c:pt>
                <c:pt idx="49">
                  <c:v>41306</c:v>
                </c:pt>
                <c:pt idx="50">
                  <c:v>41307</c:v>
                </c:pt>
                <c:pt idx="51">
                  <c:v>41310</c:v>
                </c:pt>
                <c:pt idx="52">
                  <c:v>41311</c:v>
                </c:pt>
                <c:pt idx="53">
                  <c:v>41312</c:v>
                </c:pt>
                <c:pt idx="54">
                  <c:v>41312</c:v>
                </c:pt>
                <c:pt idx="55">
                  <c:v>41312</c:v>
                </c:pt>
                <c:pt idx="56">
                  <c:v>41314</c:v>
                </c:pt>
                <c:pt idx="57">
                  <c:v>41317</c:v>
                </c:pt>
                <c:pt idx="58">
                  <c:v>41317</c:v>
                </c:pt>
                <c:pt idx="59">
                  <c:v>41318</c:v>
                </c:pt>
                <c:pt idx="60">
                  <c:v>41319</c:v>
                </c:pt>
                <c:pt idx="61">
                  <c:v>41319</c:v>
                </c:pt>
                <c:pt idx="62">
                  <c:v>41319</c:v>
                </c:pt>
                <c:pt idx="63">
                  <c:v>41320</c:v>
                </c:pt>
                <c:pt idx="64">
                  <c:v>41324</c:v>
                </c:pt>
                <c:pt idx="65">
                  <c:v>41325</c:v>
                </c:pt>
                <c:pt idx="66">
                  <c:v>41326</c:v>
                </c:pt>
                <c:pt idx="67">
                  <c:v>41326</c:v>
                </c:pt>
                <c:pt idx="68">
                  <c:v>41326</c:v>
                </c:pt>
                <c:pt idx="69">
                  <c:v>41328</c:v>
                </c:pt>
                <c:pt idx="70">
                  <c:v>41331</c:v>
                </c:pt>
                <c:pt idx="71">
                  <c:v>41331</c:v>
                </c:pt>
                <c:pt idx="72">
                  <c:v>41332</c:v>
                </c:pt>
                <c:pt idx="73">
                  <c:v>41333</c:v>
                </c:pt>
                <c:pt idx="74">
                  <c:v>41333</c:v>
                </c:pt>
                <c:pt idx="75">
                  <c:v>41333</c:v>
                </c:pt>
                <c:pt idx="76">
                  <c:v>41334</c:v>
                </c:pt>
                <c:pt idx="77">
                  <c:v>41334</c:v>
                </c:pt>
                <c:pt idx="78">
                  <c:v>41334</c:v>
                </c:pt>
                <c:pt idx="79">
                  <c:v>41334</c:v>
                </c:pt>
                <c:pt idx="80">
                  <c:v>41334</c:v>
                </c:pt>
                <c:pt idx="81">
                  <c:v>41334</c:v>
                </c:pt>
                <c:pt idx="82">
                  <c:v>41335</c:v>
                </c:pt>
                <c:pt idx="83">
                  <c:v>41338</c:v>
                </c:pt>
                <c:pt idx="84">
                  <c:v>41339</c:v>
                </c:pt>
                <c:pt idx="85">
                  <c:v>41340</c:v>
                </c:pt>
                <c:pt idx="86">
                  <c:v>41340</c:v>
                </c:pt>
                <c:pt idx="87">
                  <c:v>41340</c:v>
                </c:pt>
                <c:pt idx="88">
                  <c:v>41342</c:v>
                </c:pt>
                <c:pt idx="89">
                  <c:v>41345</c:v>
                </c:pt>
                <c:pt idx="90">
                  <c:v>41345</c:v>
                </c:pt>
                <c:pt idx="91">
                  <c:v>41346</c:v>
                </c:pt>
                <c:pt idx="92">
                  <c:v>41347</c:v>
                </c:pt>
                <c:pt idx="93">
                  <c:v>41347</c:v>
                </c:pt>
                <c:pt idx="94">
                  <c:v>41347</c:v>
                </c:pt>
                <c:pt idx="95">
                  <c:v>41348</c:v>
                </c:pt>
                <c:pt idx="96">
                  <c:v>41352</c:v>
                </c:pt>
                <c:pt idx="97">
                  <c:v>41353</c:v>
                </c:pt>
                <c:pt idx="98">
                  <c:v>41354</c:v>
                </c:pt>
                <c:pt idx="99">
                  <c:v>41354</c:v>
                </c:pt>
                <c:pt idx="100">
                  <c:v>41354</c:v>
                </c:pt>
                <c:pt idx="101">
                  <c:v>41356</c:v>
                </c:pt>
                <c:pt idx="102">
                  <c:v>41359</c:v>
                </c:pt>
                <c:pt idx="103">
                  <c:v>41359</c:v>
                </c:pt>
                <c:pt idx="104">
                  <c:v>41360</c:v>
                </c:pt>
                <c:pt idx="105">
                  <c:v>41361</c:v>
                </c:pt>
                <c:pt idx="106">
                  <c:v>41361</c:v>
                </c:pt>
                <c:pt idx="107">
                  <c:v>41361</c:v>
                </c:pt>
                <c:pt idx="108">
                  <c:v>41362</c:v>
                </c:pt>
                <c:pt idx="109">
                  <c:v>41365</c:v>
                </c:pt>
                <c:pt idx="110">
                  <c:v>41365</c:v>
                </c:pt>
                <c:pt idx="111">
                  <c:v>41365</c:v>
                </c:pt>
                <c:pt idx="112">
                  <c:v>41365</c:v>
                </c:pt>
                <c:pt idx="113">
                  <c:v>41365</c:v>
                </c:pt>
                <c:pt idx="114">
                  <c:v>41365</c:v>
                </c:pt>
                <c:pt idx="115">
                  <c:v>41365</c:v>
                </c:pt>
                <c:pt idx="116">
                  <c:v>41366</c:v>
                </c:pt>
                <c:pt idx="117">
                  <c:v>41366</c:v>
                </c:pt>
                <c:pt idx="118">
                  <c:v>41367</c:v>
                </c:pt>
                <c:pt idx="119">
                  <c:v>41368</c:v>
                </c:pt>
                <c:pt idx="120">
                  <c:v>41368</c:v>
                </c:pt>
                <c:pt idx="121">
                  <c:v>41368</c:v>
                </c:pt>
                <c:pt idx="122">
                  <c:v>41370</c:v>
                </c:pt>
                <c:pt idx="123">
                  <c:v>41373</c:v>
                </c:pt>
                <c:pt idx="124">
                  <c:v>41373</c:v>
                </c:pt>
                <c:pt idx="125">
                  <c:v>41374</c:v>
                </c:pt>
                <c:pt idx="126">
                  <c:v>41375</c:v>
                </c:pt>
                <c:pt idx="127">
                  <c:v>41375</c:v>
                </c:pt>
                <c:pt idx="128">
                  <c:v>41375</c:v>
                </c:pt>
                <c:pt idx="129">
                  <c:v>41376</c:v>
                </c:pt>
                <c:pt idx="130">
                  <c:v>41380</c:v>
                </c:pt>
                <c:pt idx="131">
                  <c:v>41381</c:v>
                </c:pt>
                <c:pt idx="132">
                  <c:v>41382</c:v>
                </c:pt>
                <c:pt idx="133">
                  <c:v>41382</c:v>
                </c:pt>
                <c:pt idx="134">
                  <c:v>41382</c:v>
                </c:pt>
                <c:pt idx="135">
                  <c:v>41384</c:v>
                </c:pt>
                <c:pt idx="136">
                  <c:v>41387</c:v>
                </c:pt>
                <c:pt idx="137">
                  <c:v>41387</c:v>
                </c:pt>
                <c:pt idx="138">
                  <c:v>41388</c:v>
                </c:pt>
                <c:pt idx="139">
                  <c:v>41389</c:v>
                </c:pt>
                <c:pt idx="140">
                  <c:v>41389</c:v>
                </c:pt>
                <c:pt idx="141">
                  <c:v>41389</c:v>
                </c:pt>
                <c:pt idx="142">
                  <c:v>41390</c:v>
                </c:pt>
                <c:pt idx="143">
                  <c:v>41394</c:v>
                </c:pt>
                <c:pt idx="144">
                  <c:v>41395</c:v>
                </c:pt>
                <c:pt idx="145">
                  <c:v>41395</c:v>
                </c:pt>
                <c:pt idx="146">
                  <c:v>41395</c:v>
                </c:pt>
                <c:pt idx="147">
                  <c:v>41395</c:v>
                </c:pt>
                <c:pt idx="148">
                  <c:v>41395</c:v>
                </c:pt>
                <c:pt idx="149">
                  <c:v>41395</c:v>
                </c:pt>
                <c:pt idx="150">
                  <c:v>41395</c:v>
                </c:pt>
                <c:pt idx="151">
                  <c:v>41395</c:v>
                </c:pt>
                <c:pt idx="152">
                  <c:v>41396</c:v>
                </c:pt>
                <c:pt idx="153">
                  <c:v>41396</c:v>
                </c:pt>
                <c:pt idx="154">
                  <c:v>41396</c:v>
                </c:pt>
                <c:pt idx="155">
                  <c:v>41396</c:v>
                </c:pt>
                <c:pt idx="156">
                  <c:v>41398</c:v>
                </c:pt>
                <c:pt idx="157">
                  <c:v>41401</c:v>
                </c:pt>
                <c:pt idx="158">
                  <c:v>41401</c:v>
                </c:pt>
                <c:pt idx="159">
                  <c:v>41402</c:v>
                </c:pt>
                <c:pt idx="160">
                  <c:v>41403</c:v>
                </c:pt>
                <c:pt idx="161">
                  <c:v>41403</c:v>
                </c:pt>
                <c:pt idx="162">
                  <c:v>41403</c:v>
                </c:pt>
                <c:pt idx="163">
                  <c:v>41404</c:v>
                </c:pt>
                <c:pt idx="164">
                  <c:v>41408</c:v>
                </c:pt>
                <c:pt idx="165">
                  <c:v>41409</c:v>
                </c:pt>
                <c:pt idx="166">
                  <c:v>41410</c:v>
                </c:pt>
                <c:pt idx="167">
                  <c:v>41410</c:v>
                </c:pt>
                <c:pt idx="168">
                  <c:v>41410</c:v>
                </c:pt>
                <c:pt idx="169">
                  <c:v>41412</c:v>
                </c:pt>
                <c:pt idx="170">
                  <c:v>41415</c:v>
                </c:pt>
                <c:pt idx="171">
                  <c:v>41415</c:v>
                </c:pt>
                <c:pt idx="172">
                  <c:v>41416</c:v>
                </c:pt>
                <c:pt idx="173">
                  <c:v>41417</c:v>
                </c:pt>
                <c:pt idx="174">
                  <c:v>41417</c:v>
                </c:pt>
                <c:pt idx="175">
                  <c:v>41417</c:v>
                </c:pt>
                <c:pt idx="176">
                  <c:v>41418</c:v>
                </c:pt>
                <c:pt idx="177">
                  <c:v>41422</c:v>
                </c:pt>
                <c:pt idx="178">
                  <c:v>41423</c:v>
                </c:pt>
                <c:pt idx="179">
                  <c:v>41424</c:v>
                </c:pt>
                <c:pt idx="180">
                  <c:v>41424</c:v>
                </c:pt>
                <c:pt idx="181">
                  <c:v>41424</c:v>
                </c:pt>
                <c:pt idx="182">
                  <c:v>41426</c:v>
                </c:pt>
                <c:pt idx="183">
                  <c:v>41426</c:v>
                </c:pt>
                <c:pt idx="184">
                  <c:v>41426</c:v>
                </c:pt>
                <c:pt idx="185">
                  <c:v>41426</c:v>
                </c:pt>
                <c:pt idx="186">
                  <c:v>41426</c:v>
                </c:pt>
                <c:pt idx="187">
                  <c:v>41426</c:v>
                </c:pt>
                <c:pt idx="188">
                  <c:v>41427</c:v>
                </c:pt>
                <c:pt idx="189">
                  <c:v>41429</c:v>
                </c:pt>
                <c:pt idx="190">
                  <c:v>41429</c:v>
                </c:pt>
                <c:pt idx="191">
                  <c:v>41430</c:v>
                </c:pt>
                <c:pt idx="192">
                  <c:v>41431</c:v>
                </c:pt>
                <c:pt idx="193">
                  <c:v>41431</c:v>
                </c:pt>
                <c:pt idx="194">
                  <c:v>41431</c:v>
                </c:pt>
                <c:pt idx="195">
                  <c:v>41432</c:v>
                </c:pt>
                <c:pt idx="196">
                  <c:v>41436</c:v>
                </c:pt>
                <c:pt idx="197">
                  <c:v>41437</c:v>
                </c:pt>
                <c:pt idx="198">
                  <c:v>41438</c:v>
                </c:pt>
                <c:pt idx="199">
                  <c:v>41438</c:v>
                </c:pt>
                <c:pt idx="200">
                  <c:v>41438</c:v>
                </c:pt>
                <c:pt idx="201">
                  <c:v>41440</c:v>
                </c:pt>
                <c:pt idx="202">
                  <c:v>41443</c:v>
                </c:pt>
                <c:pt idx="203">
                  <c:v>41443</c:v>
                </c:pt>
                <c:pt idx="204">
                  <c:v>41444</c:v>
                </c:pt>
                <c:pt idx="205">
                  <c:v>41445</c:v>
                </c:pt>
                <c:pt idx="206">
                  <c:v>41445</c:v>
                </c:pt>
                <c:pt idx="207">
                  <c:v>41445</c:v>
                </c:pt>
                <c:pt idx="208">
                  <c:v>41446</c:v>
                </c:pt>
                <c:pt idx="209">
                  <c:v>41450</c:v>
                </c:pt>
                <c:pt idx="210">
                  <c:v>41451</c:v>
                </c:pt>
                <c:pt idx="211">
                  <c:v>41452</c:v>
                </c:pt>
                <c:pt idx="212">
                  <c:v>41452</c:v>
                </c:pt>
                <c:pt idx="213">
                  <c:v>41452</c:v>
                </c:pt>
                <c:pt idx="214">
                  <c:v>41454</c:v>
                </c:pt>
                <c:pt idx="215">
                  <c:v>41456</c:v>
                </c:pt>
                <c:pt idx="216">
                  <c:v>41456</c:v>
                </c:pt>
                <c:pt idx="217">
                  <c:v>41456</c:v>
                </c:pt>
                <c:pt idx="218">
                  <c:v>41456</c:v>
                </c:pt>
                <c:pt idx="219">
                  <c:v>41456</c:v>
                </c:pt>
                <c:pt idx="220">
                  <c:v>41456</c:v>
                </c:pt>
                <c:pt idx="221">
                  <c:v>41457</c:v>
                </c:pt>
                <c:pt idx="222">
                  <c:v>41457</c:v>
                </c:pt>
                <c:pt idx="223">
                  <c:v>41457</c:v>
                </c:pt>
                <c:pt idx="224">
                  <c:v>41458</c:v>
                </c:pt>
                <c:pt idx="225">
                  <c:v>41459</c:v>
                </c:pt>
                <c:pt idx="226">
                  <c:v>41459</c:v>
                </c:pt>
                <c:pt idx="227">
                  <c:v>41459</c:v>
                </c:pt>
                <c:pt idx="228">
                  <c:v>41460</c:v>
                </c:pt>
                <c:pt idx="229">
                  <c:v>41464</c:v>
                </c:pt>
                <c:pt idx="230">
                  <c:v>41465</c:v>
                </c:pt>
                <c:pt idx="231">
                  <c:v>41466</c:v>
                </c:pt>
                <c:pt idx="232">
                  <c:v>41466</c:v>
                </c:pt>
                <c:pt idx="233">
                  <c:v>41466</c:v>
                </c:pt>
                <c:pt idx="234">
                  <c:v>41468</c:v>
                </c:pt>
                <c:pt idx="235">
                  <c:v>41471</c:v>
                </c:pt>
                <c:pt idx="236">
                  <c:v>41471</c:v>
                </c:pt>
                <c:pt idx="237">
                  <c:v>41472</c:v>
                </c:pt>
                <c:pt idx="238">
                  <c:v>41473</c:v>
                </c:pt>
                <c:pt idx="239">
                  <c:v>41473</c:v>
                </c:pt>
                <c:pt idx="240">
                  <c:v>41473</c:v>
                </c:pt>
                <c:pt idx="241">
                  <c:v>41474</c:v>
                </c:pt>
                <c:pt idx="242">
                  <c:v>41478</c:v>
                </c:pt>
                <c:pt idx="243">
                  <c:v>41479</c:v>
                </c:pt>
                <c:pt idx="244">
                  <c:v>41480</c:v>
                </c:pt>
                <c:pt idx="245">
                  <c:v>41480</c:v>
                </c:pt>
                <c:pt idx="246">
                  <c:v>41480</c:v>
                </c:pt>
                <c:pt idx="247">
                  <c:v>41482</c:v>
                </c:pt>
                <c:pt idx="248">
                  <c:v>41485</c:v>
                </c:pt>
                <c:pt idx="249">
                  <c:v>41485</c:v>
                </c:pt>
                <c:pt idx="250">
                  <c:v>41486</c:v>
                </c:pt>
                <c:pt idx="251">
                  <c:v>41487</c:v>
                </c:pt>
                <c:pt idx="252">
                  <c:v>41487</c:v>
                </c:pt>
                <c:pt idx="253">
                  <c:v>41487</c:v>
                </c:pt>
                <c:pt idx="254">
                  <c:v>41487</c:v>
                </c:pt>
                <c:pt idx="255">
                  <c:v>41487</c:v>
                </c:pt>
                <c:pt idx="256">
                  <c:v>41487</c:v>
                </c:pt>
                <c:pt idx="257">
                  <c:v>41487</c:v>
                </c:pt>
                <c:pt idx="258">
                  <c:v>41487</c:v>
                </c:pt>
                <c:pt idx="259">
                  <c:v>41487</c:v>
                </c:pt>
                <c:pt idx="260">
                  <c:v>41487</c:v>
                </c:pt>
                <c:pt idx="261">
                  <c:v>41488</c:v>
                </c:pt>
                <c:pt idx="262">
                  <c:v>41488</c:v>
                </c:pt>
                <c:pt idx="263">
                  <c:v>41492</c:v>
                </c:pt>
                <c:pt idx="264">
                  <c:v>41493</c:v>
                </c:pt>
                <c:pt idx="265">
                  <c:v>41494</c:v>
                </c:pt>
                <c:pt idx="266">
                  <c:v>41494</c:v>
                </c:pt>
                <c:pt idx="267">
                  <c:v>41494</c:v>
                </c:pt>
                <c:pt idx="268">
                  <c:v>41496</c:v>
                </c:pt>
                <c:pt idx="269">
                  <c:v>41499</c:v>
                </c:pt>
                <c:pt idx="270">
                  <c:v>41499</c:v>
                </c:pt>
                <c:pt idx="271">
                  <c:v>41500</c:v>
                </c:pt>
                <c:pt idx="272">
                  <c:v>41501</c:v>
                </c:pt>
                <c:pt idx="273">
                  <c:v>41501</c:v>
                </c:pt>
                <c:pt idx="274">
                  <c:v>41501</c:v>
                </c:pt>
                <c:pt idx="275">
                  <c:v>41502</c:v>
                </c:pt>
                <c:pt idx="276">
                  <c:v>41506</c:v>
                </c:pt>
                <c:pt idx="277">
                  <c:v>41507</c:v>
                </c:pt>
                <c:pt idx="278">
                  <c:v>41508</c:v>
                </c:pt>
                <c:pt idx="279">
                  <c:v>41508</c:v>
                </c:pt>
                <c:pt idx="280">
                  <c:v>41508</c:v>
                </c:pt>
                <c:pt idx="281">
                  <c:v>41510</c:v>
                </c:pt>
                <c:pt idx="282">
                  <c:v>41513</c:v>
                </c:pt>
                <c:pt idx="283">
                  <c:v>41513</c:v>
                </c:pt>
                <c:pt idx="284">
                  <c:v>41514</c:v>
                </c:pt>
                <c:pt idx="285">
                  <c:v>41515</c:v>
                </c:pt>
                <c:pt idx="286">
                  <c:v>41515</c:v>
                </c:pt>
                <c:pt idx="287">
                  <c:v>41515</c:v>
                </c:pt>
                <c:pt idx="288">
                  <c:v>41516</c:v>
                </c:pt>
                <c:pt idx="289">
                  <c:v>41518</c:v>
                </c:pt>
                <c:pt idx="290">
                  <c:v>41518</c:v>
                </c:pt>
                <c:pt idx="291">
                  <c:v>41518</c:v>
                </c:pt>
                <c:pt idx="292">
                  <c:v>41518</c:v>
                </c:pt>
                <c:pt idx="293">
                  <c:v>41518</c:v>
                </c:pt>
                <c:pt idx="294">
                  <c:v>41519</c:v>
                </c:pt>
                <c:pt idx="295">
                  <c:v>41520</c:v>
                </c:pt>
                <c:pt idx="296">
                  <c:v>41521</c:v>
                </c:pt>
                <c:pt idx="297">
                  <c:v>41522</c:v>
                </c:pt>
                <c:pt idx="298">
                  <c:v>41522</c:v>
                </c:pt>
                <c:pt idx="299">
                  <c:v>41522</c:v>
                </c:pt>
                <c:pt idx="300">
                  <c:v>41524</c:v>
                </c:pt>
                <c:pt idx="301">
                  <c:v>41527</c:v>
                </c:pt>
                <c:pt idx="302">
                  <c:v>41527</c:v>
                </c:pt>
                <c:pt idx="303">
                  <c:v>41528</c:v>
                </c:pt>
                <c:pt idx="304">
                  <c:v>41529</c:v>
                </c:pt>
                <c:pt idx="305">
                  <c:v>41529</c:v>
                </c:pt>
                <c:pt idx="306">
                  <c:v>41529</c:v>
                </c:pt>
                <c:pt idx="307">
                  <c:v>41530</c:v>
                </c:pt>
                <c:pt idx="308">
                  <c:v>41534</c:v>
                </c:pt>
                <c:pt idx="309">
                  <c:v>41535</c:v>
                </c:pt>
                <c:pt idx="310">
                  <c:v>41536</c:v>
                </c:pt>
                <c:pt idx="311">
                  <c:v>41536</c:v>
                </c:pt>
                <c:pt idx="312">
                  <c:v>41536</c:v>
                </c:pt>
                <c:pt idx="313">
                  <c:v>41538</c:v>
                </c:pt>
                <c:pt idx="314">
                  <c:v>41541</c:v>
                </c:pt>
                <c:pt idx="315">
                  <c:v>41541</c:v>
                </c:pt>
                <c:pt idx="316">
                  <c:v>41542</c:v>
                </c:pt>
                <c:pt idx="317">
                  <c:v>41543</c:v>
                </c:pt>
                <c:pt idx="318">
                  <c:v>41543</c:v>
                </c:pt>
                <c:pt idx="319">
                  <c:v>41543</c:v>
                </c:pt>
                <c:pt idx="320">
                  <c:v>41544</c:v>
                </c:pt>
                <c:pt idx="321">
                  <c:v>41548</c:v>
                </c:pt>
                <c:pt idx="322">
                  <c:v>41548</c:v>
                </c:pt>
                <c:pt idx="323">
                  <c:v>41548</c:v>
                </c:pt>
                <c:pt idx="324">
                  <c:v>41548</c:v>
                </c:pt>
                <c:pt idx="325">
                  <c:v>41548</c:v>
                </c:pt>
                <c:pt idx="326">
                  <c:v>41548</c:v>
                </c:pt>
                <c:pt idx="327">
                  <c:v>41548</c:v>
                </c:pt>
                <c:pt idx="328">
                  <c:v>41549</c:v>
                </c:pt>
                <c:pt idx="329">
                  <c:v>41549</c:v>
                </c:pt>
                <c:pt idx="330">
                  <c:v>41550</c:v>
                </c:pt>
                <c:pt idx="331">
                  <c:v>41550</c:v>
                </c:pt>
                <c:pt idx="332">
                  <c:v>41550</c:v>
                </c:pt>
                <c:pt idx="333">
                  <c:v>41552</c:v>
                </c:pt>
                <c:pt idx="334">
                  <c:v>41555</c:v>
                </c:pt>
                <c:pt idx="335">
                  <c:v>41555</c:v>
                </c:pt>
                <c:pt idx="336">
                  <c:v>41556</c:v>
                </c:pt>
                <c:pt idx="337">
                  <c:v>41557</c:v>
                </c:pt>
                <c:pt idx="338">
                  <c:v>41557</c:v>
                </c:pt>
                <c:pt idx="339">
                  <c:v>41557</c:v>
                </c:pt>
                <c:pt idx="340">
                  <c:v>41558</c:v>
                </c:pt>
                <c:pt idx="341">
                  <c:v>41562</c:v>
                </c:pt>
                <c:pt idx="342">
                  <c:v>41563</c:v>
                </c:pt>
                <c:pt idx="343">
                  <c:v>41564</c:v>
                </c:pt>
                <c:pt idx="344">
                  <c:v>41564</c:v>
                </c:pt>
                <c:pt idx="345">
                  <c:v>41564</c:v>
                </c:pt>
                <c:pt idx="346">
                  <c:v>41566</c:v>
                </c:pt>
                <c:pt idx="347">
                  <c:v>41569</c:v>
                </c:pt>
                <c:pt idx="348">
                  <c:v>41569</c:v>
                </c:pt>
                <c:pt idx="349">
                  <c:v>41570</c:v>
                </c:pt>
                <c:pt idx="350">
                  <c:v>41571</c:v>
                </c:pt>
                <c:pt idx="351">
                  <c:v>41571</c:v>
                </c:pt>
                <c:pt idx="352">
                  <c:v>41571</c:v>
                </c:pt>
                <c:pt idx="353">
                  <c:v>41572</c:v>
                </c:pt>
                <c:pt idx="354">
                  <c:v>41576</c:v>
                </c:pt>
                <c:pt idx="355">
                  <c:v>41577</c:v>
                </c:pt>
                <c:pt idx="356">
                  <c:v>41578</c:v>
                </c:pt>
                <c:pt idx="357">
                  <c:v>41578</c:v>
                </c:pt>
                <c:pt idx="358">
                  <c:v>41578</c:v>
                </c:pt>
                <c:pt idx="359">
                  <c:v>41579</c:v>
                </c:pt>
                <c:pt idx="360">
                  <c:v>41579</c:v>
                </c:pt>
                <c:pt idx="361">
                  <c:v>41579</c:v>
                </c:pt>
                <c:pt idx="362">
                  <c:v>41579</c:v>
                </c:pt>
                <c:pt idx="363">
                  <c:v>41579</c:v>
                </c:pt>
                <c:pt idx="364">
                  <c:v>41579</c:v>
                </c:pt>
                <c:pt idx="365">
                  <c:v>41579</c:v>
                </c:pt>
                <c:pt idx="366">
                  <c:v>41580</c:v>
                </c:pt>
                <c:pt idx="367">
                  <c:v>41580</c:v>
                </c:pt>
                <c:pt idx="368">
                  <c:v>41583</c:v>
                </c:pt>
                <c:pt idx="369">
                  <c:v>41583</c:v>
                </c:pt>
                <c:pt idx="370">
                  <c:v>41584</c:v>
                </c:pt>
                <c:pt idx="371">
                  <c:v>41585</c:v>
                </c:pt>
                <c:pt idx="372">
                  <c:v>41585</c:v>
                </c:pt>
                <c:pt idx="373">
                  <c:v>41585</c:v>
                </c:pt>
                <c:pt idx="374">
                  <c:v>41586</c:v>
                </c:pt>
                <c:pt idx="375">
                  <c:v>41590</c:v>
                </c:pt>
                <c:pt idx="376">
                  <c:v>41591</c:v>
                </c:pt>
                <c:pt idx="377">
                  <c:v>41592</c:v>
                </c:pt>
                <c:pt idx="378">
                  <c:v>41592</c:v>
                </c:pt>
                <c:pt idx="379">
                  <c:v>41592</c:v>
                </c:pt>
                <c:pt idx="380">
                  <c:v>41594</c:v>
                </c:pt>
                <c:pt idx="381">
                  <c:v>41597</c:v>
                </c:pt>
                <c:pt idx="382">
                  <c:v>41597</c:v>
                </c:pt>
                <c:pt idx="383">
                  <c:v>41598</c:v>
                </c:pt>
                <c:pt idx="384">
                  <c:v>41599</c:v>
                </c:pt>
                <c:pt idx="385">
                  <c:v>41599</c:v>
                </c:pt>
                <c:pt idx="386">
                  <c:v>41599</c:v>
                </c:pt>
                <c:pt idx="387">
                  <c:v>41600</c:v>
                </c:pt>
                <c:pt idx="388">
                  <c:v>41604</c:v>
                </c:pt>
                <c:pt idx="389">
                  <c:v>41605</c:v>
                </c:pt>
                <c:pt idx="390">
                  <c:v>41606</c:v>
                </c:pt>
                <c:pt idx="391">
                  <c:v>41606</c:v>
                </c:pt>
                <c:pt idx="392">
                  <c:v>41606</c:v>
                </c:pt>
                <c:pt idx="393">
                  <c:v>41608</c:v>
                </c:pt>
                <c:pt idx="394">
                  <c:v>41609</c:v>
                </c:pt>
                <c:pt idx="395">
                  <c:v>41609</c:v>
                </c:pt>
                <c:pt idx="396">
                  <c:v>41609</c:v>
                </c:pt>
                <c:pt idx="397">
                  <c:v>41609</c:v>
                </c:pt>
                <c:pt idx="398">
                  <c:v>41609</c:v>
                </c:pt>
                <c:pt idx="399">
                  <c:v>41610</c:v>
                </c:pt>
                <c:pt idx="400">
                  <c:v>41611</c:v>
                </c:pt>
                <c:pt idx="401">
                  <c:v>41611</c:v>
                </c:pt>
                <c:pt idx="402">
                  <c:v>41612</c:v>
                </c:pt>
                <c:pt idx="403">
                  <c:v>41613</c:v>
                </c:pt>
                <c:pt idx="404">
                  <c:v>41613</c:v>
                </c:pt>
                <c:pt idx="405">
                  <c:v>41613</c:v>
                </c:pt>
                <c:pt idx="406">
                  <c:v>41614</c:v>
                </c:pt>
                <c:pt idx="407">
                  <c:v>41618</c:v>
                </c:pt>
                <c:pt idx="408">
                  <c:v>41619</c:v>
                </c:pt>
                <c:pt idx="409">
                  <c:v>41620</c:v>
                </c:pt>
                <c:pt idx="410">
                  <c:v>41620</c:v>
                </c:pt>
                <c:pt idx="411">
                  <c:v>41620</c:v>
                </c:pt>
                <c:pt idx="412">
                  <c:v>41622</c:v>
                </c:pt>
                <c:pt idx="413">
                  <c:v>41625</c:v>
                </c:pt>
                <c:pt idx="414">
                  <c:v>41625</c:v>
                </c:pt>
                <c:pt idx="415">
                  <c:v>41626</c:v>
                </c:pt>
                <c:pt idx="416">
                  <c:v>41627</c:v>
                </c:pt>
                <c:pt idx="417">
                  <c:v>41627</c:v>
                </c:pt>
                <c:pt idx="418">
                  <c:v>41627</c:v>
                </c:pt>
                <c:pt idx="419">
                  <c:v>41628</c:v>
                </c:pt>
                <c:pt idx="420">
                  <c:v>41632</c:v>
                </c:pt>
                <c:pt idx="421">
                  <c:v>41633</c:v>
                </c:pt>
                <c:pt idx="422">
                  <c:v>41634</c:v>
                </c:pt>
                <c:pt idx="423">
                  <c:v>41634</c:v>
                </c:pt>
                <c:pt idx="424">
                  <c:v>41634</c:v>
                </c:pt>
                <c:pt idx="425">
                  <c:v>41636</c:v>
                </c:pt>
                <c:pt idx="426">
                  <c:v>41639</c:v>
                </c:pt>
                <c:pt idx="427">
                  <c:v>41639</c:v>
                </c:pt>
                <c:pt idx="428">
                  <c:v>41640</c:v>
                </c:pt>
                <c:pt idx="429">
                  <c:v>41640</c:v>
                </c:pt>
                <c:pt idx="430">
                  <c:v>41640</c:v>
                </c:pt>
                <c:pt idx="431">
                  <c:v>41640</c:v>
                </c:pt>
                <c:pt idx="432">
                  <c:v>41640</c:v>
                </c:pt>
                <c:pt idx="433">
                  <c:v>41640</c:v>
                </c:pt>
                <c:pt idx="434">
                  <c:v>41640</c:v>
                </c:pt>
                <c:pt idx="435">
                  <c:v>41641</c:v>
                </c:pt>
                <c:pt idx="436">
                  <c:v>41641</c:v>
                </c:pt>
                <c:pt idx="437">
                  <c:v>41641</c:v>
                </c:pt>
                <c:pt idx="438">
                  <c:v>41641</c:v>
                </c:pt>
                <c:pt idx="439">
                  <c:v>41642</c:v>
                </c:pt>
                <c:pt idx="440">
                  <c:v>41646</c:v>
                </c:pt>
                <c:pt idx="441">
                  <c:v>41647</c:v>
                </c:pt>
                <c:pt idx="442">
                  <c:v>41648</c:v>
                </c:pt>
                <c:pt idx="443">
                  <c:v>41648</c:v>
                </c:pt>
                <c:pt idx="444">
                  <c:v>41648</c:v>
                </c:pt>
                <c:pt idx="445">
                  <c:v>41650</c:v>
                </c:pt>
                <c:pt idx="446">
                  <c:v>41653</c:v>
                </c:pt>
                <c:pt idx="447">
                  <c:v>41653</c:v>
                </c:pt>
                <c:pt idx="448">
                  <c:v>41654</c:v>
                </c:pt>
                <c:pt idx="449">
                  <c:v>41655</c:v>
                </c:pt>
                <c:pt idx="450">
                  <c:v>41655</c:v>
                </c:pt>
                <c:pt idx="451">
                  <c:v>41655</c:v>
                </c:pt>
                <c:pt idx="452">
                  <c:v>41656</c:v>
                </c:pt>
                <c:pt idx="453">
                  <c:v>41660</c:v>
                </c:pt>
                <c:pt idx="454">
                  <c:v>41661</c:v>
                </c:pt>
                <c:pt idx="455">
                  <c:v>41662</c:v>
                </c:pt>
                <c:pt idx="456">
                  <c:v>41662</c:v>
                </c:pt>
                <c:pt idx="457">
                  <c:v>41662</c:v>
                </c:pt>
                <c:pt idx="458">
                  <c:v>41664</c:v>
                </c:pt>
                <c:pt idx="459">
                  <c:v>41667</c:v>
                </c:pt>
                <c:pt idx="460">
                  <c:v>41667</c:v>
                </c:pt>
                <c:pt idx="461">
                  <c:v>41668</c:v>
                </c:pt>
                <c:pt idx="462">
                  <c:v>41669</c:v>
                </c:pt>
                <c:pt idx="463">
                  <c:v>41669</c:v>
                </c:pt>
                <c:pt idx="464">
                  <c:v>41669</c:v>
                </c:pt>
                <c:pt idx="465">
                  <c:v>41670</c:v>
                </c:pt>
                <c:pt idx="466">
                  <c:v>41671</c:v>
                </c:pt>
                <c:pt idx="467">
                  <c:v>41671</c:v>
                </c:pt>
                <c:pt idx="468">
                  <c:v>41671</c:v>
                </c:pt>
                <c:pt idx="469">
                  <c:v>41671</c:v>
                </c:pt>
                <c:pt idx="470">
                  <c:v>41671</c:v>
                </c:pt>
                <c:pt idx="471">
                  <c:v>41671</c:v>
                </c:pt>
                <c:pt idx="472">
                  <c:v>41671</c:v>
                </c:pt>
                <c:pt idx="473">
                  <c:v>41672</c:v>
                </c:pt>
                <c:pt idx="474">
                  <c:v>41674</c:v>
                </c:pt>
                <c:pt idx="475">
                  <c:v>41675</c:v>
                </c:pt>
                <c:pt idx="476">
                  <c:v>41676</c:v>
                </c:pt>
                <c:pt idx="477">
                  <c:v>41676</c:v>
                </c:pt>
                <c:pt idx="478">
                  <c:v>41676</c:v>
                </c:pt>
                <c:pt idx="479">
                  <c:v>41678</c:v>
                </c:pt>
                <c:pt idx="480">
                  <c:v>41681</c:v>
                </c:pt>
                <c:pt idx="481">
                  <c:v>41681</c:v>
                </c:pt>
                <c:pt idx="482">
                  <c:v>41682</c:v>
                </c:pt>
                <c:pt idx="483">
                  <c:v>41683</c:v>
                </c:pt>
                <c:pt idx="484">
                  <c:v>41683</c:v>
                </c:pt>
                <c:pt idx="485">
                  <c:v>41683</c:v>
                </c:pt>
                <c:pt idx="486">
                  <c:v>41684</c:v>
                </c:pt>
                <c:pt idx="487">
                  <c:v>41688</c:v>
                </c:pt>
                <c:pt idx="488">
                  <c:v>41689</c:v>
                </c:pt>
                <c:pt idx="489">
                  <c:v>41690</c:v>
                </c:pt>
                <c:pt idx="490">
                  <c:v>41690</c:v>
                </c:pt>
                <c:pt idx="491">
                  <c:v>41690</c:v>
                </c:pt>
                <c:pt idx="492">
                  <c:v>41692</c:v>
                </c:pt>
                <c:pt idx="493">
                  <c:v>41695</c:v>
                </c:pt>
                <c:pt idx="494">
                  <c:v>41695</c:v>
                </c:pt>
                <c:pt idx="495">
                  <c:v>41696</c:v>
                </c:pt>
                <c:pt idx="496">
                  <c:v>41697</c:v>
                </c:pt>
                <c:pt idx="497">
                  <c:v>41697</c:v>
                </c:pt>
                <c:pt idx="498">
                  <c:v>41697</c:v>
                </c:pt>
                <c:pt idx="499">
                  <c:v>41698</c:v>
                </c:pt>
                <c:pt idx="500">
                  <c:v>41699</c:v>
                </c:pt>
                <c:pt idx="501">
                  <c:v>41699</c:v>
                </c:pt>
                <c:pt idx="502">
                  <c:v>41699</c:v>
                </c:pt>
                <c:pt idx="503">
                  <c:v>41699</c:v>
                </c:pt>
                <c:pt idx="504">
                  <c:v>41699</c:v>
                </c:pt>
                <c:pt idx="505">
                  <c:v>41700</c:v>
                </c:pt>
                <c:pt idx="506">
                  <c:v>41702</c:v>
                </c:pt>
                <c:pt idx="507">
                  <c:v>41703</c:v>
                </c:pt>
                <c:pt idx="508">
                  <c:v>41704</c:v>
                </c:pt>
                <c:pt idx="509">
                  <c:v>41704</c:v>
                </c:pt>
                <c:pt idx="510">
                  <c:v>41704</c:v>
                </c:pt>
                <c:pt idx="511">
                  <c:v>41706</c:v>
                </c:pt>
                <c:pt idx="512">
                  <c:v>41709</c:v>
                </c:pt>
                <c:pt idx="513">
                  <c:v>41709</c:v>
                </c:pt>
                <c:pt idx="514">
                  <c:v>41710</c:v>
                </c:pt>
                <c:pt idx="515">
                  <c:v>41711</c:v>
                </c:pt>
                <c:pt idx="516">
                  <c:v>41711</c:v>
                </c:pt>
                <c:pt idx="517">
                  <c:v>41711</c:v>
                </c:pt>
                <c:pt idx="518">
                  <c:v>41712</c:v>
                </c:pt>
                <c:pt idx="519">
                  <c:v>41716</c:v>
                </c:pt>
                <c:pt idx="520">
                  <c:v>41717</c:v>
                </c:pt>
                <c:pt idx="521">
                  <c:v>41718</c:v>
                </c:pt>
                <c:pt idx="522">
                  <c:v>41718</c:v>
                </c:pt>
                <c:pt idx="523">
                  <c:v>41718</c:v>
                </c:pt>
                <c:pt idx="524">
                  <c:v>41720</c:v>
                </c:pt>
                <c:pt idx="525">
                  <c:v>41723</c:v>
                </c:pt>
                <c:pt idx="526">
                  <c:v>41723</c:v>
                </c:pt>
                <c:pt idx="527">
                  <c:v>41724</c:v>
                </c:pt>
                <c:pt idx="528">
                  <c:v>41725</c:v>
                </c:pt>
                <c:pt idx="529">
                  <c:v>41725</c:v>
                </c:pt>
                <c:pt idx="530">
                  <c:v>41725</c:v>
                </c:pt>
                <c:pt idx="531">
                  <c:v>41726</c:v>
                </c:pt>
                <c:pt idx="532">
                  <c:v>41730</c:v>
                </c:pt>
                <c:pt idx="533">
                  <c:v>41730</c:v>
                </c:pt>
                <c:pt idx="534">
                  <c:v>41730</c:v>
                </c:pt>
                <c:pt idx="535">
                  <c:v>41730</c:v>
                </c:pt>
                <c:pt idx="536">
                  <c:v>41730</c:v>
                </c:pt>
                <c:pt idx="537">
                  <c:v>41730</c:v>
                </c:pt>
                <c:pt idx="538">
                  <c:v>41730</c:v>
                </c:pt>
                <c:pt idx="539">
                  <c:v>41731</c:v>
                </c:pt>
                <c:pt idx="540">
                  <c:v>41731</c:v>
                </c:pt>
                <c:pt idx="541">
                  <c:v>41732</c:v>
                </c:pt>
                <c:pt idx="542">
                  <c:v>41732</c:v>
                </c:pt>
                <c:pt idx="543">
                  <c:v>41732</c:v>
                </c:pt>
                <c:pt idx="544">
                  <c:v>41734</c:v>
                </c:pt>
                <c:pt idx="545">
                  <c:v>41737</c:v>
                </c:pt>
                <c:pt idx="546">
                  <c:v>41737</c:v>
                </c:pt>
                <c:pt idx="547">
                  <c:v>41738</c:v>
                </c:pt>
                <c:pt idx="548">
                  <c:v>41739</c:v>
                </c:pt>
                <c:pt idx="549">
                  <c:v>41739</c:v>
                </c:pt>
                <c:pt idx="550">
                  <c:v>41739</c:v>
                </c:pt>
                <c:pt idx="551">
                  <c:v>41740</c:v>
                </c:pt>
                <c:pt idx="552">
                  <c:v>41744</c:v>
                </c:pt>
                <c:pt idx="553">
                  <c:v>41745</c:v>
                </c:pt>
                <c:pt idx="554">
                  <c:v>41746</c:v>
                </c:pt>
                <c:pt idx="555">
                  <c:v>41746</c:v>
                </c:pt>
                <c:pt idx="556">
                  <c:v>41746</c:v>
                </c:pt>
                <c:pt idx="557">
                  <c:v>41748</c:v>
                </c:pt>
                <c:pt idx="558">
                  <c:v>41751</c:v>
                </c:pt>
                <c:pt idx="559">
                  <c:v>41751</c:v>
                </c:pt>
                <c:pt idx="560">
                  <c:v>41752</c:v>
                </c:pt>
                <c:pt idx="561">
                  <c:v>41753</c:v>
                </c:pt>
                <c:pt idx="562">
                  <c:v>41753</c:v>
                </c:pt>
                <c:pt idx="563">
                  <c:v>41753</c:v>
                </c:pt>
                <c:pt idx="564">
                  <c:v>41754</c:v>
                </c:pt>
                <c:pt idx="565">
                  <c:v>41758</c:v>
                </c:pt>
                <c:pt idx="566">
                  <c:v>41759</c:v>
                </c:pt>
                <c:pt idx="567">
                  <c:v>41760</c:v>
                </c:pt>
                <c:pt idx="568">
                  <c:v>41760</c:v>
                </c:pt>
                <c:pt idx="569">
                  <c:v>41760</c:v>
                </c:pt>
                <c:pt idx="570">
                  <c:v>41760</c:v>
                </c:pt>
                <c:pt idx="571">
                  <c:v>41760</c:v>
                </c:pt>
                <c:pt idx="572">
                  <c:v>41760</c:v>
                </c:pt>
                <c:pt idx="573">
                  <c:v>41760</c:v>
                </c:pt>
                <c:pt idx="574">
                  <c:v>41760</c:v>
                </c:pt>
                <c:pt idx="575">
                  <c:v>41760</c:v>
                </c:pt>
                <c:pt idx="576">
                  <c:v>41760</c:v>
                </c:pt>
                <c:pt idx="577">
                  <c:v>41761</c:v>
                </c:pt>
                <c:pt idx="578">
                  <c:v>41762</c:v>
                </c:pt>
                <c:pt idx="579">
                  <c:v>41765</c:v>
                </c:pt>
                <c:pt idx="580">
                  <c:v>41765</c:v>
                </c:pt>
                <c:pt idx="581">
                  <c:v>41766</c:v>
                </c:pt>
                <c:pt idx="582">
                  <c:v>41767</c:v>
                </c:pt>
                <c:pt idx="583">
                  <c:v>41767</c:v>
                </c:pt>
                <c:pt idx="584">
                  <c:v>41767</c:v>
                </c:pt>
                <c:pt idx="585">
                  <c:v>41768</c:v>
                </c:pt>
                <c:pt idx="586">
                  <c:v>41772</c:v>
                </c:pt>
                <c:pt idx="587">
                  <c:v>41773</c:v>
                </c:pt>
                <c:pt idx="588">
                  <c:v>41774</c:v>
                </c:pt>
                <c:pt idx="589">
                  <c:v>41774</c:v>
                </c:pt>
                <c:pt idx="590">
                  <c:v>41774</c:v>
                </c:pt>
                <c:pt idx="591">
                  <c:v>41776</c:v>
                </c:pt>
                <c:pt idx="592">
                  <c:v>41779</c:v>
                </c:pt>
                <c:pt idx="593">
                  <c:v>41779</c:v>
                </c:pt>
                <c:pt idx="594">
                  <c:v>41780</c:v>
                </c:pt>
                <c:pt idx="595">
                  <c:v>41781</c:v>
                </c:pt>
                <c:pt idx="596">
                  <c:v>41781</c:v>
                </c:pt>
                <c:pt idx="597">
                  <c:v>41781</c:v>
                </c:pt>
                <c:pt idx="598">
                  <c:v>41782</c:v>
                </c:pt>
                <c:pt idx="599">
                  <c:v>41786</c:v>
                </c:pt>
                <c:pt idx="600">
                  <c:v>41787</c:v>
                </c:pt>
                <c:pt idx="601">
                  <c:v>41788</c:v>
                </c:pt>
                <c:pt idx="602">
                  <c:v>41788</c:v>
                </c:pt>
                <c:pt idx="603">
                  <c:v>41788</c:v>
                </c:pt>
                <c:pt idx="604">
                  <c:v>41790</c:v>
                </c:pt>
                <c:pt idx="605">
                  <c:v>41791</c:v>
                </c:pt>
                <c:pt idx="606">
                  <c:v>41791</c:v>
                </c:pt>
                <c:pt idx="607">
                  <c:v>41791</c:v>
                </c:pt>
                <c:pt idx="608">
                  <c:v>41791</c:v>
                </c:pt>
                <c:pt idx="609">
                  <c:v>41791</c:v>
                </c:pt>
                <c:pt idx="610">
                  <c:v>41792</c:v>
                </c:pt>
                <c:pt idx="611">
                  <c:v>41793</c:v>
                </c:pt>
                <c:pt idx="612">
                  <c:v>41793</c:v>
                </c:pt>
                <c:pt idx="613">
                  <c:v>41794</c:v>
                </c:pt>
                <c:pt idx="614">
                  <c:v>41795</c:v>
                </c:pt>
                <c:pt idx="615">
                  <c:v>41795</c:v>
                </c:pt>
                <c:pt idx="616">
                  <c:v>41795</c:v>
                </c:pt>
                <c:pt idx="617">
                  <c:v>41796</c:v>
                </c:pt>
                <c:pt idx="618">
                  <c:v>41800</c:v>
                </c:pt>
                <c:pt idx="619">
                  <c:v>41801</c:v>
                </c:pt>
                <c:pt idx="620">
                  <c:v>41802</c:v>
                </c:pt>
                <c:pt idx="621">
                  <c:v>41802</c:v>
                </c:pt>
                <c:pt idx="622">
                  <c:v>41802</c:v>
                </c:pt>
                <c:pt idx="623">
                  <c:v>41804</c:v>
                </c:pt>
                <c:pt idx="624">
                  <c:v>41807</c:v>
                </c:pt>
                <c:pt idx="625">
                  <c:v>41807</c:v>
                </c:pt>
                <c:pt idx="626">
                  <c:v>41808</c:v>
                </c:pt>
                <c:pt idx="627">
                  <c:v>41809</c:v>
                </c:pt>
                <c:pt idx="628">
                  <c:v>41809</c:v>
                </c:pt>
                <c:pt idx="629">
                  <c:v>41809</c:v>
                </c:pt>
                <c:pt idx="630">
                  <c:v>41810</c:v>
                </c:pt>
                <c:pt idx="631">
                  <c:v>41814</c:v>
                </c:pt>
                <c:pt idx="632">
                  <c:v>41815</c:v>
                </c:pt>
                <c:pt idx="633">
                  <c:v>41816</c:v>
                </c:pt>
                <c:pt idx="634">
                  <c:v>41816</c:v>
                </c:pt>
                <c:pt idx="635">
                  <c:v>41816</c:v>
                </c:pt>
                <c:pt idx="636">
                  <c:v>41818</c:v>
                </c:pt>
                <c:pt idx="637">
                  <c:v>41821</c:v>
                </c:pt>
                <c:pt idx="638">
                  <c:v>41821</c:v>
                </c:pt>
                <c:pt idx="639">
                  <c:v>41821</c:v>
                </c:pt>
                <c:pt idx="640">
                  <c:v>41821</c:v>
                </c:pt>
                <c:pt idx="641">
                  <c:v>41821</c:v>
                </c:pt>
                <c:pt idx="642">
                  <c:v>41821</c:v>
                </c:pt>
                <c:pt idx="643">
                  <c:v>41821</c:v>
                </c:pt>
                <c:pt idx="644">
                  <c:v>41821</c:v>
                </c:pt>
                <c:pt idx="645">
                  <c:v>41822</c:v>
                </c:pt>
                <c:pt idx="646">
                  <c:v>41822</c:v>
                </c:pt>
                <c:pt idx="647">
                  <c:v>41823</c:v>
                </c:pt>
                <c:pt idx="648">
                  <c:v>41823</c:v>
                </c:pt>
                <c:pt idx="649">
                  <c:v>41823</c:v>
                </c:pt>
                <c:pt idx="650">
                  <c:v>41824</c:v>
                </c:pt>
                <c:pt idx="651">
                  <c:v>41828</c:v>
                </c:pt>
                <c:pt idx="652">
                  <c:v>41829</c:v>
                </c:pt>
                <c:pt idx="653">
                  <c:v>41830</c:v>
                </c:pt>
                <c:pt idx="654">
                  <c:v>41830</c:v>
                </c:pt>
                <c:pt idx="655">
                  <c:v>41830</c:v>
                </c:pt>
                <c:pt idx="656">
                  <c:v>41832</c:v>
                </c:pt>
                <c:pt idx="657">
                  <c:v>41835</c:v>
                </c:pt>
                <c:pt idx="658">
                  <c:v>41835</c:v>
                </c:pt>
                <c:pt idx="659">
                  <c:v>41836</c:v>
                </c:pt>
                <c:pt idx="660">
                  <c:v>41837</c:v>
                </c:pt>
                <c:pt idx="661">
                  <c:v>41837</c:v>
                </c:pt>
                <c:pt idx="662">
                  <c:v>41837</c:v>
                </c:pt>
                <c:pt idx="663">
                  <c:v>41838</c:v>
                </c:pt>
                <c:pt idx="664">
                  <c:v>41842</c:v>
                </c:pt>
                <c:pt idx="665">
                  <c:v>41843</c:v>
                </c:pt>
                <c:pt idx="666">
                  <c:v>41844</c:v>
                </c:pt>
                <c:pt idx="667">
                  <c:v>41844</c:v>
                </c:pt>
                <c:pt idx="668">
                  <c:v>41844</c:v>
                </c:pt>
                <c:pt idx="669">
                  <c:v>41846</c:v>
                </c:pt>
                <c:pt idx="670">
                  <c:v>41849</c:v>
                </c:pt>
                <c:pt idx="671">
                  <c:v>41849</c:v>
                </c:pt>
                <c:pt idx="672">
                  <c:v>41850</c:v>
                </c:pt>
                <c:pt idx="673">
                  <c:v>41851</c:v>
                </c:pt>
                <c:pt idx="674">
                  <c:v>41851</c:v>
                </c:pt>
                <c:pt idx="675">
                  <c:v>41851</c:v>
                </c:pt>
                <c:pt idx="676">
                  <c:v>41852</c:v>
                </c:pt>
                <c:pt idx="677">
                  <c:v>41852</c:v>
                </c:pt>
                <c:pt idx="678">
                  <c:v>41852</c:v>
                </c:pt>
                <c:pt idx="679">
                  <c:v>41852</c:v>
                </c:pt>
                <c:pt idx="680">
                  <c:v>41852</c:v>
                </c:pt>
                <c:pt idx="681">
                  <c:v>41852</c:v>
                </c:pt>
                <c:pt idx="682">
                  <c:v>41852</c:v>
                </c:pt>
                <c:pt idx="683">
                  <c:v>41852</c:v>
                </c:pt>
                <c:pt idx="684">
                  <c:v>41853</c:v>
                </c:pt>
                <c:pt idx="685">
                  <c:v>41856</c:v>
                </c:pt>
                <c:pt idx="686">
                  <c:v>41857</c:v>
                </c:pt>
                <c:pt idx="687">
                  <c:v>41858</c:v>
                </c:pt>
                <c:pt idx="688">
                  <c:v>41858</c:v>
                </c:pt>
                <c:pt idx="689">
                  <c:v>41858</c:v>
                </c:pt>
                <c:pt idx="690">
                  <c:v>41860</c:v>
                </c:pt>
                <c:pt idx="691">
                  <c:v>41863</c:v>
                </c:pt>
                <c:pt idx="692">
                  <c:v>41863</c:v>
                </c:pt>
                <c:pt idx="693">
                  <c:v>41864</c:v>
                </c:pt>
                <c:pt idx="694">
                  <c:v>41865</c:v>
                </c:pt>
                <c:pt idx="695">
                  <c:v>41865</c:v>
                </c:pt>
                <c:pt idx="696">
                  <c:v>41865</c:v>
                </c:pt>
                <c:pt idx="697">
                  <c:v>41866</c:v>
                </c:pt>
                <c:pt idx="698">
                  <c:v>41870</c:v>
                </c:pt>
                <c:pt idx="699">
                  <c:v>41871</c:v>
                </c:pt>
                <c:pt idx="700">
                  <c:v>41872</c:v>
                </c:pt>
                <c:pt idx="701">
                  <c:v>41872</c:v>
                </c:pt>
                <c:pt idx="702">
                  <c:v>41872</c:v>
                </c:pt>
                <c:pt idx="703">
                  <c:v>41874</c:v>
                </c:pt>
                <c:pt idx="704">
                  <c:v>41877</c:v>
                </c:pt>
                <c:pt idx="705">
                  <c:v>41877</c:v>
                </c:pt>
                <c:pt idx="706">
                  <c:v>41878</c:v>
                </c:pt>
                <c:pt idx="707">
                  <c:v>41879</c:v>
                </c:pt>
                <c:pt idx="708">
                  <c:v>41879</c:v>
                </c:pt>
                <c:pt idx="709">
                  <c:v>41879</c:v>
                </c:pt>
                <c:pt idx="710">
                  <c:v>41880</c:v>
                </c:pt>
                <c:pt idx="711">
                  <c:v>41883</c:v>
                </c:pt>
                <c:pt idx="712">
                  <c:v>41883</c:v>
                </c:pt>
                <c:pt idx="713">
                  <c:v>41883</c:v>
                </c:pt>
                <c:pt idx="714">
                  <c:v>41883</c:v>
                </c:pt>
                <c:pt idx="715">
                  <c:v>41883</c:v>
                </c:pt>
                <c:pt idx="716">
                  <c:v>41884</c:v>
                </c:pt>
                <c:pt idx="717">
                  <c:v>41884</c:v>
                </c:pt>
                <c:pt idx="718">
                  <c:v>41885</c:v>
                </c:pt>
                <c:pt idx="719">
                  <c:v>41886</c:v>
                </c:pt>
                <c:pt idx="720">
                  <c:v>41886</c:v>
                </c:pt>
                <c:pt idx="721">
                  <c:v>41886</c:v>
                </c:pt>
                <c:pt idx="722">
                  <c:v>41888</c:v>
                </c:pt>
                <c:pt idx="723">
                  <c:v>41891</c:v>
                </c:pt>
                <c:pt idx="724">
                  <c:v>41891</c:v>
                </c:pt>
                <c:pt idx="725">
                  <c:v>41892</c:v>
                </c:pt>
                <c:pt idx="726">
                  <c:v>41893</c:v>
                </c:pt>
                <c:pt idx="727">
                  <c:v>41893</c:v>
                </c:pt>
                <c:pt idx="728">
                  <c:v>41893</c:v>
                </c:pt>
                <c:pt idx="729">
                  <c:v>41894</c:v>
                </c:pt>
                <c:pt idx="730">
                  <c:v>41898</c:v>
                </c:pt>
                <c:pt idx="731">
                  <c:v>41899</c:v>
                </c:pt>
                <c:pt idx="732">
                  <c:v>41900</c:v>
                </c:pt>
                <c:pt idx="733">
                  <c:v>41900</c:v>
                </c:pt>
                <c:pt idx="734">
                  <c:v>41900</c:v>
                </c:pt>
                <c:pt idx="735">
                  <c:v>41902</c:v>
                </c:pt>
                <c:pt idx="736">
                  <c:v>41905</c:v>
                </c:pt>
                <c:pt idx="737">
                  <c:v>41905</c:v>
                </c:pt>
                <c:pt idx="738">
                  <c:v>41906</c:v>
                </c:pt>
                <c:pt idx="739">
                  <c:v>41907</c:v>
                </c:pt>
                <c:pt idx="740">
                  <c:v>41907</c:v>
                </c:pt>
                <c:pt idx="741">
                  <c:v>41907</c:v>
                </c:pt>
                <c:pt idx="742">
                  <c:v>41908</c:v>
                </c:pt>
                <c:pt idx="743">
                  <c:v>41912</c:v>
                </c:pt>
                <c:pt idx="744">
                  <c:v>41913</c:v>
                </c:pt>
                <c:pt idx="745">
                  <c:v>41913</c:v>
                </c:pt>
                <c:pt idx="746">
                  <c:v>41913</c:v>
                </c:pt>
                <c:pt idx="747">
                  <c:v>41913</c:v>
                </c:pt>
                <c:pt idx="748">
                  <c:v>41913</c:v>
                </c:pt>
                <c:pt idx="749">
                  <c:v>41913</c:v>
                </c:pt>
                <c:pt idx="750">
                  <c:v>41913</c:v>
                </c:pt>
                <c:pt idx="751">
                  <c:v>41914</c:v>
                </c:pt>
                <c:pt idx="752">
                  <c:v>41914</c:v>
                </c:pt>
                <c:pt idx="753">
                  <c:v>41914</c:v>
                </c:pt>
                <c:pt idx="754">
                  <c:v>41914</c:v>
                </c:pt>
                <c:pt idx="755">
                  <c:v>41916</c:v>
                </c:pt>
                <c:pt idx="756">
                  <c:v>41919</c:v>
                </c:pt>
                <c:pt idx="757">
                  <c:v>41919</c:v>
                </c:pt>
                <c:pt idx="758">
                  <c:v>41920</c:v>
                </c:pt>
                <c:pt idx="759">
                  <c:v>41921</c:v>
                </c:pt>
                <c:pt idx="760">
                  <c:v>41921</c:v>
                </c:pt>
                <c:pt idx="761">
                  <c:v>41921</c:v>
                </c:pt>
                <c:pt idx="762">
                  <c:v>41922</c:v>
                </c:pt>
                <c:pt idx="763">
                  <c:v>41926</c:v>
                </c:pt>
                <c:pt idx="764">
                  <c:v>41927</c:v>
                </c:pt>
                <c:pt idx="765">
                  <c:v>41928</c:v>
                </c:pt>
                <c:pt idx="766">
                  <c:v>41928</c:v>
                </c:pt>
                <c:pt idx="767">
                  <c:v>41928</c:v>
                </c:pt>
                <c:pt idx="768">
                  <c:v>41930</c:v>
                </c:pt>
                <c:pt idx="769">
                  <c:v>41933</c:v>
                </c:pt>
                <c:pt idx="770">
                  <c:v>41933</c:v>
                </c:pt>
                <c:pt idx="771">
                  <c:v>41934</c:v>
                </c:pt>
                <c:pt idx="772">
                  <c:v>41935</c:v>
                </c:pt>
                <c:pt idx="773">
                  <c:v>41935</c:v>
                </c:pt>
                <c:pt idx="774">
                  <c:v>41935</c:v>
                </c:pt>
                <c:pt idx="775">
                  <c:v>41936</c:v>
                </c:pt>
                <c:pt idx="776">
                  <c:v>41940</c:v>
                </c:pt>
                <c:pt idx="777">
                  <c:v>41941</c:v>
                </c:pt>
                <c:pt idx="778">
                  <c:v>41942</c:v>
                </c:pt>
                <c:pt idx="779">
                  <c:v>41942</c:v>
                </c:pt>
                <c:pt idx="780">
                  <c:v>41942</c:v>
                </c:pt>
                <c:pt idx="781">
                  <c:v>41944</c:v>
                </c:pt>
                <c:pt idx="782">
                  <c:v>41944</c:v>
                </c:pt>
                <c:pt idx="783">
                  <c:v>41944</c:v>
                </c:pt>
                <c:pt idx="784">
                  <c:v>41944</c:v>
                </c:pt>
                <c:pt idx="785">
                  <c:v>41944</c:v>
                </c:pt>
                <c:pt idx="786">
                  <c:v>41944</c:v>
                </c:pt>
                <c:pt idx="787">
                  <c:v>41944</c:v>
                </c:pt>
                <c:pt idx="788">
                  <c:v>41944</c:v>
                </c:pt>
                <c:pt idx="789">
                  <c:v>41945</c:v>
                </c:pt>
                <c:pt idx="790">
                  <c:v>41947</c:v>
                </c:pt>
                <c:pt idx="791">
                  <c:v>41947</c:v>
                </c:pt>
                <c:pt idx="792">
                  <c:v>41948</c:v>
                </c:pt>
                <c:pt idx="793">
                  <c:v>41949</c:v>
                </c:pt>
                <c:pt idx="794">
                  <c:v>41949</c:v>
                </c:pt>
                <c:pt idx="795">
                  <c:v>41949</c:v>
                </c:pt>
                <c:pt idx="796">
                  <c:v>41950</c:v>
                </c:pt>
                <c:pt idx="797">
                  <c:v>41954</c:v>
                </c:pt>
                <c:pt idx="798">
                  <c:v>41955</c:v>
                </c:pt>
                <c:pt idx="799">
                  <c:v>41956</c:v>
                </c:pt>
                <c:pt idx="800">
                  <c:v>41956</c:v>
                </c:pt>
                <c:pt idx="801">
                  <c:v>41956</c:v>
                </c:pt>
                <c:pt idx="802">
                  <c:v>41958</c:v>
                </c:pt>
                <c:pt idx="803">
                  <c:v>41961</c:v>
                </c:pt>
                <c:pt idx="804">
                  <c:v>41961</c:v>
                </c:pt>
                <c:pt idx="805">
                  <c:v>41962</c:v>
                </c:pt>
                <c:pt idx="806">
                  <c:v>41963</c:v>
                </c:pt>
                <c:pt idx="807">
                  <c:v>41963</c:v>
                </c:pt>
                <c:pt idx="808">
                  <c:v>41963</c:v>
                </c:pt>
                <c:pt idx="809">
                  <c:v>41964</c:v>
                </c:pt>
                <c:pt idx="810">
                  <c:v>41968</c:v>
                </c:pt>
                <c:pt idx="811">
                  <c:v>41969</c:v>
                </c:pt>
                <c:pt idx="812">
                  <c:v>41970</c:v>
                </c:pt>
                <c:pt idx="813">
                  <c:v>41970</c:v>
                </c:pt>
                <c:pt idx="814">
                  <c:v>41970</c:v>
                </c:pt>
                <c:pt idx="815">
                  <c:v>41972</c:v>
                </c:pt>
                <c:pt idx="816">
                  <c:v>41974</c:v>
                </c:pt>
                <c:pt idx="817">
                  <c:v>41974</c:v>
                </c:pt>
                <c:pt idx="818">
                  <c:v>41974</c:v>
                </c:pt>
                <c:pt idx="819">
                  <c:v>41974</c:v>
                </c:pt>
                <c:pt idx="820">
                  <c:v>41974</c:v>
                </c:pt>
                <c:pt idx="821">
                  <c:v>41975</c:v>
                </c:pt>
                <c:pt idx="822">
                  <c:v>41975</c:v>
                </c:pt>
                <c:pt idx="823">
                  <c:v>41975</c:v>
                </c:pt>
                <c:pt idx="824">
                  <c:v>41976</c:v>
                </c:pt>
                <c:pt idx="825">
                  <c:v>41977</c:v>
                </c:pt>
                <c:pt idx="826">
                  <c:v>41977</c:v>
                </c:pt>
                <c:pt idx="827">
                  <c:v>41977</c:v>
                </c:pt>
                <c:pt idx="828">
                  <c:v>41978</c:v>
                </c:pt>
                <c:pt idx="829">
                  <c:v>41982</c:v>
                </c:pt>
                <c:pt idx="830">
                  <c:v>41983</c:v>
                </c:pt>
                <c:pt idx="831">
                  <c:v>41984</c:v>
                </c:pt>
                <c:pt idx="832">
                  <c:v>41984</c:v>
                </c:pt>
                <c:pt idx="833">
                  <c:v>41984</c:v>
                </c:pt>
                <c:pt idx="834">
                  <c:v>41986</c:v>
                </c:pt>
                <c:pt idx="835">
                  <c:v>41989</c:v>
                </c:pt>
                <c:pt idx="836">
                  <c:v>41989</c:v>
                </c:pt>
                <c:pt idx="837">
                  <c:v>41990</c:v>
                </c:pt>
                <c:pt idx="838">
                  <c:v>41991</c:v>
                </c:pt>
                <c:pt idx="839">
                  <c:v>41991</c:v>
                </c:pt>
                <c:pt idx="840">
                  <c:v>41991</c:v>
                </c:pt>
                <c:pt idx="841">
                  <c:v>41992</c:v>
                </c:pt>
                <c:pt idx="842">
                  <c:v>41996</c:v>
                </c:pt>
                <c:pt idx="843">
                  <c:v>41997</c:v>
                </c:pt>
                <c:pt idx="844">
                  <c:v>41998</c:v>
                </c:pt>
                <c:pt idx="845">
                  <c:v>41998</c:v>
                </c:pt>
                <c:pt idx="846">
                  <c:v>41998</c:v>
                </c:pt>
              </c:numCache>
            </c:numRef>
          </c:xVal>
          <c:yVal>
            <c:numRef>
              <c:f>'85ph'!$E$2:$E$926</c:f>
              <c:numCache>
                <c:formatCode>_("$"* #,##0.00_);_("$"* \(#,##0.00\);_("$"* "-"??_);_(@_)</c:formatCode>
                <c:ptCount val="925"/>
                <c:pt idx="0">
                  <c:v>3000</c:v>
                </c:pt>
                <c:pt idx="1">
                  <c:v>9800</c:v>
                </c:pt>
                <c:pt idx="2">
                  <c:v>6994</c:v>
                </c:pt>
                <c:pt idx="3">
                  <c:v>6894</c:v>
                </c:pt>
                <c:pt idx="4">
                  <c:v>6694</c:v>
                </c:pt>
                <c:pt idx="5">
                  <c:v>6294</c:v>
                </c:pt>
                <c:pt idx="6">
                  <c:v>5994</c:v>
                </c:pt>
                <c:pt idx="7">
                  <c:v>5968</c:v>
                </c:pt>
                <c:pt idx="8">
                  <c:v>5728</c:v>
                </c:pt>
                <c:pt idx="9">
                  <c:v>5608</c:v>
                </c:pt>
                <c:pt idx="10">
                  <c:v>4108</c:v>
                </c:pt>
                <c:pt idx="11">
                  <c:v>3988</c:v>
                </c:pt>
                <c:pt idx="12">
                  <c:v>3088</c:v>
                </c:pt>
                <c:pt idx="13">
                  <c:v>2688</c:v>
                </c:pt>
                <c:pt idx="14">
                  <c:v>2508</c:v>
                </c:pt>
                <c:pt idx="15">
                  <c:v>2208</c:v>
                </c:pt>
                <c:pt idx="16">
                  <c:v>5434</c:v>
                </c:pt>
                <c:pt idx="17">
                  <c:v>5334</c:v>
                </c:pt>
                <c:pt idx="18">
                  <c:v>5214</c:v>
                </c:pt>
                <c:pt idx="19">
                  <c:v>4814</c:v>
                </c:pt>
                <c:pt idx="20">
                  <c:v>4634</c:v>
                </c:pt>
                <c:pt idx="21">
                  <c:v>4334</c:v>
                </c:pt>
                <c:pt idx="22">
                  <c:v>11134</c:v>
                </c:pt>
                <c:pt idx="23">
                  <c:v>8328</c:v>
                </c:pt>
                <c:pt idx="24">
                  <c:v>8228</c:v>
                </c:pt>
                <c:pt idx="25">
                  <c:v>8108</c:v>
                </c:pt>
                <c:pt idx="26">
                  <c:v>7708</c:v>
                </c:pt>
                <c:pt idx="27">
                  <c:v>7528</c:v>
                </c:pt>
                <c:pt idx="28">
                  <c:v>7228</c:v>
                </c:pt>
                <c:pt idx="29">
                  <c:v>10454</c:v>
                </c:pt>
                <c:pt idx="30">
                  <c:v>10354</c:v>
                </c:pt>
                <c:pt idx="31">
                  <c:v>10234</c:v>
                </c:pt>
                <c:pt idx="32">
                  <c:v>9834</c:v>
                </c:pt>
                <c:pt idx="33">
                  <c:v>9654</c:v>
                </c:pt>
                <c:pt idx="34">
                  <c:v>9354</c:v>
                </c:pt>
                <c:pt idx="35">
                  <c:v>16154</c:v>
                </c:pt>
                <c:pt idx="36">
                  <c:v>13348</c:v>
                </c:pt>
                <c:pt idx="37">
                  <c:v>13248</c:v>
                </c:pt>
                <c:pt idx="38">
                  <c:v>13128</c:v>
                </c:pt>
                <c:pt idx="39">
                  <c:v>12728</c:v>
                </c:pt>
                <c:pt idx="40">
                  <c:v>12548</c:v>
                </c:pt>
                <c:pt idx="41">
                  <c:v>12248</c:v>
                </c:pt>
                <c:pt idx="42">
                  <c:v>15474</c:v>
                </c:pt>
                <c:pt idx="43">
                  <c:v>15274</c:v>
                </c:pt>
                <c:pt idx="44">
                  <c:v>14874</c:v>
                </c:pt>
                <c:pt idx="45">
                  <c:v>14574</c:v>
                </c:pt>
                <c:pt idx="46">
                  <c:v>14274</c:v>
                </c:pt>
                <c:pt idx="47">
                  <c:v>14248</c:v>
                </c:pt>
                <c:pt idx="48">
                  <c:v>14008</c:v>
                </c:pt>
                <c:pt idx="49">
                  <c:v>13888</c:v>
                </c:pt>
                <c:pt idx="50">
                  <c:v>12988</c:v>
                </c:pt>
                <c:pt idx="51">
                  <c:v>12888</c:v>
                </c:pt>
                <c:pt idx="52">
                  <c:v>12768</c:v>
                </c:pt>
                <c:pt idx="53">
                  <c:v>12368</c:v>
                </c:pt>
                <c:pt idx="54">
                  <c:v>12188</c:v>
                </c:pt>
                <c:pt idx="55">
                  <c:v>11888</c:v>
                </c:pt>
                <c:pt idx="56">
                  <c:v>18688</c:v>
                </c:pt>
                <c:pt idx="57">
                  <c:v>15882</c:v>
                </c:pt>
                <c:pt idx="58">
                  <c:v>15782</c:v>
                </c:pt>
                <c:pt idx="59">
                  <c:v>15662</c:v>
                </c:pt>
                <c:pt idx="60">
                  <c:v>15262</c:v>
                </c:pt>
                <c:pt idx="61">
                  <c:v>15082</c:v>
                </c:pt>
                <c:pt idx="62">
                  <c:v>14782</c:v>
                </c:pt>
                <c:pt idx="63">
                  <c:v>18008</c:v>
                </c:pt>
                <c:pt idx="64">
                  <c:v>17908</c:v>
                </c:pt>
                <c:pt idx="65">
                  <c:v>17788</c:v>
                </c:pt>
                <c:pt idx="66">
                  <c:v>17388</c:v>
                </c:pt>
                <c:pt idx="67">
                  <c:v>17208</c:v>
                </c:pt>
                <c:pt idx="68">
                  <c:v>16908</c:v>
                </c:pt>
                <c:pt idx="69">
                  <c:v>23708</c:v>
                </c:pt>
                <c:pt idx="70">
                  <c:v>20902</c:v>
                </c:pt>
                <c:pt idx="71">
                  <c:v>20802</c:v>
                </c:pt>
                <c:pt idx="72">
                  <c:v>20682</c:v>
                </c:pt>
                <c:pt idx="73">
                  <c:v>20282</c:v>
                </c:pt>
                <c:pt idx="74">
                  <c:v>20102</c:v>
                </c:pt>
                <c:pt idx="75">
                  <c:v>19802</c:v>
                </c:pt>
                <c:pt idx="76">
                  <c:v>23028</c:v>
                </c:pt>
                <c:pt idx="77">
                  <c:v>22828</c:v>
                </c:pt>
                <c:pt idx="78">
                  <c:v>22428</c:v>
                </c:pt>
                <c:pt idx="79">
                  <c:v>22402</c:v>
                </c:pt>
                <c:pt idx="80">
                  <c:v>22162</c:v>
                </c:pt>
                <c:pt idx="81">
                  <c:v>22042</c:v>
                </c:pt>
                <c:pt idx="82">
                  <c:v>21142</c:v>
                </c:pt>
                <c:pt idx="83">
                  <c:v>21042</c:v>
                </c:pt>
                <c:pt idx="84">
                  <c:v>20922</c:v>
                </c:pt>
                <c:pt idx="85">
                  <c:v>20522</c:v>
                </c:pt>
                <c:pt idx="86">
                  <c:v>20342</c:v>
                </c:pt>
                <c:pt idx="87">
                  <c:v>20042</c:v>
                </c:pt>
                <c:pt idx="88">
                  <c:v>26842</c:v>
                </c:pt>
                <c:pt idx="89">
                  <c:v>24036</c:v>
                </c:pt>
                <c:pt idx="90">
                  <c:v>23936</c:v>
                </c:pt>
                <c:pt idx="91">
                  <c:v>23816</c:v>
                </c:pt>
                <c:pt idx="92">
                  <c:v>23416</c:v>
                </c:pt>
                <c:pt idx="93">
                  <c:v>23236</c:v>
                </c:pt>
                <c:pt idx="94">
                  <c:v>22936</c:v>
                </c:pt>
                <c:pt idx="95">
                  <c:v>26162</c:v>
                </c:pt>
                <c:pt idx="96">
                  <c:v>26062</c:v>
                </c:pt>
                <c:pt idx="97">
                  <c:v>25942</c:v>
                </c:pt>
                <c:pt idx="98">
                  <c:v>25542</c:v>
                </c:pt>
                <c:pt idx="99">
                  <c:v>25362</c:v>
                </c:pt>
                <c:pt idx="100">
                  <c:v>25062</c:v>
                </c:pt>
                <c:pt idx="101">
                  <c:v>31862</c:v>
                </c:pt>
                <c:pt idx="102">
                  <c:v>29056</c:v>
                </c:pt>
                <c:pt idx="103">
                  <c:v>28956</c:v>
                </c:pt>
                <c:pt idx="104">
                  <c:v>28836</c:v>
                </c:pt>
                <c:pt idx="105">
                  <c:v>28436</c:v>
                </c:pt>
                <c:pt idx="106">
                  <c:v>28256</c:v>
                </c:pt>
                <c:pt idx="107">
                  <c:v>27956</c:v>
                </c:pt>
                <c:pt idx="108">
                  <c:v>31182</c:v>
                </c:pt>
                <c:pt idx="109">
                  <c:v>30982</c:v>
                </c:pt>
                <c:pt idx="110">
                  <c:v>30582</c:v>
                </c:pt>
                <c:pt idx="111">
                  <c:v>30282</c:v>
                </c:pt>
                <c:pt idx="112">
                  <c:v>30256</c:v>
                </c:pt>
                <c:pt idx="113">
                  <c:v>30016</c:v>
                </c:pt>
                <c:pt idx="114">
                  <c:v>29896</c:v>
                </c:pt>
                <c:pt idx="115">
                  <c:v>28396</c:v>
                </c:pt>
                <c:pt idx="116">
                  <c:v>28296</c:v>
                </c:pt>
                <c:pt idx="117">
                  <c:v>27396</c:v>
                </c:pt>
                <c:pt idx="118">
                  <c:v>27276</c:v>
                </c:pt>
                <c:pt idx="119">
                  <c:v>26876</c:v>
                </c:pt>
                <c:pt idx="120">
                  <c:v>26696</c:v>
                </c:pt>
                <c:pt idx="121">
                  <c:v>26396</c:v>
                </c:pt>
                <c:pt idx="122">
                  <c:v>33196</c:v>
                </c:pt>
                <c:pt idx="123">
                  <c:v>30390</c:v>
                </c:pt>
                <c:pt idx="124">
                  <c:v>30290</c:v>
                </c:pt>
                <c:pt idx="125">
                  <c:v>30170</c:v>
                </c:pt>
                <c:pt idx="126">
                  <c:v>29770</c:v>
                </c:pt>
                <c:pt idx="127">
                  <c:v>29590</c:v>
                </c:pt>
                <c:pt idx="128">
                  <c:v>29290</c:v>
                </c:pt>
                <c:pt idx="129">
                  <c:v>32516</c:v>
                </c:pt>
                <c:pt idx="130">
                  <c:v>32416</c:v>
                </c:pt>
                <c:pt idx="131">
                  <c:v>32296</c:v>
                </c:pt>
                <c:pt idx="132">
                  <c:v>31896</c:v>
                </c:pt>
                <c:pt idx="133">
                  <c:v>31716</c:v>
                </c:pt>
                <c:pt idx="134">
                  <c:v>31416</c:v>
                </c:pt>
                <c:pt idx="135">
                  <c:v>38216</c:v>
                </c:pt>
                <c:pt idx="136">
                  <c:v>35410</c:v>
                </c:pt>
                <c:pt idx="137">
                  <c:v>35310</c:v>
                </c:pt>
                <c:pt idx="138">
                  <c:v>35190</c:v>
                </c:pt>
                <c:pt idx="139">
                  <c:v>34790</c:v>
                </c:pt>
                <c:pt idx="140">
                  <c:v>34610</c:v>
                </c:pt>
                <c:pt idx="141">
                  <c:v>34310</c:v>
                </c:pt>
                <c:pt idx="142">
                  <c:v>37536</c:v>
                </c:pt>
                <c:pt idx="143">
                  <c:v>37436</c:v>
                </c:pt>
                <c:pt idx="144">
                  <c:v>37316</c:v>
                </c:pt>
                <c:pt idx="145">
                  <c:v>37116</c:v>
                </c:pt>
                <c:pt idx="146">
                  <c:v>36716</c:v>
                </c:pt>
                <c:pt idx="147">
                  <c:v>36416</c:v>
                </c:pt>
                <c:pt idx="148">
                  <c:v>36116</c:v>
                </c:pt>
                <c:pt idx="149">
                  <c:v>36090</c:v>
                </c:pt>
                <c:pt idx="150">
                  <c:v>35850</c:v>
                </c:pt>
                <c:pt idx="151">
                  <c:v>35730</c:v>
                </c:pt>
                <c:pt idx="152">
                  <c:v>35330</c:v>
                </c:pt>
                <c:pt idx="153">
                  <c:v>35150</c:v>
                </c:pt>
                <c:pt idx="154">
                  <c:v>34850</c:v>
                </c:pt>
                <c:pt idx="155">
                  <c:v>33950</c:v>
                </c:pt>
                <c:pt idx="156">
                  <c:v>40750</c:v>
                </c:pt>
                <c:pt idx="157">
                  <c:v>37944</c:v>
                </c:pt>
                <c:pt idx="158">
                  <c:v>37844</c:v>
                </c:pt>
                <c:pt idx="159">
                  <c:v>37724</c:v>
                </c:pt>
                <c:pt idx="160">
                  <c:v>37324</c:v>
                </c:pt>
                <c:pt idx="161">
                  <c:v>37144</c:v>
                </c:pt>
                <c:pt idx="162">
                  <c:v>36844</c:v>
                </c:pt>
                <c:pt idx="163">
                  <c:v>40070</c:v>
                </c:pt>
                <c:pt idx="164">
                  <c:v>39970</c:v>
                </c:pt>
                <c:pt idx="165">
                  <c:v>39850</c:v>
                </c:pt>
                <c:pt idx="166">
                  <c:v>39450</c:v>
                </c:pt>
                <c:pt idx="167">
                  <c:v>39270</c:v>
                </c:pt>
                <c:pt idx="168">
                  <c:v>38970</c:v>
                </c:pt>
                <c:pt idx="169">
                  <c:v>45770</c:v>
                </c:pt>
                <c:pt idx="170">
                  <c:v>42964</c:v>
                </c:pt>
                <c:pt idx="171">
                  <c:v>42864</c:v>
                </c:pt>
                <c:pt idx="172">
                  <c:v>42744</c:v>
                </c:pt>
                <c:pt idx="173">
                  <c:v>42344</c:v>
                </c:pt>
                <c:pt idx="174">
                  <c:v>42164</c:v>
                </c:pt>
                <c:pt idx="175">
                  <c:v>41864</c:v>
                </c:pt>
                <c:pt idx="176">
                  <c:v>45090</c:v>
                </c:pt>
                <c:pt idx="177">
                  <c:v>44990</c:v>
                </c:pt>
                <c:pt idx="178">
                  <c:v>44870</c:v>
                </c:pt>
                <c:pt idx="179">
                  <c:v>44470</c:v>
                </c:pt>
                <c:pt idx="180">
                  <c:v>44290</c:v>
                </c:pt>
                <c:pt idx="181">
                  <c:v>43990</c:v>
                </c:pt>
                <c:pt idx="182">
                  <c:v>50790</c:v>
                </c:pt>
                <c:pt idx="183">
                  <c:v>50590</c:v>
                </c:pt>
                <c:pt idx="184">
                  <c:v>50190</c:v>
                </c:pt>
                <c:pt idx="185">
                  <c:v>50164</c:v>
                </c:pt>
                <c:pt idx="186">
                  <c:v>49924</c:v>
                </c:pt>
                <c:pt idx="187">
                  <c:v>49804</c:v>
                </c:pt>
                <c:pt idx="188">
                  <c:v>48904</c:v>
                </c:pt>
                <c:pt idx="189">
                  <c:v>46098</c:v>
                </c:pt>
                <c:pt idx="190">
                  <c:v>45998</c:v>
                </c:pt>
                <c:pt idx="191">
                  <c:v>45878</c:v>
                </c:pt>
                <c:pt idx="192">
                  <c:v>45478</c:v>
                </c:pt>
                <c:pt idx="193">
                  <c:v>45298</c:v>
                </c:pt>
                <c:pt idx="194">
                  <c:v>44998</c:v>
                </c:pt>
                <c:pt idx="195">
                  <c:v>48224</c:v>
                </c:pt>
                <c:pt idx="196">
                  <c:v>48124</c:v>
                </c:pt>
                <c:pt idx="197">
                  <c:v>48004</c:v>
                </c:pt>
                <c:pt idx="198">
                  <c:v>47604</c:v>
                </c:pt>
                <c:pt idx="199">
                  <c:v>47424</c:v>
                </c:pt>
                <c:pt idx="200">
                  <c:v>47124</c:v>
                </c:pt>
                <c:pt idx="201">
                  <c:v>53924</c:v>
                </c:pt>
                <c:pt idx="202">
                  <c:v>51118</c:v>
                </c:pt>
                <c:pt idx="203">
                  <c:v>51018</c:v>
                </c:pt>
                <c:pt idx="204">
                  <c:v>50898</c:v>
                </c:pt>
                <c:pt idx="205">
                  <c:v>50498</c:v>
                </c:pt>
                <c:pt idx="206">
                  <c:v>50318</c:v>
                </c:pt>
                <c:pt idx="207">
                  <c:v>50018</c:v>
                </c:pt>
                <c:pt idx="208">
                  <c:v>53244</c:v>
                </c:pt>
                <c:pt idx="209">
                  <c:v>53144</c:v>
                </c:pt>
                <c:pt idx="210">
                  <c:v>53024</c:v>
                </c:pt>
                <c:pt idx="211">
                  <c:v>52624</c:v>
                </c:pt>
                <c:pt idx="212">
                  <c:v>52444</c:v>
                </c:pt>
                <c:pt idx="213">
                  <c:v>52144</c:v>
                </c:pt>
                <c:pt idx="214">
                  <c:v>58944</c:v>
                </c:pt>
                <c:pt idx="215">
                  <c:v>58744</c:v>
                </c:pt>
                <c:pt idx="216">
                  <c:v>58344</c:v>
                </c:pt>
                <c:pt idx="217">
                  <c:v>58044</c:v>
                </c:pt>
                <c:pt idx="218">
                  <c:v>58018</c:v>
                </c:pt>
                <c:pt idx="219">
                  <c:v>57778</c:v>
                </c:pt>
                <c:pt idx="220">
                  <c:v>57658</c:v>
                </c:pt>
                <c:pt idx="221">
                  <c:v>54852</c:v>
                </c:pt>
                <c:pt idx="222">
                  <c:v>54752</c:v>
                </c:pt>
                <c:pt idx="223">
                  <c:v>53852</c:v>
                </c:pt>
                <c:pt idx="224">
                  <c:v>53732</c:v>
                </c:pt>
                <c:pt idx="225">
                  <c:v>53332</c:v>
                </c:pt>
                <c:pt idx="226">
                  <c:v>53152</c:v>
                </c:pt>
                <c:pt idx="227">
                  <c:v>52852</c:v>
                </c:pt>
                <c:pt idx="228">
                  <c:v>56078</c:v>
                </c:pt>
                <c:pt idx="229">
                  <c:v>55978</c:v>
                </c:pt>
                <c:pt idx="230">
                  <c:v>55858</c:v>
                </c:pt>
                <c:pt idx="231">
                  <c:v>55458</c:v>
                </c:pt>
                <c:pt idx="232">
                  <c:v>55278</c:v>
                </c:pt>
                <c:pt idx="233">
                  <c:v>54978</c:v>
                </c:pt>
                <c:pt idx="234">
                  <c:v>61778</c:v>
                </c:pt>
                <c:pt idx="235">
                  <c:v>58972</c:v>
                </c:pt>
                <c:pt idx="236">
                  <c:v>58872</c:v>
                </c:pt>
                <c:pt idx="237">
                  <c:v>58752</c:v>
                </c:pt>
                <c:pt idx="238">
                  <c:v>58352</c:v>
                </c:pt>
                <c:pt idx="239">
                  <c:v>58172</c:v>
                </c:pt>
                <c:pt idx="240">
                  <c:v>57872</c:v>
                </c:pt>
                <c:pt idx="241">
                  <c:v>61098</c:v>
                </c:pt>
                <c:pt idx="242">
                  <c:v>60998</c:v>
                </c:pt>
                <c:pt idx="243">
                  <c:v>60878</c:v>
                </c:pt>
                <c:pt idx="244">
                  <c:v>60478</c:v>
                </c:pt>
                <c:pt idx="245">
                  <c:v>60298</c:v>
                </c:pt>
                <c:pt idx="246">
                  <c:v>59998</c:v>
                </c:pt>
                <c:pt idx="247">
                  <c:v>66798</c:v>
                </c:pt>
                <c:pt idx="248">
                  <c:v>63992</c:v>
                </c:pt>
                <c:pt idx="249">
                  <c:v>63892</c:v>
                </c:pt>
                <c:pt idx="250">
                  <c:v>63772</c:v>
                </c:pt>
                <c:pt idx="251">
                  <c:v>63372</c:v>
                </c:pt>
                <c:pt idx="252">
                  <c:v>63192</c:v>
                </c:pt>
                <c:pt idx="253">
                  <c:v>62892</c:v>
                </c:pt>
                <c:pt idx="254">
                  <c:v>62692</c:v>
                </c:pt>
                <c:pt idx="255">
                  <c:v>62292</c:v>
                </c:pt>
                <c:pt idx="256">
                  <c:v>61992</c:v>
                </c:pt>
                <c:pt idx="257">
                  <c:v>61692</c:v>
                </c:pt>
                <c:pt idx="258">
                  <c:v>61666</c:v>
                </c:pt>
                <c:pt idx="259">
                  <c:v>61426</c:v>
                </c:pt>
                <c:pt idx="260">
                  <c:v>61306</c:v>
                </c:pt>
                <c:pt idx="261">
                  <c:v>64532</c:v>
                </c:pt>
                <c:pt idx="262">
                  <c:v>63632</c:v>
                </c:pt>
                <c:pt idx="263">
                  <c:v>63532</c:v>
                </c:pt>
                <c:pt idx="264">
                  <c:v>63412</c:v>
                </c:pt>
                <c:pt idx="265">
                  <c:v>63012</c:v>
                </c:pt>
                <c:pt idx="266">
                  <c:v>62832</c:v>
                </c:pt>
                <c:pt idx="267">
                  <c:v>62532</c:v>
                </c:pt>
                <c:pt idx="268">
                  <c:v>69332</c:v>
                </c:pt>
                <c:pt idx="269">
                  <c:v>66526</c:v>
                </c:pt>
                <c:pt idx="270">
                  <c:v>66426</c:v>
                </c:pt>
                <c:pt idx="271">
                  <c:v>66306</c:v>
                </c:pt>
                <c:pt idx="272">
                  <c:v>65906</c:v>
                </c:pt>
                <c:pt idx="273">
                  <c:v>65726</c:v>
                </c:pt>
                <c:pt idx="274">
                  <c:v>65426</c:v>
                </c:pt>
                <c:pt idx="275">
                  <c:v>68652</c:v>
                </c:pt>
                <c:pt idx="276">
                  <c:v>68552</c:v>
                </c:pt>
                <c:pt idx="277">
                  <c:v>68432</c:v>
                </c:pt>
                <c:pt idx="278">
                  <c:v>68032</c:v>
                </c:pt>
                <c:pt idx="279">
                  <c:v>67852</c:v>
                </c:pt>
                <c:pt idx="280">
                  <c:v>67552</c:v>
                </c:pt>
                <c:pt idx="281">
                  <c:v>74352</c:v>
                </c:pt>
                <c:pt idx="282">
                  <c:v>71546</c:v>
                </c:pt>
                <c:pt idx="283">
                  <c:v>71446</c:v>
                </c:pt>
                <c:pt idx="284">
                  <c:v>71326</c:v>
                </c:pt>
                <c:pt idx="285">
                  <c:v>70926</c:v>
                </c:pt>
                <c:pt idx="286">
                  <c:v>70746</c:v>
                </c:pt>
                <c:pt idx="287">
                  <c:v>70446</c:v>
                </c:pt>
                <c:pt idx="288">
                  <c:v>73672</c:v>
                </c:pt>
                <c:pt idx="289">
                  <c:v>73472</c:v>
                </c:pt>
                <c:pt idx="290">
                  <c:v>73072</c:v>
                </c:pt>
                <c:pt idx="291">
                  <c:v>73046</c:v>
                </c:pt>
                <c:pt idx="292">
                  <c:v>72806</c:v>
                </c:pt>
                <c:pt idx="293">
                  <c:v>72686</c:v>
                </c:pt>
                <c:pt idx="294">
                  <c:v>71786</c:v>
                </c:pt>
                <c:pt idx="295">
                  <c:v>71686</c:v>
                </c:pt>
                <c:pt idx="296">
                  <c:v>71566</c:v>
                </c:pt>
                <c:pt idx="297">
                  <c:v>71166</c:v>
                </c:pt>
                <c:pt idx="298">
                  <c:v>70986</c:v>
                </c:pt>
                <c:pt idx="299">
                  <c:v>70686</c:v>
                </c:pt>
                <c:pt idx="300">
                  <c:v>77486</c:v>
                </c:pt>
                <c:pt idx="301">
                  <c:v>74680</c:v>
                </c:pt>
                <c:pt idx="302">
                  <c:v>74580</c:v>
                </c:pt>
                <c:pt idx="303">
                  <c:v>74460</c:v>
                </c:pt>
                <c:pt idx="304">
                  <c:v>74060</c:v>
                </c:pt>
                <c:pt idx="305">
                  <c:v>73880</c:v>
                </c:pt>
                <c:pt idx="306">
                  <c:v>73580</c:v>
                </c:pt>
                <c:pt idx="307">
                  <c:v>76806</c:v>
                </c:pt>
                <c:pt idx="308">
                  <c:v>76706</c:v>
                </c:pt>
                <c:pt idx="309">
                  <c:v>76586</c:v>
                </c:pt>
                <c:pt idx="310">
                  <c:v>76186</c:v>
                </c:pt>
                <c:pt idx="311">
                  <c:v>76006</c:v>
                </c:pt>
                <c:pt idx="312">
                  <c:v>75706</c:v>
                </c:pt>
                <c:pt idx="313">
                  <c:v>82506</c:v>
                </c:pt>
                <c:pt idx="314">
                  <c:v>79700</c:v>
                </c:pt>
                <c:pt idx="315">
                  <c:v>79600</c:v>
                </c:pt>
                <c:pt idx="316">
                  <c:v>79480</c:v>
                </c:pt>
                <c:pt idx="317">
                  <c:v>79080</c:v>
                </c:pt>
                <c:pt idx="318">
                  <c:v>78900</c:v>
                </c:pt>
                <c:pt idx="319">
                  <c:v>78600</c:v>
                </c:pt>
                <c:pt idx="320">
                  <c:v>81826</c:v>
                </c:pt>
                <c:pt idx="321">
                  <c:v>81726</c:v>
                </c:pt>
                <c:pt idx="322">
                  <c:v>81526</c:v>
                </c:pt>
                <c:pt idx="323">
                  <c:v>81126</c:v>
                </c:pt>
                <c:pt idx="324">
                  <c:v>80826</c:v>
                </c:pt>
                <c:pt idx="325">
                  <c:v>80800</c:v>
                </c:pt>
                <c:pt idx="326">
                  <c:v>80560</c:v>
                </c:pt>
                <c:pt idx="327">
                  <c:v>80440</c:v>
                </c:pt>
                <c:pt idx="328">
                  <c:v>80320</c:v>
                </c:pt>
                <c:pt idx="329">
                  <c:v>79420</c:v>
                </c:pt>
                <c:pt idx="330">
                  <c:v>79020</c:v>
                </c:pt>
                <c:pt idx="331">
                  <c:v>78840</c:v>
                </c:pt>
                <c:pt idx="332">
                  <c:v>78540</c:v>
                </c:pt>
                <c:pt idx="333">
                  <c:v>85340</c:v>
                </c:pt>
                <c:pt idx="334">
                  <c:v>82534</c:v>
                </c:pt>
                <c:pt idx="335">
                  <c:v>82434</c:v>
                </c:pt>
                <c:pt idx="336">
                  <c:v>82314</c:v>
                </c:pt>
                <c:pt idx="337">
                  <c:v>81914</c:v>
                </c:pt>
                <c:pt idx="338">
                  <c:v>81734</c:v>
                </c:pt>
                <c:pt idx="339">
                  <c:v>81434</c:v>
                </c:pt>
                <c:pt idx="340">
                  <c:v>84660</c:v>
                </c:pt>
                <c:pt idx="341">
                  <c:v>84560</c:v>
                </c:pt>
                <c:pt idx="342">
                  <c:v>84440</c:v>
                </c:pt>
                <c:pt idx="343">
                  <c:v>84040</c:v>
                </c:pt>
                <c:pt idx="344">
                  <c:v>83860</c:v>
                </c:pt>
                <c:pt idx="345">
                  <c:v>83560</c:v>
                </c:pt>
                <c:pt idx="346">
                  <c:v>90360</c:v>
                </c:pt>
                <c:pt idx="347">
                  <c:v>87554</c:v>
                </c:pt>
                <c:pt idx="348">
                  <c:v>87454</c:v>
                </c:pt>
                <c:pt idx="349">
                  <c:v>87334</c:v>
                </c:pt>
                <c:pt idx="350">
                  <c:v>86934</c:v>
                </c:pt>
                <c:pt idx="351">
                  <c:v>86754</c:v>
                </c:pt>
                <c:pt idx="352">
                  <c:v>86454</c:v>
                </c:pt>
                <c:pt idx="353">
                  <c:v>89680</c:v>
                </c:pt>
                <c:pt idx="354">
                  <c:v>89580</c:v>
                </c:pt>
                <c:pt idx="355">
                  <c:v>89460</c:v>
                </c:pt>
                <c:pt idx="356">
                  <c:v>89060</c:v>
                </c:pt>
                <c:pt idx="357">
                  <c:v>88880</c:v>
                </c:pt>
                <c:pt idx="358">
                  <c:v>88580</c:v>
                </c:pt>
                <c:pt idx="359">
                  <c:v>88380</c:v>
                </c:pt>
                <c:pt idx="360">
                  <c:v>87980</c:v>
                </c:pt>
                <c:pt idx="361">
                  <c:v>87680</c:v>
                </c:pt>
                <c:pt idx="362">
                  <c:v>87380</c:v>
                </c:pt>
                <c:pt idx="363">
                  <c:v>87354</c:v>
                </c:pt>
                <c:pt idx="364">
                  <c:v>87114</c:v>
                </c:pt>
                <c:pt idx="365">
                  <c:v>86994</c:v>
                </c:pt>
                <c:pt idx="366">
                  <c:v>93794</c:v>
                </c:pt>
                <c:pt idx="367">
                  <c:v>92894</c:v>
                </c:pt>
                <c:pt idx="368">
                  <c:v>90088</c:v>
                </c:pt>
                <c:pt idx="369">
                  <c:v>89988</c:v>
                </c:pt>
                <c:pt idx="370">
                  <c:v>89868</c:v>
                </c:pt>
                <c:pt idx="371">
                  <c:v>89468</c:v>
                </c:pt>
                <c:pt idx="372">
                  <c:v>89288</c:v>
                </c:pt>
                <c:pt idx="373">
                  <c:v>88988</c:v>
                </c:pt>
                <c:pt idx="374">
                  <c:v>92214</c:v>
                </c:pt>
                <c:pt idx="375">
                  <c:v>92114</c:v>
                </c:pt>
                <c:pt idx="376">
                  <c:v>91994</c:v>
                </c:pt>
                <c:pt idx="377">
                  <c:v>91594</c:v>
                </c:pt>
                <c:pt idx="378">
                  <c:v>91414</c:v>
                </c:pt>
                <c:pt idx="379">
                  <c:v>91114</c:v>
                </c:pt>
                <c:pt idx="380">
                  <c:v>97914</c:v>
                </c:pt>
                <c:pt idx="381">
                  <c:v>95108</c:v>
                </c:pt>
                <c:pt idx="382">
                  <c:v>95008</c:v>
                </c:pt>
                <c:pt idx="383">
                  <c:v>94888</c:v>
                </c:pt>
                <c:pt idx="384">
                  <c:v>94488</c:v>
                </c:pt>
                <c:pt idx="385">
                  <c:v>94308</c:v>
                </c:pt>
                <c:pt idx="386">
                  <c:v>94008</c:v>
                </c:pt>
                <c:pt idx="387">
                  <c:v>97234</c:v>
                </c:pt>
                <c:pt idx="388">
                  <c:v>97134</c:v>
                </c:pt>
                <c:pt idx="389">
                  <c:v>97014</c:v>
                </c:pt>
                <c:pt idx="390">
                  <c:v>96614</c:v>
                </c:pt>
                <c:pt idx="391">
                  <c:v>96434</c:v>
                </c:pt>
                <c:pt idx="392">
                  <c:v>96134</c:v>
                </c:pt>
                <c:pt idx="393">
                  <c:v>102934</c:v>
                </c:pt>
                <c:pt idx="394">
                  <c:v>102734</c:v>
                </c:pt>
                <c:pt idx="395">
                  <c:v>102334</c:v>
                </c:pt>
                <c:pt idx="396">
                  <c:v>102308</c:v>
                </c:pt>
                <c:pt idx="397">
                  <c:v>102068</c:v>
                </c:pt>
                <c:pt idx="398">
                  <c:v>101948</c:v>
                </c:pt>
                <c:pt idx="399">
                  <c:v>101048</c:v>
                </c:pt>
                <c:pt idx="400">
                  <c:v>98242</c:v>
                </c:pt>
                <c:pt idx="401">
                  <c:v>98142</c:v>
                </c:pt>
                <c:pt idx="402">
                  <c:v>98022</c:v>
                </c:pt>
                <c:pt idx="403">
                  <c:v>97622</c:v>
                </c:pt>
                <c:pt idx="404">
                  <c:v>97442</c:v>
                </c:pt>
                <c:pt idx="405">
                  <c:v>97142</c:v>
                </c:pt>
                <c:pt idx="406">
                  <c:v>100368</c:v>
                </c:pt>
                <c:pt idx="407">
                  <c:v>100268</c:v>
                </c:pt>
                <c:pt idx="408">
                  <c:v>100148</c:v>
                </c:pt>
                <c:pt idx="409">
                  <c:v>99748</c:v>
                </c:pt>
                <c:pt idx="410">
                  <c:v>99568</c:v>
                </c:pt>
                <c:pt idx="411">
                  <c:v>99268</c:v>
                </c:pt>
                <c:pt idx="412">
                  <c:v>106068</c:v>
                </c:pt>
                <c:pt idx="413">
                  <c:v>103262</c:v>
                </c:pt>
                <c:pt idx="414">
                  <c:v>103162</c:v>
                </c:pt>
                <c:pt idx="415">
                  <c:v>103042</c:v>
                </c:pt>
                <c:pt idx="416">
                  <c:v>102642</c:v>
                </c:pt>
                <c:pt idx="417">
                  <c:v>102462</c:v>
                </c:pt>
                <c:pt idx="418">
                  <c:v>102162</c:v>
                </c:pt>
                <c:pt idx="419">
                  <c:v>105388</c:v>
                </c:pt>
                <c:pt idx="420">
                  <c:v>105288</c:v>
                </c:pt>
                <c:pt idx="421">
                  <c:v>105168</c:v>
                </c:pt>
                <c:pt idx="422">
                  <c:v>104768</c:v>
                </c:pt>
                <c:pt idx="423">
                  <c:v>104588</c:v>
                </c:pt>
                <c:pt idx="424">
                  <c:v>104288</c:v>
                </c:pt>
                <c:pt idx="425">
                  <c:v>111088</c:v>
                </c:pt>
                <c:pt idx="426">
                  <c:v>108282</c:v>
                </c:pt>
                <c:pt idx="427">
                  <c:v>108182</c:v>
                </c:pt>
                <c:pt idx="428">
                  <c:v>108062</c:v>
                </c:pt>
                <c:pt idx="429">
                  <c:v>107862</c:v>
                </c:pt>
                <c:pt idx="430">
                  <c:v>107462</c:v>
                </c:pt>
                <c:pt idx="431">
                  <c:v>107162</c:v>
                </c:pt>
                <c:pt idx="432">
                  <c:v>107136</c:v>
                </c:pt>
                <c:pt idx="433">
                  <c:v>106896</c:v>
                </c:pt>
                <c:pt idx="434">
                  <c:v>106776</c:v>
                </c:pt>
                <c:pt idx="435">
                  <c:v>106376</c:v>
                </c:pt>
                <c:pt idx="436">
                  <c:v>106196</c:v>
                </c:pt>
                <c:pt idx="437">
                  <c:v>105896</c:v>
                </c:pt>
                <c:pt idx="438">
                  <c:v>104996</c:v>
                </c:pt>
                <c:pt idx="439">
                  <c:v>108222</c:v>
                </c:pt>
                <c:pt idx="440">
                  <c:v>108122</c:v>
                </c:pt>
                <c:pt idx="441">
                  <c:v>108002</c:v>
                </c:pt>
                <c:pt idx="442">
                  <c:v>107602</c:v>
                </c:pt>
                <c:pt idx="443">
                  <c:v>107422</c:v>
                </c:pt>
                <c:pt idx="444">
                  <c:v>107122</c:v>
                </c:pt>
                <c:pt idx="445">
                  <c:v>113922</c:v>
                </c:pt>
                <c:pt idx="446">
                  <c:v>111116</c:v>
                </c:pt>
                <c:pt idx="447">
                  <c:v>111016</c:v>
                </c:pt>
                <c:pt idx="448">
                  <c:v>110896</c:v>
                </c:pt>
                <c:pt idx="449">
                  <c:v>110496</c:v>
                </c:pt>
                <c:pt idx="450">
                  <c:v>110316</c:v>
                </c:pt>
                <c:pt idx="451">
                  <c:v>110016</c:v>
                </c:pt>
                <c:pt idx="452">
                  <c:v>113242</c:v>
                </c:pt>
                <c:pt idx="453">
                  <c:v>113142</c:v>
                </c:pt>
                <c:pt idx="454">
                  <c:v>113022</c:v>
                </c:pt>
                <c:pt idx="455">
                  <c:v>112622</c:v>
                </c:pt>
                <c:pt idx="456">
                  <c:v>112442</c:v>
                </c:pt>
                <c:pt idx="457">
                  <c:v>112142</c:v>
                </c:pt>
                <c:pt idx="458">
                  <c:v>118942</c:v>
                </c:pt>
                <c:pt idx="459">
                  <c:v>116136</c:v>
                </c:pt>
                <c:pt idx="460">
                  <c:v>116036</c:v>
                </c:pt>
                <c:pt idx="461">
                  <c:v>115916</c:v>
                </c:pt>
                <c:pt idx="462">
                  <c:v>115516</c:v>
                </c:pt>
                <c:pt idx="463">
                  <c:v>115336</c:v>
                </c:pt>
                <c:pt idx="464">
                  <c:v>115036</c:v>
                </c:pt>
                <c:pt idx="465">
                  <c:v>118262</c:v>
                </c:pt>
                <c:pt idx="466">
                  <c:v>118062</c:v>
                </c:pt>
                <c:pt idx="467">
                  <c:v>117662</c:v>
                </c:pt>
                <c:pt idx="468">
                  <c:v>117362</c:v>
                </c:pt>
                <c:pt idx="469">
                  <c:v>117062</c:v>
                </c:pt>
                <c:pt idx="470">
                  <c:v>117036</c:v>
                </c:pt>
                <c:pt idx="471">
                  <c:v>116796</c:v>
                </c:pt>
                <c:pt idx="472">
                  <c:v>116676</c:v>
                </c:pt>
                <c:pt idx="473">
                  <c:v>115776</c:v>
                </c:pt>
                <c:pt idx="474">
                  <c:v>115676</c:v>
                </c:pt>
                <c:pt idx="475">
                  <c:v>115556</c:v>
                </c:pt>
                <c:pt idx="476">
                  <c:v>115156</c:v>
                </c:pt>
                <c:pt idx="477">
                  <c:v>114976</c:v>
                </c:pt>
                <c:pt idx="478">
                  <c:v>114676</c:v>
                </c:pt>
                <c:pt idx="479">
                  <c:v>121476</c:v>
                </c:pt>
                <c:pt idx="480">
                  <c:v>118670</c:v>
                </c:pt>
                <c:pt idx="481">
                  <c:v>118570</c:v>
                </c:pt>
                <c:pt idx="482">
                  <c:v>118450</c:v>
                </c:pt>
                <c:pt idx="483">
                  <c:v>118050</c:v>
                </c:pt>
                <c:pt idx="484">
                  <c:v>117870</c:v>
                </c:pt>
                <c:pt idx="485">
                  <c:v>117570</c:v>
                </c:pt>
                <c:pt idx="486">
                  <c:v>120796</c:v>
                </c:pt>
                <c:pt idx="487">
                  <c:v>120696</c:v>
                </c:pt>
                <c:pt idx="488">
                  <c:v>120576</c:v>
                </c:pt>
                <c:pt idx="489">
                  <c:v>120176</c:v>
                </c:pt>
                <c:pt idx="490">
                  <c:v>119996</c:v>
                </c:pt>
                <c:pt idx="491">
                  <c:v>119696</c:v>
                </c:pt>
                <c:pt idx="492">
                  <c:v>126496</c:v>
                </c:pt>
                <c:pt idx="493">
                  <c:v>123690</c:v>
                </c:pt>
                <c:pt idx="494">
                  <c:v>123590</c:v>
                </c:pt>
                <c:pt idx="495">
                  <c:v>123470</c:v>
                </c:pt>
                <c:pt idx="496">
                  <c:v>123070</c:v>
                </c:pt>
                <c:pt idx="497">
                  <c:v>122890</c:v>
                </c:pt>
                <c:pt idx="498">
                  <c:v>122590</c:v>
                </c:pt>
                <c:pt idx="499">
                  <c:v>125816</c:v>
                </c:pt>
                <c:pt idx="500">
                  <c:v>125616</c:v>
                </c:pt>
                <c:pt idx="501">
                  <c:v>125216</c:v>
                </c:pt>
                <c:pt idx="502">
                  <c:v>125190</c:v>
                </c:pt>
                <c:pt idx="503">
                  <c:v>124950</c:v>
                </c:pt>
                <c:pt idx="504">
                  <c:v>124830</c:v>
                </c:pt>
                <c:pt idx="505">
                  <c:v>123930</c:v>
                </c:pt>
                <c:pt idx="506">
                  <c:v>123830</c:v>
                </c:pt>
                <c:pt idx="507">
                  <c:v>123710</c:v>
                </c:pt>
                <c:pt idx="508">
                  <c:v>123310</c:v>
                </c:pt>
                <c:pt idx="509">
                  <c:v>123130</c:v>
                </c:pt>
                <c:pt idx="510">
                  <c:v>122830</c:v>
                </c:pt>
                <c:pt idx="511">
                  <c:v>129630</c:v>
                </c:pt>
                <c:pt idx="512">
                  <c:v>126824</c:v>
                </c:pt>
                <c:pt idx="513">
                  <c:v>126724</c:v>
                </c:pt>
                <c:pt idx="514">
                  <c:v>126604</c:v>
                </c:pt>
                <c:pt idx="515">
                  <c:v>126204</c:v>
                </c:pt>
                <c:pt idx="516">
                  <c:v>126024</c:v>
                </c:pt>
                <c:pt idx="517">
                  <c:v>125724</c:v>
                </c:pt>
                <c:pt idx="518">
                  <c:v>128950</c:v>
                </c:pt>
                <c:pt idx="519">
                  <c:v>128850</c:v>
                </c:pt>
                <c:pt idx="520">
                  <c:v>128730</c:v>
                </c:pt>
                <c:pt idx="521">
                  <c:v>128330</c:v>
                </c:pt>
                <c:pt idx="522">
                  <c:v>128150</c:v>
                </c:pt>
                <c:pt idx="523">
                  <c:v>127850</c:v>
                </c:pt>
                <c:pt idx="524">
                  <c:v>134650</c:v>
                </c:pt>
                <c:pt idx="525">
                  <c:v>131844</c:v>
                </c:pt>
                <c:pt idx="526">
                  <c:v>131744</c:v>
                </c:pt>
                <c:pt idx="527">
                  <c:v>131624</c:v>
                </c:pt>
                <c:pt idx="528">
                  <c:v>131224</c:v>
                </c:pt>
                <c:pt idx="529">
                  <c:v>131044</c:v>
                </c:pt>
                <c:pt idx="530">
                  <c:v>130744</c:v>
                </c:pt>
                <c:pt idx="531">
                  <c:v>133970</c:v>
                </c:pt>
                <c:pt idx="532">
                  <c:v>133870</c:v>
                </c:pt>
                <c:pt idx="533">
                  <c:v>133670</c:v>
                </c:pt>
                <c:pt idx="534">
                  <c:v>133270</c:v>
                </c:pt>
                <c:pt idx="535">
                  <c:v>132970</c:v>
                </c:pt>
                <c:pt idx="536">
                  <c:v>132944</c:v>
                </c:pt>
                <c:pt idx="537">
                  <c:v>132704</c:v>
                </c:pt>
                <c:pt idx="538">
                  <c:v>132584</c:v>
                </c:pt>
                <c:pt idx="539">
                  <c:v>132464</c:v>
                </c:pt>
                <c:pt idx="540">
                  <c:v>131564</c:v>
                </c:pt>
                <c:pt idx="541">
                  <c:v>131164</c:v>
                </c:pt>
                <c:pt idx="542">
                  <c:v>130984</c:v>
                </c:pt>
                <c:pt idx="543">
                  <c:v>130684</c:v>
                </c:pt>
                <c:pt idx="544">
                  <c:v>137484</c:v>
                </c:pt>
                <c:pt idx="545">
                  <c:v>134678</c:v>
                </c:pt>
                <c:pt idx="546">
                  <c:v>134578</c:v>
                </c:pt>
                <c:pt idx="547">
                  <c:v>134458</c:v>
                </c:pt>
                <c:pt idx="548">
                  <c:v>134058</c:v>
                </c:pt>
                <c:pt idx="549">
                  <c:v>133878</c:v>
                </c:pt>
                <c:pt idx="550">
                  <c:v>133578</c:v>
                </c:pt>
                <c:pt idx="551">
                  <c:v>136804</c:v>
                </c:pt>
                <c:pt idx="552">
                  <c:v>136704</c:v>
                </c:pt>
                <c:pt idx="553">
                  <c:v>136584</c:v>
                </c:pt>
                <c:pt idx="554">
                  <c:v>136184</c:v>
                </c:pt>
                <c:pt idx="555">
                  <c:v>136004</c:v>
                </c:pt>
                <c:pt idx="556">
                  <c:v>135704</c:v>
                </c:pt>
                <c:pt idx="557">
                  <c:v>142504</c:v>
                </c:pt>
                <c:pt idx="558">
                  <c:v>139698</c:v>
                </c:pt>
                <c:pt idx="559">
                  <c:v>139598</c:v>
                </c:pt>
                <c:pt idx="560">
                  <c:v>139478</c:v>
                </c:pt>
                <c:pt idx="561">
                  <c:v>139078</c:v>
                </c:pt>
                <c:pt idx="562">
                  <c:v>138898</c:v>
                </c:pt>
                <c:pt idx="563">
                  <c:v>138598</c:v>
                </c:pt>
                <c:pt idx="564">
                  <c:v>141824</c:v>
                </c:pt>
                <c:pt idx="565">
                  <c:v>141724</c:v>
                </c:pt>
                <c:pt idx="566">
                  <c:v>141604</c:v>
                </c:pt>
                <c:pt idx="567">
                  <c:v>141204</c:v>
                </c:pt>
                <c:pt idx="568">
                  <c:v>141024</c:v>
                </c:pt>
                <c:pt idx="569">
                  <c:v>140724</c:v>
                </c:pt>
                <c:pt idx="570">
                  <c:v>140524</c:v>
                </c:pt>
                <c:pt idx="571">
                  <c:v>140124</c:v>
                </c:pt>
                <c:pt idx="572">
                  <c:v>139824</c:v>
                </c:pt>
                <c:pt idx="573">
                  <c:v>139524</c:v>
                </c:pt>
                <c:pt idx="574">
                  <c:v>139498</c:v>
                </c:pt>
                <c:pt idx="575">
                  <c:v>139258</c:v>
                </c:pt>
                <c:pt idx="576">
                  <c:v>139138</c:v>
                </c:pt>
                <c:pt idx="577">
                  <c:v>138238</c:v>
                </c:pt>
                <c:pt idx="578">
                  <c:v>145038</c:v>
                </c:pt>
                <c:pt idx="579">
                  <c:v>142232</c:v>
                </c:pt>
                <c:pt idx="580">
                  <c:v>142132</c:v>
                </c:pt>
                <c:pt idx="581">
                  <c:v>142012</c:v>
                </c:pt>
                <c:pt idx="582">
                  <c:v>141612</c:v>
                </c:pt>
                <c:pt idx="583">
                  <c:v>141432</c:v>
                </c:pt>
                <c:pt idx="584">
                  <c:v>141132</c:v>
                </c:pt>
                <c:pt idx="585">
                  <c:v>144358</c:v>
                </c:pt>
                <c:pt idx="586">
                  <c:v>144258</c:v>
                </c:pt>
                <c:pt idx="587">
                  <c:v>144138</c:v>
                </c:pt>
                <c:pt idx="588">
                  <c:v>143738</c:v>
                </c:pt>
                <c:pt idx="589">
                  <c:v>143558</c:v>
                </c:pt>
                <c:pt idx="590">
                  <c:v>143258</c:v>
                </c:pt>
                <c:pt idx="591">
                  <c:v>150058</c:v>
                </c:pt>
                <c:pt idx="592">
                  <c:v>147252</c:v>
                </c:pt>
                <c:pt idx="593">
                  <c:v>147152</c:v>
                </c:pt>
                <c:pt idx="594">
                  <c:v>147032</c:v>
                </c:pt>
                <c:pt idx="595">
                  <c:v>146632</c:v>
                </c:pt>
                <c:pt idx="596">
                  <c:v>146452</c:v>
                </c:pt>
                <c:pt idx="597">
                  <c:v>146152</c:v>
                </c:pt>
                <c:pt idx="598">
                  <c:v>149378</c:v>
                </c:pt>
                <c:pt idx="599">
                  <c:v>149278</c:v>
                </c:pt>
                <c:pt idx="600">
                  <c:v>149158</c:v>
                </c:pt>
                <c:pt idx="601">
                  <c:v>148758</c:v>
                </c:pt>
                <c:pt idx="602">
                  <c:v>148578</c:v>
                </c:pt>
                <c:pt idx="603">
                  <c:v>148278</c:v>
                </c:pt>
                <c:pt idx="604">
                  <c:v>155078</c:v>
                </c:pt>
                <c:pt idx="605">
                  <c:v>154878</c:v>
                </c:pt>
                <c:pt idx="606">
                  <c:v>154478</c:v>
                </c:pt>
                <c:pt idx="607">
                  <c:v>154452</c:v>
                </c:pt>
                <c:pt idx="608">
                  <c:v>154212</c:v>
                </c:pt>
                <c:pt idx="609">
                  <c:v>154092</c:v>
                </c:pt>
                <c:pt idx="610">
                  <c:v>153192</c:v>
                </c:pt>
                <c:pt idx="611">
                  <c:v>150386</c:v>
                </c:pt>
                <c:pt idx="612">
                  <c:v>150286</c:v>
                </c:pt>
                <c:pt idx="613">
                  <c:v>150166</c:v>
                </c:pt>
                <c:pt idx="614">
                  <c:v>149766</c:v>
                </c:pt>
                <c:pt idx="615">
                  <c:v>149586</c:v>
                </c:pt>
                <c:pt idx="616">
                  <c:v>149286</c:v>
                </c:pt>
                <c:pt idx="617">
                  <c:v>152512</c:v>
                </c:pt>
                <c:pt idx="618">
                  <c:v>152412</c:v>
                </c:pt>
                <c:pt idx="619">
                  <c:v>152292</c:v>
                </c:pt>
                <c:pt idx="620">
                  <c:v>151892</c:v>
                </c:pt>
                <c:pt idx="621">
                  <c:v>151712</c:v>
                </c:pt>
                <c:pt idx="622">
                  <c:v>151412</c:v>
                </c:pt>
                <c:pt idx="623">
                  <c:v>158212</c:v>
                </c:pt>
                <c:pt idx="624">
                  <c:v>155406</c:v>
                </c:pt>
                <c:pt idx="625">
                  <c:v>155306</c:v>
                </c:pt>
                <c:pt idx="626">
                  <c:v>155186</c:v>
                </c:pt>
                <c:pt idx="627">
                  <c:v>154786</c:v>
                </c:pt>
                <c:pt idx="628">
                  <c:v>154606</c:v>
                </c:pt>
                <c:pt idx="629">
                  <c:v>154306</c:v>
                </c:pt>
                <c:pt idx="630">
                  <c:v>157532</c:v>
                </c:pt>
                <c:pt idx="631">
                  <c:v>157432</c:v>
                </c:pt>
                <c:pt idx="632">
                  <c:v>157312</c:v>
                </c:pt>
                <c:pt idx="633">
                  <c:v>156912</c:v>
                </c:pt>
                <c:pt idx="634">
                  <c:v>156732</c:v>
                </c:pt>
                <c:pt idx="635">
                  <c:v>156432</c:v>
                </c:pt>
                <c:pt idx="636">
                  <c:v>163232</c:v>
                </c:pt>
                <c:pt idx="637">
                  <c:v>160426</c:v>
                </c:pt>
                <c:pt idx="638">
                  <c:v>160326</c:v>
                </c:pt>
                <c:pt idx="639">
                  <c:v>160126</c:v>
                </c:pt>
                <c:pt idx="640">
                  <c:v>159726</c:v>
                </c:pt>
                <c:pt idx="641">
                  <c:v>159426</c:v>
                </c:pt>
                <c:pt idx="642">
                  <c:v>159400</c:v>
                </c:pt>
                <c:pt idx="643">
                  <c:v>159160</c:v>
                </c:pt>
                <c:pt idx="644">
                  <c:v>159040</c:v>
                </c:pt>
                <c:pt idx="645">
                  <c:v>158920</c:v>
                </c:pt>
                <c:pt idx="646">
                  <c:v>158020</c:v>
                </c:pt>
                <c:pt idx="647">
                  <c:v>157620</c:v>
                </c:pt>
                <c:pt idx="648">
                  <c:v>157440</c:v>
                </c:pt>
                <c:pt idx="649">
                  <c:v>157140</c:v>
                </c:pt>
                <c:pt idx="650">
                  <c:v>160366</c:v>
                </c:pt>
                <c:pt idx="651">
                  <c:v>160266</c:v>
                </c:pt>
                <c:pt idx="652">
                  <c:v>160146</c:v>
                </c:pt>
                <c:pt idx="653">
                  <c:v>159746</c:v>
                </c:pt>
                <c:pt idx="654">
                  <c:v>159566</c:v>
                </c:pt>
                <c:pt idx="655">
                  <c:v>159266</c:v>
                </c:pt>
                <c:pt idx="656">
                  <c:v>166066</c:v>
                </c:pt>
                <c:pt idx="657">
                  <c:v>163260</c:v>
                </c:pt>
                <c:pt idx="658">
                  <c:v>163160</c:v>
                </c:pt>
                <c:pt idx="659">
                  <c:v>163040</c:v>
                </c:pt>
                <c:pt idx="660">
                  <c:v>162640</c:v>
                </c:pt>
                <c:pt idx="661">
                  <c:v>162460</c:v>
                </c:pt>
                <c:pt idx="662">
                  <c:v>162160</c:v>
                </c:pt>
                <c:pt idx="663">
                  <c:v>165386</c:v>
                </c:pt>
                <c:pt idx="664">
                  <c:v>165286</c:v>
                </c:pt>
                <c:pt idx="665">
                  <c:v>165166</c:v>
                </c:pt>
                <c:pt idx="666">
                  <c:v>164766</c:v>
                </c:pt>
                <c:pt idx="667">
                  <c:v>164586</c:v>
                </c:pt>
                <c:pt idx="668">
                  <c:v>164286</c:v>
                </c:pt>
                <c:pt idx="669">
                  <c:v>171086</c:v>
                </c:pt>
                <c:pt idx="670">
                  <c:v>168280</c:v>
                </c:pt>
                <c:pt idx="671">
                  <c:v>168180</c:v>
                </c:pt>
                <c:pt idx="672">
                  <c:v>168060</c:v>
                </c:pt>
                <c:pt idx="673">
                  <c:v>167660</c:v>
                </c:pt>
                <c:pt idx="674">
                  <c:v>167480</c:v>
                </c:pt>
                <c:pt idx="675">
                  <c:v>167180</c:v>
                </c:pt>
                <c:pt idx="676">
                  <c:v>170406</c:v>
                </c:pt>
                <c:pt idx="677">
                  <c:v>170206</c:v>
                </c:pt>
                <c:pt idx="678">
                  <c:v>169806</c:v>
                </c:pt>
                <c:pt idx="679">
                  <c:v>169506</c:v>
                </c:pt>
                <c:pt idx="680">
                  <c:v>169206</c:v>
                </c:pt>
                <c:pt idx="681">
                  <c:v>169180</c:v>
                </c:pt>
                <c:pt idx="682">
                  <c:v>168940</c:v>
                </c:pt>
                <c:pt idx="683">
                  <c:v>168820</c:v>
                </c:pt>
                <c:pt idx="684">
                  <c:v>167920</c:v>
                </c:pt>
                <c:pt idx="685">
                  <c:v>167820</c:v>
                </c:pt>
                <c:pt idx="686">
                  <c:v>167700</c:v>
                </c:pt>
                <c:pt idx="687">
                  <c:v>167300</c:v>
                </c:pt>
                <c:pt idx="688">
                  <c:v>167120</c:v>
                </c:pt>
                <c:pt idx="689">
                  <c:v>166820</c:v>
                </c:pt>
                <c:pt idx="690">
                  <c:v>173620</c:v>
                </c:pt>
                <c:pt idx="691">
                  <c:v>170814</c:v>
                </c:pt>
                <c:pt idx="692">
                  <c:v>170714</c:v>
                </c:pt>
                <c:pt idx="693">
                  <c:v>170594</c:v>
                </c:pt>
                <c:pt idx="694">
                  <c:v>170194</c:v>
                </c:pt>
                <c:pt idx="695">
                  <c:v>170014</c:v>
                </c:pt>
                <c:pt idx="696">
                  <c:v>169714</c:v>
                </c:pt>
                <c:pt idx="697">
                  <c:v>172940</c:v>
                </c:pt>
                <c:pt idx="698">
                  <c:v>172840</c:v>
                </c:pt>
                <c:pt idx="699">
                  <c:v>172720</c:v>
                </c:pt>
                <c:pt idx="700">
                  <c:v>172320</c:v>
                </c:pt>
                <c:pt idx="701">
                  <c:v>172140</c:v>
                </c:pt>
                <c:pt idx="702">
                  <c:v>171840</c:v>
                </c:pt>
                <c:pt idx="703">
                  <c:v>178640</c:v>
                </c:pt>
                <c:pt idx="704">
                  <c:v>175834</c:v>
                </c:pt>
                <c:pt idx="705">
                  <c:v>175734</c:v>
                </c:pt>
                <c:pt idx="706">
                  <c:v>175614</c:v>
                </c:pt>
                <c:pt idx="707">
                  <c:v>175214</c:v>
                </c:pt>
                <c:pt idx="708">
                  <c:v>175034</c:v>
                </c:pt>
                <c:pt idx="709">
                  <c:v>174734</c:v>
                </c:pt>
                <c:pt idx="710">
                  <c:v>177960</c:v>
                </c:pt>
                <c:pt idx="711">
                  <c:v>177760</c:v>
                </c:pt>
                <c:pt idx="712">
                  <c:v>177360</c:v>
                </c:pt>
                <c:pt idx="713">
                  <c:v>177334</c:v>
                </c:pt>
                <c:pt idx="714">
                  <c:v>177094</c:v>
                </c:pt>
                <c:pt idx="715">
                  <c:v>176974</c:v>
                </c:pt>
                <c:pt idx="716">
                  <c:v>176874</c:v>
                </c:pt>
                <c:pt idx="717">
                  <c:v>175974</c:v>
                </c:pt>
                <c:pt idx="718">
                  <c:v>175854</c:v>
                </c:pt>
                <c:pt idx="719">
                  <c:v>175454</c:v>
                </c:pt>
                <c:pt idx="720">
                  <c:v>175274</c:v>
                </c:pt>
                <c:pt idx="721">
                  <c:v>174974</c:v>
                </c:pt>
                <c:pt idx="722">
                  <c:v>181774</c:v>
                </c:pt>
                <c:pt idx="723">
                  <c:v>178968</c:v>
                </c:pt>
                <c:pt idx="724">
                  <c:v>178868</c:v>
                </c:pt>
                <c:pt idx="725">
                  <c:v>178748</c:v>
                </c:pt>
                <c:pt idx="726">
                  <c:v>178348</c:v>
                </c:pt>
                <c:pt idx="727">
                  <c:v>178168</c:v>
                </c:pt>
                <c:pt idx="728">
                  <c:v>177868</c:v>
                </c:pt>
                <c:pt idx="729">
                  <c:v>181094</c:v>
                </c:pt>
                <c:pt idx="730">
                  <c:v>180994</c:v>
                </c:pt>
                <c:pt idx="731">
                  <c:v>180874</c:v>
                </c:pt>
                <c:pt idx="732">
                  <c:v>180474</c:v>
                </c:pt>
                <c:pt idx="733">
                  <c:v>180294</c:v>
                </c:pt>
                <c:pt idx="734">
                  <c:v>179994</c:v>
                </c:pt>
                <c:pt idx="735">
                  <c:v>186794</c:v>
                </c:pt>
                <c:pt idx="736">
                  <c:v>183988</c:v>
                </c:pt>
                <c:pt idx="737">
                  <c:v>183888</c:v>
                </c:pt>
                <c:pt idx="738">
                  <c:v>183768</c:v>
                </c:pt>
                <c:pt idx="739">
                  <c:v>183368</c:v>
                </c:pt>
                <c:pt idx="740">
                  <c:v>183188</c:v>
                </c:pt>
                <c:pt idx="741">
                  <c:v>182888</c:v>
                </c:pt>
                <c:pt idx="742">
                  <c:v>186114</c:v>
                </c:pt>
                <c:pt idx="743">
                  <c:v>186014</c:v>
                </c:pt>
                <c:pt idx="744">
                  <c:v>185894</c:v>
                </c:pt>
                <c:pt idx="745">
                  <c:v>185694</c:v>
                </c:pt>
                <c:pt idx="746">
                  <c:v>185294</c:v>
                </c:pt>
                <c:pt idx="747">
                  <c:v>184994</c:v>
                </c:pt>
                <c:pt idx="748">
                  <c:v>184968</c:v>
                </c:pt>
                <c:pt idx="749">
                  <c:v>184728</c:v>
                </c:pt>
                <c:pt idx="750">
                  <c:v>184608</c:v>
                </c:pt>
                <c:pt idx="751">
                  <c:v>184208</c:v>
                </c:pt>
                <c:pt idx="752">
                  <c:v>184028</c:v>
                </c:pt>
                <c:pt idx="753">
                  <c:v>183728</c:v>
                </c:pt>
                <c:pt idx="754">
                  <c:v>182828</c:v>
                </c:pt>
                <c:pt idx="755">
                  <c:v>189628</c:v>
                </c:pt>
                <c:pt idx="756">
                  <c:v>186822</c:v>
                </c:pt>
                <c:pt idx="757">
                  <c:v>186722</c:v>
                </c:pt>
                <c:pt idx="758">
                  <c:v>186602</c:v>
                </c:pt>
                <c:pt idx="759">
                  <c:v>186202</c:v>
                </c:pt>
                <c:pt idx="760">
                  <c:v>186022</c:v>
                </c:pt>
                <c:pt idx="761">
                  <c:v>185722</c:v>
                </c:pt>
                <c:pt idx="762">
                  <c:v>188948</c:v>
                </c:pt>
                <c:pt idx="763">
                  <c:v>188848</c:v>
                </c:pt>
                <c:pt idx="764">
                  <c:v>188728</c:v>
                </c:pt>
                <c:pt idx="765">
                  <c:v>188328</c:v>
                </c:pt>
                <c:pt idx="766">
                  <c:v>188148</c:v>
                </c:pt>
                <c:pt idx="767">
                  <c:v>187848</c:v>
                </c:pt>
                <c:pt idx="768">
                  <c:v>194648</c:v>
                </c:pt>
                <c:pt idx="769">
                  <c:v>191842</c:v>
                </c:pt>
                <c:pt idx="770">
                  <c:v>191742</c:v>
                </c:pt>
                <c:pt idx="771">
                  <c:v>191622</c:v>
                </c:pt>
                <c:pt idx="772">
                  <c:v>191222</c:v>
                </c:pt>
                <c:pt idx="773">
                  <c:v>191042</c:v>
                </c:pt>
                <c:pt idx="774">
                  <c:v>190742</c:v>
                </c:pt>
                <c:pt idx="775">
                  <c:v>193968</c:v>
                </c:pt>
                <c:pt idx="776">
                  <c:v>193868</c:v>
                </c:pt>
                <c:pt idx="777">
                  <c:v>193748</c:v>
                </c:pt>
                <c:pt idx="778">
                  <c:v>193348</c:v>
                </c:pt>
                <c:pt idx="779">
                  <c:v>193168</c:v>
                </c:pt>
                <c:pt idx="780">
                  <c:v>192868</c:v>
                </c:pt>
                <c:pt idx="781">
                  <c:v>199668</c:v>
                </c:pt>
                <c:pt idx="782">
                  <c:v>199468</c:v>
                </c:pt>
                <c:pt idx="783">
                  <c:v>199068</c:v>
                </c:pt>
                <c:pt idx="784">
                  <c:v>198768</c:v>
                </c:pt>
                <c:pt idx="785">
                  <c:v>198468</c:v>
                </c:pt>
                <c:pt idx="786">
                  <c:v>198442</c:v>
                </c:pt>
                <c:pt idx="787">
                  <c:v>198202</c:v>
                </c:pt>
                <c:pt idx="788">
                  <c:v>198082</c:v>
                </c:pt>
                <c:pt idx="789">
                  <c:v>197182</c:v>
                </c:pt>
                <c:pt idx="790">
                  <c:v>194376</c:v>
                </c:pt>
                <c:pt idx="791">
                  <c:v>194276</c:v>
                </c:pt>
                <c:pt idx="792">
                  <c:v>194156</c:v>
                </c:pt>
                <c:pt idx="793">
                  <c:v>193756</c:v>
                </c:pt>
                <c:pt idx="794">
                  <c:v>193576</c:v>
                </c:pt>
                <c:pt idx="795">
                  <c:v>193276</c:v>
                </c:pt>
                <c:pt idx="796">
                  <c:v>196502</c:v>
                </c:pt>
                <c:pt idx="797">
                  <c:v>196402</c:v>
                </c:pt>
                <c:pt idx="798">
                  <c:v>196282</c:v>
                </c:pt>
                <c:pt idx="799">
                  <c:v>195882</c:v>
                </c:pt>
                <c:pt idx="800">
                  <c:v>195702</c:v>
                </c:pt>
                <c:pt idx="801">
                  <c:v>195402</c:v>
                </c:pt>
                <c:pt idx="802">
                  <c:v>202202</c:v>
                </c:pt>
                <c:pt idx="803">
                  <c:v>199396</c:v>
                </c:pt>
                <c:pt idx="804">
                  <c:v>199296</c:v>
                </c:pt>
                <c:pt idx="805">
                  <c:v>199176</c:v>
                </c:pt>
                <c:pt idx="806">
                  <c:v>198776</c:v>
                </c:pt>
                <c:pt idx="807">
                  <c:v>198596</c:v>
                </c:pt>
                <c:pt idx="808">
                  <c:v>198296</c:v>
                </c:pt>
                <c:pt idx="809">
                  <c:v>201522</c:v>
                </c:pt>
                <c:pt idx="810">
                  <c:v>201422</c:v>
                </c:pt>
                <c:pt idx="811">
                  <c:v>201302</c:v>
                </c:pt>
                <c:pt idx="812">
                  <c:v>200902</c:v>
                </c:pt>
                <c:pt idx="813">
                  <c:v>200722</c:v>
                </c:pt>
                <c:pt idx="814">
                  <c:v>200422</c:v>
                </c:pt>
                <c:pt idx="815">
                  <c:v>207222</c:v>
                </c:pt>
                <c:pt idx="816">
                  <c:v>207022</c:v>
                </c:pt>
                <c:pt idx="817">
                  <c:v>206622</c:v>
                </c:pt>
                <c:pt idx="818">
                  <c:v>206596</c:v>
                </c:pt>
                <c:pt idx="819">
                  <c:v>206356</c:v>
                </c:pt>
                <c:pt idx="820">
                  <c:v>206236</c:v>
                </c:pt>
                <c:pt idx="821">
                  <c:v>203430</c:v>
                </c:pt>
                <c:pt idx="822">
                  <c:v>203330</c:v>
                </c:pt>
                <c:pt idx="823">
                  <c:v>202430</c:v>
                </c:pt>
                <c:pt idx="824">
                  <c:v>202310</c:v>
                </c:pt>
                <c:pt idx="825">
                  <c:v>201910</c:v>
                </c:pt>
                <c:pt idx="826">
                  <c:v>201730</c:v>
                </c:pt>
                <c:pt idx="827">
                  <c:v>201430</c:v>
                </c:pt>
                <c:pt idx="828">
                  <c:v>204656</c:v>
                </c:pt>
                <c:pt idx="829">
                  <c:v>204556</c:v>
                </c:pt>
                <c:pt idx="830">
                  <c:v>204436</c:v>
                </c:pt>
                <c:pt idx="831">
                  <c:v>204036</c:v>
                </c:pt>
                <c:pt idx="832">
                  <c:v>203856</c:v>
                </c:pt>
                <c:pt idx="833">
                  <c:v>203556</c:v>
                </c:pt>
                <c:pt idx="834">
                  <c:v>210356</c:v>
                </c:pt>
                <c:pt idx="835">
                  <c:v>207550</c:v>
                </c:pt>
                <c:pt idx="836">
                  <c:v>207450</c:v>
                </c:pt>
                <c:pt idx="837">
                  <c:v>207330</c:v>
                </c:pt>
                <c:pt idx="838">
                  <c:v>206930</c:v>
                </c:pt>
                <c:pt idx="839">
                  <c:v>206750</c:v>
                </c:pt>
                <c:pt idx="840">
                  <c:v>206450</c:v>
                </c:pt>
                <c:pt idx="841">
                  <c:v>209676</c:v>
                </c:pt>
                <c:pt idx="842">
                  <c:v>209576</c:v>
                </c:pt>
                <c:pt idx="843">
                  <c:v>209456</c:v>
                </c:pt>
                <c:pt idx="844">
                  <c:v>209056</c:v>
                </c:pt>
                <c:pt idx="845">
                  <c:v>208876</c:v>
                </c:pt>
                <c:pt idx="846">
                  <c:v>208576</c:v>
                </c:pt>
                <c:pt idx="847">
                  <c:v>208576</c:v>
                </c:pt>
                <c:pt idx="848">
                  <c:v>208576</c:v>
                </c:pt>
                <c:pt idx="849">
                  <c:v>208576</c:v>
                </c:pt>
                <c:pt idx="850">
                  <c:v>208576</c:v>
                </c:pt>
                <c:pt idx="851">
                  <c:v>208576</c:v>
                </c:pt>
                <c:pt idx="852">
                  <c:v>208576</c:v>
                </c:pt>
                <c:pt idx="853">
                  <c:v>208576</c:v>
                </c:pt>
                <c:pt idx="854">
                  <c:v>208576</c:v>
                </c:pt>
                <c:pt idx="855">
                  <c:v>208576</c:v>
                </c:pt>
                <c:pt idx="856">
                  <c:v>208576</c:v>
                </c:pt>
                <c:pt idx="857">
                  <c:v>208576</c:v>
                </c:pt>
                <c:pt idx="858">
                  <c:v>208576</c:v>
                </c:pt>
                <c:pt idx="859">
                  <c:v>208576</c:v>
                </c:pt>
                <c:pt idx="860">
                  <c:v>208576</c:v>
                </c:pt>
                <c:pt idx="861">
                  <c:v>208576</c:v>
                </c:pt>
                <c:pt idx="862">
                  <c:v>208576</c:v>
                </c:pt>
                <c:pt idx="863">
                  <c:v>208576</c:v>
                </c:pt>
                <c:pt idx="864">
                  <c:v>208576</c:v>
                </c:pt>
                <c:pt idx="865">
                  <c:v>208576</c:v>
                </c:pt>
                <c:pt idx="866">
                  <c:v>208576</c:v>
                </c:pt>
                <c:pt idx="867">
                  <c:v>208576</c:v>
                </c:pt>
                <c:pt idx="868">
                  <c:v>208576</c:v>
                </c:pt>
                <c:pt idx="869">
                  <c:v>208576</c:v>
                </c:pt>
                <c:pt idx="870">
                  <c:v>208576</c:v>
                </c:pt>
                <c:pt idx="871">
                  <c:v>208576</c:v>
                </c:pt>
                <c:pt idx="872">
                  <c:v>208576</c:v>
                </c:pt>
                <c:pt idx="873">
                  <c:v>208576</c:v>
                </c:pt>
                <c:pt idx="874">
                  <c:v>208576</c:v>
                </c:pt>
                <c:pt idx="875">
                  <c:v>208576</c:v>
                </c:pt>
                <c:pt idx="876">
                  <c:v>208576</c:v>
                </c:pt>
                <c:pt idx="877">
                  <c:v>208576</c:v>
                </c:pt>
                <c:pt idx="878">
                  <c:v>208576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24800"/>
        <c:axId val="145325376"/>
      </c:scatterChart>
      <c:valAx>
        <c:axId val="145324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5325376"/>
        <c:crosses val="autoZero"/>
        <c:crossBetween val="midCat"/>
      </c:valAx>
      <c:valAx>
        <c:axId val="145325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53248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CashFlow!$R$16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CashFlow!$Q$17:$Q$32</c:f>
              <c:numCache>
                <c:formatCode>General</c:formatCode>
                <c:ptCount val="16"/>
              </c:numCache>
            </c:numRef>
          </c:xVal>
          <c:yVal>
            <c:numRef>
              <c:f>CashFlow!$R$17:$R$32</c:f>
              <c:numCache>
                <c:formatCode>General</c:formatCode>
                <c:ptCount val="16"/>
              </c:numCache>
            </c:numRef>
          </c:yVal>
          <c:smooth val="1"/>
        </c:ser>
        <c:ser>
          <c:idx val="1"/>
          <c:order val="1"/>
          <c:tx>
            <c:strRef>
              <c:f>CashFlow!$S$16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CashFlow!$Q$17:$Q$32</c:f>
              <c:numCache>
                <c:formatCode>General</c:formatCode>
                <c:ptCount val="16"/>
              </c:numCache>
            </c:numRef>
          </c:xVal>
          <c:yVal>
            <c:numRef>
              <c:f>CashFlow!$S$17:$S$32</c:f>
              <c:numCache>
                <c:formatCode>General</c:formatCode>
                <c:ptCount val="16"/>
              </c:numCache>
            </c:numRef>
          </c:yVal>
          <c:smooth val="1"/>
        </c:ser>
        <c:ser>
          <c:idx val="2"/>
          <c:order val="2"/>
          <c:tx>
            <c:strRef>
              <c:f>CashFlow!$T$16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CashFlow!$Q$17:$Q$32</c:f>
              <c:numCache>
                <c:formatCode>General</c:formatCode>
                <c:ptCount val="16"/>
              </c:numCache>
            </c:numRef>
          </c:xVal>
          <c:yVal>
            <c:numRef>
              <c:f>CashFlow!$T$17:$T$32</c:f>
              <c:numCache>
                <c:formatCode>General</c:formatCode>
                <c:ptCount val="16"/>
              </c:numCache>
            </c:numRef>
          </c:yVal>
          <c:smooth val="1"/>
        </c:ser>
        <c:ser>
          <c:idx val="3"/>
          <c:order val="3"/>
          <c:tx>
            <c:strRef>
              <c:f>CashFlow!$U$16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CashFlow!$Q$17:$Q$32</c:f>
              <c:numCache>
                <c:formatCode>General</c:formatCode>
                <c:ptCount val="16"/>
              </c:numCache>
            </c:numRef>
          </c:xVal>
          <c:yVal>
            <c:numRef>
              <c:f>CashFlow!$U$17:$U$32</c:f>
              <c:numCache>
                <c:formatCode>General</c:formatCode>
                <c:ptCount val="16"/>
              </c:numCache>
            </c:numRef>
          </c:yVal>
          <c:smooth val="1"/>
        </c:ser>
        <c:ser>
          <c:idx val="4"/>
          <c:order val="4"/>
          <c:tx>
            <c:strRef>
              <c:f>CashFlow!$V$16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CashFlow!$Q$17:$Q$32</c:f>
              <c:numCache>
                <c:formatCode>General</c:formatCode>
                <c:ptCount val="16"/>
              </c:numCache>
            </c:numRef>
          </c:xVal>
          <c:yVal>
            <c:numRef>
              <c:f>CashFlow!$V$17:$V$32</c:f>
              <c:numCache>
                <c:formatCode>General</c:formatCode>
                <c:ptCount val="16"/>
              </c:numCache>
            </c:numRef>
          </c:yVal>
          <c:smooth val="1"/>
        </c:ser>
        <c:ser>
          <c:idx val="5"/>
          <c:order val="5"/>
          <c:tx>
            <c:strRef>
              <c:f>CashFlow!$W$16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CashFlow!$Q$17:$Q$32</c:f>
              <c:numCache>
                <c:formatCode>General</c:formatCode>
                <c:ptCount val="16"/>
              </c:numCache>
            </c:numRef>
          </c:xVal>
          <c:yVal>
            <c:numRef>
              <c:f>CashFlow!$W$17:$W$32</c:f>
              <c:numCache>
                <c:formatCode>General</c:formatCode>
                <c:ptCount val="16"/>
              </c:numCache>
            </c:numRef>
          </c:yVal>
          <c:smooth val="1"/>
        </c:ser>
        <c:ser>
          <c:idx val="6"/>
          <c:order val="6"/>
          <c:tx>
            <c:strRef>
              <c:f>CashFlow!$X$16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CashFlow!$Q$17:$Q$32</c:f>
              <c:numCache>
                <c:formatCode>General</c:formatCode>
                <c:ptCount val="16"/>
              </c:numCache>
            </c:numRef>
          </c:xVal>
          <c:yVal>
            <c:numRef>
              <c:f>CashFlow!$X$17:$X$32</c:f>
              <c:numCache>
                <c:formatCode>General</c:formatCode>
                <c:ptCount val="16"/>
              </c:numCache>
            </c:numRef>
          </c:yVal>
          <c:smooth val="1"/>
        </c:ser>
        <c:ser>
          <c:idx val="7"/>
          <c:order val="7"/>
          <c:tx>
            <c:strRef>
              <c:f>CashFlow!$Y$16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CashFlow!$Q$17:$Q$32</c:f>
              <c:numCache>
                <c:formatCode>General</c:formatCode>
                <c:ptCount val="16"/>
              </c:numCache>
            </c:numRef>
          </c:xVal>
          <c:yVal>
            <c:numRef>
              <c:f>CashFlow!$Y$17:$Y$32</c:f>
              <c:numCache>
                <c:formatCode>General</c:formatCode>
                <c:ptCount val="16"/>
              </c:numCache>
            </c:numRef>
          </c:yVal>
          <c:smooth val="1"/>
        </c:ser>
        <c:ser>
          <c:idx val="8"/>
          <c:order val="8"/>
          <c:tx>
            <c:v>CR01</c:v>
          </c:tx>
          <c:marker>
            <c:symbol val="none"/>
          </c:marker>
          <c:xVal>
            <c:numRef>
              <c:f>CashFlow!$A$2:$A$926</c:f>
              <c:numCache>
                <c:formatCode>m/d/yyyy</c:formatCode>
                <c:ptCount val="925"/>
                <c:pt idx="0">
                  <c:v>41271</c:v>
                </c:pt>
                <c:pt idx="1">
                  <c:v>41272</c:v>
                </c:pt>
                <c:pt idx="2">
                  <c:v>41275</c:v>
                </c:pt>
                <c:pt idx="3">
                  <c:v>41275</c:v>
                </c:pt>
                <c:pt idx="4">
                  <c:v>41275</c:v>
                </c:pt>
                <c:pt idx="5">
                  <c:v>41275</c:v>
                </c:pt>
                <c:pt idx="6">
                  <c:v>41275</c:v>
                </c:pt>
                <c:pt idx="7">
                  <c:v>41275</c:v>
                </c:pt>
                <c:pt idx="8">
                  <c:v>41275</c:v>
                </c:pt>
                <c:pt idx="9">
                  <c:v>41275</c:v>
                </c:pt>
                <c:pt idx="10">
                  <c:v>41275</c:v>
                </c:pt>
                <c:pt idx="11">
                  <c:v>41276</c:v>
                </c:pt>
                <c:pt idx="12">
                  <c:v>41276</c:v>
                </c:pt>
                <c:pt idx="13">
                  <c:v>41277</c:v>
                </c:pt>
                <c:pt idx="14">
                  <c:v>41277</c:v>
                </c:pt>
                <c:pt idx="15">
                  <c:v>41277</c:v>
                </c:pt>
                <c:pt idx="16">
                  <c:v>41278</c:v>
                </c:pt>
                <c:pt idx="17">
                  <c:v>41282</c:v>
                </c:pt>
                <c:pt idx="18">
                  <c:v>41283</c:v>
                </c:pt>
                <c:pt idx="19">
                  <c:v>41284</c:v>
                </c:pt>
                <c:pt idx="20">
                  <c:v>41284</c:v>
                </c:pt>
                <c:pt idx="21">
                  <c:v>41284</c:v>
                </c:pt>
                <c:pt idx="22">
                  <c:v>41286</c:v>
                </c:pt>
                <c:pt idx="23">
                  <c:v>41289</c:v>
                </c:pt>
                <c:pt idx="24">
                  <c:v>41289</c:v>
                </c:pt>
                <c:pt idx="25">
                  <c:v>41290</c:v>
                </c:pt>
                <c:pt idx="26">
                  <c:v>41291</c:v>
                </c:pt>
                <c:pt idx="27">
                  <c:v>41291</c:v>
                </c:pt>
                <c:pt idx="28">
                  <c:v>41291</c:v>
                </c:pt>
                <c:pt idx="29">
                  <c:v>41292</c:v>
                </c:pt>
                <c:pt idx="30">
                  <c:v>41296</c:v>
                </c:pt>
                <c:pt idx="31">
                  <c:v>41297</c:v>
                </c:pt>
                <c:pt idx="32">
                  <c:v>41298</c:v>
                </c:pt>
                <c:pt idx="33">
                  <c:v>41298</c:v>
                </c:pt>
                <c:pt idx="34">
                  <c:v>41298</c:v>
                </c:pt>
                <c:pt idx="35">
                  <c:v>41300</c:v>
                </c:pt>
                <c:pt idx="36">
                  <c:v>41303</c:v>
                </c:pt>
                <c:pt idx="37">
                  <c:v>41303</c:v>
                </c:pt>
                <c:pt idx="38">
                  <c:v>41304</c:v>
                </c:pt>
                <c:pt idx="39">
                  <c:v>41305</c:v>
                </c:pt>
                <c:pt idx="40">
                  <c:v>41305</c:v>
                </c:pt>
                <c:pt idx="41">
                  <c:v>41305</c:v>
                </c:pt>
                <c:pt idx="42">
                  <c:v>41306</c:v>
                </c:pt>
                <c:pt idx="43">
                  <c:v>41306</c:v>
                </c:pt>
                <c:pt idx="44">
                  <c:v>41306</c:v>
                </c:pt>
                <c:pt idx="45">
                  <c:v>41306</c:v>
                </c:pt>
                <c:pt idx="46">
                  <c:v>41306</c:v>
                </c:pt>
                <c:pt idx="47">
                  <c:v>41306</c:v>
                </c:pt>
                <c:pt idx="48">
                  <c:v>41306</c:v>
                </c:pt>
                <c:pt idx="49">
                  <c:v>41306</c:v>
                </c:pt>
                <c:pt idx="50">
                  <c:v>41307</c:v>
                </c:pt>
                <c:pt idx="51">
                  <c:v>41310</c:v>
                </c:pt>
                <c:pt idx="52">
                  <c:v>41311</c:v>
                </c:pt>
                <c:pt idx="53">
                  <c:v>41312</c:v>
                </c:pt>
                <c:pt idx="54">
                  <c:v>41312</c:v>
                </c:pt>
                <c:pt idx="55">
                  <c:v>41312</c:v>
                </c:pt>
                <c:pt idx="56">
                  <c:v>41314</c:v>
                </c:pt>
                <c:pt idx="57">
                  <c:v>41317</c:v>
                </c:pt>
                <c:pt idx="58">
                  <c:v>41317</c:v>
                </c:pt>
                <c:pt idx="59">
                  <c:v>41318</c:v>
                </c:pt>
                <c:pt idx="60">
                  <c:v>41319</c:v>
                </c:pt>
                <c:pt idx="61">
                  <c:v>41319</c:v>
                </c:pt>
                <c:pt idx="62">
                  <c:v>41319</c:v>
                </c:pt>
                <c:pt idx="63">
                  <c:v>41320</c:v>
                </c:pt>
                <c:pt idx="64">
                  <c:v>41324</c:v>
                </c:pt>
                <c:pt idx="65">
                  <c:v>41325</c:v>
                </c:pt>
                <c:pt idx="66">
                  <c:v>41326</c:v>
                </c:pt>
                <c:pt idx="67">
                  <c:v>41326</c:v>
                </c:pt>
                <c:pt idx="68">
                  <c:v>41326</c:v>
                </c:pt>
                <c:pt idx="69">
                  <c:v>41328</c:v>
                </c:pt>
                <c:pt idx="70">
                  <c:v>41331</c:v>
                </c:pt>
                <c:pt idx="71">
                  <c:v>41331</c:v>
                </c:pt>
                <c:pt idx="72">
                  <c:v>41332</c:v>
                </c:pt>
                <c:pt idx="73">
                  <c:v>41333</c:v>
                </c:pt>
                <c:pt idx="74">
                  <c:v>41333</c:v>
                </c:pt>
                <c:pt idx="75">
                  <c:v>41333</c:v>
                </c:pt>
                <c:pt idx="76">
                  <c:v>41334</c:v>
                </c:pt>
                <c:pt idx="77">
                  <c:v>41334</c:v>
                </c:pt>
                <c:pt idx="78">
                  <c:v>41334</c:v>
                </c:pt>
                <c:pt idx="79">
                  <c:v>41334</c:v>
                </c:pt>
                <c:pt idx="80">
                  <c:v>41334</c:v>
                </c:pt>
                <c:pt idx="81">
                  <c:v>41334</c:v>
                </c:pt>
                <c:pt idx="82">
                  <c:v>41335</c:v>
                </c:pt>
                <c:pt idx="83">
                  <c:v>41338</c:v>
                </c:pt>
                <c:pt idx="84">
                  <c:v>41339</c:v>
                </c:pt>
                <c:pt idx="85">
                  <c:v>41340</c:v>
                </c:pt>
                <c:pt idx="86">
                  <c:v>41340</c:v>
                </c:pt>
                <c:pt idx="87">
                  <c:v>41340</c:v>
                </c:pt>
                <c:pt idx="88">
                  <c:v>41342</c:v>
                </c:pt>
                <c:pt idx="89">
                  <c:v>41345</c:v>
                </c:pt>
                <c:pt idx="90">
                  <c:v>41345</c:v>
                </c:pt>
                <c:pt idx="91">
                  <c:v>41346</c:v>
                </c:pt>
                <c:pt idx="92">
                  <c:v>41347</c:v>
                </c:pt>
                <c:pt idx="93">
                  <c:v>41347</c:v>
                </c:pt>
                <c:pt idx="94">
                  <c:v>41347</c:v>
                </c:pt>
                <c:pt idx="95">
                  <c:v>41348</c:v>
                </c:pt>
                <c:pt idx="96">
                  <c:v>41352</c:v>
                </c:pt>
                <c:pt idx="97">
                  <c:v>41353</c:v>
                </c:pt>
                <c:pt idx="98">
                  <c:v>41354</c:v>
                </c:pt>
                <c:pt idx="99">
                  <c:v>41354</c:v>
                </c:pt>
                <c:pt idx="100">
                  <c:v>41354</c:v>
                </c:pt>
                <c:pt idx="101">
                  <c:v>41356</c:v>
                </c:pt>
                <c:pt idx="102">
                  <c:v>41359</c:v>
                </c:pt>
                <c:pt idx="103">
                  <c:v>41359</c:v>
                </c:pt>
                <c:pt idx="104">
                  <c:v>41360</c:v>
                </c:pt>
                <c:pt idx="105">
                  <c:v>41361</c:v>
                </c:pt>
                <c:pt idx="106">
                  <c:v>41361</c:v>
                </c:pt>
                <c:pt idx="107">
                  <c:v>41361</c:v>
                </c:pt>
                <c:pt idx="108">
                  <c:v>41362</c:v>
                </c:pt>
                <c:pt idx="109">
                  <c:v>41365</c:v>
                </c:pt>
                <c:pt idx="110">
                  <c:v>41365</c:v>
                </c:pt>
                <c:pt idx="111">
                  <c:v>41365</c:v>
                </c:pt>
                <c:pt idx="112">
                  <c:v>41365</c:v>
                </c:pt>
                <c:pt idx="113">
                  <c:v>41365</c:v>
                </c:pt>
                <c:pt idx="114">
                  <c:v>41365</c:v>
                </c:pt>
                <c:pt idx="115">
                  <c:v>41365</c:v>
                </c:pt>
                <c:pt idx="116">
                  <c:v>41366</c:v>
                </c:pt>
                <c:pt idx="117">
                  <c:v>41366</c:v>
                </c:pt>
                <c:pt idx="118">
                  <c:v>41367</c:v>
                </c:pt>
                <c:pt idx="119">
                  <c:v>41368</c:v>
                </c:pt>
                <c:pt idx="120">
                  <c:v>41368</c:v>
                </c:pt>
                <c:pt idx="121">
                  <c:v>41368</c:v>
                </c:pt>
                <c:pt idx="122">
                  <c:v>41370</c:v>
                </c:pt>
                <c:pt idx="123">
                  <c:v>41373</c:v>
                </c:pt>
                <c:pt idx="124">
                  <c:v>41373</c:v>
                </c:pt>
                <c:pt idx="125">
                  <c:v>41374</c:v>
                </c:pt>
                <c:pt idx="126">
                  <c:v>41375</c:v>
                </c:pt>
                <c:pt idx="127">
                  <c:v>41375</c:v>
                </c:pt>
                <c:pt idx="128">
                  <c:v>41375</c:v>
                </c:pt>
                <c:pt idx="129">
                  <c:v>41376</c:v>
                </c:pt>
                <c:pt idx="130">
                  <c:v>41380</c:v>
                </c:pt>
                <c:pt idx="131">
                  <c:v>41381</c:v>
                </c:pt>
                <c:pt idx="132">
                  <c:v>41382</c:v>
                </c:pt>
                <c:pt idx="133">
                  <c:v>41382</c:v>
                </c:pt>
                <c:pt idx="134">
                  <c:v>41382</c:v>
                </c:pt>
                <c:pt idx="135">
                  <c:v>41384</c:v>
                </c:pt>
                <c:pt idx="136">
                  <c:v>41387</c:v>
                </c:pt>
                <c:pt idx="137">
                  <c:v>41387</c:v>
                </c:pt>
                <c:pt idx="138">
                  <c:v>41388</c:v>
                </c:pt>
                <c:pt idx="139">
                  <c:v>41389</c:v>
                </c:pt>
                <c:pt idx="140">
                  <c:v>41389</c:v>
                </c:pt>
                <c:pt idx="141">
                  <c:v>41389</c:v>
                </c:pt>
                <c:pt idx="142">
                  <c:v>41390</c:v>
                </c:pt>
                <c:pt idx="143">
                  <c:v>41394</c:v>
                </c:pt>
                <c:pt idx="144">
                  <c:v>41395</c:v>
                </c:pt>
                <c:pt idx="145">
                  <c:v>41395</c:v>
                </c:pt>
                <c:pt idx="146">
                  <c:v>41395</c:v>
                </c:pt>
                <c:pt idx="147">
                  <c:v>41395</c:v>
                </c:pt>
                <c:pt idx="148">
                  <c:v>41395</c:v>
                </c:pt>
                <c:pt idx="149">
                  <c:v>41395</c:v>
                </c:pt>
                <c:pt idx="150">
                  <c:v>41395</c:v>
                </c:pt>
                <c:pt idx="151">
                  <c:v>41395</c:v>
                </c:pt>
                <c:pt idx="152">
                  <c:v>41396</c:v>
                </c:pt>
                <c:pt idx="153">
                  <c:v>41396</c:v>
                </c:pt>
                <c:pt idx="154">
                  <c:v>41396</c:v>
                </c:pt>
                <c:pt idx="155">
                  <c:v>41396</c:v>
                </c:pt>
                <c:pt idx="156">
                  <c:v>41398</c:v>
                </c:pt>
                <c:pt idx="157">
                  <c:v>41401</c:v>
                </c:pt>
                <c:pt idx="158">
                  <c:v>41401</c:v>
                </c:pt>
                <c:pt idx="159">
                  <c:v>41402</c:v>
                </c:pt>
                <c:pt idx="160">
                  <c:v>41403</c:v>
                </c:pt>
                <c:pt idx="161">
                  <c:v>41403</c:v>
                </c:pt>
                <c:pt idx="162">
                  <c:v>41403</c:v>
                </c:pt>
                <c:pt idx="163">
                  <c:v>41404</c:v>
                </c:pt>
                <c:pt idx="164">
                  <c:v>41408</c:v>
                </c:pt>
                <c:pt idx="165">
                  <c:v>41409</c:v>
                </c:pt>
                <c:pt idx="166">
                  <c:v>41410</c:v>
                </c:pt>
                <c:pt idx="167">
                  <c:v>41410</c:v>
                </c:pt>
                <c:pt idx="168">
                  <c:v>41410</c:v>
                </c:pt>
                <c:pt idx="169">
                  <c:v>41412</c:v>
                </c:pt>
                <c:pt idx="170">
                  <c:v>41415</c:v>
                </c:pt>
                <c:pt idx="171">
                  <c:v>41415</c:v>
                </c:pt>
                <c:pt idx="172">
                  <c:v>41416</c:v>
                </c:pt>
                <c:pt idx="173">
                  <c:v>41417</c:v>
                </c:pt>
                <c:pt idx="174">
                  <c:v>41417</c:v>
                </c:pt>
                <c:pt idx="175">
                  <c:v>41417</c:v>
                </c:pt>
                <c:pt idx="176">
                  <c:v>41418</c:v>
                </c:pt>
                <c:pt idx="177">
                  <c:v>41422</c:v>
                </c:pt>
                <c:pt idx="178">
                  <c:v>41423</c:v>
                </c:pt>
                <c:pt idx="179">
                  <c:v>41424</c:v>
                </c:pt>
                <c:pt idx="180">
                  <c:v>41424</c:v>
                </c:pt>
                <c:pt idx="181">
                  <c:v>41424</c:v>
                </c:pt>
                <c:pt idx="182">
                  <c:v>41426</c:v>
                </c:pt>
                <c:pt idx="183">
                  <c:v>41426</c:v>
                </c:pt>
                <c:pt idx="184">
                  <c:v>41426</c:v>
                </c:pt>
                <c:pt idx="185">
                  <c:v>41426</c:v>
                </c:pt>
                <c:pt idx="186">
                  <c:v>41426</c:v>
                </c:pt>
                <c:pt idx="187">
                  <c:v>41426</c:v>
                </c:pt>
                <c:pt idx="188">
                  <c:v>41427</c:v>
                </c:pt>
                <c:pt idx="189">
                  <c:v>41429</c:v>
                </c:pt>
                <c:pt idx="190">
                  <c:v>41429</c:v>
                </c:pt>
                <c:pt idx="191">
                  <c:v>41430</c:v>
                </c:pt>
                <c:pt idx="192">
                  <c:v>41431</c:v>
                </c:pt>
                <c:pt idx="193">
                  <c:v>41431</c:v>
                </c:pt>
                <c:pt idx="194">
                  <c:v>41431</c:v>
                </c:pt>
                <c:pt idx="195">
                  <c:v>41432</c:v>
                </c:pt>
                <c:pt idx="196">
                  <c:v>41436</c:v>
                </c:pt>
                <c:pt idx="197">
                  <c:v>41437</c:v>
                </c:pt>
                <c:pt idx="198">
                  <c:v>41438</c:v>
                </c:pt>
                <c:pt idx="199">
                  <c:v>41438</c:v>
                </c:pt>
                <c:pt idx="200">
                  <c:v>41438</c:v>
                </c:pt>
                <c:pt idx="201">
                  <c:v>41440</c:v>
                </c:pt>
                <c:pt idx="202">
                  <c:v>41443</c:v>
                </c:pt>
                <c:pt idx="203">
                  <c:v>41443</c:v>
                </c:pt>
                <c:pt idx="204">
                  <c:v>41444</c:v>
                </c:pt>
                <c:pt idx="205">
                  <c:v>41445</c:v>
                </c:pt>
                <c:pt idx="206">
                  <c:v>41445</c:v>
                </c:pt>
                <c:pt idx="207">
                  <c:v>41445</c:v>
                </c:pt>
                <c:pt idx="208">
                  <c:v>41446</c:v>
                </c:pt>
                <c:pt idx="209">
                  <c:v>41450</c:v>
                </c:pt>
                <c:pt idx="210">
                  <c:v>41451</c:v>
                </c:pt>
                <c:pt idx="211">
                  <c:v>41452</c:v>
                </c:pt>
                <c:pt idx="212">
                  <c:v>41452</c:v>
                </c:pt>
                <c:pt idx="213">
                  <c:v>41452</c:v>
                </c:pt>
                <c:pt idx="214">
                  <c:v>41454</c:v>
                </c:pt>
                <c:pt idx="215">
                  <c:v>41456</c:v>
                </c:pt>
                <c:pt idx="216">
                  <c:v>41456</c:v>
                </c:pt>
                <c:pt idx="217">
                  <c:v>41456</c:v>
                </c:pt>
                <c:pt idx="218">
                  <c:v>41456</c:v>
                </c:pt>
                <c:pt idx="219">
                  <c:v>41456</c:v>
                </c:pt>
                <c:pt idx="220">
                  <c:v>41456</c:v>
                </c:pt>
                <c:pt idx="221">
                  <c:v>41457</c:v>
                </c:pt>
                <c:pt idx="222">
                  <c:v>41457</c:v>
                </c:pt>
                <c:pt idx="223">
                  <c:v>41457</c:v>
                </c:pt>
                <c:pt idx="224">
                  <c:v>41458</c:v>
                </c:pt>
                <c:pt idx="225">
                  <c:v>41459</c:v>
                </c:pt>
                <c:pt idx="226">
                  <c:v>41459</c:v>
                </c:pt>
                <c:pt idx="227">
                  <c:v>41459</c:v>
                </c:pt>
                <c:pt idx="228">
                  <c:v>41460</c:v>
                </c:pt>
                <c:pt idx="229">
                  <c:v>41464</c:v>
                </c:pt>
                <c:pt idx="230">
                  <c:v>41465</c:v>
                </c:pt>
                <c:pt idx="231">
                  <c:v>41466</c:v>
                </c:pt>
                <c:pt idx="232">
                  <c:v>41466</c:v>
                </c:pt>
                <c:pt idx="233">
                  <c:v>41466</c:v>
                </c:pt>
                <c:pt idx="234">
                  <c:v>41468</c:v>
                </c:pt>
                <c:pt idx="235">
                  <c:v>41471</c:v>
                </c:pt>
                <c:pt idx="236">
                  <c:v>41471</c:v>
                </c:pt>
                <c:pt idx="237">
                  <c:v>41472</c:v>
                </c:pt>
                <c:pt idx="238">
                  <c:v>41473</c:v>
                </c:pt>
                <c:pt idx="239">
                  <c:v>41473</c:v>
                </c:pt>
                <c:pt idx="240">
                  <c:v>41473</c:v>
                </c:pt>
                <c:pt idx="241">
                  <c:v>41474</c:v>
                </c:pt>
                <c:pt idx="242">
                  <c:v>41478</c:v>
                </c:pt>
                <c:pt idx="243">
                  <c:v>41479</c:v>
                </c:pt>
                <c:pt idx="244">
                  <c:v>41480</c:v>
                </c:pt>
                <c:pt idx="245">
                  <c:v>41480</c:v>
                </c:pt>
                <c:pt idx="246">
                  <c:v>41480</c:v>
                </c:pt>
                <c:pt idx="247">
                  <c:v>41482</c:v>
                </c:pt>
                <c:pt idx="248">
                  <c:v>41485</c:v>
                </c:pt>
                <c:pt idx="249">
                  <c:v>41485</c:v>
                </c:pt>
                <c:pt idx="250">
                  <c:v>41486</c:v>
                </c:pt>
                <c:pt idx="251">
                  <c:v>41487</c:v>
                </c:pt>
                <c:pt idx="252">
                  <c:v>41487</c:v>
                </c:pt>
                <c:pt idx="253">
                  <c:v>41487</c:v>
                </c:pt>
                <c:pt idx="254">
                  <c:v>41487</c:v>
                </c:pt>
                <c:pt idx="255">
                  <c:v>41487</c:v>
                </c:pt>
                <c:pt idx="256">
                  <c:v>41487</c:v>
                </c:pt>
                <c:pt idx="257">
                  <c:v>41487</c:v>
                </c:pt>
                <c:pt idx="258">
                  <c:v>41487</c:v>
                </c:pt>
                <c:pt idx="259">
                  <c:v>41487</c:v>
                </c:pt>
                <c:pt idx="260">
                  <c:v>41487</c:v>
                </c:pt>
                <c:pt idx="261">
                  <c:v>41488</c:v>
                </c:pt>
                <c:pt idx="262">
                  <c:v>41488</c:v>
                </c:pt>
                <c:pt idx="263">
                  <c:v>41492</c:v>
                </c:pt>
                <c:pt idx="264">
                  <c:v>41493</c:v>
                </c:pt>
                <c:pt idx="265">
                  <c:v>41494</c:v>
                </c:pt>
                <c:pt idx="266">
                  <c:v>41494</c:v>
                </c:pt>
                <c:pt idx="267">
                  <c:v>41494</c:v>
                </c:pt>
                <c:pt idx="268">
                  <c:v>41496</c:v>
                </c:pt>
                <c:pt idx="269">
                  <c:v>41499</c:v>
                </c:pt>
                <c:pt idx="270">
                  <c:v>41499</c:v>
                </c:pt>
                <c:pt idx="271">
                  <c:v>41500</c:v>
                </c:pt>
                <c:pt idx="272">
                  <c:v>41501</c:v>
                </c:pt>
                <c:pt idx="273">
                  <c:v>41501</c:v>
                </c:pt>
                <c:pt idx="274">
                  <c:v>41501</c:v>
                </c:pt>
                <c:pt idx="275">
                  <c:v>41502</c:v>
                </c:pt>
                <c:pt idx="276">
                  <c:v>41506</c:v>
                </c:pt>
                <c:pt idx="277">
                  <c:v>41507</c:v>
                </c:pt>
                <c:pt idx="278">
                  <c:v>41508</c:v>
                </c:pt>
                <c:pt idx="279">
                  <c:v>41508</c:v>
                </c:pt>
                <c:pt idx="280">
                  <c:v>41508</c:v>
                </c:pt>
                <c:pt idx="281">
                  <c:v>41510</c:v>
                </c:pt>
                <c:pt idx="282">
                  <c:v>41513</c:v>
                </c:pt>
                <c:pt idx="283">
                  <c:v>41513</c:v>
                </c:pt>
                <c:pt idx="284">
                  <c:v>41514</c:v>
                </c:pt>
                <c:pt idx="285">
                  <c:v>41515</c:v>
                </c:pt>
                <c:pt idx="286">
                  <c:v>41515</c:v>
                </c:pt>
                <c:pt idx="287">
                  <c:v>41515</c:v>
                </c:pt>
                <c:pt idx="288">
                  <c:v>41516</c:v>
                </c:pt>
                <c:pt idx="289">
                  <c:v>41518</c:v>
                </c:pt>
                <c:pt idx="290">
                  <c:v>41518</c:v>
                </c:pt>
                <c:pt idx="291">
                  <c:v>41518</c:v>
                </c:pt>
                <c:pt idx="292">
                  <c:v>41518</c:v>
                </c:pt>
                <c:pt idx="293">
                  <c:v>41518</c:v>
                </c:pt>
                <c:pt idx="294">
                  <c:v>41519</c:v>
                </c:pt>
                <c:pt idx="295">
                  <c:v>41520</c:v>
                </c:pt>
                <c:pt idx="296">
                  <c:v>41521</c:v>
                </c:pt>
                <c:pt idx="297">
                  <c:v>41522</c:v>
                </c:pt>
                <c:pt idx="298">
                  <c:v>41522</c:v>
                </c:pt>
                <c:pt idx="299">
                  <c:v>41522</c:v>
                </c:pt>
                <c:pt idx="300">
                  <c:v>41524</c:v>
                </c:pt>
                <c:pt idx="301">
                  <c:v>41527</c:v>
                </c:pt>
                <c:pt idx="302">
                  <c:v>41527</c:v>
                </c:pt>
                <c:pt idx="303">
                  <c:v>41528</c:v>
                </c:pt>
                <c:pt idx="304">
                  <c:v>41529</c:v>
                </c:pt>
                <c:pt idx="305">
                  <c:v>41529</c:v>
                </c:pt>
                <c:pt idx="306">
                  <c:v>41529</c:v>
                </c:pt>
                <c:pt idx="307">
                  <c:v>41530</c:v>
                </c:pt>
                <c:pt idx="308">
                  <c:v>41534</c:v>
                </c:pt>
                <c:pt idx="309">
                  <c:v>41535</c:v>
                </c:pt>
                <c:pt idx="310">
                  <c:v>41536</c:v>
                </c:pt>
                <c:pt idx="311">
                  <c:v>41536</c:v>
                </c:pt>
                <c:pt idx="312">
                  <c:v>41536</c:v>
                </c:pt>
                <c:pt idx="313">
                  <c:v>41538</c:v>
                </c:pt>
                <c:pt idx="314">
                  <c:v>41541</c:v>
                </c:pt>
                <c:pt idx="315">
                  <c:v>41541</c:v>
                </c:pt>
                <c:pt idx="316">
                  <c:v>41542</c:v>
                </c:pt>
                <c:pt idx="317">
                  <c:v>41543</c:v>
                </c:pt>
                <c:pt idx="318">
                  <c:v>41543</c:v>
                </c:pt>
                <c:pt idx="319">
                  <c:v>41543</c:v>
                </c:pt>
                <c:pt idx="320">
                  <c:v>41544</c:v>
                </c:pt>
                <c:pt idx="321">
                  <c:v>41548</c:v>
                </c:pt>
                <c:pt idx="322">
                  <c:v>41548</c:v>
                </c:pt>
                <c:pt idx="323">
                  <c:v>41548</c:v>
                </c:pt>
                <c:pt idx="324">
                  <c:v>41548</c:v>
                </c:pt>
                <c:pt idx="325">
                  <c:v>41548</c:v>
                </c:pt>
                <c:pt idx="326">
                  <c:v>41548</c:v>
                </c:pt>
                <c:pt idx="327">
                  <c:v>41548</c:v>
                </c:pt>
                <c:pt idx="328">
                  <c:v>41549</c:v>
                </c:pt>
                <c:pt idx="329">
                  <c:v>41549</c:v>
                </c:pt>
                <c:pt idx="330">
                  <c:v>41550</c:v>
                </c:pt>
                <c:pt idx="331">
                  <c:v>41550</c:v>
                </c:pt>
                <c:pt idx="332">
                  <c:v>41550</c:v>
                </c:pt>
                <c:pt idx="333">
                  <c:v>41552</c:v>
                </c:pt>
                <c:pt idx="334">
                  <c:v>41555</c:v>
                </c:pt>
                <c:pt idx="335">
                  <c:v>41555</c:v>
                </c:pt>
                <c:pt idx="336">
                  <c:v>41556</c:v>
                </c:pt>
                <c:pt idx="337">
                  <c:v>41557</c:v>
                </c:pt>
                <c:pt idx="338">
                  <c:v>41557</c:v>
                </c:pt>
                <c:pt idx="339">
                  <c:v>41557</c:v>
                </c:pt>
                <c:pt idx="340">
                  <c:v>41558</c:v>
                </c:pt>
                <c:pt idx="341">
                  <c:v>41562</c:v>
                </c:pt>
                <c:pt idx="342">
                  <c:v>41563</c:v>
                </c:pt>
                <c:pt idx="343">
                  <c:v>41564</c:v>
                </c:pt>
                <c:pt idx="344">
                  <c:v>41564</c:v>
                </c:pt>
                <c:pt idx="345">
                  <c:v>41564</c:v>
                </c:pt>
                <c:pt idx="346">
                  <c:v>41566</c:v>
                </c:pt>
                <c:pt idx="347">
                  <c:v>41569</c:v>
                </c:pt>
                <c:pt idx="348">
                  <c:v>41569</c:v>
                </c:pt>
                <c:pt idx="349">
                  <c:v>41570</c:v>
                </c:pt>
                <c:pt idx="350">
                  <c:v>41571</c:v>
                </c:pt>
                <c:pt idx="351">
                  <c:v>41571</c:v>
                </c:pt>
                <c:pt idx="352">
                  <c:v>41571</c:v>
                </c:pt>
                <c:pt idx="353">
                  <c:v>41572</c:v>
                </c:pt>
                <c:pt idx="354">
                  <c:v>41576</c:v>
                </c:pt>
                <c:pt idx="355">
                  <c:v>41577</c:v>
                </c:pt>
                <c:pt idx="356">
                  <c:v>41578</c:v>
                </c:pt>
                <c:pt idx="357">
                  <c:v>41578</c:v>
                </c:pt>
                <c:pt idx="358">
                  <c:v>41578</c:v>
                </c:pt>
                <c:pt idx="359">
                  <c:v>41579</c:v>
                </c:pt>
                <c:pt idx="360">
                  <c:v>41579</c:v>
                </c:pt>
                <c:pt idx="361">
                  <c:v>41579</c:v>
                </c:pt>
                <c:pt idx="362">
                  <c:v>41579</c:v>
                </c:pt>
                <c:pt idx="363">
                  <c:v>41579</c:v>
                </c:pt>
                <c:pt idx="364">
                  <c:v>41579</c:v>
                </c:pt>
                <c:pt idx="365">
                  <c:v>41579</c:v>
                </c:pt>
                <c:pt idx="366">
                  <c:v>41580</c:v>
                </c:pt>
                <c:pt idx="367">
                  <c:v>41580</c:v>
                </c:pt>
                <c:pt idx="368">
                  <c:v>41583</c:v>
                </c:pt>
                <c:pt idx="369">
                  <c:v>41583</c:v>
                </c:pt>
                <c:pt idx="370">
                  <c:v>41584</c:v>
                </c:pt>
                <c:pt idx="371">
                  <c:v>41585</c:v>
                </c:pt>
                <c:pt idx="372">
                  <c:v>41585</c:v>
                </c:pt>
                <c:pt idx="373">
                  <c:v>41585</c:v>
                </c:pt>
                <c:pt idx="374">
                  <c:v>41586</c:v>
                </c:pt>
                <c:pt idx="375">
                  <c:v>41590</c:v>
                </c:pt>
                <c:pt idx="376">
                  <c:v>41591</c:v>
                </c:pt>
                <c:pt idx="377">
                  <c:v>41592</c:v>
                </c:pt>
                <c:pt idx="378">
                  <c:v>41592</c:v>
                </c:pt>
                <c:pt idx="379">
                  <c:v>41592</c:v>
                </c:pt>
                <c:pt idx="380">
                  <c:v>41594</c:v>
                </c:pt>
                <c:pt idx="381">
                  <c:v>41597</c:v>
                </c:pt>
                <c:pt idx="382">
                  <c:v>41597</c:v>
                </c:pt>
                <c:pt idx="383">
                  <c:v>41598</c:v>
                </c:pt>
                <c:pt idx="384">
                  <c:v>41599</c:v>
                </c:pt>
                <c:pt idx="385">
                  <c:v>41599</c:v>
                </c:pt>
                <c:pt idx="386">
                  <c:v>41599</c:v>
                </c:pt>
                <c:pt idx="387">
                  <c:v>41600</c:v>
                </c:pt>
                <c:pt idx="388">
                  <c:v>41604</c:v>
                </c:pt>
                <c:pt idx="389">
                  <c:v>41605</c:v>
                </c:pt>
                <c:pt idx="390">
                  <c:v>41606</c:v>
                </c:pt>
                <c:pt idx="391">
                  <c:v>41606</c:v>
                </c:pt>
                <c:pt idx="392">
                  <c:v>41606</c:v>
                </c:pt>
                <c:pt idx="393">
                  <c:v>41608</c:v>
                </c:pt>
                <c:pt idx="394">
                  <c:v>41609</c:v>
                </c:pt>
                <c:pt idx="395">
                  <c:v>41609</c:v>
                </c:pt>
                <c:pt idx="396">
                  <c:v>41609</c:v>
                </c:pt>
                <c:pt idx="397">
                  <c:v>41609</c:v>
                </c:pt>
                <c:pt idx="398">
                  <c:v>41609</c:v>
                </c:pt>
                <c:pt idx="399">
                  <c:v>41610</c:v>
                </c:pt>
                <c:pt idx="400">
                  <c:v>41611</c:v>
                </c:pt>
                <c:pt idx="401">
                  <c:v>41611</c:v>
                </c:pt>
                <c:pt idx="402">
                  <c:v>41612</c:v>
                </c:pt>
                <c:pt idx="403">
                  <c:v>41613</c:v>
                </c:pt>
                <c:pt idx="404">
                  <c:v>41613</c:v>
                </c:pt>
                <c:pt idx="405">
                  <c:v>41613</c:v>
                </c:pt>
                <c:pt idx="406">
                  <c:v>41614</c:v>
                </c:pt>
                <c:pt idx="407">
                  <c:v>41618</c:v>
                </c:pt>
                <c:pt idx="408">
                  <c:v>41619</c:v>
                </c:pt>
                <c:pt idx="409">
                  <c:v>41620</c:v>
                </c:pt>
                <c:pt idx="410">
                  <c:v>41620</c:v>
                </c:pt>
                <c:pt idx="411">
                  <c:v>41620</c:v>
                </c:pt>
                <c:pt idx="412">
                  <c:v>41622</c:v>
                </c:pt>
                <c:pt idx="413">
                  <c:v>41625</c:v>
                </c:pt>
                <c:pt idx="414">
                  <c:v>41625</c:v>
                </c:pt>
                <c:pt idx="415">
                  <c:v>41626</c:v>
                </c:pt>
                <c:pt idx="416">
                  <c:v>41627</c:v>
                </c:pt>
                <c:pt idx="417">
                  <c:v>41627</c:v>
                </c:pt>
                <c:pt idx="418">
                  <c:v>41627</c:v>
                </c:pt>
                <c:pt idx="419">
                  <c:v>41628</c:v>
                </c:pt>
                <c:pt idx="420">
                  <c:v>41632</c:v>
                </c:pt>
                <c:pt idx="421">
                  <c:v>41633</c:v>
                </c:pt>
                <c:pt idx="422">
                  <c:v>41634</c:v>
                </c:pt>
                <c:pt idx="423">
                  <c:v>41634</c:v>
                </c:pt>
                <c:pt idx="424">
                  <c:v>41634</c:v>
                </c:pt>
                <c:pt idx="425">
                  <c:v>41636</c:v>
                </c:pt>
                <c:pt idx="426">
                  <c:v>41639</c:v>
                </c:pt>
                <c:pt idx="427">
                  <c:v>41639</c:v>
                </c:pt>
                <c:pt idx="428">
                  <c:v>41640</c:v>
                </c:pt>
                <c:pt idx="429">
                  <c:v>41640</c:v>
                </c:pt>
                <c:pt idx="430">
                  <c:v>41640</c:v>
                </c:pt>
                <c:pt idx="431">
                  <c:v>41640</c:v>
                </c:pt>
                <c:pt idx="432">
                  <c:v>41640</c:v>
                </c:pt>
                <c:pt idx="433">
                  <c:v>41640</c:v>
                </c:pt>
                <c:pt idx="434">
                  <c:v>41640</c:v>
                </c:pt>
                <c:pt idx="435">
                  <c:v>41641</c:v>
                </c:pt>
                <c:pt idx="436">
                  <c:v>41641</c:v>
                </c:pt>
                <c:pt idx="437">
                  <c:v>41641</c:v>
                </c:pt>
                <c:pt idx="438">
                  <c:v>41641</c:v>
                </c:pt>
                <c:pt idx="439">
                  <c:v>41642</c:v>
                </c:pt>
                <c:pt idx="440">
                  <c:v>41646</c:v>
                </c:pt>
                <c:pt idx="441">
                  <c:v>41647</c:v>
                </c:pt>
                <c:pt idx="442">
                  <c:v>41648</c:v>
                </c:pt>
                <c:pt idx="443">
                  <c:v>41648</c:v>
                </c:pt>
                <c:pt idx="444">
                  <c:v>41648</c:v>
                </c:pt>
                <c:pt idx="445">
                  <c:v>41650</c:v>
                </c:pt>
                <c:pt idx="446">
                  <c:v>41653</c:v>
                </c:pt>
                <c:pt idx="447">
                  <c:v>41653</c:v>
                </c:pt>
                <c:pt idx="448">
                  <c:v>41654</c:v>
                </c:pt>
                <c:pt idx="449">
                  <c:v>41655</c:v>
                </c:pt>
                <c:pt idx="450">
                  <c:v>41655</c:v>
                </c:pt>
                <c:pt idx="451">
                  <c:v>41655</c:v>
                </c:pt>
                <c:pt idx="452">
                  <c:v>41656</c:v>
                </c:pt>
                <c:pt idx="453">
                  <c:v>41660</c:v>
                </c:pt>
                <c:pt idx="454">
                  <c:v>41661</c:v>
                </c:pt>
                <c:pt idx="455">
                  <c:v>41662</c:v>
                </c:pt>
                <c:pt idx="456">
                  <c:v>41662</c:v>
                </c:pt>
                <c:pt idx="457">
                  <c:v>41662</c:v>
                </c:pt>
                <c:pt idx="458">
                  <c:v>41664</c:v>
                </c:pt>
                <c:pt idx="459">
                  <c:v>41667</c:v>
                </c:pt>
                <c:pt idx="460">
                  <c:v>41667</c:v>
                </c:pt>
                <c:pt idx="461">
                  <c:v>41668</c:v>
                </c:pt>
                <c:pt idx="462">
                  <c:v>41669</c:v>
                </c:pt>
                <c:pt idx="463">
                  <c:v>41669</c:v>
                </c:pt>
                <c:pt idx="464">
                  <c:v>41669</c:v>
                </c:pt>
                <c:pt idx="465">
                  <c:v>41670</c:v>
                </c:pt>
                <c:pt idx="466">
                  <c:v>41671</c:v>
                </c:pt>
                <c:pt idx="467">
                  <c:v>41671</c:v>
                </c:pt>
                <c:pt idx="468">
                  <c:v>41671</c:v>
                </c:pt>
                <c:pt idx="469">
                  <c:v>41671</c:v>
                </c:pt>
                <c:pt idx="470">
                  <c:v>41671</c:v>
                </c:pt>
                <c:pt idx="471">
                  <c:v>41671</c:v>
                </c:pt>
                <c:pt idx="472">
                  <c:v>41671</c:v>
                </c:pt>
                <c:pt idx="473">
                  <c:v>41672</c:v>
                </c:pt>
                <c:pt idx="474">
                  <c:v>41674</c:v>
                </c:pt>
                <c:pt idx="475">
                  <c:v>41675</c:v>
                </c:pt>
                <c:pt idx="476">
                  <c:v>41676</c:v>
                </c:pt>
                <c:pt idx="477">
                  <c:v>41676</c:v>
                </c:pt>
                <c:pt idx="478">
                  <c:v>41676</c:v>
                </c:pt>
                <c:pt idx="479">
                  <c:v>41678</c:v>
                </c:pt>
                <c:pt idx="480">
                  <c:v>41681</c:v>
                </c:pt>
                <c:pt idx="481">
                  <c:v>41681</c:v>
                </c:pt>
                <c:pt idx="482">
                  <c:v>41682</c:v>
                </c:pt>
                <c:pt idx="483">
                  <c:v>41683</c:v>
                </c:pt>
                <c:pt idx="484">
                  <c:v>41683</c:v>
                </c:pt>
                <c:pt idx="485">
                  <c:v>41683</c:v>
                </c:pt>
                <c:pt idx="486">
                  <c:v>41684</c:v>
                </c:pt>
                <c:pt idx="487">
                  <c:v>41688</c:v>
                </c:pt>
                <c:pt idx="488">
                  <c:v>41689</c:v>
                </c:pt>
                <c:pt idx="489">
                  <c:v>41690</c:v>
                </c:pt>
                <c:pt idx="490">
                  <c:v>41690</c:v>
                </c:pt>
                <c:pt idx="491">
                  <c:v>41690</c:v>
                </c:pt>
                <c:pt idx="492">
                  <c:v>41692</c:v>
                </c:pt>
                <c:pt idx="493">
                  <c:v>41695</c:v>
                </c:pt>
                <c:pt idx="494">
                  <c:v>41695</c:v>
                </c:pt>
                <c:pt idx="495">
                  <c:v>41696</c:v>
                </c:pt>
                <c:pt idx="496">
                  <c:v>41697</c:v>
                </c:pt>
                <c:pt idx="497">
                  <c:v>41697</c:v>
                </c:pt>
                <c:pt idx="498">
                  <c:v>41697</c:v>
                </c:pt>
                <c:pt idx="499">
                  <c:v>41698</c:v>
                </c:pt>
                <c:pt idx="500">
                  <c:v>41699</c:v>
                </c:pt>
                <c:pt idx="501">
                  <c:v>41699</c:v>
                </c:pt>
                <c:pt idx="502">
                  <c:v>41699</c:v>
                </c:pt>
                <c:pt idx="503">
                  <c:v>41699</c:v>
                </c:pt>
                <c:pt idx="504">
                  <c:v>41699</c:v>
                </c:pt>
                <c:pt idx="505">
                  <c:v>41700</c:v>
                </c:pt>
                <c:pt idx="506">
                  <c:v>41702</c:v>
                </c:pt>
                <c:pt idx="507">
                  <c:v>41703</c:v>
                </c:pt>
                <c:pt idx="508">
                  <c:v>41704</c:v>
                </c:pt>
                <c:pt idx="509">
                  <c:v>41704</c:v>
                </c:pt>
                <c:pt idx="510">
                  <c:v>41704</c:v>
                </c:pt>
                <c:pt idx="511">
                  <c:v>41706</c:v>
                </c:pt>
                <c:pt idx="512">
                  <c:v>41709</c:v>
                </c:pt>
                <c:pt idx="513">
                  <c:v>41709</c:v>
                </c:pt>
                <c:pt idx="514">
                  <c:v>41710</c:v>
                </c:pt>
                <c:pt idx="515">
                  <c:v>41711</c:v>
                </c:pt>
                <c:pt idx="516">
                  <c:v>41711</c:v>
                </c:pt>
                <c:pt idx="517">
                  <c:v>41711</c:v>
                </c:pt>
                <c:pt idx="518">
                  <c:v>41712</c:v>
                </c:pt>
                <c:pt idx="519">
                  <c:v>41716</c:v>
                </c:pt>
                <c:pt idx="520">
                  <c:v>41717</c:v>
                </c:pt>
                <c:pt idx="521">
                  <c:v>41718</c:v>
                </c:pt>
                <c:pt idx="522">
                  <c:v>41718</c:v>
                </c:pt>
                <c:pt idx="523">
                  <c:v>41718</c:v>
                </c:pt>
                <c:pt idx="524">
                  <c:v>41720</c:v>
                </c:pt>
                <c:pt idx="525">
                  <c:v>41723</c:v>
                </c:pt>
                <c:pt idx="526">
                  <c:v>41723</c:v>
                </c:pt>
                <c:pt idx="527">
                  <c:v>41724</c:v>
                </c:pt>
                <c:pt idx="528">
                  <c:v>41725</c:v>
                </c:pt>
                <c:pt idx="529">
                  <c:v>41725</c:v>
                </c:pt>
                <c:pt idx="530">
                  <c:v>41725</c:v>
                </c:pt>
                <c:pt idx="531">
                  <c:v>41726</c:v>
                </c:pt>
                <c:pt idx="532">
                  <c:v>41730</c:v>
                </c:pt>
                <c:pt idx="533">
                  <c:v>41730</c:v>
                </c:pt>
                <c:pt idx="534">
                  <c:v>41730</c:v>
                </c:pt>
                <c:pt idx="535">
                  <c:v>41730</c:v>
                </c:pt>
                <c:pt idx="536">
                  <c:v>41730</c:v>
                </c:pt>
                <c:pt idx="537">
                  <c:v>41730</c:v>
                </c:pt>
                <c:pt idx="538">
                  <c:v>41730</c:v>
                </c:pt>
                <c:pt idx="539">
                  <c:v>41731</c:v>
                </c:pt>
                <c:pt idx="540">
                  <c:v>41731</c:v>
                </c:pt>
                <c:pt idx="541">
                  <c:v>41732</c:v>
                </c:pt>
                <c:pt idx="542">
                  <c:v>41732</c:v>
                </c:pt>
                <c:pt idx="543">
                  <c:v>41732</c:v>
                </c:pt>
                <c:pt idx="544">
                  <c:v>41734</c:v>
                </c:pt>
                <c:pt idx="545">
                  <c:v>41737</c:v>
                </c:pt>
                <c:pt idx="546">
                  <c:v>41737</c:v>
                </c:pt>
                <c:pt idx="547">
                  <c:v>41738</c:v>
                </c:pt>
                <c:pt idx="548">
                  <c:v>41739</c:v>
                </c:pt>
                <c:pt idx="549">
                  <c:v>41739</c:v>
                </c:pt>
                <c:pt idx="550">
                  <c:v>41739</c:v>
                </c:pt>
                <c:pt idx="551">
                  <c:v>41740</c:v>
                </c:pt>
                <c:pt idx="552">
                  <c:v>41744</c:v>
                </c:pt>
                <c:pt idx="553">
                  <c:v>41745</c:v>
                </c:pt>
                <c:pt idx="554">
                  <c:v>41746</c:v>
                </c:pt>
                <c:pt idx="555">
                  <c:v>41746</c:v>
                </c:pt>
                <c:pt idx="556">
                  <c:v>41746</c:v>
                </c:pt>
                <c:pt idx="557">
                  <c:v>41748</c:v>
                </c:pt>
                <c:pt idx="558">
                  <c:v>41751</c:v>
                </c:pt>
                <c:pt idx="559">
                  <c:v>41751</c:v>
                </c:pt>
                <c:pt idx="560">
                  <c:v>41752</c:v>
                </c:pt>
                <c:pt idx="561">
                  <c:v>41753</c:v>
                </c:pt>
                <c:pt idx="562">
                  <c:v>41753</c:v>
                </c:pt>
                <c:pt idx="563">
                  <c:v>41753</c:v>
                </c:pt>
                <c:pt idx="564">
                  <c:v>41754</c:v>
                </c:pt>
                <c:pt idx="565">
                  <c:v>41758</c:v>
                </c:pt>
                <c:pt idx="566">
                  <c:v>41759</c:v>
                </c:pt>
                <c:pt idx="567">
                  <c:v>41760</c:v>
                </c:pt>
                <c:pt idx="568">
                  <c:v>41760</c:v>
                </c:pt>
                <c:pt idx="569">
                  <c:v>41760</c:v>
                </c:pt>
                <c:pt idx="570">
                  <c:v>41760</c:v>
                </c:pt>
                <c:pt idx="571">
                  <c:v>41760</c:v>
                </c:pt>
                <c:pt idx="572">
                  <c:v>41760</c:v>
                </c:pt>
                <c:pt idx="573">
                  <c:v>41760</c:v>
                </c:pt>
                <c:pt idx="574">
                  <c:v>41760</c:v>
                </c:pt>
                <c:pt idx="575">
                  <c:v>41760</c:v>
                </c:pt>
                <c:pt idx="576">
                  <c:v>41760</c:v>
                </c:pt>
                <c:pt idx="577">
                  <c:v>41761</c:v>
                </c:pt>
                <c:pt idx="578">
                  <c:v>41762</c:v>
                </c:pt>
                <c:pt idx="579">
                  <c:v>41765</c:v>
                </c:pt>
                <c:pt idx="580">
                  <c:v>41765</c:v>
                </c:pt>
                <c:pt idx="581">
                  <c:v>41766</c:v>
                </c:pt>
                <c:pt idx="582">
                  <c:v>41767</c:v>
                </c:pt>
                <c:pt idx="583">
                  <c:v>41767</c:v>
                </c:pt>
                <c:pt idx="584">
                  <c:v>41767</c:v>
                </c:pt>
                <c:pt idx="585">
                  <c:v>41768</c:v>
                </c:pt>
                <c:pt idx="586">
                  <c:v>41772</c:v>
                </c:pt>
                <c:pt idx="587">
                  <c:v>41773</c:v>
                </c:pt>
                <c:pt idx="588">
                  <c:v>41774</c:v>
                </c:pt>
                <c:pt idx="589">
                  <c:v>41774</c:v>
                </c:pt>
                <c:pt idx="590">
                  <c:v>41774</c:v>
                </c:pt>
                <c:pt idx="591">
                  <c:v>41776</c:v>
                </c:pt>
                <c:pt idx="592">
                  <c:v>41779</c:v>
                </c:pt>
                <c:pt idx="593">
                  <c:v>41779</c:v>
                </c:pt>
                <c:pt idx="594">
                  <c:v>41780</c:v>
                </c:pt>
                <c:pt idx="595">
                  <c:v>41781</c:v>
                </c:pt>
                <c:pt idx="596">
                  <c:v>41781</c:v>
                </c:pt>
                <c:pt idx="597">
                  <c:v>41781</c:v>
                </c:pt>
                <c:pt idx="598">
                  <c:v>41782</c:v>
                </c:pt>
                <c:pt idx="599">
                  <c:v>41786</c:v>
                </c:pt>
                <c:pt idx="600">
                  <c:v>41787</c:v>
                </c:pt>
                <c:pt idx="601">
                  <c:v>41788</c:v>
                </c:pt>
                <c:pt idx="602">
                  <c:v>41788</c:v>
                </c:pt>
                <c:pt idx="603">
                  <c:v>41788</c:v>
                </c:pt>
                <c:pt idx="604">
                  <c:v>41790</c:v>
                </c:pt>
                <c:pt idx="605">
                  <c:v>41791</c:v>
                </c:pt>
                <c:pt idx="606">
                  <c:v>41791</c:v>
                </c:pt>
                <c:pt idx="607">
                  <c:v>41791</c:v>
                </c:pt>
                <c:pt idx="608">
                  <c:v>41791</c:v>
                </c:pt>
                <c:pt idx="609">
                  <c:v>41791</c:v>
                </c:pt>
                <c:pt idx="610">
                  <c:v>41792</c:v>
                </c:pt>
                <c:pt idx="611">
                  <c:v>41793</c:v>
                </c:pt>
                <c:pt idx="612">
                  <c:v>41793</c:v>
                </c:pt>
                <c:pt idx="613">
                  <c:v>41794</c:v>
                </c:pt>
                <c:pt idx="614">
                  <c:v>41795</c:v>
                </c:pt>
                <c:pt idx="615">
                  <c:v>41795</c:v>
                </c:pt>
                <c:pt idx="616">
                  <c:v>41795</c:v>
                </c:pt>
                <c:pt idx="617">
                  <c:v>41796</c:v>
                </c:pt>
                <c:pt idx="618">
                  <c:v>41800</c:v>
                </c:pt>
                <c:pt idx="619">
                  <c:v>41801</c:v>
                </c:pt>
                <c:pt idx="620">
                  <c:v>41802</c:v>
                </c:pt>
                <c:pt idx="621">
                  <c:v>41802</c:v>
                </c:pt>
                <c:pt idx="622">
                  <c:v>41802</c:v>
                </c:pt>
                <c:pt idx="623">
                  <c:v>41804</c:v>
                </c:pt>
                <c:pt idx="624">
                  <c:v>41807</c:v>
                </c:pt>
                <c:pt idx="625">
                  <c:v>41807</c:v>
                </c:pt>
                <c:pt idx="626">
                  <c:v>41808</c:v>
                </c:pt>
                <c:pt idx="627">
                  <c:v>41809</c:v>
                </c:pt>
                <c:pt idx="628">
                  <c:v>41809</c:v>
                </c:pt>
                <c:pt idx="629">
                  <c:v>41809</c:v>
                </c:pt>
                <c:pt idx="630">
                  <c:v>41810</c:v>
                </c:pt>
                <c:pt idx="631">
                  <c:v>41814</c:v>
                </c:pt>
                <c:pt idx="632">
                  <c:v>41815</c:v>
                </c:pt>
                <c:pt idx="633">
                  <c:v>41816</c:v>
                </c:pt>
                <c:pt idx="634">
                  <c:v>41816</c:v>
                </c:pt>
                <c:pt idx="635">
                  <c:v>41816</c:v>
                </c:pt>
                <c:pt idx="636">
                  <c:v>41818</c:v>
                </c:pt>
                <c:pt idx="637">
                  <c:v>41821</c:v>
                </c:pt>
                <c:pt idx="638">
                  <c:v>41821</c:v>
                </c:pt>
                <c:pt idx="639">
                  <c:v>41821</c:v>
                </c:pt>
                <c:pt idx="640">
                  <c:v>41821</c:v>
                </c:pt>
                <c:pt idx="641">
                  <c:v>41821</c:v>
                </c:pt>
                <c:pt idx="642">
                  <c:v>41821</c:v>
                </c:pt>
                <c:pt idx="643">
                  <c:v>41821</c:v>
                </c:pt>
                <c:pt idx="644">
                  <c:v>41821</c:v>
                </c:pt>
                <c:pt idx="645">
                  <c:v>41822</c:v>
                </c:pt>
                <c:pt idx="646">
                  <c:v>41822</c:v>
                </c:pt>
                <c:pt idx="647">
                  <c:v>41823</c:v>
                </c:pt>
                <c:pt idx="648">
                  <c:v>41823</c:v>
                </c:pt>
                <c:pt idx="649">
                  <c:v>41823</c:v>
                </c:pt>
                <c:pt idx="650">
                  <c:v>41824</c:v>
                </c:pt>
                <c:pt idx="651">
                  <c:v>41828</c:v>
                </c:pt>
                <c:pt idx="652">
                  <c:v>41829</c:v>
                </c:pt>
                <c:pt idx="653">
                  <c:v>41830</c:v>
                </c:pt>
                <c:pt idx="654">
                  <c:v>41830</c:v>
                </c:pt>
                <c:pt idx="655">
                  <c:v>41830</c:v>
                </c:pt>
                <c:pt idx="656">
                  <c:v>41832</c:v>
                </c:pt>
                <c:pt idx="657">
                  <c:v>41835</c:v>
                </c:pt>
                <c:pt idx="658">
                  <c:v>41835</c:v>
                </c:pt>
                <c:pt idx="659">
                  <c:v>41836</c:v>
                </c:pt>
                <c:pt idx="660">
                  <c:v>41837</c:v>
                </c:pt>
                <c:pt idx="661">
                  <c:v>41837</c:v>
                </c:pt>
                <c:pt idx="662">
                  <c:v>41837</c:v>
                </c:pt>
                <c:pt idx="663">
                  <c:v>41838</c:v>
                </c:pt>
                <c:pt idx="664">
                  <c:v>41842</c:v>
                </c:pt>
                <c:pt idx="665">
                  <c:v>41843</c:v>
                </c:pt>
                <c:pt idx="666">
                  <c:v>41844</c:v>
                </c:pt>
                <c:pt idx="667">
                  <c:v>41844</c:v>
                </c:pt>
                <c:pt idx="668">
                  <c:v>41844</c:v>
                </c:pt>
                <c:pt idx="669">
                  <c:v>41846</c:v>
                </c:pt>
                <c:pt idx="670">
                  <c:v>41849</c:v>
                </c:pt>
                <c:pt idx="671">
                  <c:v>41849</c:v>
                </c:pt>
                <c:pt idx="672">
                  <c:v>41850</c:v>
                </c:pt>
                <c:pt idx="673">
                  <c:v>41851</c:v>
                </c:pt>
                <c:pt idx="674">
                  <c:v>41851</c:v>
                </c:pt>
                <c:pt idx="675">
                  <c:v>41851</c:v>
                </c:pt>
                <c:pt idx="676">
                  <c:v>41852</c:v>
                </c:pt>
                <c:pt idx="677">
                  <c:v>41852</c:v>
                </c:pt>
                <c:pt idx="678">
                  <c:v>41852</c:v>
                </c:pt>
                <c:pt idx="679">
                  <c:v>41852</c:v>
                </c:pt>
                <c:pt idx="680">
                  <c:v>41852</c:v>
                </c:pt>
                <c:pt idx="681">
                  <c:v>41852</c:v>
                </c:pt>
                <c:pt idx="682">
                  <c:v>41852</c:v>
                </c:pt>
                <c:pt idx="683">
                  <c:v>41852</c:v>
                </c:pt>
                <c:pt idx="684">
                  <c:v>41853</c:v>
                </c:pt>
                <c:pt idx="685">
                  <c:v>41856</c:v>
                </c:pt>
                <c:pt idx="686">
                  <c:v>41857</c:v>
                </c:pt>
                <c:pt idx="687">
                  <c:v>41858</c:v>
                </c:pt>
                <c:pt idx="688">
                  <c:v>41858</c:v>
                </c:pt>
                <c:pt idx="689">
                  <c:v>41858</c:v>
                </c:pt>
                <c:pt idx="690">
                  <c:v>41860</c:v>
                </c:pt>
                <c:pt idx="691">
                  <c:v>41863</c:v>
                </c:pt>
                <c:pt idx="692">
                  <c:v>41863</c:v>
                </c:pt>
                <c:pt idx="693">
                  <c:v>41864</c:v>
                </c:pt>
                <c:pt idx="694">
                  <c:v>41865</c:v>
                </c:pt>
                <c:pt idx="695">
                  <c:v>41865</c:v>
                </c:pt>
                <c:pt idx="696">
                  <c:v>41865</c:v>
                </c:pt>
                <c:pt idx="697">
                  <c:v>41866</c:v>
                </c:pt>
                <c:pt idx="698">
                  <c:v>41870</c:v>
                </c:pt>
                <c:pt idx="699">
                  <c:v>41871</c:v>
                </c:pt>
                <c:pt idx="700">
                  <c:v>41872</c:v>
                </c:pt>
                <c:pt idx="701">
                  <c:v>41872</c:v>
                </c:pt>
                <c:pt idx="702">
                  <c:v>41872</c:v>
                </c:pt>
                <c:pt idx="703">
                  <c:v>41874</c:v>
                </c:pt>
                <c:pt idx="704">
                  <c:v>41877</c:v>
                </c:pt>
                <c:pt idx="705">
                  <c:v>41877</c:v>
                </c:pt>
                <c:pt idx="706">
                  <c:v>41878</c:v>
                </c:pt>
                <c:pt idx="707">
                  <c:v>41879</c:v>
                </c:pt>
                <c:pt idx="708">
                  <c:v>41879</c:v>
                </c:pt>
                <c:pt idx="709">
                  <c:v>41879</c:v>
                </c:pt>
                <c:pt idx="710">
                  <c:v>41880</c:v>
                </c:pt>
                <c:pt idx="711">
                  <c:v>41883</c:v>
                </c:pt>
                <c:pt idx="712">
                  <c:v>41883</c:v>
                </c:pt>
                <c:pt idx="713">
                  <c:v>41883</c:v>
                </c:pt>
                <c:pt idx="714">
                  <c:v>41883</c:v>
                </c:pt>
                <c:pt idx="715">
                  <c:v>41883</c:v>
                </c:pt>
                <c:pt idx="716">
                  <c:v>41884</c:v>
                </c:pt>
                <c:pt idx="717">
                  <c:v>41884</c:v>
                </c:pt>
                <c:pt idx="718">
                  <c:v>41885</c:v>
                </c:pt>
                <c:pt idx="719">
                  <c:v>41886</c:v>
                </c:pt>
                <c:pt idx="720">
                  <c:v>41886</c:v>
                </c:pt>
                <c:pt idx="721">
                  <c:v>41886</c:v>
                </c:pt>
                <c:pt idx="722">
                  <c:v>41888</c:v>
                </c:pt>
                <c:pt idx="723">
                  <c:v>41891</c:v>
                </c:pt>
                <c:pt idx="724">
                  <c:v>41891</c:v>
                </c:pt>
                <c:pt idx="725">
                  <c:v>41892</c:v>
                </c:pt>
                <c:pt idx="726">
                  <c:v>41893</c:v>
                </c:pt>
                <c:pt idx="727">
                  <c:v>41893</c:v>
                </c:pt>
                <c:pt idx="728">
                  <c:v>41893</c:v>
                </c:pt>
                <c:pt idx="729">
                  <c:v>41894</c:v>
                </c:pt>
                <c:pt idx="730">
                  <c:v>41898</c:v>
                </c:pt>
                <c:pt idx="731">
                  <c:v>41899</c:v>
                </c:pt>
                <c:pt idx="732">
                  <c:v>41900</c:v>
                </c:pt>
                <c:pt idx="733">
                  <c:v>41900</c:v>
                </c:pt>
                <c:pt idx="734">
                  <c:v>41900</c:v>
                </c:pt>
                <c:pt idx="735">
                  <c:v>41902</c:v>
                </c:pt>
                <c:pt idx="736">
                  <c:v>41905</c:v>
                </c:pt>
                <c:pt idx="737">
                  <c:v>41905</c:v>
                </c:pt>
                <c:pt idx="738">
                  <c:v>41906</c:v>
                </c:pt>
                <c:pt idx="739">
                  <c:v>41907</c:v>
                </c:pt>
                <c:pt idx="740">
                  <c:v>41907</c:v>
                </c:pt>
                <c:pt idx="741">
                  <c:v>41907</c:v>
                </c:pt>
                <c:pt idx="742">
                  <c:v>41908</c:v>
                </c:pt>
                <c:pt idx="743">
                  <c:v>41912</c:v>
                </c:pt>
                <c:pt idx="744">
                  <c:v>41913</c:v>
                </c:pt>
                <c:pt idx="745">
                  <c:v>41913</c:v>
                </c:pt>
                <c:pt idx="746">
                  <c:v>41913</c:v>
                </c:pt>
                <c:pt idx="747">
                  <c:v>41913</c:v>
                </c:pt>
                <c:pt idx="748">
                  <c:v>41913</c:v>
                </c:pt>
                <c:pt idx="749">
                  <c:v>41913</c:v>
                </c:pt>
                <c:pt idx="750">
                  <c:v>41913</c:v>
                </c:pt>
                <c:pt idx="751">
                  <c:v>41914</c:v>
                </c:pt>
                <c:pt idx="752">
                  <c:v>41914</c:v>
                </c:pt>
                <c:pt idx="753">
                  <c:v>41914</c:v>
                </c:pt>
                <c:pt idx="754">
                  <c:v>41914</c:v>
                </c:pt>
                <c:pt idx="755">
                  <c:v>41916</c:v>
                </c:pt>
                <c:pt idx="756">
                  <c:v>41919</c:v>
                </c:pt>
                <c:pt idx="757">
                  <c:v>41919</c:v>
                </c:pt>
                <c:pt idx="758">
                  <c:v>41920</c:v>
                </c:pt>
                <c:pt idx="759">
                  <c:v>41921</c:v>
                </c:pt>
                <c:pt idx="760">
                  <c:v>41921</c:v>
                </c:pt>
                <c:pt idx="761">
                  <c:v>41921</c:v>
                </c:pt>
                <c:pt idx="762">
                  <c:v>41922</c:v>
                </c:pt>
                <c:pt idx="763">
                  <c:v>41926</c:v>
                </c:pt>
                <c:pt idx="764">
                  <c:v>41927</c:v>
                </c:pt>
                <c:pt idx="765">
                  <c:v>41928</c:v>
                </c:pt>
                <c:pt idx="766">
                  <c:v>41928</c:v>
                </c:pt>
                <c:pt idx="767">
                  <c:v>41928</c:v>
                </c:pt>
                <c:pt idx="768">
                  <c:v>41930</c:v>
                </c:pt>
                <c:pt idx="769">
                  <c:v>41933</c:v>
                </c:pt>
                <c:pt idx="770">
                  <c:v>41933</c:v>
                </c:pt>
                <c:pt idx="771">
                  <c:v>41934</c:v>
                </c:pt>
                <c:pt idx="772">
                  <c:v>41935</c:v>
                </c:pt>
                <c:pt idx="773">
                  <c:v>41935</c:v>
                </c:pt>
                <c:pt idx="774">
                  <c:v>41935</c:v>
                </c:pt>
                <c:pt idx="775">
                  <c:v>41936</c:v>
                </c:pt>
                <c:pt idx="776">
                  <c:v>41940</c:v>
                </c:pt>
                <c:pt idx="777">
                  <c:v>41941</c:v>
                </c:pt>
                <c:pt idx="778">
                  <c:v>41942</c:v>
                </c:pt>
                <c:pt idx="779">
                  <c:v>41942</c:v>
                </c:pt>
                <c:pt idx="780">
                  <c:v>41942</c:v>
                </c:pt>
                <c:pt idx="781">
                  <c:v>41944</c:v>
                </c:pt>
                <c:pt idx="782">
                  <c:v>41944</c:v>
                </c:pt>
                <c:pt idx="783">
                  <c:v>41944</c:v>
                </c:pt>
                <c:pt idx="784">
                  <c:v>41944</c:v>
                </c:pt>
                <c:pt idx="785">
                  <c:v>41944</c:v>
                </c:pt>
                <c:pt idx="786">
                  <c:v>41944</c:v>
                </c:pt>
                <c:pt idx="787">
                  <c:v>41944</c:v>
                </c:pt>
                <c:pt idx="788">
                  <c:v>41944</c:v>
                </c:pt>
                <c:pt idx="789">
                  <c:v>41945</c:v>
                </c:pt>
                <c:pt idx="790">
                  <c:v>41947</c:v>
                </c:pt>
                <c:pt idx="791">
                  <c:v>41947</c:v>
                </c:pt>
                <c:pt idx="792">
                  <c:v>41948</c:v>
                </c:pt>
                <c:pt idx="793">
                  <c:v>41949</c:v>
                </c:pt>
                <c:pt idx="794">
                  <c:v>41949</c:v>
                </c:pt>
                <c:pt idx="795">
                  <c:v>41949</c:v>
                </c:pt>
                <c:pt idx="796">
                  <c:v>41950</c:v>
                </c:pt>
                <c:pt idx="797">
                  <c:v>41954</c:v>
                </c:pt>
                <c:pt idx="798">
                  <c:v>41955</c:v>
                </c:pt>
                <c:pt idx="799">
                  <c:v>41956</c:v>
                </c:pt>
                <c:pt idx="800">
                  <c:v>41956</c:v>
                </c:pt>
                <c:pt idx="801">
                  <c:v>41956</c:v>
                </c:pt>
                <c:pt idx="802">
                  <c:v>41958</c:v>
                </c:pt>
                <c:pt idx="803">
                  <c:v>41961</c:v>
                </c:pt>
                <c:pt idx="804">
                  <c:v>41961</c:v>
                </c:pt>
                <c:pt idx="805">
                  <c:v>41962</c:v>
                </c:pt>
                <c:pt idx="806">
                  <c:v>41963</c:v>
                </c:pt>
                <c:pt idx="807">
                  <c:v>41963</c:v>
                </c:pt>
                <c:pt idx="808">
                  <c:v>41963</c:v>
                </c:pt>
                <c:pt idx="809">
                  <c:v>41964</c:v>
                </c:pt>
                <c:pt idx="810">
                  <c:v>41968</c:v>
                </c:pt>
                <c:pt idx="811">
                  <c:v>41969</c:v>
                </c:pt>
                <c:pt idx="812">
                  <c:v>41970</c:v>
                </c:pt>
                <c:pt idx="813">
                  <c:v>41970</c:v>
                </c:pt>
                <c:pt idx="814">
                  <c:v>41970</c:v>
                </c:pt>
                <c:pt idx="815">
                  <c:v>41972</c:v>
                </c:pt>
                <c:pt idx="816">
                  <c:v>41974</c:v>
                </c:pt>
                <c:pt idx="817">
                  <c:v>41974</c:v>
                </c:pt>
                <c:pt idx="818">
                  <c:v>41974</c:v>
                </c:pt>
                <c:pt idx="819">
                  <c:v>41974</c:v>
                </c:pt>
                <c:pt idx="820">
                  <c:v>41974</c:v>
                </c:pt>
                <c:pt idx="821">
                  <c:v>41975</c:v>
                </c:pt>
                <c:pt idx="822">
                  <c:v>41975</c:v>
                </c:pt>
                <c:pt idx="823">
                  <c:v>41975</c:v>
                </c:pt>
                <c:pt idx="824">
                  <c:v>41976</c:v>
                </c:pt>
                <c:pt idx="825">
                  <c:v>41977</c:v>
                </c:pt>
                <c:pt idx="826">
                  <c:v>41977</c:v>
                </c:pt>
                <c:pt idx="827">
                  <c:v>41977</c:v>
                </c:pt>
                <c:pt idx="828">
                  <c:v>41978</c:v>
                </c:pt>
                <c:pt idx="829">
                  <c:v>41982</c:v>
                </c:pt>
                <c:pt idx="830">
                  <c:v>41983</c:v>
                </c:pt>
                <c:pt idx="831">
                  <c:v>41984</c:v>
                </c:pt>
                <c:pt idx="832">
                  <c:v>41984</c:v>
                </c:pt>
                <c:pt idx="833">
                  <c:v>41984</c:v>
                </c:pt>
                <c:pt idx="834">
                  <c:v>41986</c:v>
                </c:pt>
                <c:pt idx="835">
                  <c:v>41989</c:v>
                </c:pt>
                <c:pt idx="836">
                  <c:v>41989</c:v>
                </c:pt>
                <c:pt idx="837">
                  <c:v>41990</c:v>
                </c:pt>
                <c:pt idx="838">
                  <c:v>41991</c:v>
                </c:pt>
                <c:pt idx="839">
                  <c:v>41991</c:v>
                </c:pt>
                <c:pt idx="840">
                  <c:v>41991</c:v>
                </c:pt>
                <c:pt idx="841">
                  <c:v>41992</c:v>
                </c:pt>
                <c:pt idx="842">
                  <c:v>41996</c:v>
                </c:pt>
                <c:pt idx="843">
                  <c:v>41997</c:v>
                </c:pt>
                <c:pt idx="844">
                  <c:v>41998</c:v>
                </c:pt>
                <c:pt idx="845">
                  <c:v>41998</c:v>
                </c:pt>
                <c:pt idx="846">
                  <c:v>41998</c:v>
                </c:pt>
              </c:numCache>
            </c:numRef>
          </c:xVal>
          <c:yVal>
            <c:numRef>
              <c:f>CashFlow!$E$2:$E$926</c:f>
              <c:numCache>
                <c:formatCode>_("$"* #,##0.00_);_("$"* \(#,##0.00\);_("$"* "-"??_);_(@_)</c:formatCode>
                <c:ptCount val="925"/>
                <c:pt idx="0">
                  <c:v>3000</c:v>
                </c:pt>
                <c:pt idx="1">
                  <c:v>9800</c:v>
                </c:pt>
                <c:pt idx="2">
                  <c:v>6994</c:v>
                </c:pt>
                <c:pt idx="3">
                  <c:v>6894</c:v>
                </c:pt>
                <c:pt idx="4">
                  <c:v>6694</c:v>
                </c:pt>
                <c:pt idx="5">
                  <c:v>6294</c:v>
                </c:pt>
                <c:pt idx="6">
                  <c:v>5994</c:v>
                </c:pt>
                <c:pt idx="7">
                  <c:v>5968</c:v>
                </c:pt>
                <c:pt idx="8">
                  <c:v>5728</c:v>
                </c:pt>
                <c:pt idx="9">
                  <c:v>5608</c:v>
                </c:pt>
                <c:pt idx="10">
                  <c:v>4108</c:v>
                </c:pt>
                <c:pt idx="11">
                  <c:v>3988</c:v>
                </c:pt>
                <c:pt idx="12">
                  <c:v>3088</c:v>
                </c:pt>
                <c:pt idx="13">
                  <c:v>2688</c:v>
                </c:pt>
                <c:pt idx="14">
                  <c:v>2508</c:v>
                </c:pt>
                <c:pt idx="15">
                  <c:v>2208</c:v>
                </c:pt>
                <c:pt idx="16">
                  <c:v>5434</c:v>
                </c:pt>
                <c:pt idx="17">
                  <c:v>5334</c:v>
                </c:pt>
                <c:pt idx="18">
                  <c:v>5214</c:v>
                </c:pt>
                <c:pt idx="19">
                  <c:v>4814</c:v>
                </c:pt>
                <c:pt idx="20">
                  <c:v>4634</c:v>
                </c:pt>
                <c:pt idx="21">
                  <c:v>4334</c:v>
                </c:pt>
                <c:pt idx="22">
                  <c:v>11134</c:v>
                </c:pt>
                <c:pt idx="23">
                  <c:v>8328</c:v>
                </c:pt>
                <c:pt idx="24">
                  <c:v>8228</c:v>
                </c:pt>
                <c:pt idx="25">
                  <c:v>8108</c:v>
                </c:pt>
                <c:pt idx="26">
                  <c:v>7708</c:v>
                </c:pt>
                <c:pt idx="27">
                  <c:v>7528</c:v>
                </c:pt>
                <c:pt idx="28">
                  <c:v>7228</c:v>
                </c:pt>
                <c:pt idx="29">
                  <c:v>10454</c:v>
                </c:pt>
                <c:pt idx="30">
                  <c:v>10354</c:v>
                </c:pt>
                <c:pt idx="31">
                  <c:v>10234</c:v>
                </c:pt>
                <c:pt idx="32">
                  <c:v>9834</c:v>
                </c:pt>
                <c:pt idx="33">
                  <c:v>9654</c:v>
                </c:pt>
                <c:pt idx="34">
                  <c:v>9354</c:v>
                </c:pt>
                <c:pt idx="35">
                  <c:v>16154</c:v>
                </c:pt>
                <c:pt idx="36">
                  <c:v>13348</c:v>
                </c:pt>
                <c:pt idx="37">
                  <c:v>13248</c:v>
                </c:pt>
                <c:pt idx="38">
                  <c:v>13128</c:v>
                </c:pt>
                <c:pt idx="39">
                  <c:v>12728</c:v>
                </c:pt>
                <c:pt idx="40">
                  <c:v>12548</c:v>
                </c:pt>
                <c:pt idx="41">
                  <c:v>12248</c:v>
                </c:pt>
                <c:pt idx="42">
                  <c:v>15474</c:v>
                </c:pt>
                <c:pt idx="43">
                  <c:v>15274</c:v>
                </c:pt>
                <c:pt idx="44">
                  <c:v>14874</c:v>
                </c:pt>
                <c:pt idx="45">
                  <c:v>14574</c:v>
                </c:pt>
                <c:pt idx="46">
                  <c:v>14274</c:v>
                </c:pt>
                <c:pt idx="47">
                  <c:v>14248</c:v>
                </c:pt>
                <c:pt idx="48">
                  <c:v>14008</c:v>
                </c:pt>
                <c:pt idx="49">
                  <c:v>13888</c:v>
                </c:pt>
                <c:pt idx="50">
                  <c:v>12988</c:v>
                </c:pt>
                <c:pt idx="51">
                  <c:v>12888</c:v>
                </c:pt>
                <c:pt idx="52">
                  <c:v>12768</c:v>
                </c:pt>
                <c:pt idx="53">
                  <c:v>12368</c:v>
                </c:pt>
                <c:pt idx="54">
                  <c:v>12188</c:v>
                </c:pt>
                <c:pt idx="55">
                  <c:v>11888</c:v>
                </c:pt>
                <c:pt idx="56">
                  <c:v>18688</c:v>
                </c:pt>
                <c:pt idx="57">
                  <c:v>15882</c:v>
                </c:pt>
                <c:pt idx="58">
                  <c:v>15782</c:v>
                </c:pt>
                <c:pt idx="59">
                  <c:v>15662</c:v>
                </c:pt>
                <c:pt idx="60">
                  <c:v>15262</c:v>
                </c:pt>
                <c:pt idx="61">
                  <c:v>15082</c:v>
                </c:pt>
                <c:pt idx="62">
                  <c:v>14782</c:v>
                </c:pt>
                <c:pt idx="63">
                  <c:v>18008</c:v>
                </c:pt>
                <c:pt idx="64">
                  <c:v>17908</c:v>
                </c:pt>
                <c:pt idx="65">
                  <c:v>17788</c:v>
                </c:pt>
                <c:pt idx="66">
                  <c:v>17388</c:v>
                </c:pt>
                <c:pt idx="67">
                  <c:v>17208</c:v>
                </c:pt>
                <c:pt idx="68">
                  <c:v>16908</c:v>
                </c:pt>
                <c:pt idx="69">
                  <c:v>23708</c:v>
                </c:pt>
                <c:pt idx="70">
                  <c:v>20902</c:v>
                </c:pt>
                <c:pt idx="71">
                  <c:v>20802</c:v>
                </c:pt>
                <c:pt idx="72">
                  <c:v>20682</c:v>
                </c:pt>
                <c:pt idx="73">
                  <c:v>20282</c:v>
                </c:pt>
                <c:pt idx="74">
                  <c:v>20102</c:v>
                </c:pt>
                <c:pt idx="75">
                  <c:v>19802</c:v>
                </c:pt>
                <c:pt idx="76">
                  <c:v>23028</c:v>
                </c:pt>
                <c:pt idx="77">
                  <c:v>22828</c:v>
                </c:pt>
                <c:pt idx="78">
                  <c:v>22428</c:v>
                </c:pt>
                <c:pt idx="79">
                  <c:v>22402</c:v>
                </c:pt>
                <c:pt idx="80">
                  <c:v>22162</c:v>
                </c:pt>
                <c:pt idx="81">
                  <c:v>22042</c:v>
                </c:pt>
                <c:pt idx="82">
                  <c:v>21142</c:v>
                </c:pt>
                <c:pt idx="83">
                  <c:v>21042</c:v>
                </c:pt>
                <c:pt idx="84">
                  <c:v>20922</c:v>
                </c:pt>
                <c:pt idx="85">
                  <c:v>20522</c:v>
                </c:pt>
                <c:pt idx="86">
                  <c:v>20342</c:v>
                </c:pt>
                <c:pt idx="87">
                  <c:v>20042</c:v>
                </c:pt>
                <c:pt idx="88">
                  <c:v>26842</c:v>
                </c:pt>
                <c:pt idx="89">
                  <c:v>24036</c:v>
                </c:pt>
                <c:pt idx="90">
                  <c:v>23936</c:v>
                </c:pt>
                <c:pt idx="91">
                  <c:v>23816</c:v>
                </c:pt>
                <c:pt idx="92">
                  <c:v>23416</c:v>
                </c:pt>
                <c:pt idx="93">
                  <c:v>23236</c:v>
                </c:pt>
                <c:pt idx="94">
                  <c:v>22936</c:v>
                </c:pt>
                <c:pt idx="95">
                  <c:v>26162</c:v>
                </c:pt>
                <c:pt idx="96">
                  <c:v>26062</c:v>
                </c:pt>
                <c:pt idx="97">
                  <c:v>25942</c:v>
                </c:pt>
                <c:pt idx="98">
                  <c:v>25542</c:v>
                </c:pt>
                <c:pt idx="99">
                  <c:v>25362</c:v>
                </c:pt>
                <c:pt idx="100">
                  <c:v>25062</c:v>
                </c:pt>
                <c:pt idx="101">
                  <c:v>31862</c:v>
                </c:pt>
                <c:pt idx="102">
                  <c:v>29056</c:v>
                </c:pt>
                <c:pt idx="103">
                  <c:v>28956</c:v>
                </c:pt>
                <c:pt idx="104">
                  <c:v>28836</c:v>
                </c:pt>
                <c:pt idx="105">
                  <c:v>28436</c:v>
                </c:pt>
                <c:pt idx="106">
                  <c:v>28256</c:v>
                </c:pt>
                <c:pt idx="107">
                  <c:v>27956</c:v>
                </c:pt>
                <c:pt idx="108">
                  <c:v>31182</c:v>
                </c:pt>
                <c:pt idx="109">
                  <c:v>30982</c:v>
                </c:pt>
                <c:pt idx="110">
                  <c:v>30582</c:v>
                </c:pt>
                <c:pt idx="111">
                  <c:v>30282</c:v>
                </c:pt>
                <c:pt idx="112">
                  <c:v>30256</c:v>
                </c:pt>
                <c:pt idx="113">
                  <c:v>30016</c:v>
                </c:pt>
                <c:pt idx="114">
                  <c:v>29896</c:v>
                </c:pt>
                <c:pt idx="115">
                  <c:v>28396</c:v>
                </c:pt>
                <c:pt idx="116">
                  <c:v>28296</c:v>
                </c:pt>
                <c:pt idx="117">
                  <c:v>27396</c:v>
                </c:pt>
                <c:pt idx="118">
                  <c:v>27276</c:v>
                </c:pt>
                <c:pt idx="119">
                  <c:v>26876</c:v>
                </c:pt>
                <c:pt idx="120">
                  <c:v>26696</c:v>
                </c:pt>
                <c:pt idx="121">
                  <c:v>26396</c:v>
                </c:pt>
                <c:pt idx="122">
                  <c:v>33196</c:v>
                </c:pt>
                <c:pt idx="123">
                  <c:v>30390</c:v>
                </c:pt>
                <c:pt idx="124">
                  <c:v>30290</c:v>
                </c:pt>
                <c:pt idx="125">
                  <c:v>30170</c:v>
                </c:pt>
                <c:pt idx="126">
                  <c:v>29770</c:v>
                </c:pt>
                <c:pt idx="127">
                  <c:v>29590</c:v>
                </c:pt>
                <c:pt idx="128">
                  <c:v>29290</c:v>
                </c:pt>
                <c:pt idx="129">
                  <c:v>32516</c:v>
                </c:pt>
                <c:pt idx="130">
                  <c:v>32416</c:v>
                </c:pt>
                <c:pt idx="131">
                  <c:v>32296</c:v>
                </c:pt>
                <c:pt idx="132">
                  <c:v>31896</c:v>
                </c:pt>
                <c:pt idx="133">
                  <c:v>31716</c:v>
                </c:pt>
                <c:pt idx="134">
                  <c:v>31416</c:v>
                </c:pt>
                <c:pt idx="135">
                  <c:v>38216</c:v>
                </c:pt>
                <c:pt idx="136">
                  <c:v>35410</c:v>
                </c:pt>
                <c:pt idx="137">
                  <c:v>35310</c:v>
                </c:pt>
                <c:pt idx="138">
                  <c:v>35190</c:v>
                </c:pt>
                <c:pt idx="139">
                  <c:v>34790</c:v>
                </c:pt>
                <c:pt idx="140">
                  <c:v>34610</c:v>
                </c:pt>
                <c:pt idx="141">
                  <c:v>34310</c:v>
                </c:pt>
                <c:pt idx="142">
                  <c:v>37536</c:v>
                </c:pt>
                <c:pt idx="143">
                  <c:v>37436</c:v>
                </c:pt>
                <c:pt idx="144">
                  <c:v>37316</c:v>
                </c:pt>
                <c:pt idx="145">
                  <c:v>37116</c:v>
                </c:pt>
                <c:pt idx="146">
                  <c:v>36716</c:v>
                </c:pt>
                <c:pt idx="147">
                  <c:v>36416</c:v>
                </c:pt>
                <c:pt idx="148">
                  <c:v>36116</c:v>
                </c:pt>
                <c:pt idx="149">
                  <c:v>36090</c:v>
                </c:pt>
                <c:pt idx="150">
                  <c:v>35850</c:v>
                </c:pt>
                <c:pt idx="151">
                  <c:v>35730</c:v>
                </c:pt>
                <c:pt idx="152">
                  <c:v>35330</c:v>
                </c:pt>
                <c:pt idx="153">
                  <c:v>35150</c:v>
                </c:pt>
                <c:pt idx="154">
                  <c:v>34850</c:v>
                </c:pt>
                <c:pt idx="155">
                  <c:v>33950</c:v>
                </c:pt>
                <c:pt idx="156">
                  <c:v>40750</c:v>
                </c:pt>
                <c:pt idx="157">
                  <c:v>37944</c:v>
                </c:pt>
                <c:pt idx="158">
                  <c:v>37844</c:v>
                </c:pt>
                <c:pt idx="159">
                  <c:v>37724</c:v>
                </c:pt>
                <c:pt idx="160">
                  <c:v>37324</c:v>
                </c:pt>
                <c:pt idx="161">
                  <c:v>37144</c:v>
                </c:pt>
                <c:pt idx="162">
                  <c:v>36844</c:v>
                </c:pt>
                <c:pt idx="163">
                  <c:v>40070</c:v>
                </c:pt>
                <c:pt idx="164">
                  <c:v>39970</c:v>
                </c:pt>
                <c:pt idx="165">
                  <c:v>39850</c:v>
                </c:pt>
                <c:pt idx="166">
                  <c:v>39450</c:v>
                </c:pt>
                <c:pt idx="167">
                  <c:v>39270</c:v>
                </c:pt>
                <c:pt idx="168">
                  <c:v>38970</c:v>
                </c:pt>
                <c:pt idx="169">
                  <c:v>45770</c:v>
                </c:pt>
                <c:pt idx="170">
                  <c:v>42964</c:v>
                </c:pt>
                <c:pt idx="171">
                  <c:v>42864</c:v>
                </c:pt>
                <c:pt idx="172">
                  <c:v>42744</c:v>
                </c:pt>
                <c:pt idx="173">
                  <c:v>42344</c:v>
                </c:pt>
                <c:pt idx="174">
                  <c:v>42164</c:v>
                </c:pt>
                <c:pt idx="175">
                  <c:v>41864</c:v>
                </c:pt>
                <c:pt idx="176">
                  <c:v>45090</c:v>
                </c:pt>
                <c:pt idx="177">
                  <c:v>44990</c:v>
                </c:pt>
                <c:pt idx="178">
                  <c:v>44870</c:v>
                </c:pt>
                <c:pt idx="179">
                  <c:v>44470</c:v>
                </c:pt>
                <c:pt idx="180">
                  <c:v>44290</c:v>
                </c:pt>
                <c:pt idx="181">
                  <c:v>43990</c:v>
                </c:pt>
                <c:pt idx="182">
                  <c:v>50790</c:v>
                </c:pt>
                <c:pt idx="183">
                  <c:v>50590</c:v>
                </c:pt>
                <c:pt idx="184">
                  <c:v>50190</c:v>
                </c:pt>
                <c:pt idx="185">
                  <c:v>50164</c:v>
                </c:pt>
                <c:pt idx="186">
                  <c:v>49924</c:v>
                </c:pt>
                <c:pt idx="187">
                  <c:v>49804</c:v>
                </c:pt>
                <c:pt idx="188">
                  <c:v>48904</c:v>
                </c:pt>
                <c:pt idx="189">
                  <c:v>46098</c:v>
                </c:pt>
                <c:pt idx="190">
                  <c:v>45998</c:v>
                </c:pt>
                <c:pt idx="191">
                  <c:v>45878</c:v>
                </c:pt>
                <c:pt idx="192">
                  <c:v>45478</c:v>
                </c:pt>
                <c:pt idx="193">
                  <c:v>45298</c:v>
                </c:pt>
                <c:pt idx="194">
                  <c:v>44998</c:v>
                </c:pt>
                <c:pt idx="195">
                  <c:v>48224</c:v>
                </c:pt>
                <c:pt idx="196">
                  <c:v>48124</c:v>
                </c:pt>
                <c:pt idx="197">
                  <c:v>48004</c:v>
                </c:pt>
                <c:pt idx="198">
                  <c:v>47604</c:v>
                </c:pt>
                <c:pt idx="199">
                  <c:v>47424</c:v>
                </c:pt>
                <c:pt idx="200">
                  <c:v>47124</c:v>
                </c:pt>
                <c:pt idx="201">
                  <c:v>53924</c:v>
                </c:pt>
                <c:pt idx="202">
                  <c:v>51118</c:v>
                </c:pt>
                <c:pt idx="203">
                  <c:v>51018</c:v>
                </c:pt>
                <c:pt idx="204">
                  <c:v>50898</c:v>
                </c:pt>
                <c:pt idx="205">
                  <c:v>50498</c:v>
                </c:pt>
                <c:pt idx="206">
                  <c:v>50318</c:v>
                </c:pt>
                <c:pt idx="207">
                  <c:v>50018</c:v>
                </c:pt>
                <c:pt idx="208">
                  <c:v>53244</c:v>
                </c:pt>
                <c:pt idx="209">
                  <c:v>53144</c:v>
                </c:pt>
                <c:pt idx="210">
                  <c:v>53024</c:v>
                </c:pt>
                <c:pt idx="211">
                  <c:v>52624</c:v>
                </c:pt>
                <c:pt idx="212">
                  <c:v>52444</c:v>
                </c:pt>
                <c:pt idx="213">
                  <c:v>52144</c:v>
                </c:pt>
                <c:pt idx="214">
                  <c:v>58944</c:v>
                </c:pt>
                <c:pt idx="215">
                  <c:v>58744</c:v>
                </c:pt>
                <c:pt idx="216">
                  <c:v>58344</c:v>
                </c:pt>
                <c:pt idx="217">
                  <c:v>58044</c:v>
                </c:pt>
                <c:pt idx="218">
                  <c:v>58018</c:v>
                </c:pt>
                <c:pt idx="219">
                  <c:v>57778</c:v>
                </c:pt>
                <c:pt idx="220">
                  <c:v>57658</c:v>
                </c:pt>
                <c:pt idx="221">
                  <c:v>54852</c:v>
                </c:pt>
                <c:pt idx="222">
                  <c:v>54752</c:v>
                </c:pt>
                <c:pt idx="223">
                  <c:v>53852</c:v>
                </c:pt>
                <c:pt idx="224">
                  <c:v>53732</c:v>
                </c:pt>
                <c:pt idx="225">
                  <c:v>53332</c:v>
                </c:pt>
                <c:pt idx="226">
                  <c:v>53152</c:v>
                </c:pt>
                <c:pt idx="227">
                  <c:v>52852</c:v>
                </c:pt>
                <c:pt idx="228">
                  <c:v>56078</c:v>
                </c:pt>
                <c:pt idx="229">
                  <c:v>55978</c:v>
                </c:pt>
                <c:pt idx="230">
                  <c:v>55858</c:v>
                </c:pt>
                <c:pt idx="231">
                  <c:v>55458</c:v>
                </c:pt>
                <c:pt idx="232">
                  <c:v>55278</c:v>
                </c:pt>
                <c:pt idx="233">
                  <c:v>54978</c:v>
                </c:pt>
                <c:pt idx="234">
                  <c:v>61778</c:v>
                </c:pt>
                <c:pt idx="235">
                  <c:v>58972</c:v>
                </c:pt>
                <c:pt idx="236">
                  <c:v>58872</c:v>
                </c:pt>
                <c:pt idx="237">
                  <c:v>58752</c:v>
                </c:pt>
                <c:pt idx="238">
                  <c:v>58352</c:v>
                </c:pt>
                <c:pt idx="239">
                  <c:v>58172</c:v>
                </c:pt>
                <c:pt idx="240">
                  <c:v>57872</c:v>
                </c:pt>
                <c:pt idx="241">
                  <c:v>61098</c:v>
                </c:pt>
                <c:pt idx="242">
                  <c:v>60998</c:v>
                </c:pt>
                <c:pt idx="243">
                  <c:v>60878</c:v>
                </c:pt>
                <c:pt idx="244">
                  <c:v>60478</c:v>
                </c:pt>
                <c:pt idx="245">
                  <c:v>60298</c:v>
                </c:pt>
                <c:pt idx="246">
                  <c:v>59998</c:v>
                </c:pt>
                <c:pt idx="247">
                  <c:v>66798</c:v>
                </c:pt>
                <c:pt idx="248">
                  <c:v>63992</c:v>
                </c:pt>
                <c:pt idx="249">
                  <c:v>63892</c:v>
                </c:pt>
                <c:pt idx="250">
                  <c:v>63772</c:v>
                </c:pt>
                <c:pt idx="251">
                  <c:v>63372</c:v>
                </c:pt>
                <c:pt idx="252">
                  <c:v>63192</c:v>
                </c:pt>
                <c:pt idx="253">
                  <c:v>62892</c:v>
                </c:pt>
                <c:pt idx="254">
                  <c:v>62692</c:v>
                </c:pt>
                <c:pt idx="255">
                  <c:v>62292</c:v>
                </c:pt>
                <c:pt idx="256">
                  <c:v>61992</c:v>
                </c:pt>
                <c:pt idx="257">
                  <c:v>61692</c:v>
                </c:pt>
                <c:pt idx="258">
                  <c:v>61666</c:v>
                </c:pt>
                <c:pt idx="259">
                  <c:v>61426</c:v>
                </c:pt>
                <c:pt idx="260">
                  <c:v>61306</c:v>
                </c:pt>
                <c:pt idx="261">
                  <c:v>64532</c:v>
                </c:pt>
                <c:pt idx="262">
                  <c:v>63632</c:v>
                </c:pt>
                <c:pt idx="263">
                  <c:v>63532</c:v>
                </c:pt>
                <c:pt idx="264">
                  <c:v>63412</c:v>
                </c:pt>
                <c:pt idx="265">
                  <c:v>63012</c:v>
                </c:pt>
                <c:pt idx="266">
                  <c:v>62832</c:v>
                </c:pt>
                <c:pt idx="267">
                  <c:v>62532</c:v>
                </c:pt>
                <c:pt idx="268">
                  <c:v>69332</c:v>
                </c:pt>
                <c:pt idx="269">
                  <c:v>66526</c:v>
                </c:pt>
                <c:pt idx="270">
                  <c:v>66426</c:v>
                </c:pt>
                <c:pt idx="271">
                  <c:v>66306</c:v>
                </c:pt>
                <c:pt idx="272">
                  <c:v>65906</c:v>
                </c:pt>
                <c:pt idx="273">
                  <c:v>65726</c:v>
                </c:pt>
                <c:pt idx="274">
                  <c:v>65426</c:v>
                </c:pt>
                <c:pt idx="275">
                  <c:v>68652</c:v>
                </c:pt>
                <c:pt idx="276">
                  <c:v>68552</c:v>
                </c:pt>
                <c:pt idx="277">
                  <c:v>68432</c:v>
                </c:pt>
                <c:pt idx="278">
                  <c:v>68032</c:v>
                </c:pt>
                <c:pt idx="279">
                  <c:v>67852</c:v>
                </c:pt>
                <c:pt idx="280">
                  <c:v>67552</c:v>
                </c:pt>
                <c:pt idx="281">
                  <c:v>74352</c:v>
                </c:pt>
                <c:pt idx="282">
                  <c:v>71546</c:v>
                </c:pt>
                <c:pt idx="283">
                  <c:v>71446</c:v>
                </c:pt>
                <c:pt idx="284">
                  <c:v>71326</c:v>
                </c:pt>
                <c:pt idx="285">
                  <c:v>70926</c:v>
                </c:pt>
                <c:pt idx="286">
                  <c:v>70746</c:v>
                </c:pt>
                <c:pt idx="287">
                  <c:v>70446</c:v>
                </c:pt>
                <c:pt idx="288">
                  <c:v>73672</c:v>
                </c:pt>
                <c:pt idx="289">
                  <c:v>73472</c:v>
                </c:pt>
                <c:pt idx="290">
                  <c:v>73072</c:v>
                </c:pt>
                <c:pt idx="291">
                  <c:v>73046</c:v>
                </c:pt>
                <c:pt idx="292">
                  <c:v>72806</c:v>
                </c:pt>
                <c:pt idx="293">
                  <c:v>72686</c:v>
                </c:pt>
                <c:pt idx="294">
                  <c:v>71786</c:v>
                </c:pt>
                <c:pt idx="295">
                  <c:v>71686</c:v>
                </c:pt>
                <c:pt idx="296">
                  <c:v>71566</c:v>
                </c:pt>
                <c:pt idx="297">
                  <c:v>71166</c:v>
                </c:pt>
                <c:pt idx="298">
                  <c:v>70986</c:v>
                </c:pt>
                <c:pt idx="299">
                  <c:v>70686</c:v>
                </c:pt>
                <c:pt idx="300">
                  <c:v>77486</c:v>
                </c:pt>
                <c:pt idx="301">
                  <c:v>74680</c:v>
                </c:pt>
                <c:pt idx="302">
                  <c:v>74580</c:v>
                </c:pt>
                <c:pt idx="303">
                  <c:v>74460</c:v>
                </c:pt>
                <c:pt idx="304">
                  <c:v>74060</c:v>
                </c:pt>
                <c:pt idx="305">
                  <c:v>73880</c:v>
                </c:pt>
                <c:pt idx="306">
                  <c:v>73580</c:v>
                </c:pt>
                <c:pt idx="307">
                  <c:v>76806</c:v>
                </c:pt>
                <c:pt idx="308">
                  <c:v>76706</c:v>
                </c:pt>
                <c:pt idx="309">
                  <c:v>76586</c:v>
                </c:pt>
                <c:pt idx="310">
                  <c:v>76186</c:v>
                </c:pt>
                <c:pt idx="311">
                  <c:v>76006</c:v>
                </c:pt>
                <c:pt idx="312">
                  <c:v>75706</c:v>
                </c:pt>
                <c:pt idx="313">
                  <c:v>82506</c:v>
                </c:pt>
                <c:pt idx="314">
                  <c:v>79700</c:v>
                </c:pt>
                <c:pt idx="315">
                  <c:v>79600</c:v>
                </c:pt>
                <c:pt idx="316">
                  <c:v>79480</c:v>
                </c:pt>
                <c:pt idx="317">
                  <c:v>79080</c:v>
                </c:pt>
                <c:pt idx="318">
                  <c:v>78900</c:v>
                </c:pt>
                <c:pt idx="319">
                  <c:v>78600</c:v>
                </c:pt>
                <c:pt idx="320">
                  <c:v>81826</c:v>
                </c:pt>
                <c:pt idx="321">
                  <c:v>81726</c:v>
                </c:pt>
                <c:pt idx="322">
                  <c:v>81526</c:v>
                </c:pt>
                <c:pt idx="323">
                  <c:v>81126</c:v>
                </c:pt>
                <c:pt idx="324">
                  <c:v>80826</c:v>
                </c:pt>
                <c:pt idx="325">
                  <c:v>80800</c:v>
                </c:pt>
                <c:pt idx="326">
                  <c:v>80560</c:v>
                </c:pt>
                <c:pt idx="327">
                  <c:v>80440</c:v>
                </c:pt>
                <c:pt idx="328">
                  <c:v>80320</c:v>
                </c:pt>
                <c:pt idx="329">
                  <c:v>79420</c:v>
                </c:pt>
                <c:pt idx="330">
                  <c:v>79020</c:v>
                </c:pt>
                <c:pt idx="331">
                  <c:v>78840</c:v>
                </c:pt>
                <c:pt idx="332">
                  <c:v>78540</c:v>
                </c:pt>
                <c:pt idx="333">
                  <c:v>85340</c:v>
                </c:pt>
                <c:pt idx="334">
                  <c:v>82534</c:v>
                </c:pt>
                <c:pt idx="335">
                  <c:v>82434</c:v>
                </c:pt>
                <c:pt idx="336">
                  <c:v>82314</c:v>
                </c:pt>
                <c:pt idx="337">
                  <c:v>81914</c:v>
                </c:pt>
                <c:pt idx="338">
                  <c:v>81734</c:v>
                </c:pt>
                <c:pt idx="339">
                  <c:v>81434</c:v>
                </c:pt>
                <c:pt idx="340">
                  <c:v>84660</c:v>
                </c:pt>
                <c:pt idx="341">
                  <c:v>84560</c:v>
                </c:pt>
                <c:pt idx="342">
                  <c:v>84440</c:v>
                </c:pt>
                <c:pt idx="343">
                  <c:v>84040</c:v>
                </c:pt>
                <c:pt idx="344">
                  <c:v>83860</c:v>
                </c:pt>
                <c:pt idx="345">
                  <c:v>83560</c:v>
                </c:pt>
                <c:pt idx="346">
                  <c:v>90360</c:v>
                </c:pt>
                <c:pt idx="347">
                  <c:v>87554</c:v>
                </c:pt>
                <c:pt idx="348">
                  <c:v>87454</c:v>
                </c:pt>
                <c:pt idx="349">
                  <c:v>87334</c:v>
                </c:pt>
                <c:pt idx="350">
                  <c:v>86934</c:v>
                </c:pt>
                <c:pt idx="351">
                  <c:v>86754</c:v>
                </c:pt>
                <c:pt idx="352">
                  <c:v>86454</c:v>
                </c:pt>
                <c:pt idx="353">
                  <c:v>89680</c:v>
                </c:pt>
                <c:pt idx="354">
                  <c:v>89580</c:v>
                </c:pt>
                <c:pt idx="355">
                  <c:v>89460</c:v>
                </c:pt>
                <c:pt idx="356">
                  <c:v>89060</c:v>
                </c:pt>
                <c:pt idx="357">
                  <c:v>88880</c:v>
                </c:pt>
                <c:pt idx="358">
                  <c:v>88580</c:v>
                </c:pt>
                <c:pt idx="359">
                  <c:v>88380</c:v>
                </c:pt>
                <c:pt idx="360">
                  <c:v>87980</c:v>
                </c:pt>
                <c:pt idx="361">
                  <c:v>87680</c:v>
                </c:pt>
                <c:pt idx="362">
                  <c:v>87380</c:v>
                </c:pt>
                <c:pt idx="363">
                  <c:v>87354</c:v>
                </c:pt>
                <c:pt idx="364">
                  <c:v>87114</c:v>
                </c:pt>
                <c:pt idx="365">
                  <c:v>86994</c:v>
                </c:pt>
                <c:pt idx="366">
                  <c:v>93794</c:v>
                </c:pt>
                <c:pt idx="367">
                  <c:v>92894</c:v>
                </c:pt>
                <c:pt idx="368">
                  <c:v>90088</c:v>
                </c:pt>
                <c:pt idx="369">
                  <c:v>89988</c:v>
                </c:pt>
                <c:pt idx="370">
                  <c:v>89868</c:v>
                </c:pt>
                <c:pt idx="371">
                  <c:v>89468</c:v>
                </c:pt>
                <c:pt idx="372">
                  <c:v>89288</c:v>
                </c:pt>
                <c:pt idx="373">
                  <c:v>88988</c:v>
                </c:pt>
                <c:pt idx="374">
                  <c:v>92214</c:v>
                </c:pt>
                <c:pt idx="375">
                  <c:v>92114</c:v>
                </c:pt>
                <c:pt idx="376">
                  <c:v>91994</c:v>
                </c:pt>
                <c:pt idx="377">
                  <c:v>91594</c:v>
                </c:pt>
                <c:pt idx="378">
                  <c:v>91414</c:v>
                </c:pt>
                <c:pt idx="379">
                  <c:v>91114</c:v>
                </c:pt>
                <c:pt idx="380">
                  <c:v>97914</c:v>
                </c:pt>
                <c:pt idx="381">
                  <c:v>95108</c:v>
                </c:pt>
                <c:pt idx="382">
                  <c:v>95008</c:v>
                </c:pt>
                <c:pt idx="383">
                  <c:v>94888</c:v>
                </c:pt>
                <c:pt idx="384">
                  <c:v>94488</c:v>
                </c:pt>
                <c:pt idx="385">
                  <c:v>94308</c:v>
                </c:pt>
                <c:pt idx="386">
                  <c:v>94008</c:v>
                </c:pt>
                <c:pt idx="387">
                  <c:v>97234</c:v>
                </c:pt>
                <c:pt idx="388">
                  <c:v>97134</c:v>
                </c:pt>
                <c:pt idx="389">
                  <c:v>97014</c:v>
                </c:pt>
                <c:pt idx="390">
                  <c:v>96614</c:v>
                </c:pt>
                <c:pt idx="391">
                  <c:v>96434</c:v>
                </c:pt>
                <c:pt idx="392">
                  <c:v>96134</c:v>
                </c:pt>
                <c:pt idx="393">
                  <c:v>102934</c:v>
                </c:pt>
                <c:pt idx="394">
                  <c:v>102734</c:v>
                </c:pt>
                <c:pt idx="395">
                  <c:v>102334</c:v>
                </c:pt>
                <c:pt idx="396">
                  <c:v>102308</c:v>
                </c:pt>
                <c:pt idx="397">
                  <c:v>102068</c:v>
                </c:pt>
                <c:pt idx="398">
                  <c:v>101948</c:v>
                </c:pt>
                <c:pt idx="399">
                  <c:v>101048</c:v>
                </c:pt>
                <c:pt idx="400">
                  <c:v>98242</c:v>
                </c:pt>
                <c:pt idx="401">
                  <c:v>98142</c:v>
                </c:pt>
                <c:pt idx="402">
                  <c:v>98022</c:v>
                </c:pt>
                <c:pt idx="403">
                  <c:v>97622</c:v>
                </c:pt>
                <c:pt idx="404">
                  <c:v>97442</c:v>
                </c:pt>
                <c:pt idx="405">
                  <c:v>97142</c:v>
                </c:pt>
                <c:pt idx="406">
                  <c:v>100368</c:v>
                </c:pt>
                <c:pt idx="407">
                  <c:v>100268</c:v>
                </c:pt>
                <c:pt idx="408">
                  <c:v>100148</c:v>
                </c:pt>
                <c:pt idx="409">
                  <c:v>99748</c:v>
                </c:pt>
                <c:pt idx="410">
                  <c:v>99568</c:v>
                </c:pt>
                <c:pt idx="411">
                  <c:v>99268</c:v>
                </c:pt>
                <c:pt idx="412">
                  <c:v>106068</c:v>
                </c:pt>
                <c:pt idx="413">
                  <c:v>103262</c:v>
                </c:pt>
                <c:pt idx="414">
                  <c:v>103162</c:v>
                </c:pt>
                <c:pt idx="415">
                  <c:v>103042</c:v>
                </c:pt>
                <c:pt idx="416">
                  <c:v>102642</c:v>
                </c:pt>
                <c:pt idx="417">
                  <c:v>102462</c:v>
                </c:pt>
                <c:pt idx="418">
                  <c:v>102162</c:v>
                </c:pt>
                <c:pt idx="419">
                  <c:v>105388</c:v>
                </c:pt>
                <c:pt idx="420">
                  <c:v>105288</c:v>
                </c:pt>
                <c:pt idx="421">
                  <c:v>105168</c:v>
                </c:pt>
                <c:pt idx="422">
                  <c:v>104768</c:v>
                </c:pt>
                <c:pt idx="423">
                  <c:v>104588</c:v>
                </c:pt>
                <c:pt idx="424">
                  <c:v>104288</c:v>
                </c:pt>
                <c:pt idx="425">
                  <c:v>111088</c:v>
                </c:pt>
                <c:pt idx="426">
                  <c:v>108282</c:v>
                </c:pt>
                <c:pt idx="427">
                  <c:v>108182</c:v>
                </c:pt>
                <c:pt idx="428">
                  <c:v>108062</c:v>
                </c:pt>
                <c:pt idx="429">
                  <c:v>107862</c:v>
                </c:pt>
                <c:pt idx="430">
                  <c:v>107462</c:v>
                </c:pt>
                <c:pt idx="431">
                  <c:v>107162</c:v>
                </c:pt>
                <c:pt idx="432">
                  <c:v>107136</c:v>
                </c:pt>
                <c:pt idx="433">
                  <c:v>106896</c:v>
                </c:pt>
                <c:pt idx="434">
                  <c:v>106776</c:v>
                </c:pt>
                <c:pt idx="435">
                  <c:v>106376</c:v>
                </c:pt>
                <c:pt idx="436">
                  <c:v>106196</c:v>
                </c:pt>
                <c:pt idx="437">
                  <c:v>105896</c:v>
                </c:pt>
                <c:pt idx="438">
                  <c:v>104996</c:v>
                </c:pt>
                <c:pt idx="439">
                  <c:v>108222</c:v>
                </c:pt>
                <c:pt idx="440">
                  <c:v>108122</c:v>
                </c:pt>
                <c:pt idx="441">
                  <c:v>108002</c:v>
                </c:pt>
                <c:pt idx="442">
                  <c:v>107602</c:v>
                </c:pt>
                <c:pt idx="443">
                  <c:v>107422</c:v>
                </c:pt>
                <c:pt idx="444">
                  <c:v>107122</c:v>
                </c:pt>
                <c:pt idx="445">
                  <c:v>113922</c:v>
                </c:pt>
                <c:pt idx="446">
                  <c:v>111116</c:v>
                </c:pt>
                <c:pt idx="447">
                  <c:v>111016</c:v>
                </c:pt>
                <c:pt idx="448">
                  <c:v>110896</c:v>
                </c:pt>
                <c:pt idx="449">
                  <c:v>110496</c:v>
                </c:pt>
                <c:pt idx="450">
                  <c:v>110316</c:v>
                </c:pt>
                <c:pt idx="451">
                  <c:v>110016</c:v>
                </c:pt>
                <c:pt idx="452">
                  <c:v>113242</c:v>
                </c:pt>
                <c:pt idx="453">
                  <c:v>113142</c:v>
                </c:pt>
                <c:pt idx="454">
                  <c:v>113022</c:v>
                </c:pt>
                <c:pt idx="455">
                  <c:v>112622</c:v>
                </c:pt>
                <c:pt idx="456">
                  <c:v>112442</c:v>
                </c:pt>
                <c:pt idx="457">
                  <c:v>112142</c:v>
                </c:pt>
                <c:pt idx="458">
                  <c:v>118942</c:v>
                </c:pt>
                <c:pt idx="459">
                  <c:v>116136</c:v>
                </c:pt>
                <c:pt idx="460">
                  <c:v>116036</c:v>
                </c:pt>
                <c:pt idx="461">
                  <c:v>115916</c:v>
                </c:pt>
                <c:pt idx="462">
                  <c:v>115516</c:v>
                </c:pt>
                <c:pt idx="463">
                  <c:v>115336</c:v>
                </c:pt>
                <c:pt idx="464">
                  <c:v>115036</c:v>
                </c:pt>
                <c:pt idx="465">
                  <c:v>118262</c:v>
                </c:pt>
                <c:pt idx="466">
                  <c:v>118062</c:v>
                </c:pt>
                <c:pt idx="467">
                  <c:v>117662</c:v>
                </c:pt>
                <c:pt idx="468">
                  <c:v>117362</c:v>
                </c:pt>
                <c:pt idx="469">
                  <c:v>117062</c:v>
                </c:pt>
                <c:pt idx="470">
                  <c:v>117036</c:v>
                </c:pt>
                <c:pt idx="471">
                  <c:v>116796</c:v>
                </c:pt>
                <c:pt idx="472">
                  <c:v>116676</c:v>
                </c:pt>
                <c:pt idx="473">
                  <c:v>115776</c:v>
                </c:pt>
                <c:pt idx="474">
                  <c:v>115676</c:v>
                </c:pt>
                <c:pt idx="475">
                  <c:v>115556</c:v>
                </c:pt>
                <c:pt idx="476">
                  <c:v>115156</c:v>
                </c:pt>
                <c:pt idx="477">
                  <c:v>114976</c:v>
                </c:pt>
                <c:pt idx="478">
                  <c:v>114676</c:v>
                </c:pt>
                <c:pt idx="479">
                  <c:v>121476</c:v>
                </c:pt>
                <c:pt idx="480">
                  <c:v>118670</c:v>
                </c:pt>
                <c:pt idx="481">
                  <c:v>118570</c:v>
                </c:pt>
                <c:pt idx="482">
                  <c:v>118450</c:v>
                </c:pt>
                <c:pt idx="483">
                  <c:v>118050</c:v>
                </c:pt>
                <c:pt idx="484">
                  <c:v>117870</c:v>
                </c:pt>
                <c:pt idx="485">
                  <c:v>117570</c:v>
                </c:pt>
                <c:pt idx="486">
                  <c:v>120796</c:v>
                </c:pt>
                <c:pt idx="487">
                  <c:v>120696</c:v>
                </c:pt>
                <c:pt idx="488">
                  <c:v>120576</c:v>
                </c:pt>
                <c:pt idx="489">
                  <c:v>120176</c:v>
                </c:pt>
                <c:pt idx="490">
                  <c:v>119996</c:v>
                </c:pt>
                <c:pt idx="491">
                  <c:v>119696</c:v>
                </c:pt>
                <c:pt idx="492">
                  <c:v>126496</c:v>
                </c:pt>
                <c:pt idx="493">
                  <c:v>123690</c:v>
                </c:pt>
                <c:pt idx="494">
                  <c:v>123590</c:v>
                </c:pt>
                <c:pt idx="495">
                  <c:v>123470</c:v>
                </c:pt>
                <c:pt idx="496">
                  <c:v>123070</c:v>
                </c:pt>
                <c:pt idx="497">
                  <c:v>122890</c:v>
                </c:pt>
                <c:pt idx="498">
                  <c:v>122590</c:v>
                </c:pt>
                <c:pt idx="499">
                  <c:v>125816</c:v>
                </c:pt>
                <c:pt idx="500">
                  <c:v>125616</c:v>
                </c:pt>
                <c:pt idx="501">
                  <c:v>125216</c:v>
                </c:pt>
                <c:pt idx="502">
                  <c:v>125190</c:v>
                </c:pt>
                <c:pt idx="503">
                  <c:v>124950</c:v>
                </c:pt>
                <c:pt idx="504">
                  <c:v>124830</c:v>
                </c:pt>
                <c:pt idx="505">
                  <c:v>123930</c:v>
                </c:pt>
                <c:pt idx="506">
                  <c:v>123830</c:v>
                </c:pt>
                <c:pt idx="507">
                  <c:v>123710</c:v>
                </c:pt>
                <c:pt idx="508">
                  <c:v>123310</c:v>
                </c:pt>
                <c:pt idx="509">
                  <c:v>123130</c:v>
                </c:pt>
                <c:pt idx="510">
                  <c:v>122830</c:v>
                </c:pt>
                <c:pt idx="511">
                  <c:v>129630</c:v>
                </c:pt>
                <c:pt idx="512">
                  <c:v>126824</c:v>
                </c:pt>
                <c:pt idx="513">
                  <c:v>126724</c:v>
                </c:pt>
                <c:pt idx="514">
                  <c:v>126604</c:v>
                </c:pt>
                <c:pt idx="515">
                  <c:v>126204</c:v>
                </c:pt>
                <c:pt idx="516">
                  <c:v>126024</c:v>
                </c:pt>
                <c:pt idx="517">
                  <c:v>125724</c:v>
                </c:pt>
                <c:pt idx="518">
                  <c:v>128950</c:v>
                </c:pt>
                <c:pt idx="519">
                  <c:v>128850</c:v>
                </c:pt>
                <c:pt idx="520">
                  <c:v>128730</c:v>
                </c:pt>
                <c:pt idx="521">
                  <c:v>128330</c:v>
                </c:pt>
                <c:pt idx="522">
                  <c:v>128150</c:v>
                </c:pt>
                <c:pt idx="523">
                  <c:v>127850</c:v>
                </c:pt>
                <c:pt idx="524">
                  <c:v>134650</c:v>
                </c:pt>
                <c:pt idx="525">
                  <c:v>131844</c:v>
                </c:pt>
                <c:pt idx="526">
                  <c:v>131744</c:v>
                </c:pt>
                <c:pt idx="527">
                  <c:v>131624</c:v>
                </c:pt>
                <c:pt idx="528">
                  <c:v>131224</c:v>
                </c:pt>
                <c:pt idx="529">
                  <c:v>131044</c:v>
                </c:pt>
                <c:pt idx="530">
                  <c:v>130744</c:v>
                </c:pt>
                <c:pt idx="531">
                  <c:v>133970</c:v>
                </c:pt>
                <c:pt idx="532">
                  <c:v>133870</c:v>
                </c:pt>
                <c:pt idx="533">
                  <c:v>133670</c:v>
                </c:pt>
                <c:pt idx="534">
                  <c:v>133270</c:v>
                </c:pt>
                <c:pt idx="535">
                  <c:v>132970</c:v>
                </c:pt>
                <c:pt idx="536">
                  <c:v>132944</c:v>
                </c:pt>
                <c:pt idx="537">
                  <c:v>132704</c:v>
                </c:pt>
                <c:pt idx="538">
                  <c:v>132584</c:v>
                </c:pt>
                <c:pt idx="539">
                  <c:v>132464</c:v>
                </c:pt>
                <c:pt idx="540">
                  <c:v>131564</c:v>
                </c:pt>
                <c:pt idx="541">
                  <c:v>131164</c:v>
                </c:pt>
                <c:pt idx="542">
                  <c:v>130984</c:v>
                </c:pt>
                <c:pt idx="543">
                  <c:v>130684</c:v>
                </c:pt>
                <c:pt idx="544">
                  <c:v>137484</c:v>
                </c:pt>
                <c:pt idx="545">
                  <c:v>134678</c:v>
                </c:pt>
                <c:pt idx="546">
                  <c:v>134578</c:v>
                </c:pt>
                <c:pt idx="547">
                  <c:v>134458</c:v>
                </c:pt>
                <c:pt idx="548">
                  <c:v>134058</c:v>
                </c:pt>
                <c:pt idx="549">
                  <c:v>133878</c:v>
                </c:pt>
                <c:pt idx="550">
                  <c:v>133578</c:v>
                </c:pt>
                <c:pt idx="551">
                  <c:v>136804</c:v>
                </c:pt>
                <c:pt idx="552">
                  <c:v>136704</c:v>
                </c:pt>
                <c:pt idx="553">
                  <c:v>136584</c:v>
                </c:pt>
                <c:pt idx="554">
                  <c:v>136184</c:v>
                </c:pt>
                <c:pt idx="555">
                  <c:v>136004</c:v>
                </c:pt>
                <c:pt idx="556">
                  <c:v>135704</c:v>
                </c:pt>
                <c:pt idx="557">
                  <c:v>142504</c:v>
                </c:pt>
                <c:pt idx="558">
                  <c:v>139698</c:v>
                </c:pt>
                <c:pt idx="559">
                  <c:v>139598</c:v>
                </c:pt>
                <c:pt idx="560">
                  <c:v>139478</c:v>
                </c:pt>
                <c:pt idx="561">
                  <c:v>139078</c:v>
                </c:pt>
                <c:pt idx="562">
                  <c:v>138898</c:v>
                </c:pt>
                <c:pt idx="563">
                  <c:v>138598</c:v>
                </c:pt>
                <c:pt idx="564">
                  <c:v>141824</c:v>
                </c:pt>
                <c:pt idx="565">
                  <c:v>141724</c:v>
                </c:pt>
                <c:pt idx="566">
                  <c:v>141604</c:v>
                </c:pt>
                <c:pt idx="567">
                  <c:v>141204</c:v>
                </c:pt>
                <c:pt idx="568">
                  <c:v>141024</c:v>
                </c:pt>
                <c:pt idx="569">
                  <c:v>140724</c:v>
                </c:pt>
                <c:pt idx="570">
                  <c:v>140524</c:v>
                </c:pt>
                <c:pt idx="571">
                  <c:v>140124</c:v>
                </c:pt>
                <c:pt idx="572">
                  <c:v>139824</c:v>
                </c:pt>
                <c:pt idx="573">
                  <c:v>139524</c:v>
                </c:pt>
                <c:pt idx="574">
                  <c:v>139498</c:v>
                </c:pt>
                <c:pt idx="575">
                  <c:v>139258</c:v>
                </c:pt>
                <c:pt idx="576">
                  <c:v>139138</c:v>
                </c:pt>
                <c:pt idx="577">
                  <c:v>138238</c:v>
                </c:pt>
                <c:pt idx="578">
                  <c:v>145038</c:v>
                </c:pt>
                <c:pt idx="579">
                  <c:v>142232</c:v>
                </c:pt>
                <c:pt idx="580">
                  <c:v>142132</c:v>
                </c:pt>
                <c:pt idx="581">
                  <c:v>142012</c:v>
                </c:pt>
                <c:pt idx="582">
                  <c:v>141612</c:v>
                </c:pt>
                <c:pt idx="583">
                  <c:v>141432</c:v>
                </c:pt>
                <c:pt idx="584">
                  <c:v>141132</c:v>
                </c:pt>
                <c:pt idx="585">
                  <c:v>144358</c:v>
                </c:pt>
                <c:pt idx="586">
                  <c:v>144258</c:v>
                </c:pt>
                <c:pt idx="587">
                  <c:v>144138</c:v>
                </c:pt>
                <c:pt idx="588">
                  <c:v>143738</c:v>
                </c:pt>
                <c:pt idx="589">
                  <c:v>143558</c:v>
                </c:pt>
                <c:pt idx="590">
                  <c:v>143258</c:v>
                </c:pt>
                <c:pt idx="591">
                  <c:v>150058</c:v>
                </c:pt>
                <c:pt idx="592">
                  <c:v>147252</c:v>
                </c:pt>
                <c:pt idx="593">
                  <c:v>147152</c:v>
                </c:pt>
                <c:pt idx="594">
                  <c:v>147032</c:v>
                </c:pt>
                <c:pt idx="595">
                  <c:v>146632</c:v>
                </c:pt>
                <c:pt idx="596">
                  <c:v>146452</c:v>
                </c:pt>
                <c:pt idx="597">
                  <c:v>146152</c:v>
                </c:pt>
                <c:pt idx="598">
                  <c:v>149378</c:v>
                </c:pt>
                <c:pt idx="599">
                  <c:v>149278</c:v>
                </c:pt>
                <c:pt idx="600">
                  <c:v>149158</c:v>
                </c:pt>
                <c:pt idx="601">
                  <c:v>148758</c:v>
                </c:pt>
                <c:pt idx="602">
                  <c:v>148578</c:v>
                </c:pt>
                <c:pt idx="603">
                  <c:v>148278</c:v>
                </c:pt>
                <c:pt idx="604">
                  <c:v>155078</c:v>
                </c:pt>
                <c:pt idx="605">
                  <c:v>154878</c:v>
                </c:pt>
                <c:pt idx="606">
                  <c:v>154478</c:v>
                </c:pt>
                <c:pt idx="607">
                  <c:v>154452</c:v>
                </c:pt>
                <c:pt idx="608">
                  <c:v>154212</c:v>
                </c:pt>
                <c:pt idx="609">
                  <c:v>154092</c:v>
                </c:pt>
                <c:pt idx="610">
                  <c:v>153192</c:v>
                </c:pt>
                <c:pt idx="611">
                  <c:v>150386</c:v>
                </c:pt>
                <c:pt idx="612">
                  <c:v>150286</c:v>
                </c:pt>
                <c:pt idx="613">
                  <c:v>150166</c:v>
                </c:pt>
                <c:pt idx="614">
                  <c:v>149766</c:v>
                </c:pt>
                <c:pt idx="615">
                  <c:v>149586</c:v>
                </c:pt>
                <c:pt idx="616">
                  <c:v>149286</c:v>
                </c:pt>
                <c:pt idx="617">
                  <c:v>152512</c:v>
                </c:pt>
                <c:pt idx="618">
                  <c:v>152412</c:v>
                </c:pt>
                <c:pt idx="619">
                  <c:v>152292</c:v>
                </c:pt>
                <c:pt idx="620">
                  <c:v>151892</c:v>
                </c:pt>
                <c:pt idx="621">
                  <c:v>151712</c:v>
                </c:pt>
                <c:pt idx="622">
                  <c:v>151412</c:v>
                </c:pt>
                <c:pt idx="623">
                  <c:v>158212</c:v>
                </c:pt>
                <c:pt idx="624">
                  <c:v>155406</c:v>
                </c:pt>
                <c:pt idx="625">
                  <c:v>155306</c:v>
                </c:pt>
                <c:pt idx="626">
                  <c:v>155186</c:v>
                </c:pt>
                <c:pt idx="627">
                  <c:v>154786</c:v>
                </c:pt>
                <c:pt idx="628">
                  <c:v>154606</c:v>
                </c:pt>
                <c:pt idx="629">
                  <c:v>154306</c:v>
                </c:pt>
                <c:pt idx="630">
                  <c:v>157532</c:v>
                </c:pt>
                <c:pt idx="631">
                  <c:v>157432</c:v>
                </c:pt>
                <c:pt idx="632">
                  <c:v>157312</c:v>
                </c:pt>
                <c:pt idx="633">
                  <c:v>156912</c:v>
                </c:pt>
                <c:pt idx="634">
                  <c:v>156732</c:v>
                </c:pt>
                <c:pt idx="635">
                  <c:v>156432</c:v>
                </c:pt>
                <c:pt idx="636">
                  <c:v>163232</c:v>
                </c:pt>
                <c:pt idx="637">
                  <c:v>160426</c:v>
                </c:pt>
                <c:pt idx="638">
                  <c:v>160326</c:v>
                </c:pt>
                <c:pt idx="639">
                  <c:v>160126</c:v>
                </c:pt>
                <c:pt idx="640">
                  <c:v>159726</c:v>
                </c:pt>
                <c:pt idx="641">
                  <c:v>159426</c:v>
                </c:pt>
                <c:pt idx="642">
                  <c:v>159400</c:v>
                </c:pt>
                <c:pt idx="643">
                  <c:v>159160</c:v>
                </c:pt>
                <c:pt idx="644">
                  <c:v>159040</c:v>
                </c:pt>
                <c:pt idx="645">
                  <c:v>158920</c:v>
                </c:pt>
                <c:pt idx="646">
                  <c:v>158020</c:v>
                </c:pt>
                <c:pt idx="647">
                  <c:v>157620</c:v>
                </c:pt>
                <c:pt idx="648">
                  <c:v>157440</c:v>
                </c:pt>
                <c:pt idx="649">
                  <c:v>157140</c:v>
                </c:pt>
                <c:pt idx="650">
                  <c:v>160366</c:v>
                </c:pt>
                <c:pt idx="651">
                  <c:v>160266</c:v>
                </c:pt>
                <c:pt idx="652">
                  <c:v>160146</c:v>
                </c:pt>
                <c:pt idx="653">
                  <c:v>159746</c:v>
                </c:pt>
                <c:pt idx="654">
                  <c:v>159566</c:v>
                </c:pt>
                <c:pt idx="655">
                  <c:v>159266</c:v>
                </c:pt>
                <c:pt idx="656">
                  <c:v>166066</c:v>
                </c:pt>
                <c:pt idx="657">
                  <c:v>163260</c:v>
                </c:pt>
                <c:pt idx="658">
                  <c:v>163160</c:v>
                </c:pt>
                <c:pt idx="659">
                  <c:v>163040</c:v>
                </c:pt>
                <c:pt idx="660">
                  <c:v>162640</c:v>
                </c:pt>
                <c:pt idx="661">
                  <c:v>162460</c:v>
                </c:pt>
                <c:pt idx="662">
                  <c:v>162160</c:v>
                </c:pt>
                <c:pt idx="663">
                  <c:v>165386</c:v>
                </c:pt>
                <c:pt idx="664">
                  <c:v>165286</c:v>
                </c:pt>
                <c:pt idx="665">
                  <c:v>165166</c:v>
                </c:pt>
                <c:pt idx="666">
                  <c:v>164766</c:v>
                </c:pt>
                <c:pt idx="667">
                  <c:v>164586</c:v>
                </c:pt>
                <c:pt idx="668">
                  <c:v>164286</c:v>
                </c:pt>
                <c:pt idx="669">
                  <c:v>171086</c:v>
                </c:pt>
                <c:pt idx="670">
                  <c:v>168280</c:v>
                </c:pt>
                <c:pt idx="671">
                  <c:v>168180</c:v>
                </c:pt>
                <c:pt idx="672">
                  <c:v>168060</c:v>
                </c:pt>
                <c:pt idx="673">
                  <c:v>167660</c:v>
                </c:pt>
                <c:pt idx="674">
                  <c:v>167480</c:v>
                </c:pt>
                <c:pt idx="675">
                  <c:v>167180</c:v>
                </c:pt>
                <c:pt idx="676">
                  <c:v>170406</c:v>
                </c:pt>
                <c:pt idx="677">
                  <c:v>170206</c:v>
                </c:pt>
                <c:pt idx="678">
                  <c:v>169806</c:v>
                </c:pt>
                <c:pt idx="679">
                  <c:v>169506</c:v>
                </c:pt>
                <c:pt idx="680">
                  <c:v>169206</c:v>
                </c:pt>
                <c:pt idx="681">
                  <c:v>169180</c:v>
                </c:pt>
                <c:pt idx="682">
                  <c:v>168940</c:v>
                </c:pt>
                <c:pt idx="683">
                  <c:v>168820</c:v>
                </c:pt>
                <c:pt idx="684">
                  <c:v>167920</c:v>
                </c:pt>
                <c:pt idx="685">
                  <c:v>167820</c:v>
                </c:pt>
                <c:pt idx="686">
                  <c:v>167700</c:v>
                </c:pt>
                <c:pt idx="687">
                  <c:v>167300</c:v>
                </c:pt>
                <c:pt idx="688">
                  <c:v>167120</c:v>
                </c:pt>
                <c:pt idx="689">
                  <c:v>166820</c:v>
                </c:pt>
                <c:pt idx="690">
                  <c:v>173620</c:v>
                </c:pt>
                <c:pt idx="691">
                  <c:v>170814</c:v>
                </c:pt>
                <c:pt idx="692">
                  <c:v>170714</c:v>
                </c:pt>
                <c:pt idx="693">
                  <c:v>170594</c:v>
                </c:pt>
                <c:pt idx="694">
                  <c:v>170194</c:v>
                </c:pt>
                <c:pt idx="695">
                  <c:v>170014</c:v>
                </c:pt>
                <c:pt idx="696">
                  <c:v>169714</c:v>
                </c:pt>
                <c:pt idx="697">
                  <c:v>172940</c:v>
                </c:pt>
                <c:pt idx="698">
                  <c:v>172840</c:v>
                </c:pt>
                <c:pt idx="699">
                  <c:v>172720</c:v>
                </c:pt>
                <c:pt idx="700">
                  <c:v>172320</c:v>
                </c:pt>
                <c:pt idx="701">
                  <c:v>172140</c:v>
                </c:pt>
                <c:pt idx="702">
                  <c:v>171840</c:v>
                </c:pt>
                <c:pt idx="703">
                  <c:v>178640</c:v>
                </c:pt>
                <c:pt idx="704">
                  <c:v>175834</c:v>
                </c:pt>
                <c:pt idx="705">
                  <c:v>175734</c:v>
                </c:pt>
                <c:pt idx="706">
                  <c:v>175614</c:v>
                </c:pt>
                <c:pt idx="707">
                  <c:v>175214</c:v>
                </c:pt>
                <c:pt idx="708">
                  <c:v>175034</c:v>
                </c:pt>
                <c:pt idx="709">
                  <c:v>174734</c:v>
                </c:pt>
                <c:pt idx="710">
                  <c:v>177960</c:v>
                </c:pt>
                <c:pt idx="711">
                  <c:v>177760</c:v>
                </c:pt>
                <c:pt idx="712">
                  <c:v>177360</c:v>
                </c:pt>
                <c:pt idx="713">
                  <c:v>177334</c:v>
                </c:pt>
                <c:pt idx="714">
                  <c:v>177094</c:v>
                </c:pt>
                <c:pt idx="715">
                  <c:v>176974</c:v>
                </c:pt>
                <c:pt idx="716">
                  <c:v>176874</c:v>
                </c:pt>
                <c:pt idx="717">
                  <c:v>175974</c:v>
                </c:pt>
                <c:pt idx="718">
                  <c:v>175854</c:v>
                </c:pt>
                <c:pt idx="719">
                  <c:v>175454</c:v>
                </c:pt>
                <c:pt idx="720">
                  <c:v>175274</c:v>
                </c:pt>
                <c:pt idx="721">
                  <c:v>174974</c:v>
                </c:pt>
                <c:pt idx="722">
                  <c:v>181774</c:v>
                </c:pt>
                <c:pt idx="723">
                  <c:v>178968</c:v>
                </c:pt>
                <c:pt idx="724">
                  <c:v>178868</c:v>
                </c:pt>
                <c:pt idx="725">
                  <c:v>178748</c:v>
                </c:pt>
                <c:pt idx="726">
                  <c:v>178348</c:v>
                </c:pt>
                <c:pt idx="727">
                  <c:v>178168</c:v>
                </c:pt>
                <c:pt idx="728">
                  <c:v>177868</c:v>
                </c:pt>
                <c:pt idx="729">
                  <c:v>181094</c:v>
                </c:pt>
                <c:pt idx="730">
                  <c:v>180994</c:v>
                </c:pt>
                <c:pt idx="731">
                  <c:v>180874</c:v>
                </c:pt>
                <c:pt idx="732">
                  <c:v>180474</c:v>
                </c:pt>
                <c:pt idx="733">
                  <c:v>180294</c:v>
                </c:pt>
                <c:pt idx="734">
                  <c:v>179994</c:v>
                </c:pt>
                <c:pt idx="735">
                  <c:v>186794</c:v>
                </c:pt>
                <c:pt idx="736">
                  <c:v>183988</c:v>
                </c:pt>
                <c:pt idx="737">
                  <c:v>183888</c:v>
                </c:pt>
                <c:pt idx="738">
                  <c:v>183768</c:v>
                </c:pt>
                <c:pt idx="739">
                  <c:v>183368</c:v>
                </c:pt>
                <c:pt idx="740">
                  <c:v>183188</c:v>
                </c:pt>
                <c:pt idx="741">
                  <c:v>182888</c:v>
                </c:pt>
                <c:pt idx="742">
                  <c:v>186114</c:v>
                </c:pt>
                <c:pt idx="743">
                  <c:v>186014</c:v>
                </c:pt>
                <c:pt idx="744">
                  <c:v>185894</c:v>
                </c:pt>
                <c:pt idx="745">
                  <c:v>185694</c:v>
                </c:pt>
                <c:pt idx="746">
                  <c:v>185294</c:v>
                </c:pt>
                <c:pt idx="747">
                  <c:v>184994</c:v>
                </c:pt>
                <c:pt idx="748">
                  <c:v>184968</c:v>
                </c:pt>
                <c:pt idx="749">
                  <c:v>184728</c:v>
                </c:pt>
                <c:pt idx="750">
                  <c:v>184608</c:v>
                </c:pt>
                <c:pt idx="751">
                  <c:v>184208</c:v>
                </c:pt>
                <c:pt idx="752">
                  <c:v>184028</c:v>
                </c:pt>
                <c:pt idx="753">
                  <c:v>183728</c:v>
                </c:pt>
                <c:pt idx="754">
                  <c:v>182828</c:v>
                </c:pt>
                <c:pt idx="755">
                  <c:v>189628</c:v>
                </c:pt>
                <c:pt idx="756">
                  <c:v>186822</c:v>
                </c:pt>
                <c:pt idx="757">
                  <c:v>186722</c:v>
                </c:pt>
                <c:pt idx="758">
                  <c:v>186602</c:v>
                </c:pt>
                <c:pt idx="759">
                  <c:v>186202</c:v>
                </c:pt>
                <c:pt idx="760">
                  <c:v>186022</c:v>
                </c:pt>
                <c:pt idx="761">
                  <c:v>185722</c:v>
                </c:pt>
                <c:pt idx="762">
                  <c:v>188948</c:v>
                </c:pt>
                <c:pt idx="763">
                  <c:v>188848</c:v>
                </c:pt>
                <c:pt idx="764">
                  <c:v>188728</c:v>
                </c:pt>
                <c:pt idx="765">
                  <c:v>188328</c:v>
                </c:pt>
                <c:pt idx="766">
                  <c:v>188148</c:v>
                </c:pt>
                <c:pt idx="767">
                  <c:v>187848</c:v>
                </c:pt>
                <c:pt idx="768">
                  <c:v>194648</c:v>
                </c:pt>
                <c:pt idx="769">
                  <c:v>191842</c:v>
                </c:pt>
                <c:pt idx="770">
                  <c:v>191742</c:v>
                </c:pt>
                <c:pt idx="771">
                  <c:v>191622</c:v>
                </c:pt>
                <c:pt idx="772">
                  <c:v>191222</c:v>
                </c:pt>
                <c:pt idx="773">
                  <c:v>191042</c:v>
                </c:pt>
                <c:pt idx="774">
                  <c:v>190742</c:v>
                </c:pt>
                <c:pt idx="775">
                  <c:v>193968</c:v>
                </c:pt>
                <c:pt idx="776">
                  <c:v>193868</c:v>
                </c:pt>
                <c:pt idx="777">
                  <c:v>193748</c:v>
                </c:pt>
                <c:pt idx="778">
                  <c:v>193348</c:v>
                </c:pt>
                <c:pt idx="779">
                  <c:v>193168</c:v>
                </c:pt>
                <c:pt idx="780">
                  <c:v>192868</c:v>
                </c:pt>
                <c:pt idx="781">
                  <c:v>199668</c:v>
                </c:pt>
                <c:pt idx="782">
                  <c:v>199468</c:v>
                </c:pt>
                <c:pt idx="783">
                  <c:v>199068</c:v>
                </c:pt>
                <c:pt idx="784">
                  <c:v>198768</c:v>
                </c:pt>
                <c:pt idx="785">
                  <c:v>198468</c:v>
                </c:pt>
                <c:pt idx="786">
                  <c:v>198442</c:v>
                </c:pt>
                <c:pt idx="787">
                  <c:v>198202</c:v>
                </c:pt>
                <c:pt idx="788">
                  <c:v>198082</c:v>
                </c:pt>
                <c:pt idx="789">
                  <c:v>197182</c:v>
                </c:pt>
                <c:pt idx="790">
                  <c:v>194376</c:v>
                </c:pt>
                <c:pt idx="791">
                  <c:v>194276</c:v>
                </c:pt>
                <c:pt idx="792">
                  <c:v>194156</c:v>
                </c:pt>
                <c:pt idx="793">
                  <c:v>193756</c:v>
                </c:pt>
                <c:pt idx="794">
                  <c:v>193576</c:v>
                </c:pt>
                <c:pt idx="795">
                  <c:v>193276</c:v>
                </c:pt>
                <c:pt idx="796">
                  <c:v>196502</c:v>
                </c:pt>
                <c:pt idx="797">
                  <c:v>196402</c:v>
                </c:pt>
                <c:pt idx="798">
                  <c:v>196282</c:v>
                </c:pt>
                <c:pt idx="799">
                  <c:v>195882</c:v>
                </c:pt>
                <c:pt idx="800">
                  <c:v>195702</c:v>
                </c:pt>
                <c:pt idx="801">
                  <c:v>195402</c:v>
                </c:pt>
                <c:pt idx="802">
                  <c:v>202202</c:v>
                </c:pt>
                <c:pt idx="803">
                  <c:v>199396</c:v>
                </c:pt>
                <c:pt idx="804">
                  <c:v>199296</c:v>
                </c:pt>
                <c:pt idx="805">
                  <c:v>199176</c:v>
                </c:pt>
                <c:pt idx="806">
                  <c:v>198776</c:v>
                </c:pt>
                <c:pt idx="807">
                  <c:v>198596</c:v>
                </c:pt>
                <c:pt idx="808">
                  <c:v>198296</c:v>
                </c:pt>
                <c:pt idx="809">
                  <c:v>201522</c:v>
                </c:pt>
                <c:pt idx="810">
                  <c:v>201422</c:v>
                </c:pt>
                <c:pt idx="811">
                  <c:v>201302</c:v>
                </c:pt>
                <c:pt idx="812">
                  <c:v>200902</c:v>
                </c:pt>
                <c:pt idx="813">
                  <c:v>200722</c:v>
                </c:pt>
                <c:pt idx="814">
                  <c:v>200422</c:v>
                </c:pt>
                <c:pt idx="815">
                  <c:v>207222</c:v>
                </c:pt>
                <c:pt idx="816">
                  <c:v>207022</c:v>
                </c:pt>
                <c:pt idx="817">
                  <c:v>206622</c:v>
                </c:pt>
                <c:pt idx="818">
                  <c:v>206596</c:v>
                </c:pt>
                <c:pt idx="819">
                  <c:v>206356</c:v>
                </c:pt>
                <c:pt idx="820">
                  <c:v>206236</c:v>
                </c:pt>
                <c:pt idx="821">
                  <c:v>203430</c:v>
                </c:pt>
                <c:pt idx="822">
                  <c:v>203330</c:v>
                </c:pt>
                <c:pt idx="823">
                  <c:v>202430</c:v>
                </c:pt>
                <c:pt idx="824">
                  <c:v>202310</c:v>
                </c:pt>
                <c:pt idx="825">
                  <c:v>201910</c:v>
                </c:pt>
                <c:pt idx="826">
                  <c:v>201730</c:v>
                </c:pt>
                <c:pt idx="827">
                  <c:v>201430</c:v>
                </c:pt>
                <c:pt idx="828">
                  <c:v>204656</c:v>
                </c:pt>
                <c:pt idx="829">
                  <c:v>204556</c:v>
                </c:pt>
                <c:pt idx="830">
                  <c:v>204436</c:v>
                </c:pt>
                <c:pt idx="831">
                  <c:v>204036</c:v>
                </c:pt>
                <c:pt idx="832">
                  <c:v>203856</c:v>
                </c:pt>
                <c:pt idx="833">
                  <c:v>203556</c:v>
                </c:pt>
                <c:pt idx="834">
                  <c:v>210356</c:v>
                </c:pt>
                <c:pt idx="835">
                  <c:v>207550</c:v>
                </c:pt>
                <c:pt idx="836">
                  <c:v>207450</c:v>
                </c:pt>
                <c:pt idx="837">
                  <c:v>207330</c:v>
                </c:pt>
                <c:pt idx="838">
                  <c:v>206930</c:v>
                </c:pt>
                <c:pt idx="839">
                  <c:v>206750</c:v>
                </c:pt>
                <c:pt idx="840">
                  <c:v>206450</c:v>
                </c:pt>
                <c:pt idx="841">
                  <c:v>209676</c:v>
                </c:pt>
                <c:pt idx="842">
                  <c:v>209576</c:v>
                </c:pt>
                <c:pt idx="843">
                  <c:v>209456</c:v>
                </c:pt>
                <c:pt idx="844">
                  <c:v>209056</c:v>
                </c:pt>
                <c:pt idx="845">
                  <c:v>208876</c:v>
                </c:pt>
                <c:pt idx="846">
                  <c:v>208576</c:v>
                </c:pt>
                <c:pt idx="847">
                  <c:v>208576</c:v>
                </c:pt>
                <c:pt idx="848">
                  <c:v>208576</c:v>
                </c:pt>
                <c:pt idx="849">
                  <c:v>208576</c:v>
                </c:pt>
                <c:pt idx="850">
                  <c:v>208576</c:v>
                </c:pt>
                <c:pt idx="851">
                  <c:v>208576</c:v>
                </c:pt>
                <c:pt idx="852">
                  <c:v>208576</c:v>
                </c:pt>
                <c:pt idx="853">
                  <c:v>208576</c:v>
                </c:pt>
                <c:pt idx="854">
                  <c:v>208576</c:v>
                </c:pt>
                <c:pt idx="855">
                  <c:v>208576</c:v>
                </c:pt>
                <c:pt idx="856">
                  <c:v>208576</c:v>
                </c:pt>
                <c:pt idx="857">
                  <c:v>208576</c:v>
                </c:pt>
                <c:pt idx="858">
                  <c:v>208576</c:v>
                </c:pt>
                <c:pt idx="859">
                  <c:v>208576</c:v>
                </c:pt>
                <c:pt idx="860">
                  <c:v>208576</c:v>
                </c:pt>
                <c:pt idx="861">
                  <c:v>208576</c:v>
                </c:pt>
                <c:pt idx="862">
                  <c:v>208576</c:v>
                </c:pt>
                <c:pt idx="863">
                  <c:v>208576</c:v>
                </c:pt>
                <c:pt idx="864">
                  <c:v>208576</c:v>
                </c:pt>
                <c:pt idx="865">
                  <c:v>208576</c:v>
                </c:pt>
                <c:pt idx="866">
                  <c:v>208576</c:v>
                </c:pt>
                <c:pt idx="867">
                  <c:v>208576</c:v>
                </c:pt>
                <c:pt idx="868">
                  <c:v>208576</c:v>
                </c:pt>
                <c:pt idx="869">
                  <c:v>208576</c:v>
                </c:pt>
                <c:pt idx="870">
                  <c:v>208576</c:v>
                </c:pt>
                <c:pt idx="871">
                  <c:v>208576</c:v>
                </c:pt>
                <c:pt idx="872">
                  <c:v>208576</c:v>
                </c:pt>
                <c:pt idx="873">
                  <c:v>208576</c:v>
                </c:pt>
                <c:pt idx="874">
                  <c:v>208576</c:v>
                </c:pt>
                <c:pt idx="875">
                  <c:v>208576</c:v>
                </c:pt>
                <c:pt idx="876">
                  <c:v>208576</c:v>
                </c:pt>
                <c:pt idx="877">
                  <c:v>208576</c:v>
                </c:pt>
                <c:pt idx="878">
                  <c:v>208576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952192"/>
        <c:axId val="87952768"/>
      </c:scatterChart>
      <c:valAx>
        <c:axId val="87952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7952768"/>
        <c:crosses val="autoZero"/>
        <c:crossBetween val="midCat"/>
      </c:valAx>
      <c:valAx>
        <c:axId val="87952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79521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154781</xdr:colOff>
      <xdr:row>7</xdr:row>
      <xdr:rowOff>176212</xdr:rowOff>
    </xdr:from>
    <xdr:to>
      <xdr:col>22</xdr:col>
      <xdr:colOff>476250</xdr:colOff>
      <xdr:row>22</xdr:row>
      <xdr:rowOff>61912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154781</xdr:colOff>
      <xdr:row>7</xdr:row>
      <xdr:rowOff>176212</xdr:rowOff>
    </xdr:from>
    <xdr:to>
      <xdr:col>22</xdr:col>
      <xdr:colOff>476250</xdr:colOff>
      <xdr:row>22</xdr:row>
      <xdr:rowOff>61912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154781</xdr:colOff>
      <xdr:row>7</xdr:row>
      <xdr:rowOff>176212</xdr:rowOff>
    </xdr:from>
    <xdr:to>
      <xdr:col>22</xdr:col>
      <xdr:colOff>476250</xdr:colOff>
      <xdr:row>22</xdr:row>
      <xdr:rowOff>61912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154781</xdr:colOff>
      <xdr:row>7</xdr:row>
      <xdr:rowOff>176212</xdr:rowOff>
    </xdr:from>
    <xdr:to>
      <xdr:col>22</xdr:col>
      <xdr:colOff>476250</xdr:colOff>
      <xdr:row>22</xdr:row>
      <xdr:rowOff>61912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048572"/>
  <sheetViews>
    <sheetView tabSelected="1" zoomScale="80" zoomScaleNormal="80" zoomScaleSheetLayoutView="75" workbookViewId="0">
      <selection activeCell="M17" sqref="M17"/>
    </sheetView>
  </sheetViews>
  <sheetFormatPr defaultColWidth="9.140625" defaultRowHeight="14.25" x14ac:dyDescent="0.2"/>
  <cols>
    <col min="1" max="1" width="27.85546875" style="1" customWidth="1"/>
    <col min="2" max="2" width="13" style="1" bestFit="1" customWidth="1"/>
    <col min="3" max="3" width="19.42578125" style="1" bestFit="1" customWidth="1"/>
    <col min="4" max="4" width="15" style="1" bestFit="1" customWidth="1"/>
    <col min="5" max="5" width="14.28515625" style="1" bestFit="1" customWidth="1"/>
    <col min="6" max="6" width="15.140625" style="1" bestFit="1" customWidth="1"/>
    <col min="7" max="7" width="12.85546875" style="1" bestFit="1" customWidth="1"/>
    <col min="8" max="8" width="17.7109375" style="1" customWidth="1"/>
    <col min="9" max="16384" width="9.140625" style="1"/>
  </cols>
  <sheetData>
    <row r="1" spans="1:9" x14ac:dyDescent="0.2">
      <c r="A1" s="1" t="s">
        <v>10</v>
      </c>
    </row>
    <row r="2" spans="1:9" x14ac:dyDescent="0.2">
      <c r="A2" s="1" t="s">
        <v>11</v>
      </c>
      <c r="B2" s="4">
        <v>41271</v>
      </c>
    </row>
    <row r="3" spans="1:9" x14ac:dyDescent="0.2">
      <c r="A3" s="1" t="s">
        <v>12</v>
      </c>
      <c r="B3" s="4">
        <v>42005</v>
      </c>
    </row>
    <row r="5" spans="1:9" x14ac:dyDescent="0.2">
      <c r="A5" s="1" t="s">
        <v>4</v>
      </c>
      <c r="B5" s="1" t="s">
        <v>6</v>
      </c>
      <c r="C5" s="1" t="s">
        <v>7</v>
      </c>
      <c r="D5" s="1" t="s">
        <v>8</v>
      </c>
      <c r="E5" s="1" t="s">
        <v>9</v>
      </c>
    </row>
    <row r="6" spans="1:9" x14ac:dyDescent="0.2">
      <c r="A6" s="1" t="s">
        <v>13</v>
      </c>
      <c r="B6" s="1">
        <v>3000</v>
      </c>
      <c r="C6" s="1">
        <v>0</v>
      </c>
      <c r="D6" s="1">
        <v>0</v>
      </c>
      <c r="E6" s="1">
        <v>0</v>
      </c>
    </row>
    <row r="7" spans="1:9" x14ac:dyDescent="0.2">
      <c r="E7" s="5"/>
    </row>
    <row r="8" spans="1:9" x14ac:dyDescent="0.2">
      <c r="E8" s="5"/>
    </row>
    <row r="9" spans="1:9" x14ac:dyDescent="0.2">
      <c r="A9" s="1" t="s">
        <v>0</v>
      </c>
      <c r="B9" s="1" t="s">
        <v>1</v>
      </c>
      <c r="C9" s="1" t="s">
        <v>27</v>
      </c>
      <c r="D9" s="1" t="s">
        <v>2</v>
      </c>
      <c r="E9" s="1" t="s">
        <v>3</v>
      </c>
      <c r="F9" s="1" t="s">
        <v>20</v>
      </c>
      <c r="G9" s="1" t="s">
        <v>21</v>
      </c>
      <c r="H9" s="1" t="s">
        <v>19</v>
      </c>
      <c r="I9" s="1" t="s">
        <v>28</v>
      </c>
    </row>
    <row r="10" spans="1:9" x14ac:dyDescent="0.2">
      <c r="A10" s="1" t="s">
        <v>42</v>
      </c>
      <c r="B10" s="4">
        <v>41275</v>
      </c>
      <c r="C10" s="1">
        <v>14</v>
      </c>
      <c r="D10" s="1">
        <v>52</v>
      </c>
      <c r="E10" s="5">
        <v>2806</v>
      </c>
      <c r="F10" s="1" t="s">
        <v>6</v>
      </c>
      <c r="H10" s="1" t="s">
        <v>15</v>
      </c>
      <c r="I10" s="1" t="s">
        <v>23</v>
      </c>
    </row>
    <row r="11" spans="1:9" x14ac:dyDescent="0.2">
      <c r="A11" s="1" t="s">
        <v>67</v>
      </c>
      <c r="B11" s="4">
        <v>41272</v>
      </c>
      <c r="C11" s="1">
        <v>14</v>
      </c>
      <c r="D11" s="1">
        <v>52</v>
      </c>
      <c r="E11" s="5">
        <f>80*85</f>
        <v>6800</v>
      </c>
      <c r="G11" s="1" t="s">
        <v>6</v>
      </c>
      <c r="H11" s="1" t="s">
        <v>16</v>
      </c>
      <c r="I11" s="1" t="s">
        <v>23</v>
      </c>
    </row>
    <row r="12" spans="1:9" x14ac:dyDescent="0.2">
      <c r="A12" s="1" t="s">
        <v>43</v>
      </c>
      <c r="B12" s="4">
        <v>41278</v>
      </c>
      <c r="C12" s="1">
        <v>14</v>
      </c>
      <c r="D12" s="1">
        <v>52</v>
      </c>
      <c r="E12" s="5">
        <f>2650+576</f>
        <v>3226</v>
      </c>
      <c r="G12" s="1" t="s">
        <v>6</v>
      </c>
      <c r="H12" s="1" t="s">
        <v>16</v>
      </c>
      <c r="I12" s="1" t="s">
        <v>23</v>
      </c>
    </row>
    <row r="13" spans="1:9" x14ac:dyDescent="0.2">
      <c r="A13" s="1" t="s">
        <v>44</v>
      </c>
      <c r="B13" s="4">
        <v>41277</v>
      </c>
      <c r="C13" s="1">
        <v>7</v>
      </c>
      <c r="D13" s="1">
        <v>104</v>
      </c>
      <c r="E13" s="5">
        <v>400</v>
      </c>
      <c r="F13" s="1" t="s">
        <v>6</v>
      </c>
      <c r="H13" s="1" t="s">
        <v>15</v>
      </c>
      <c r="I13" s="1" t="s">
        <v>23</v>
      </c>
    </row>
    <row r="14" spans="1:9" x14ac:dyDescent="0.2">
      <c r="A14" s="1" t="s">
        <v>45</v>
      </c>
      <c r="B14" s="4">
        <v>41277</v>
      </c>
      <c r="C14" s="1">
        <v>7</v>
      </c>
      <c r="D14" s="1">
        <v>104</v>
      </c>
      <c r="E14" s="5">
        <v>180</v>
      </c>
      <c r="F14" s="1" t="s">
        <v>6</v>
      </c>
      <c r="H14" s="1" t="s">
        <v>15</v>
      </c>
      <c r="I14" s="1" t="s">
        <v>23</v>
      </c>
    </row>
    <row r="15" spans="1:9" x14ac:dyDescent="0.2">
      <c r="A15" s="1" t="s">
        <v>46</v>
      </c>
      <c r="B15" s="4">
        <v>41277</v>
      </c>
      <c r="C15" s="1">
        <v>7</v>
      </c>
      <c r="D15" s="1">
        <v>104</v>
      </c>
      <c r="E15" s="5">
        <v>300</v>
      </c>
      <c r="F15" s="1" t="s">
        <v>6</v>
      </c>
      <c r="H15" s="1" t="s">
        <v>15</v>
      </c>
      <c r="I15" s="1" t="s">
        <v>23</v>
      </c>
    </row>
    <row r="16" spans="1:9" x14ac:dyDescent="0.2">
      <c r="A16" s="1" t="s">
        <v>47</v>
      </c>
      <c r="B16" s="4">
        <v>41276</v>
      </c>
      <c r="C16" s="1">
        <v>7</v>
      </c>
      <c r="D16" s="1">
        <v>104</v>
      </c>
      <c r="E16" s="5">
        <v>120</v>
      </c>
      <c r="F16" s="1" t="s">
        <v>6</v>
      </c>
      <c r="H16" s="1" t="s">
        <v>15</v>
      </c>
      <c r="I16" s="1" t="s">
        <v>23</v>
      </c>
    </row>
    <row r="17" spans="1:9" x14ac:dyDescent="0.2">
      <c r="A17" s="1" t="s">
        <v>48</v>
      </c>
      <c r="B17" s="4">
        <v>41275</v>
      </c>
      <c r="C17" s="1">
        <v>7</v>
      </c>
      <c r="D17" s="1">
        <v>104</v>
      </c>
      <c r="E17" s="5">
        <v>100</v>
      </c>
      <c r="F17" s="1" t="s">
        <v>6</v>
      </c>
      <c r="H17" s="1" t="s">
        <v>15</v>
      </c>
      <c r="I17" s="1" t="s">
        <v>23</v>
      </c>
    </row>
    <row r="18" spans="1:9" x14ac:dyDescent="0.2">
      <c r="A18" s="1" t="s">
        <v>49</v>
      </c>
      <c r="B18" s="4">
        <v>41275</v>
      </c>
      <c r="C18" s="1">
        <v>0</v>
      </c>
      <c r="D18" s="1">
        <v>24</v>
      </c>
      <c r="E18" s="5">
        <v>200</v>
      </c>
      <c r="F18" s="1" t="s">
        <v>6</v>
      </c>
      <c r="H18" s="1" t="s">
        <v>15</v>
      </c>
      <c r="I18" s="1" t="s">
        <v>22</v>
      </c>
    </row>
    <row r="19" spans="1:9" x14ac:dyDescent="0.2">
      <c r="A19" s="1" t="s">
        <v>50</v>
      </c>
      <c r="B19" s="4">
        <v>41276</v>
      </c>
      <c r="C19" s="1">
        <v>0</v>
      </c>
      <c r="D19" s="1">
        <v>24</v>
      </c>
      <c r="E19" s="5">
        <v>900</v>
      </c>
      <c r="F19" s="1" t="s">
        <v>6</v>
      </c>
      <c r="H19" s="1" t="s">
        <v>15</v>
      </c>
      <c r="I19" s="1" t="s">
        <v>22</v>
      </c>
    </row>
    <row r="20" spans="1:9" x14ac:dyDescent="0.2">
      <c r="A20" s="1" t="s">
        <v>51</v>
      </c>
      <c r="B20" s="4">
        <v>41275</v>
      </c>
      <c r="C20" s="1">
        <v>0</v>
      </c>
      <c r="D20" s="1">
        <v>24</v>
      </c>
      <c r="E20" s="5">
        <v>400</v>
      </c>
      <c r="F20" s="1" t="s">
        <v>6</v>
      </c>
      <c r="H20" s="1" t="s">
        <v>15</v>
      </c>
      <c r="I20" s="1" t="s">
        <v>22</v>
      </c>
    </row>
    <row r="21" spans="1:9" x14ac:dyDescent="0.2">
      <c r="A21" s="1" t="s">
        <v>52</v>
      </c>
      <c r="B21" s="4">
        <v>41275</v>
      </c>
      <c r="C21" s="1">
        <v>0</v>
      </c>
      <c r="D21" s="1">
        <v>8</v>
      </c>
      <c r="E21" s="5">
        <v>300</v>
      </c>
      <c r="F21" s="1" t="s">
        <v>6</v>
      </c>
      <c r="H21" s="1" t="s">
        <v>15</v>
      </c>
      <c r="I21" s="1" t="s">
        <v>24</v>
      </c>
    </row>
    <row r="22" spans="1:9" x14ac:dyDescent="0.2">
      <c r="A22" s="1" t="s">
        <v>53</v>
      </c>
      <c r="B22" s="4">
        <v>41306</v>
      </c>
      <c r="C22" s="1">
        <v>0</v>
      </c>
      <c r="D22" s="1">
        <v>8</v>
      </c>
      <c r="E22" s="5">
        <v>300</v>
      </c>
      <c r="F22" s="1" t="s">
        <v>6</v>
      </c>
      <c r="H22" s="1" t="s">
        <v>15</v>
      </c>
      <c r="I22" s="1" t="s">
        <v>24</v>
      </c>
    </row>
    <row r="23" spans="1:9" x14ac:dyDescent="0.2">
      <c r="A23" s="1" t="s">
        <v>54</v>
      </c>
      <c r="B23" s="4">
        <v>41306</v>
      </c>
      <c r="C23" s="1">
        <v>0</v>
      </c>
      <c r="D23" s="1">
        <v>8</v>
      </c>
      <c r="E23" s="5">
        <v>300</v>
      </c>
      <c r="F23" s="1" t="s">
        <v>6</v>
      </c>
      <c r="H23" s="1" t="s">
        <v>15</v>
      </c>
      <c r="I23" s="1" t="s">
        <v>24</v>
      </c>
    </row>
    <row r="24" spans="1:9" x14ac:dyDescent="0.2">
      <c r="A24" s="1" t="s">
        <v>55</v>
      </c>
      <c r="B24" s="4">
        <v>41275</v>
      </c>
      <c r="C24" s="1">
        <v>0</v>
      </c>
      <c r="D24" s="1">
        <v>24</v>
      </c>
      <c r="E24" s="5">
        <v>26</v>
      </c>
      <c r="F24" s="1" t="s">
        <v>6</v>
      </c>
      <c r="H24" s="1" t="s">
        <v>15</v>
      </c>
      <c r="I24" s="1" t="s">
        <v>22</v>
      </c>
    </row>
    <row r="25" spans="1:9" x14ac:dyDescent="0.2">
      <c r="A25" s="1" t="s">
        <v>56</v>
      </c>
      <c r="B25" s="4">
        <v>41275</v>
      </c>
      <c r="C25" s="1">
        <v>0</v>
      </c>
      <c r="D25" s="1">
        <v>24</v>
      </c>
      <c r="E25" s="5">
        <v>240</v>
      </c>
      <c r="F25" s="1" t="s">
        <v>6</v>
      </c>
      <c r="H25" s="1" t="s">
        <v>15</v>
      </c>
      <c r="I25" s="1" t="s">
        <v>22</v>
      </c>
    </row>
    <row r="26" spans="1:9" x14ac:dyDescent="0.2">
      <c r="A26" s="1" t="s">
        <v>57</v>
      </c>
      <c r="B26" s="4">
        <v>41275</v>
      </c>
      <c r="C26" s="1">
        <v>0</v>
      </c>
      <c r="D26" s="1">
        <v>24</v>
      </c>
      <c r="E26" s="5">
        <v>120</v>
      </c>
      <c r="F26" s="1" t="s">
        <v>6</v>
      </c>
      <c r="H26" s="1" t="s">
        <v>15</v>
      </c>
      <c r="I26" s="1" t="s">
        <v>22</v>
      </c>
    </row>
    <row r="27" spans="1:9" x14ac:dyDescent="0.2">
      <c r="A27" s="1" t="s">
        <v>68</v>
      </c>
      <c r="B27" s="4">
        <v>41275</v>
      </c>
      <c r="C27" s="1">
        <v>0</v>
      </c>
      <c r="D27" s="1">
        <v>2</v>
      </c>
      <c r="E27" s="1">
        <v>1500</v>
      </c>
      <c r="F27" s="1" t="s">
        <v>6</v>
      </c>
      <c r="H27" s="1" t="s">
        <v>15</v>
      </c>
      <c r="I27" s="1" t="s">
        <v>24</v>
      </c>
    </row>
    <row r="1048572" spans="3:4" x14ac:dyDescent="0.2">
      <c r="C1048572" s="1">
        <v>0</v>
      </c>
      <c r="D1048572" s="1">
        <v>0</v>
      </c>
    </row>
  </sheetData>
  <phoneticPr fontId="1" type="noConversion"/>
  <printOptions horizontalCentered="1" verticalCentered="1"/>
  <pageMargins left="0.59055118110236227" right="0.39370078740157483" top="0.59055118110236227" bottom="0.6692913385826772" header="0.19685039370078741" footer="0.19685039370078741"/>
  <pageSetup paperSize="9" orientation="portrait" r:id="rId1"/>
  <headerFooter alignWithMargins="0">
    <oddHeader>&amp;CLogiCamms</oddHeader>
    <oddFooter>&amp;L&amp;"Arial,Regular"&amp;8File : &amp;F
Sheet : &amp;A
Form: LCM-QA-TEM-0008 - Book (Excel)&amp;R&amp;"Arial,Regular"&amp;8Revision : 0
Printed : &amp;T &amp;D
Page &amp;P of &amp;N</oddFooter>
  </headerFooter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Lists!$A$2:$A$5</xm:f>
          </x14:formula1>
          <xm:sqref>F3 F7:F8 B5:F5 F10:F26 G10:G29</xm:sqref>
        </x14:dataValidation>
        <x14:dataValidation type="list" allowBlank="1" showInputMessage="1" showErrorMessage="1">
          <x14:formula1>
            <xm:f>Lists!$C$2:$C$3</xm:f>
          </x14:formula1>
          <xm:sqref>I29</xm:sqref>
        </x14:dataValidation>
        <x14:dataValidation type="list" allowBlank="1" showInputMessage="1" showErrorMessage="1">
          <x14:formula1>
            <xm:f>Lists!$B$2:$B$5</xm:f>
          </x14:formula1>
          <xm:sqref>H10:H27</xm:sqref>
        </x14:dataValidation>
        <x14:dataValidation type="list" allowBlank="1" showInputMessage="1" showErrorMessage="1">
          <x14:formula1>
            <xm:f>Lists!$C$2:$C$6</xm:f>
          </x14:formula1>
          <xm:sqref>I10:I28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56"/>
  <sheetViews>
    <sheetView zoomScale="80" zoomScaleNormal="80" zoomScaleSheetLayoutView="75" workbookViewId="0">
      <selection activeCell="Q33" sqref="Q33"/>
    </sheetView>
  </sheetViews>
  <sheetFormatPr defaultRowHeight="15" x14ac:dyDescent="0.25"/>
  <cols>
    <col min="1" max="1" width="10.85546875" bestFit="1" customWidth="1"/>
    <col min="2" max="2" width="21.28515625" bestFit="1" customWidth="1"/>
    <col min="3" max="3" width="10.5703125" bestFit="1" customWidth="1"/>
    <col min="4" max="4" width="8.5703125" bestFit="1" customWidth="1"/>
    <col min="5" max="5" width="13.42578125" bestFit="1" customWidth="1"/>
    <col min="6" max="6" width="11.7109375" bestFit="1" customWidth="1"/>
    <col min="7" max="7" width="13.5703125" bestFit="1" customWidth="1"/>
    <col min="8" max="8" width="11.5703125" bestFit="1" customWidth="1"/>
    <col min="9" max="9" width="12.85546875" bestFit="1" customWidth="1"/>
    <col min="10" max="10" width="11.28515625" bestFit="1" customWidth="1"/>
    <col min="11" max="11" width="12.7109375" bestFit="1" customWidth="1"/>
    <col min="12" max="12" width="11" bestFit="1" customWidth="1"/>
  </cols>
  <sheetData>
    <row r="1" spans="1:12" x14ac:dyDescent="0.25">
      <c r="A1" t="s">
        <v>38</v>
      </c>
      <c r="B1" t="s">
        <v>29</v>
      </c>
      <c r="C1" t="s">
        <v>39</v>
      </c>
      <c r="D1" t="s">
        <v>4</v>
      </c>
      <c r="E1" t="s">
        <v>30</v>
      </c>
      <c r="F1" t="s">
        <v>31</v>
      </c>
      <c r="G1" t="s">
        <v>32</v>
      </c>
      <c r="H1" t="s">
        <v>33</v>
      </c>
      <c r="I1" t="s">
        <v>34</v>
      </c>
      <c r="J1" t="s">
        <v>35</v>
      </c>
      <c r="K1" t="s">
        <v>36</v>
      </c>
      <c r="L1" t="s">
        <v>37</v>
      </c>
    </row>
    <row r="2" spans="1:12" x14ac:dyDescent="0.25">
      <c r="A2" s="6">
        <v>41271</v>
      </c>
      <c r="B2" t="s">
        <v>40</v>
      </c>
      <c r="C2" s="7" t="s">
        <v>41</v>
      </c>
      <c r="D2" t="s">
        <v>41</v>
      </c>
      <c r="E2" s="8">
        <v>3000</v>
      </c>
      <c r="F2" s="8"/>
      <c r="G2" s="8">
        <v>0</v>
      </c>
      <c r="H2" s="8"/>
      <c r="I2" s="8">
        <v>0</v>
      </c>
      <c r="J2" s="8"/>
      <c r="K2" s="8">
        <v>0</v>
      </c>
      <c r="L2" s="8"/>
    </row>
    <row r="3" spans="1:12" x14ac:dyDescent="0.25">
      <c r="A3" s="6">
        <v>41272</v>
      </c>
      <c r="B3" t="s">
        <v>67</v>
      </c>
      <c r="C3" s="7">
        <v>3600</v>
      </c>
      <c r="D3" t="s">
        <v>6</v>
      </c>
      <c r="E3" s="8">
        <f>E2+F3</f>
        <v>6600</v>
      </c>
      <c r="F3" s="8">
        <f>IF($D3="CR01",$C3,0)</f>
        <v>3600</v>
      </c>
      <c r="G3" s="8">
        <f>G2+H3</f>
        <v>0</v>
      </c>
      <c r="H3" s="8">
        <f>IF($D3="VISA",$C3,0)</f>
        <v>0</v>
      </c>
      <c r="I3" s="8">
        <f>I2+J3</f>
        <v>0</v>
      </c>
      <c r="J3" s="8">
        <f>IF($D3="ACC",$C3,0)</f>
        <v>0</v>
      </c>
      <c r="K3" s="8">
        <f>K2+L3</f>
        <v>0</v>
      </c>
      <c r="L3" s="8">
        <f>IF($D3="CBB",$C3,0)</f>
        <v>0</v>
      </c>
    </row>
    <row r="4" spans="1:12" x14ac:dyDescent="0.25">
      <c r="A4" s="6">
        <v>41275</v>
      </c>
      <c r="B4" t="s">
        <v>42</v>
      </c>
      <c r="C4" s="7">
        <v>-2806</v>
      </c>
      <c r="D4" t="s">
        <v>6</v>
      </c>
      <c r="E4" s="8">
        <f>E3+F4</f>
        <v>3794</v>
      </c>
      <c r="F4" s="8">
        <f>IF($D4="CR01",$C4,0)</f>
        <v>-2806</v>
      </c>
      <c r="G4" s="8">
        <f>G3+H4</f>
        <v>0</v>
      </c>
      <c r="H4" s="8">
        <f>IF($D4="VISA",$C4,0)</f>
        <v>0</v>
      </c>
      <c r="I4" s="8">
        <f>I3+J4</f>
        <v>0</v>
      </c>
      <c r="J4" s="8">
        <f>IF($D4="ACC",$C4,0)</f>
        <v>0</v>
      </c>
      <c r="K4" s="8">
        <f>K3+L4</f>
        <v>0</v>
      </c>
      <c r="L4" s="8">
        <f>IF($D4="CBB",$C4,0)</f>
        <v>0</v>
      </c>
    </row>
    <row r="5" spans="1:12" x14ac:dyDescent="0.25">
      <c r="A5" s="6">
        <v>41275</v>
      </c>
      <c r="B5" t="s">
        <v>48</v>
      </c>
      <c r="C5" s="7">
        <v>-100</v>
      </c>
      <c r="D5" t="s">
        <v>6</v>
      </c>
      <c r="E5" s="8">
        <f>E4+F5</f>
        <v>3694</v>
      </c>
      <c r="F5" s="8">
        <f>IF($D5="CR01",$C5,0)</f>
        <v>-100</v>
      </c>
      <c r="G5" s="8">
        <f>G4+H5</f>
        <v>0</v>
      </c>
      <c r="H5" s="8">
        <f>IF($D5="VISA",$C5,0)</f>
        <v>0</v>
      </c>
      <c r="I5" s="8">
        <f>I4+J5</f>
        <v>0</v>
      </c>
      <c r="J5" s="8">
        <f>IF($D5="ACC",$C5,0)</f>
        <v>0</v>
      </c>
      <c r="K5" s="8">
        <f>K4+L5</f>
        <v>0</v>
      </c>
      <c r="L5" s="8">
        <f>IF($D5="CBB",$C5,0)</f>
        <v>0</v>
      </c>
    </row>
    <row r="6" spans="1:12" x14ac:dyDescent="0.25">
      <c r="A6" s="6">
        <v>41275</v>
      </c>
      <c r="B6" t="s">
        <v>58</v>
      </c>
      <c r="C6" s="7">
        <v>-200</v>
      </c>
      <c r="D6" t="s">
        <v>6</v>
      </c>
      <c r="E6" s="8">
        <f>E5+F6</f>
        <v>3494</v>
      </c>
      <c r="F6" s="8">
        <f>IF($D6="CR01",$C6,0)</f>
        <v>-200</v>
      </c>
      <c r="G6" s="8">
        <f>G5+H6</f>
        <v>0</v>
      </c>
      <c r="H6" s="8">
        <f>IF($D6="VISA",$C6,0)</f>
        <v>0</v>
      </c>
      <c r="I6" s="8">
        <f>I5+J6</f>
        <v>0</v>
      </c>
      <c r="J6" s="8">
        <f>IF($D6="ACC",$C6,0)</f>
        <v>0</v>
      </c>
      <c r="K6" s="8">
        <f>K5+L6</f>
        <v>0</v>
      </c>
      <c r="L6" s="8">
        <f>IF($D6="CBB",$C6,0)</f>
        <v>0</v>
      </c>
    </row>
    <row r="7" spans="1:12" x14ac:dyDescent="0.25">
      <c r="A7" s="6">
        <v>41275</v>
      </c>
      <c r="B7" t="s">
        <v>60</v>
      </c>
      <c r="C7" s="7">
        <v>-400</v>
      </c>
      <c r="D7" t="s">
        <v>6</v>
      </c>
      <c r="E7" s="8">
        <f>E6+F7</f>
        <v>3094</v>
      </c>
      <c r="F7" s="8">
        <f>IF($D7="CR01",$C7,0)</f>
        <v>-400</v>
      </c>
      <c r="G7" s="8">
        <f>G6+H7</f>
        <v>0</v>
      </c>
      <c r="H7" s="8">
        <f>IF($D7="VISA",$C7,0)</f>
        <v>0</v>
      </c>
      <c r="I7" s="8">
        <f>I6+J7</f>
        <v>0</v>
      </c>
      <c r="J7" s="8">
        <f>IF($D7="ACC",$C7,0)</f>
        <v>0</v>
      </c>
      <c r="K7" s="8">
        <f>K6+L7</f>
        <v>0</v>
      </c>
      <c r="L7" s="8">
        <f>IF($D7="CBB",$C7,0)</f>
        <v>0</v>
      </c>
    </row>
    <row r="8" spans="1:12" x14ac:dyDescent="0.25">
      <c r="A8" s="6">
        <v>41275</v>
      </c>
      <c r="B8" t="s">
        <v>61</v>
      </c>
      <c r="C8" s="7">
        <v>-300</v>
      </c>
      <c r="D8" t="s">
        <v>6</v>
      </c>
      <c r="E8" s="8">
        <f>E7+F8</f>
        <v>2794</v>
      </c>
      <c r="F8" s="8">
        <f>IF($D8="CR01",$C8,0)</f>
        <v>-300</v>
      </c>
      <c r="G8" s="8">
        <f>G7+H8</f>
        <v>0</v>
      </c>
      <c r="H8" s="8">
        <f>IF($D8="VISA",$C8,0)</f>
        <v>0</v>
      </c>
      <c r="I8" s="8">
        <f>I7+J8</f>
        <v>0</v>
      </c>
      <c r="J8" s="8">
        <f>IF($D8="ACC",$C8,0)</f>
        <v>0</v>
      </c>
      <c r="K8" s="8">
        <f>K7+L8</f>
        <v>0</v>
      </c>
      <c r="L8" s="8">
        <f>IF($D8="CBB",$C8,0)</f>
        <v>0</v>
      </c>
    </row>
    <row r="9" spans="1:12" x14ac:dyDescent="0.25">
      <c r="A9" s="6">
        <v>41275</v>
      </c>
      <c r="B9" t="s">
        <v>64</v>
      </c>
      <c r="C9" s="7">
        <v>-26</v>
      </c>
      <c r="D9" t="s">
        <v>6</v>
      </c>
      <c r="E9" s="8">
        <f>E8+F9</f>
        <v>2768</v>
      </c>
      <c r="F9" s="8">
        <f>IF($D9="CR01",$C9,0)</f>
        <v>-26</v>
      </c>
      <c r="G9" s="8">
        <f>G8+H9</f>
        <v>0</v>
      </c>
      <c r="H9" s="8">
        <f>IF($D9="VISA",$C9,0)</f>
        <v>0</v>
      </c>
      <c r="I9" s="8">
        <f>I8+J9</f>
        <v>0</v>
      </c>
      <c r="J9" s="8">
        <f>IF($D9="ACC",$C9,0)</f>
        <v>0</v>
      </c>
      <c r="K9" s="8">
        <f>K8+L9</f>
        <v>0</v>
      </c>
      <c r="L9" s="8">
        <f>IF($D9="CBB",$C9,0)</f>
        <v>0</v>
      </c>
    </row>
    <row r="10" spans="1:12" x14ac:dyDescent="0.25">
      <c r="A10" s="6">
        <v>41275</v>
      </c>
      <c r="B10" t="s">
        <v>65</v>
      </c>
      <c r="C10" s="7">
        <v>-240</v>
      </c>
      <c r="D10" t="s">
        <v>6</v>
      </c>
      <c r="E10" s="8">
        <f>E9+F10</f>
        <v>2528</v>
      </c>
      <c r="F10" s="8">
        <f>IF($D10="CR01",$C10,0)</f>
        <v>-240</v>
      </c>
      <c r="G10" s="8">
        <f>G9+H10</f>
        <v>0</v>
      </c>
      <c r="H10" s="8">
        <f>IF($D10="VISA",$C10,0)</f>
        <v>0</v>
      </c>
      <c r="I10" s="8">
        <f>I9+J10</f>
        <v>0</v>
      </c>
      <c r="J10" s="8">
        <f>IF($D10="ACC",$C10,0)</f>
        <v>0</v>
      </c>
      <c r="K10" s="8">
        <f>K9+L10</f>
        <v>0</v>
      </c>
      <c r="L10" s="8">
        <f>IF($D10="CBB",$C10,0)</f>
        <v>0</v>
      </c>
    </row>
    <row r="11" spans="1:12" x14ac:dyDescent="0.25">
      <c r="A11" s="6">
        <v>41275</v>
      </c>
      <c r="B11" t="s">
        <v>66</v>
      </c>
      <c r="C11" s="7">
        <v>-120</v>
      </c>
      <c r="D11" t="s">
        <v>6</v>
      </c>
      <c r="E11" s="8">
        <f>E10+F11</f>
        <v>2408</v>
      </c>
      <c r="F11" s="8">
        <f>IF($D11="CR01",$C11,0)</f>
        <v>-120</v>
      </c>
      <c r="G11" s="8">
        <f>G10+H11</f>
        <v>0</v>
      </c>
      <c r="H11" s="8">
        <f>IF($D11="VISA",$C11,0)</f>
        <v>0</v>
      </c>
      <c r="I11" s="8">
        <f>I10+J11</f>
        <v>0</v>
      </c>
      <c r="J11" s="8">
        <f>IF($D11="ACC",$C11,0)</f>
        <v>0</v>
      </c>
      <c r="K11" s="8">
        <f>K10+L11</f>
        <v>0</v>
      </c>
      <c r="L11" s="8">
        <f>IF($D11="CBB",$C11,0)</f>
        <v>0</v>
      </c>
    </row>
    <row r="12" spans="1:12" x14ac:dyDescent="0.25">
      <c r="A12" s="6">
        <v>41275</v>
      </c>
      <c r="B12" t="s">
        <v>69</v>
      </c>
      <c r="C12" s="7">
        <v>-1500</v>
      </c>
      <c r="D12" t="s">
        <v>6</v>
      </c>
      <c r="E12" s="8">
        <f>E11+F12</f>
        <v>908</v>
      </c>
      <c r="F12" s="8">
        <f>IF($D12="CR01",$C12,0)</f>
        <v>-1500</v>
      </c>
      <c r="G12" s="8">
        <f>G11+H12</f>
        <v>0</v>
      </c>
      <c r="H12" s="8">
        <f>IF($D12="VISA",$C12,0)</f>
        <v>0</v>
      </c>
      <c r="I12" s="8">
        <f>I11+J12</f>
        <v>0</v>
      </c>
      <c r="J12" s="8">
        <f>IF($D12="ACC",$C12,0)</f>
        <v>0</v>
      </c>
      <c r="K12" s="8">
        <f>K11+L12</f>
        <v>0</v>
      </c>
      <c r="L12" s="8">
        <f>IF($D12="CBB",$C12,0)</f>
        <v>0</v>
      </c>
    </row>
    <row r="13" spans="1:12" x14ac:dyDescent="0.25">
      <c r="A13" s="6">
        <v>41276</v>
      </c>
      <c r="B13" t="s">
        <v>47</v>
      </c>
      <c r="C13" s="7">
        <v>-120</v>
      </c>
      <c r="D13" t="s">
        <v>6</v>
      </c>
      <c r="E13" s="8">
        <f>E12+F13</f>
        <v>788</v>
      </c>
      <c r="F13" s="8">
        <f>IF($D13="CR01",$C13,0)</f>
        <v>-120</v>
      </c>
      <c r="G13" s="8">
        <f>G12+H13</f>
        <v>0</v>
      </c>
      <c r="H13" s="8">
        <f>IF($D13="VISA",$C13,0)</f>
        <v>0</v>
      </c>
      <c r="I13" s="8">
        <f>I12+J13</f>
        <v>0</v>
      </c>
      <c r="J13" s="8">
        <f>IF($D13="ACC",$C13,0)</f>
        <v>0</v>
      </c>
      <c r="K13" s="8">
        <f>K12+L13</f>
        <v>0</v>
      </c>
      <c r="L13" s="8">
        <f>IF($D13="CBB",$C13,0)</f>
        <v>0</v>
      </c>
    </row>
    <row r="14" spans="1:12" x14ac:dyDescent="0.25">
      <c r="A14" s="6">
        <v>41276</v>
      </c>
      <c r="B14" t="s">
        <v>59</v>
      </c>
      <c r="C14" s="7">
        <v>-900</v>
      </c>
      <c r="D14" t="s">
        <v>6</v>
      </c>
      <c r="E14" s="8">
        <f>E13+F14</f>
        <v>-112</v>
      </c>
      <c r="F14" s="8">
        <f>IF($D14="CR01",$C14,0)</f>
        <v>-900</v>
      </c>
      <c r="G14" s="8">
        <f>G13+H14</f>
        <v>0</v>
      </c>
      <c r="H14" s="8">
        <f>IF($D14="VISA",$C14,0)</f>
        <v>0</v>
      </c>
      <c r="I14" s="8">
        <f>I13+J14</f>
        <v>0</v>
      </c>
      <c r="J14" s="8">
        <f>IF($D14="ACC",$C14,0)</f>
        <v>0</v>
      </c>
      <c r="K14" s="8">
        <f>K13+L14</f>
        <v>0</v>
      </c>
      <c r="L14" s="8">
        <f>IF($D14="CBB",$C14,0)</f>
        <v>0</v>
      </c>
    </row>
    <row r="15" spans="1:12" x14ac:dyDescent="0.25">
      <c r="A15" s="6">
        <v>41277</v>
      </c>
      <c r="B15" t="s">
        <v>44</v>
      </c>
      <c r="C15" s="7">
        <v>-400</v>
      </c>
      <c r="D15" t="s">
        <v>6</v>
      </c>
      <c r="E15" s="8">
        <f>E14+F15</f>
        <v>-512</v>
      </c>
      <c r="F15" s="8">
        <f>IF($D15="CR01",$C15,0)</f>
        <v>-400</v>
      </c>
      <c r="G15" s="8">
        <f>G14+H15</f>
        <v>0</v>
      </c>
      <c r="H15" s="8">
        <f>IF($D15="VISA",$C15,0)</f>
        <v>0</v>
      </c>
      <c r="I15" s="8">
        <f>I14+J15</f>
        <v>0</v>
      </c>
      <c r="J15" s="8">
        <f>IF($D15="ACC",$C15,0)</f>
        <v>0</v>
      </c>
      <c r="K15" s="8">
        <f>K14+L15</f>
        <v>0</v>
      </c>
      <c r="L15" s="8">
        <f>IF($D15="CBB",$C15,0)</f>
        <v>0</v>
      </c>
    </row>
    <row r="16" spans="1:12" x14ac:dyDescent="0.25">
      <c r="A16" s="6">
        <v>41277</v>
      </c>
      <c r="B16" t="s">
        <v>45</v>
      </c>
      <c r="C16" s="7">
        <v>-180</v>
      </c>
      <c r="D16" t="s">
        <v>6</v>
      </c>
      <c r="E16" s="8">
        <f>E15+F16</f>
        <v>-692</v>
      </c>
      <c r="F16" s="8">
        <f>IF($D16="CR01",$C16,0)</f>
        <v>-180</v>
      </c>
      <c r="G16" s="8">
        <f>G15+H16</f>
        <v>0</v>
      </c>
      <c r="H16" s="8">
        <f>IF($D16="VISA",$C16,0)</f>
        <v>0</v>
      </c>
      <c r="I16" s="8">
        <f>I15+J16</f>
        <v>0</v>
      </c>
      <c r="J16" s="8">
        <f>IF($D16="ACC",$C16,0)</f>
        <v>0</v>
      </c>
      <c r="K16" s="8">
        <f>K15+L16</f>
        <v>0</v>
      </c>
      <c r="L16" s="8">
        <f>IF($D16="CBB",$C16,0)</f>
        <v>0</v>
      </c>
    </row>
    <row r="17" spans="1:12" x14ac:dyDescent="0.25">
      <c r="A17" s="6">
        <v>41277</v>
      </c>
      <c r="B17" t="s">
        <v>46</v>
      </c>
      <c r="C17" s="7">
        <v>-300</v>
      </c>
      <c r="D17" t="s">
        <v>6</v>
      </c>
      <c r="E17" s="8">
        <f>E16+F17</f>
        <v>-992</v>
      </c>
      <c r="F17" s="8">
        <f>IF($D17="CR01",$C17,0)</f>
        <v>-300</v>
      </c>
      <c r="G17" s="8">
        <f>G16+H17</f>
        <v>0</v>
      </c>
      <c r="H17" s="8">
        <f>IF($D17="VISA",$C17,0)</f>
        <v>0</v>
      </c>
      <c r="I17" s="8">
        <f>I16+J17</f>
        <v>0</v>
      </c>
      <c r="J17" s="8">
        <f>IF($D17="ACC",$C17,0)</f>
        <v>0</v>
      </c>
      <c r="K17" s="8">
        <f>K16+L17</f>
        <v>0</v>
      </c>
      <c r="L17" s="8">
        <f>IF($D17="CBB",$C17,0)</f>
        <v>0</v>
      </c>
    </row>
    <row r="18" spans="1:12" x14ac:dyDescent="0.25">
      <c r="A18" s="6">
        <v>41278</v>
      </c>
      <c r="B18" t="s">
        <v>43</v>
      </c>
      <c r="C18" s="7">
        <v>3226</v>
      </c>
      <c r="D18" t="s">
        <v>6</v>
      </c>
      <c r="E18" s="8">
        <f>E17+F18</f>
        <v>2234</v>
      </c>
      <c r="F18" s="8">
        <f>IF($D18="CR01",$C18,0)</f>
        <v>3226</v>
      </c>
      <c r="G18" s="8">
        <f>G17+H18</f>
        <v>0</v>
      </c>
      <c r="H18" s="8">
        <f>IF($D18="VISA",$C18,0)</f>
        <v>0</v>
      </c>
      <c r="I18" s="8">
        <f>I17+J18</f>
        <v>0</v>
      </c>
      <c r="J18" s="8">
        <f>IF($D18="ACC",$C18,0)</f>
        <v>0</v>
      </c>
      <c r="K18" s="8">
        <f>K17+L18</f>
        <v>0</v>
      </c>
      <c r="L18" s="8">
        <f>IF($D18="CBB",$C18,0)</f>
        <v>0</v>
      </c>
    </row>
    <row r="19" spans="1:12" x14ac:dyDescent="0.25">
      <c r="A19" s="6">
        <v>41282</v>
      </c>
      <c r="B19" t="s">
        <v>48</v>
      </c>
      <c r="C19" s="7">
        <v>-100</v>
      </c>
      <c r="D19" t="s">
        <v>6</v>
      </c>
      <c r="E19" s="8">
        <f>E18+F19</f>
        <v>2134</v>
      </c>
      <c r="F19" s="8">
        <f>IF($D19="CR01",$C19,0)</f>
        <v>-100</v>
      </c>
      <c r="G19" s="8">
        <f>G18+H19</f>
        <v>0</v>
      </c>
      <c r="H19" s="8">
        <f>IF($D19="VISA",$C19,0)</f>
        <v>0</v>
      </c>
      <c r="I19" s="8">
        <f>I18+J19</f>
        <v>0</v>
      </c>
      <c r="J19" s="8">
        <f>IF($D19="ACC",$C19,0)</f>
        <v>0</v>
      </c>
      <c r="K19" s="8">
        <f>K18+L19</f>
        <v>0</v>
      </c>
      <c r="L19" s="8">
        <f>IF($D19="CBB",$C19,0)</f>
        <v>0</v>
      </c>
    </row>
    <row r="20" spans="1:12" x14ac:dyDescent="0.25">
      <c r="A20" s="6">
        <v>41283</v>
      </c>
      <c r="B20" t="s">
        <v>47</v>
      </c>
      <c r="C20" s="7">
        <v>-120</v>
      </c>
      <c r="D20" t="s">
        <v>6</v>
      </c>
      <c r="E20" s="8">
        <f>E19+F20</f>
        <v>2014</v>
      </c>
      <c r="F20" s="8">
        <f>IF($D20="CR01",$C20,0)</f>
        <v>-120</v>
      </c>
      <c r="G20" s="8">
        <f>G19+H20</f>
        <v>0</v>
      </c>
      <c r="H20" s="8">
        <f>IF($D20="VISA",$C20,0)</f>
        <v>0</v>
      </c>
      <c r="I20" s="8">
        <f>I19+J20</f>
        <v>0</v>
      </c>
      <c r="J20" s="8">
        <f>IF($D20="ACC",$C20,0)</f>
        <v>0</v>
      </c>
      <c r="K20" s="8">
        <f>K19+L20</f>
        <v>0</v>
      </c>
      <c r="L20" s="8">
        <f>IF($D20="CBB",$C20,0)</f>
        <v>0</v>
      </c>
    </row>
    <row r="21" spans="1:12" x14ac:dyDescent="0.25">
      <c r="A21" s="6">
        <v>41284</v>
      </c>
      <c r="B21" t="s">
        <v>44</v>
      </c>
      <c r="C21" s="7">
        <v>-400</v>
      </c>
      <c r="D21" t="s">
        <v>6</v>
      </c>
      <c r="E21" s="8">
        <f>E20+F21</f>
        <v>1614</v>
      </c>
      <c r="F21" s="8">
        <f>IF($D21="CR01",$C21,0)</f>
        <v>-400</v>
      </c>
      <c r="G21" s="8">
        <f>G20+H21</f>
        <v>0</v>
      </c>
      <c r="H21" s="8">
        <f>IF($D21="VISA",$C21,0)</f>
        <v>0</v>
      </c>
      <c r="I21" s="8">
        <f>I20+J21</f>
        <v>0</v>
      </c>
      <c r="J21" s="8">
        <f>IF($D21="ACC",$C21,0)</f>
        <v>0</v>
      </c>
      <c r="K21" s="8">
        <f>K20+L21</f>
        <v>0</v>
      </c>
      <c r="L21" s="8">
        <f>IF($D21="CBB",$C21,0)</f>
        <v>0</v>
      </c>
    </row>
    <row r="22" spans="1:12" x14ac:dyDescent="0.25">
      <c r="A22" s="6">
        <v>41284</v>
      </c>
      <c r="B22" t="s">
        <v>45</v>
      </c>
      <c r="C22" s="7">
        <v>-180</v>
      </c>
      <c r="D22" t="s">
        <v>6</v>
      </c>
      <c r="E22" s="8">
        <f>E21+F22</f>
        <v>1434</v>
      </c>
      <c r="F22" s="8">
        <f>IF($D22="CR01",$C22,0)</f>
        <v>-180</v>
      </c>
      <c r="G22" s="8">
        <f>G21+H22</f>
        <v>0</v>
      </c>
      <c r="H22" s="8">
        <f>IF($D22="VISA",$C22,0)</f>
        <v>0</v>
      </c>
      <c r="I22" s="8">
        <f>I21+J22</f>
        <v>0</v>
      </c>
      <c r="J22" s="8">
        <f>IF($D22="ACC",$C22,0)</f>
        <v>0</v>
      </c>
      <c r="K22" s="8">
        <f>K21+L22</f>
        <v>0</v>
      </c>
      <c r="L22" s="8">
        <f>IF($D22="CBB",$C22,0)</f>
        <v>0</v>
      </c>
    </row>
    <row r="23" spans="1:12" x14ac:dyDescent="0.25">
      <c r="A23" s="6">
        <v>41284</v>
      </c>
      <c r="B23" t="s">
        <v>46</v>
      </c>
      <c r="C23" s="7">
        <v>-300</v>
      </c>
      <c r="D23" t="s">
        <v>6</v>
      </c>
      <c r="E23" s="8">
        <f>E22+F23</f>
        <v>1134</v>
      </c>
      <c r="F23" s="8">
        <f>IF($D23="CR01",$C23,0)</f>
        <v>-300</v>
      </c>
      <c r="G23" s="8">
        <f>G22+H23</f>
        <v>0</v>
      </c>
      <c r="H23" s="8">
        <f>IF($D23="VISA",$C23,0)</f>
        <v>0</v>
      </c>
      <c r="I23" s="8">
        <f>I22+J23</f>
        <v>0</v>
      </c>
      <c r="J23" s="8">
        <f>IF($D23="ACC",$C23,0)</f>
        <v>0</v>
      </c>
      <c r="K23" s="8">
        <f>K22+L23</f>
        <v>0</v>
      </c>
      <c r="L23" s="8">
        <f>IF($D23="CBB",$C23,0)</f>
        <v>0</v>
      </c>
    </row>
    <row r="24" spans="1:12" x14ac:dyDescent="0.25">
      <c r="A24" s="6">
        <v>41286</v>
      </c>
      <c r="B24" t="s">
        <v>67</v>
      </c>
      <c r="C24" s="7">
        <v>3600</v>
      </c>
      <c r="D24" t="s">
        <v>6</v>
      </c>
      <c r="E24" s="8">
        <f>E23+F24</f>
        <v>4734</v>
      </c>
      <c r="F24" s="8">
        <f>IF($D24="CR01",$C24,0)</f>
        <v>3600</v>
      </c>
      <c r="G24" s="8">
        <f>G23+H24</f>
        <v>0</v>
      </c>
      <c r="H24" s="8">
        <f>IF($D24="VISA",$C24,0)</f>
        <v>0</v>
      </c>
      <c r="I24" s="8">
        <f>I23+J24</f>
        <v>0</v>
      </c>
      <c r="J24" s="8">
        <f>IF($D24="ACC",$C24,0)</f>
        <v>0</v>
      </c>
      <c r="K24" s="8">
        <f>K23+L24</f>
        <v>0</v>
      </c>
      <c r="L24" s="8">
        <f>IF($D24="CBB",$C24,0)</f>
        <v>0</v>
      </c>
    </row>
    <row r="25" spans="1:12" x14ac:dyDescent="0.25">
      <c r="A25" s="6">
        <v>41289</v>
      </c>
      <c r="B25" t="s">
        <v>42</v>
      </c>
      <c r="C25" s="7">
        <v>-2806</v>
      </c>
      <c r="D25" t="s">
        <v>6</v>
      </c>
      <c r="E25" s="8">
        <f>E24+F25</f>
        <v>1928</v>
      </c>
      <c r="F25" s="8">
        <f>IF($D25="CR01",$C25,0)</f>
        <v>-2806</v>
      </c>
      <c r="G25" s="8">
        <f>G24+H25</f>
        <v>0</v>
      </c>
      <c r="H25" s="8">
        <f>IF($D25="VISA",$C25,0)</f>
        <v>0</v>
      </c>
      <c r="I25" s="8">
        <f>I24+J25</f>
        <v>0</v>
      </c>
      <c r="J25" s="8">
        <f>IF($D25="ACC",$C25,0)</f>
        <v>0</v>
      </c>
      <c r="K25" s="8">
        <f>K24+L25</f>
        <v>0</v>
      </c>
      <c r="L25" s="8">
        <f>IF($D25="CBB",$C25,0)</f>
        <v>0</v>
      </c>
    </row>
    <row r="26" spans="1:12" x14ac:dyDescent="0.25">
      <c r="A26" s="6">
        <v>41289</v>
      </c>
      <c r="B26" t="s">
        <v>48</v>
      </c>
      <c r="C26" s="7">
        <v>-100</v>
      </c>
      <c r="D26" t="s">
        <v>6</v>
      </c>
      <c r="E26" s="8">
        <f>E25+F26</f>
        <v>1828</v>
      </c>
      <c r="F26" s="8">
        <f>IF($D26="CR01",$C26,0)</f>
        <v>-100</v>
      </c>
      <c r="G26" s="8">
        <f>G25+H26</f>
        <v>0</v>
      </c>
      <c r="H26" s="8">
        <f>IF($D26="VISA",$C26,0)</f>
        <v>0</v>
      </c>
      <c r="I26" s="8">
        <f>I25+J26</f>
        <v>0</v>
      </c>
      <c r="J26" s="8">
        <f>IF($D26="ACC",$C26,0)</f>
        <v>0</v>
      </c>
      <c r="K26" s="8">
        <f>K25+L26</f>
        <v>0</v>
      </c>
      <c r="L26" s="8">
        <f>IF($D26="CBB",$C26,0)</f>
        <v>0</v>
      </c>
    </row>
    <row r="27" spans="1:12" x14ac:dyDescent="0.25">
      <c r="A27" s="6">
        <v>41290</v>
      </c>
      <c r="B27" t="s">
        <v>47</v>
      </c>
      <c r="C27" s="7">
        <v>-120</v>
      </c>
      <c r="D27" t="s">
        <v>6</v>
      </c>
      <c r="E27" s="8">
        <f>E26+F27</f>
        <v>1708</v>
      </c>
      <c r="F27" s="8">
        <f>IF($D27="CR01",$C27,0)</f>
        <v>-120</v>
      </c>
      <c r="G27" s="8">
        <f>G26+H27</f>
        <v>0</v>
      </c>
      <c r="H27" s="8">
        <f>IF($D27="VISA",$C27,0)</f>
        <v>0</v>
      </c>
      <c r="I27" s="8">
        <f>I26+J27</f>
        <v>0</v>
      </c>
      <c r="J27" s="8">
        <f>IF($D27="ACC",$C27,0)</f>
        <v>0</v>
      </c>
      <c r="K27" s="8">
        <f>K26+L27</f>
        <v>0</v>
      </c>
      <c r="L27" s="8">
        <f>IF($D27="CBB",$C27,0)</f>
        <v>0</v>
      </c>
    </row>
    <row r="28" spans="1:12" x14ac:dyDescent="0.25">
      <c r="A28" s="6">
        <v>41291</v>
      </c>
      <c r="B28" t="s">
        <v>44</v>
      </c>
      <c r="C28" s="7">
        <v>-400</v>
      </c>
      <c r="D28" t="s">
        <v>6</v>
      </c>
      <c r="E28" s="8">
        <f>E27+F28</f>
        <v>1308</v>
      </c>
      <c r="F28" s="8">
        <f>IF($D28="CR01",$C28,0)</f>
        <v>-400</v>
      </c>
      <c r="G28" s="8">
        <f>G27+H28</f>
        <v>0</v>
      </c>
      <c r="H28" s="8">
        <f>IF($D28="VISA",$C28,0)</f>
        <v>0</v>
      </c>
      <c r="I28" s="8">
        <f>I27+J28</f>
        <v>0</v>
      </c>
      <c r="J28" s="8">
        <f>IF($D28="ACC",$C28,0)</f>
        <v>0</v>
      </c>
      <c r="K28" s="8">
        <f>K27+L28</f>
        <v>0</v>
      </c>
      <c r="L28" s="8">
        <f>IF($D28="CBB",$C28,0)</f>
        <v>0</v>
      </c>
    </row>
    <row r="29" spans="1:12" x14ac:dyDescent="0.25">
      <c r="A29" s="6">
        <v>41291</v>
      </c>
      <c r="B29" t="s">
        <v>45</v>
      </c>
      <c r="C29" s="7">
        <v>-180</v>
      </c>
      <c r="D29" t="s">
        <v>6</v>
      </c>
      <c r="E29" s="8">
        <f>E28+F29</f>
        <v>1128</v>
      </c>
      <c r="F29" s="8">
        <f>IF($D29="CR01",$C29,0)</f>
        <v>-180</v>
      </c>
      <c r="G29" s="8">
        <f>G28+H29</f>
        <v>0</v>
      </c>
      <c r="H29" s="8">
        <f>IF($D29="VISA",$C29,0)</f>
        <v>0</v>
      </c>
      <c r="I29" s="8">
        <f>I28+J29</f>
        <v>0</v>
      </c>
      <c r="J29" s="8">
        <f>IF($D29="ACC",$C29,0)</f>
        <v>0</v>
      </c>
      <c r="K29" s="8">
        <f>K28+L29</f>
        <v>0</v>
      </c>
      <c r="L29" s="8">
        <f>IF($D29="CBB",$C29,0)</f>
        <v>0</v>
      </c>
    </row>
    <row r="30" spans="1:12" x14ac:dyDescent="0.25">
      <c r="A30" s="6">
        <v>41291</v>
      </c>
      <c r="B30" t="s">
        <v>46</v>
      </c>
      <c r="C30" s="7">
        <v>-300</v>
      </c>
      <c r="D30" t="s">
        <v>6</v>
      </c>
      <c r="E30" s="8">
        <f>E29+F30</f>
        <v>828</v>
      </c>
      <c r="F30" s="8">
        <f>IF($D30="CR01",$C30,0)</f>
        <v>-300</v>
      </c>
      <c r="G30" s="8">
        <f>G29+H30</f>
        <v>0</v>
      </c>
      <c r="H30" s="8">
        <f>IF($D30="VISA",$C30,0)</f>
        <v>0</v>
      </c>
      <c r="I30" s="8">
        <f>I29+J30</f>
        <v>0</v>
      </c>
      <c r="J30" s="8">
        <f>IF($D30="ACC",$C30,0)</f>
        <v>0</v>
      </c>
      <c r="K30" s="8">
        <f>K29+L30</f>
        <v>0</v>
      </c>
      <c r="L30" s="8">
        <f>IF($D30="CBB",$C30,0)</f>
        <v>0</v>
      </c>
    </row>
    <row r="31" spans="1:12" x14ac:dyDescent="0.25">
      <c r="A31" s="6">
        <v>41292</v>
      </c>
      <c r="B31" t="s">
        <v>43</v>
      </c>
      <c r="C31" s="7">
        <v>3226</v>
      </c>
      <c r="D31" t="s">
        <v>6</v>
      </c>
      <c r="E31" s="8">
        <f>E30+F31</f>
        <v>4054</v>
      </c>
      <c r="F31" s="8">
        <f>IF($D31="CR01",$C31,0)</f>
        <v>3226</v>
      </c>
      <c r="G31" s="8">
        <f>G30+H31</f>
        <v>0</v>
      </c>
      <c r="H31" s="8">
        <f>IF($D31="VISA",$C31,0)</f>
        <v>0</v>
      </c>
      <c r="I31" s="8">
        <f>I30+J31</f>
        <v>0</v>
      </c>
      <c r="J31" s="8">
        <f>IF($D31="ACC",$C31,0)</f>
        <v>0</v>
      </c>
      <c r="K31" s="8">
        <f>K30+L31</f>
        <v>0</v>
      </c>
      <c r="L31" s="8">
        <f>IF($D31="CBB",$C31,0)</f>
        <v>0</v>
      </c>
    </row>
    <row r="32" spans="1:12" x14ac:dyDescent="0.25">
      <c r="A32" s="6">
        <v>41296</v>
      </c>
      <c r="B32" t="s">
        <v>48</v>
      </c>
      <c r="C32" s="7">
        <v>-100</v>
      </c>
      <c r="D32" t="s">
        <v>6</v>
      </c>
      <c r="E32" s="8">
        <f>E31+F32</f>
        <v>3954</v>
      </c>
      <c r="F32" s="8">
        <f>IF($D32="CR01",$C32,0)</f>
        <v>-100</v>
      </c>
      <c r="G32" s="8">
        <f>G31+H32</f>
        <v>0</v>
      </c>
      <c r="H32" s="8">
        <f>IF($D32="VISA",$C32,0)</f>
        <v>0</v>
      </c>
      <c r="I32" s="8">
        <f>I31+J32</f>
        <v>0</v>
      </c>
      <c r="J32" s="8">
        <f>IF($D32="ACC",$C32,0)</f>
        <v>0</v>
      </c>
      <c r="K32" s="8">
        <f>K31+L32</f>
        <v>0</v>
      </c>
      <c r="L32" s="8">
        <f>IF($D32="CBB",$C32,0)</f>
        <v>0</v>
      </c>
    </row>
    <row r="33" spans="1:12" x14ac:dyDescent="0.25">
      <c r="A33" s="6">
        <v>41297</v>
      </c>
      <c r="B33" t="s">
        <v>47</v>
      </c>
      <c r="C33" s="7">
        <v>-120</v>
      </c>
      <c r="D33" t="s">
        <v>6</v>
      </c>
      <c r="E33" s="8">
        <f>E32+F33</f>
        <v>3834</v>
      </c>
      <c r="F33" s="8">
        <f>IF($D33="CR01",$C33,0)</f>
        <v>-120</v>
      </c>
      <c r="G33" s="8">
        <f>G32+H33</f>
        <v>0</v>
      </c>
      <c r="H33" s="8">
        <f>IF($D33="VISA",$C33,0)</f>
        <v>0</v>
      </c>
      <c r="I33" s="8">
        <f>I32+J33</f>
        <v>0</v>
      </c>
      <c r="J33" s="8">
        <f>IF($D33="ACC",$C33,0)</f>
        <v>0</v>
      </c>
      <c r="K33" s="8">
        <f>K32+L33</f>
        <v>0</v>
      </c>
      <c r="L33" s="8">
        <f>IF($D33="CBB",$C33,0)</f>
        <v>0</v>
      </c>
    </row>
    <row r="34" spans="1:12" x14ac:dyDescent="0.25">
      <c r="A34" s="6">
        <v>41298</v>
      </c>
      <c r="B34" t="s">
        <v>44</v>
      </c>
      <c r="C34" s="7">
        <v>-400</v>
      </c>
      <c r="D34" t="s">
        <v>6</v>
      </c>
      <c r="E34" s="8">
        <f>E33+F34</f>
        <v>3434</v>
      </c>
      <c r="F34" s="8">
        <f>IF($D34="CR01",$C34,0)</f>
        <v>-400</v>
      </c>
      <c r="G34" s="8">
        <f>G33+H34</f>
        <v>0</v>
      </c>
      <c r="H34" s="8">
        <f>IF($D34="VISA",$C34,0)</f>
        <v>0</v>
      </c>
      <c r="I34" s="8">
        <f>I33+J34</f>
        <v>0</v>
      </c>
      <c r="J34" s="8">
        <f>IF($D34="ACC",$C34,0)</f>
        <v>0</v>
      </c>
      <c r="K34" s="8">
        <f>K33+L34</f>
        <v>0</v>
      </c>
      <c r="L34" s="8">
        <f>IF($D34="CBB",$C34,0)</f>
        <v>0</v>
      </c>
    </row>
    <row r="35" spans="1:12" x14ac:dyDescent="0.25">
      <c r="A35" s="6">
        <v>41298</v>
      </c>
      <c r="B35" t="s">
        <v>45</v>
      </c>
      <c r="C35" s="7">
        <v>-180</v>
      </c>
      <c r="D35" t="s">
        <v>6</v>
      </c>
      <c r="E35" s="8">
        <f>E34+F35</f>
        <v>3254</v>
      </c>
      <c r="F35" s="8">
        <f>IF($D35="CR01",$C35,0)</f>
        <v>-180</v>
      </c>
      <c r="G35" s="8">
        <f>G34+H35</f>
        <v>0</v>
      </c>
      <c r="H35" s="8">
        <f>IF($D35="VISA",$C35,0)</f>
        <v>0</v>
      </c>
      <c r="I35" s="8">
        <f>I34+J35</f>
        <v>0</v>
      </c>
      <c r="J35" s="8">
        <f>IF($D35="ACC",$C35,0)</f>
        <v>0</v>
      </c>
      <c r="K35" s="8">
        <f>K34+L35</f>
        <v>0</v>
      </c>
      <c r="L35" s="8">
        <f>IF($D35="CBB",$C35,0)</f>
        <v>0</v>
      </c>
    </row>
    <row r="36" spans="1:12" x14ac:dyDescent="0.25">
      <c r="A36" s="6">
        <v>41298</v>
      </c>
      <c r="B36" t="s">
        <v>46</v>
      </c>
      <c r="C36" s="7">
        <v>-300</v>
      </c>
      <c r="D36" t="s">
        <v>6</v>
      </c>
      <c r="E36" s="8">
        <f>E35+F36</f>
        <v>2954</v>
      </c>
      <c r="F36" s="8">
        <f>IF($D36="CR01",$C36,0)</f>
        <v>-300</v>
      </c>
      <c r="G36" s="8">
        <f>G35+H36</f>
        <v>0</v>
      </c>
      <c r="H36" s="8">
        <f>IF($D36="VISA",$C36,0)</f>
        <v>0</v>
      </c>
      <c r="I36" s="8">
        <f>I35+J36</f>
        <v>0</v>
      </c>
      <c r="J36" s="8">
        <f>IF($D36="ACC",$C36,0)</f>
        <v>0</v>
      </c>
      <c r="K36" s="8">
        <f>K35+L36</f>
        <v>0</v>
      </c>
      <c r="L36" s="8">
        <f>IF($D36="CBB",$C36,0)</f>
        <v>0</v>
      </c>
    </row>
    <row r="37" spans="1:12" x14ac:dyDescent="0.25">
      <c r="A37" s="6">
        <v>41300</v>
      </c>
      <c r="B37" t="s">
        <v>67</v>
      </c>
      <c r="C37" s="7">
        <v>3600</v>
      </c>
      <c r="D37" t="s">
        <v>6</v>
      </c>
      <c r="E37" s="8">
        <f>E36+F37</f>
        <v>6554</v>
      </c>
      <c r="F37" s="8">
        <f>IF($D37="CR01",$C37,0)</f>
        <v>3600</v>
      </c>
      <c r="G37" s="8">
        <f>G36+H37</f>
        <v>0</v>
      </c>
      <c r="H37" s="8">
        <f>IF($D37="VISA",$C37,0)</f>
        <v>0</v>
      </c>
      <c r="I37" s="8">
        <f>I36+J37</f>
        <v>0</v>
      </c>
      <c r="J37" s="8">
        <f>IF($D37="ACC",$C37,0)</f>
        <v>0</v>
      </c>
      <c r="K37" s="8">
        <f>K36+L37</f>
        <v>0</v>
      </c>
      <c r="L37" s="8">
        <f>IF($D37="CBB",$C37,0)</f>
        <v>0</v>
      </c>
    </row>
    <row r="38" spans="1:12" x14ac:dyDescent="0.25">
      <c r="A38" s="6">
        <v>41303</v>
      </c>
      <c r="B38" t="s">
        <v>42</v>
      </c>
      <c r="C38" s="7">
        <v>-2806</v>
      </c>
      <c r="D38" t="s">
        <v>6</v>
      </c>
      <c r="E38" s="8">
        <f>E37+F38</f>
        <v>3748</v>
      </c>
      <c r="F38" s="8">
        <f>IF($D38="CR01",$C38,0)</f>
        <v>-2806</v>
      </c>
      <c r="G38" s="8">
        <f>G37+H38</f>
        <v>0</v>
      </c>
      <c r="H38" s="8">
        <f>IF($D38="VISA",$C38,0)</f>
        <v>0</v>
      </c>
      <c r="I38" s="8">
        <f>I37+J38</f>
        <v>0</v>
      </c>
      <c r="J38" s="8">
        <f>IF($D38="ACC",$C38,0)</f>
        <v>0</v>
      </c>
      <c r="K38" s="8">
        <f>K37+L38</f>
        <v>0</v>
      </c>
      <c r="L38" s="8">
        <f>IF($D38="CBB",$C38,0)</f>
        <v>0</v>
      </c>
    </row>
    <row r="39" spans="1:12" x14ac:dyDescent="0.25">
      <c r="A39" s="6">
        <v>41303</v>
      </c>
      <c r="B39" t="s">
        <v>48</v>
      </c>
      <c r="C39" s="7">
        <v>-100</v>
      </c>
      <c r="D39" t="s">
        <v>6</v>
      </c>
      <c r="E39" s="8">
        <f>E38+F39</f>
        <v>3648</v>
      </c>
      <c r="F39" s="8">
        <f>IF($D39="CR01",$C39,0)</f>
        <v>-100</v>
      </c>
      <c r="G39" s="8">
        <f>G38+H39</f>
        <v>0</v>
      </c>
      <c r="H39" s="8">
        <f>IF($D39="VISA",$C39,0)</f>
        <v>0</v>
      </c>
      <c r="I39" s="8">
        <f>I38+J39</f>
        <v>0</v>
      </c>
      <c r="J39" s="8">
        <f>IF($D39="ACC",$C39,0)</f>
        <v>0</v>
      </c>
      <c r="K39" s="8">
        <f>K38+L39</f>
        <v>0</v>
      </c>
      <c r="L39" s="8">
        <f>IF($D39="CBB",$C39,0)</f>
        <v>0</v>
      </c>
    </row>
    <row r="40" spans="1:12" x14ac:dyDescent="0.25">
      <c r="A40" s="6">
        <v>41304</v>
      </c>
      <c r="B40" t="s">
        <v>47</v>
      </c>
      <c r="C40" s="7">
        <v>-120</v>
      </c>
      <c r="D40" t="s">
        <v>6</v>
      </c>
      <c r="E40" s="8">
        <f>E39+F40</f>
        <v>3528</v>
      </c>
      <c r="F40" s="8">
        <f>IF($D40="CR01",$C40,0)</f>
        <v>-120</v>
      </c>
      <c r="G40" s="8">
        <f>G39+H40</f>
        <v>0</v>
      </c>
      <c r="H40" s="8">
        <f>IF($D40="VISA",$C40,0)</f>
        <v>0</v>
      </c>
      <c r="I40" s="8">
        <f>I39+J40</f>
        <v>0</v>
      </c>
      <c r="J40" s="8">
        <f>IF($D40="ACC",$C40,0)</f>
        <v>0</v>
      </c>
      <c r="K40" s="8">
        <f>K39+L40</f>
        <v>0</v>
      </c>
      <c r="L40" s="8">
        <f>IF($D40="CBB",$C40,0)</f>
        <v>0</v>
      </c>
    </row>
    <row r="41" spans="1:12" x14ac:dyDescent="0.25">
      <c r="A41" s="6">
        <v>41305</v>
      </c>
      <c r="B41" t="s">
        <v>44</v>
      </c>
      <c r="C41" s="7">
        <v>-400</v>
      </c>
      <c r="D41" t="s">
        <v>6</v>
      </c>
      <c r="E41" s="8">
        <f>E40+F41</f>
        <v>3128</v>
      </c>
      <c r="F41" s="8">
        <f>IF($D41="CR01",$C41,0)</f>
        <v>-400</v>
      </c>
      <c r="G41" s="8">
        <f>G40+H41</f>
        <v>0</v>
      </c>
      <c r="H41" s="8">
        <f>IF($D41="VISA",$C41,0)</f>
        <v>0</v>
      </c>
      <c r="I41" s="8">
        <f>I40+J41</f>
        <v>0</v>
      </c>
      <c r="J41" s="8">
        <f>IF($D41="ACC",$C41,0)</f>
        <v>0</v>
      </c>
      <c r="K41" s="8">
        <f>K40+L41</f>
        <v>0</v>
      </c>
      <c r="L41" s="8">
        <f>IF($D41="CBB",$C41,0)</f>
        <v>0</v>
      </c>
    </row>
    <row r="42" spans="1:12" x14ac:dyDescent="0.25">
      <c r="A42" s="6">
        <v>41305</v>
      </c>
      <c r="B42" t="s">
        <v>45</v>
      </c>
      <c r="C42" s="7">
        <v>-180</v>
      </c>
      <c r="D42" t="s">
        <v>6</v>
      </c>
      <c r="E42" s="8">
        <f>E41+F42</f>
        <v>2948</v>
      </c>
      <c r="F42" s="8">
        <f>IF($D42="CR01",$C42,0)</f>
        <v>-180</v>
      </c>
      <c r="G42" s="8">
        <f>G41+H42</f>
        <v>0</v>
      </c>
      <c r="H42" s="8">
        <f>IF($D42="VISA",$C42,0)</f>
        <v>0</v>
      </c>
      <c r="I42" s="8">
        <f>I41+J42</f>
        <v>0</v>
      </c>
      <c r="J42" s="8">
        <f>IF($D42="ACC",$C42,0)</f>
        <v>0</v>
      </c>
      <c r="K42" s="8">
        <f>K41+L42</f>
        <v>0</v>
      </c>
      <c r="L42" s="8">
        <f>IF($D42="CBB",$C42,0)</f>
        <v>0</v>
      </c>
    </row>
    <row r="43" spans="1:12" x14ac:dyDescent="0.25">
      <c r="A43" s="6">
        <v>41305</v>
      </c>
      <c r="B43" t="s">
        <v>46</v>
      </c>
      <c r="C43" s="7">
        <v>-300</v>
      </c>
      <c r="D43" t="s">
        <v>6</v>
      </c>
      <c r="E43" s="8">
        <f>E42+F43</f>
        <v>2648</v>
      </c>
      <c r="F43" s="8">
        <f>IF($D43="CR01",$C43,0)</f>
        <v>-300</v>
      </c>
      <c r="G43" s="8">
        <f>G42+H43</f>
        <v>0</v>
      </c>
      <c r="H43" s="8">
        <f>IF($D43="VISA",$C43,0)</f>
        <v>0</v>
      </c>
      <c r="I43" s="8">
        <f>I42+J43</f>
        <v>0</v>
      </c>
      <c r="J43" s="8">
        <f>IF($D43="ACC",$C43,0)</f>
        <v>0</v>
      </c>
      <c r="K43" s="8">
        <f>K42+L43</f>
        <v>0</v>
      </c>
      <c r="L43" s="8">
        <f>IF($D43="CBB",$C43,0)</f>
        <v>0</v>
      </c>
    </row>
    <row r="44" spans="1:12" x14ac:dyDescent="0.25">
      <c r="A44" s="6">
        <v>41306</v>
      </c>
      <c r="B44" t="s">
        <v>43</v>
      </c>
      <c r="C44" s="7">
        <v>3226</v>
      </c>
      <c r="D44" t="s">
        <v>6</v>
      </c>
      <c r="E44" s="8">
        <f>E43+F44</f>
        <v>5874</v>
      </c>
      <c r="F44" s="8">
        <f>IF($D44="CR01",$C44,0)</f>
        <v>3226</v>
      </c>
      <c r="G44" s="8">
        <f>G43+H44</f>
        <v>0</v>
      </c>
      <c r="H44" s="8">
        <f>IF($D44="VISA",$C44,0)</f>
        <v>0</v>
      </c>
      <c r="I44" s="8">
        <f>I43+J44</f>
        <v>0</v>
      </c>
      <c r="J44" s="8">
        <f>IF($D44="ACC",$C44,0)</f>
        <v>0</v>
      </c>
      <c r="K44" s="8">
        <f>K43+L44</f>
        <v>0</v>
      </c>
      <c r="L44" s="8">
        <f>IF($D44="CBB",$C44,0)</f>
        <v>0</v>
      </c>
    </row>
    <row r="45" spans="1:12" x14ac:dyDescent="0.25">
      <c r="A45" s="6">
        <v>41306</v>
      </c>
      <c r="B45" t="s">
        <v>58</v>
      </c>
      <c r="C45" s="7">
        <v>-200</v>
      </c>
      <c r="D45" t="s">
        <v>6</v>
      </c>
      <c r="E45" s="8">
        <f>E44+F45</f>
        <v>5674</v>
      </c>
      <c r="F45" s="8">
        <f>IF($D45="CR01",$C45,0)</f>
        <v>-200</v>
      </c>
      <c r="G45" s="8">
        <f>G44+H45</f>
        <v>0</v>
      </c>
      <c r="H45" s="8">
        <f>IF($D45="VISA",$C45,0)</f>
        <v>0</v>
      </c>
      <c r="I45" s="8">
        <f>I44+J45</f>
        <v>0</v>
      </c>
      <c r="J45" s="8">
        <f>IF($D45="ACC",$C45,0)</f>
        <v>0</v>
      </c>
      <c r="K45" s="8">
        <f>K44+L45</f>
        <v>0</v>
      </c>
      <c r="L45" s="8">
        <f>IF($D45="CBB",$C45,0)</f>
        <v>0</v>
      </c>
    </row>
    <row r="46" spans="1:12" x14ac:dyDescent="0.25">
      <c r="A46" s="6">
        <v>41306</v>
      </c>
      <c r="B46" t="s">
        <v>60</v>
      </c>
      <c r="C46" s="7">
        <v>-400</v>
      </c>
      <c r="D46" t="s">
        <v>6</v>
      </c>
      <c r="E46" s="8">
        <f>E45+F46</f>
        <v>5274</v>
      </c>
      <c r="F46" s="8">
        <f>IF($D46="CR01",$C46,0)</f>
        <v>-400</v>
      </c>
      <c r="G46" s="8">
        <f>G45+H46</f>
        <v>0</v>
      </c>
      <c r="H46" s="8">
        <f>IF($D46="VISA",$C46,0)</f>
        <v>0</v>
      </c>
      <c r="I46" s="8">
        <f>I45+J46</f>
        <v>0</v>
      </c>
      <c r="J46" s="8">
        <f>IF($D46="ACC",$C46,0)</f>
        <v>0</v>
      </c>
      <c r="K46" s="8">
        <f>K45+L46</f>
        <v>0</v>
      </c>
      <c r="L46" s="8">
        <f>IF($D46="CBB",$C46,0)</f>
        <v>0</v>
      </c>
    </row>
    <row r="47" spans="1:12" x14ac:dyDescent="0.25">
      <c r="A47" s="6">
        <v>41306</v>
      </c>
      <c r="B47" t="s">
        <v>62</v>
      </c>
      <c r="C47" s="7">
        <v>-300</v>
      </c>
      <c r="D47" t="s">
        <v>6</v>
      </c>
      <c r="E47" s="8">
        <f>E46+F47</f>
        <v>4974</v>
      </c>
      <c r="F47" s="8">
        <f>IF($D47="CR01",$C47,0)</f>
        <v>-300</v>
      </c>
      <c r="G47" s="8">
        <f>G46+H47</f>
        <v>0</v>
      </c>
      <c r="H47" s="8">
        <f>IF($D47="VISA",$C47,0)</f>
        <v>0</v>
      </c>
      <c r="I47" s="8">
        <f>I46+J47</f>
        <v>0</v>
      </c>
      <c r="J47" s="8">
        <f>IF($D47="ACC",$C47,0)</f>
        <v>0</v>
      </c>
      <c r="K47" s="8">
        <f>K46+L47</f>
        <v>0</v>
      </c>
      <c r="L47" s="8">
        <f>IF($D47="CBB",$C47,0)</f>
        <v>0</v>
      </c>
    </row>
    <row r="48" spans="1:12" x14ac:dyDescent="0.25">
      <c r="A48" s="6">
        <v>41306</v>
      </c>
      <c r="B48" t="s">
        <v>63</v>
      </c>
      <c r="C48" s="7">
        <v>-300</v>
      </c>
      <c r="D48" t="s">
        <v>6</v>
      </c>
      <c r="E48" s="8">
        <f>E47+F48</f>
        <v>4674</v>
      </c>
      <c r="F48" s="8">
        <f>IF($D48="CR01",$C48,0)</f>
        <v>-300</v>
      </c>
      <c r="G48" s="8">
        <f>G47+H48</f>
        <v>0</v>
      </c>
      <c r="H48" s="8">
        <f>IF($D48="VISA",$C48,0)</f>
        <v>0</v>
      </c>
      <c r="I48" s="8">
        <f>I47+J48</f>
        <v>0</v>
      </c>
      <c r="J48" s="8">
        <f>IF($D48="ACC",$C48,0)</f>
        <v>0</v>
      </c>
      <c r="K48" s="8">
        <f>K47+L48</f>
        <v>0</v>
      </c>
      <c r="L48" s="8">
        <f>IF($D48="CBB",$C48,0)</f>
        <v>0</v>
      </c>
    </row>
    <row r="49" spans="1:12" x14ac:dyDescent="0.25">
      <c r="A49" s="6">
        <v>41306</v>
      </c>
      <c r="B49" t="s">
        <v>64</v>
      </c>
      <c r="C49" s="7">
        <v>-26</v>
      </c>
      <c r="D49" t="s">
        <v>6</v>
      </c>
      <c r="E49" s="8">
        <f>E48+F49</f>
        <v>4648</v>
      </c>
      <c r="F49" s="8">
        <f>IF($D49="CR01",$C49,0)</f>
        <v>-26</v>
      </c>
      <c r="G49" s="8">
        <f>G48+H49</f>
        <v>0</v>
      </c>
      <c r="H49" s="8">
        <f>IF($D49="VISA",$C49,0)</f>
        <v>0</v>
      </c>
      <c r="I49" s="8">
        <f>I48+J49</f>
        <v>0</v>
      </c>
      <c r="J49" s="8">
        <f>IF($D49="ACC",$C49,0)</f>
        <v>0</v>
      </c>
      <c r="K49" s="8">
        <f>K48+L49</f>
        <v>0</v>
      </c>
      <c r="L49" s="8">
        <f>IF($D49="CBB",$C49,0)</f>
        <v>0</v>
      </c>
    </row>
    <row r="50" spans="1:12" x14ac:dyDescent="0.25">
      <c r="A50" s="6">
        <v>41306</v>
      </c>
      <c r="B50" t="s">
        <v>65</v>
      </c>
      <c r="C50" s="7">
        <v>-240</v>
      </c>
      <c r="D50" t="s">
        <v>6</v>
      </c>
      <c r="E50" s="8">
        <f>E49+F50</f>
        <v>4408</v>
      </c>
      <c r="F50" s="8">
        <f>IF($D50="CR01",$C50,0)</f>
        <v>-240</v>
      </c>
      <c r="G50" s="8">
        <f>G49+H50</f>
        <v>0</v>
      </c>
      <c r="H50" s="8">
        <f>IF($D50="VISA",$C50,0)</f>
        <v>0</v>
      </c>
      <c r="I50" s="8">
        <f>I49+J50</f>
        <v>0</v>
      </c>
      <c r="J50" s="8">
        <f>IF($D50="ACC",$C50,0)</f>
        <v>0</v>
      </c>
      <c r="K50" s="8">
        <f>K49+L50</f>
        <v>0</v>
      </c>
      <c r="L50" s="8">
        <f>IF($D50="CBB",$C50,0)</f>
        <v>0</v>
      </c>
    </row>
    <row r="51" spans="1:12" x14ac:dyDescent="0.25">
      <c r="A51" s="6">
        <v>41306</v>
      </c>
      <c r="B51" t="s">
        <v>66</v>
      </c>
      <c r="C51" s="7">
        <v>-120</v>
      </c>
      <c r="D51" t="s">
        <v>6</v>
      </c>
      <c r="E51" s="8">
        <f>E50+F51</f>
        <v>4288</v>
      </c>
      <c r="F51" s="8">
        <f>IF($D51="CR01",$C51,0)</f>
        <v>-120</v>
      </c>
      <c r="G51" s="8">
        <f>G50+H51</f>
        <v>0</v>
      </c>
      <c r="H51" s="8">
        <f>IF($D51="VISA",$C51,0)</f>
        <v>0</v>
      </c>
      <c r="I51" s="8">
        <f>I50+J51</f>
        <v>0</v>
      </c>
      <c r="J51" s="8">
        <f>IF($D51="ACC",$C51,0)</f>
        <v>0</v>
      </c>
      <c r="K51" s="8">
        <f>K50+L51</f>
        <v>0</v>
      </c>
      <c r="L51" s="8">
        <f>IF($D51="CBB",$C51,0)</f>
        <v>0</v>
      </c>
    </row>
    <row r="52" spans="1:12" x14ac:dyDescent="0.25">
      <c r="A52" s="6">
        <v>41307</v>
      </c>
      <c r="B52" t="s">
        <v>59</v>
      </c>
      <c r="C52" s="7">
        <v>-900</v>
      </c>
      <c r="D52" t="s">
        <v>6</v>
      </c>
      <c r="E52" s="8">
        <f>E51+F52</f>
        <v>3388</v>
      </c>
      <c r="F52" s="8">
        <f>IF($D52="CR01",$C52,0)</f>
        <v>-900</v>
      </c>
      <c r="G52" s="8">
        <f>G51+H52</f>
        <v>0</v>
      </c>
      <c r="H52" s="8">
        <f>IF($D52="VISA",$C52,0)</f>
        <v>0</v>
      </c>
      <c r="I52" s="8">
        <f>I51+J52</f>
        <v>0</v>
      </c>
      <c r="J52" s="8">
        <f>IF($D52="ACC",$C52,0)</f>
        <v>0</v>
      </c>
      <c r="K52" s="8">
        <f>K51+L52</f>
        <v>0</v>
      </c>
      <c r="L52" s="8">
        <f>IF($D52="CBB",$C52,0)</f>
        <v>0</v>
      </c>
    </row>
    <row r="53" spans="1:12" x14ac:dyDescent="0.25">
      <c r="A53" s="6">
        <v>41310</v>
      </c>
      <c r="B53" t="s">
        <v>48</v>
      </c>
      <c r="C53" s="7">
        <v>-100</v>
      </c>
      <c r="D53" t="s">
        <v>6</v>
      </c>
      <c r="E53" s="8">
        <f>E52+F53</f>
        <v>3288</v>
      </c>
      <c r="F53" s="8">
        <f>IF($D53="CR01",$C53,0)</f>
        <v>-100</v>
      </c>
      <c r="G53" s="8">
        <f>G52+H53</f>
        <v>0</v>
      </c>
      <c r="H53" s="8">
        <f>IF($D53="VISA",$C53,0)</f>
        <v>0</v>
      </c>
      <c r="I53" s="8">
        <f>I52+J53</f>
        <v>0</v>
      </c>
      <c r="J53" s="8">
        <f>IF($D53="ACC",$C53,0)</f>
        <v>0</v>
      </c>
      <c r="K53" s="8">
        <f>K52+L53</f>
        <v>0</v>
      </c>
      <c r="L53" s="8">
        <f>IF($D53="CBB",$C53,0)</f>
        <v>0</v>
      </c>
    </row>
    <row r="54" spans="1:12" x14ac:dyDescent="0.25">
      <c r="A54" s="6">
        <v>41311</v>
      </c>
      <c r="B54" t="s">
        <v>47</v>
      </c>
      <c r="C54" s="7">
        <v>-120</v>
      </c>
      <c r="D54" t="s">
        <v>6</v>
      </c>
      <c r="E54" s="8">
        <f>E53+F54</f>
        <v>3168</v>
      </c>
      <c r="F54" s="8">
        <f>IF($D54="CR01",$C54,0)</f>
        <v>-120</v>
      </c>
      <c r="G54" s="8">
        <f>G53+H54</f>
        <v>0</v>
      </c>
      <c r="H54" s="8">
        <f>IF($D54="VISA",$C54,0)</f>
        <v>0</v>
      </c>
      <c r="I54" s="8">
        <f>I53+J54</f>
        <v>0</v>
      </c>
      <c r="J54" s="8">
        <f>IF($D54="ACC",$C54,0)</f>
        <v>0</v>
      </c>
      <c r="K54" s="8">
        <f>K53+L54</f>
        <v>0</v>
      </c>
      <c r="L54" s="8">
        <f>IF($D54="CBB",$C54,0)</f>
        <v>0</v>
      </c>
    </row>
    <row r="55" spans="1:12" x14ac:dyDescent="0.25">
      <c r="A55" s="6">
        <v>41312</v>
      </c>
      <c r="B55" t="s">
        <v>44</v>
      </c>
      <c r="C55" s="7">
        <v>-400</v>
      </c>
      <c r="D55" t="s">
        <v>6</v>
      </c>
      <c r="E55" s="8">
        <f>E54+F55</f>
        <v>2768</v>
      </c>
      <c r="F55" s="8">
        <f>IF($D55="CR01",$C55,0)</f>
        <v>-400</v>
      </c>
      <c r="G55" s="8">
        <f>G54+H55</f>
        <v>0</v>
      </c>
      <c r="H55" s="8">
        <f>IF($D55="VISA",$C55,0)</f>
        <v>0</v>
      </c>
      <c r="I55" s="8">
        <f>I54+J55</f>
        <v>0</v>
      </c>
      <c r="J55" s="8">
        <f>IF($D55="ACC",$C55,0)</f>
        <v>0</v>
      </c>
      <c r="K55" s="8">
        <f>K54+L55</f>
        <v>0</v>
      </c>
      <c r="L55" s="8">
        <f>IF($D55="CBB",$C55,0)</f>
        <v>0</v>
      </c>
    </row>
    <row r="56" spans="1:12" x14ac:dyDescent="0.25">
      <c r="A56" s="6">
        <v>41312</v>
      </c>
      <c r="B56" t="s">
        <v>45</v>
      </c>
      <c r="C56" s="7">
        <v>-180</v>
      </c>
      <c r="D56" t="s">
        <v>6</v>
      </c>
      <c r="E56" s="8">
        <f>E55+F56</f>
        <v>2588</v>
      </c>
      <c r="F56" s="8">
        <f>IF($D56="CR01",$C56,0)</f>
        <v>-180</v>
      </c>
      <c r="G56" s="8">
        <f>G55+H56</f>
        <v>0</v>
      </c>
      <c r="H56" s="8">
        <f>IF($D56="VISA",$C56,0)</f>
        <v>0</v>
      </c>
      <c r="I56" s="8">
        <f>I55+J56</f>
        <v>0</v>
      </c>
      <c r="J56" s="8">
        <f>IF($D56="ACC",$C56,0)</f>
        <v>0</v>
      </c>
      <c r="K56" s="8">
        <f>K55+L56</f>
        <v>0</v>
      </c>
      <c r="L56" s="8">
        <f>IF($D56="CBB",$C56,0)</f>
        <v>0</v>
      </c>
    </row>
    <row r="57" spans="1:12" x14ac:dyDescent="0.25">
      <c r="A57" s="6">
        <v>41312</v>
      </c>
      <c r="B57" t="s">
        <v>46</v>
      </c>
      <c r="C57" s="7">
        <v>-300</v>
      </c>
      <c r="D57" t="s">
        <v>6</v>
      </c>
      <c r="E57" s="8">
        <f>E56+F57</f>
        <v>2288</v>
      </c>
      <c r="F57" s="8">
        <f>IF($D57="CR01",$C57,0)</f>
        <v>-300</v>
      </c>
      <c r="G57" s="8">
        <f>G56+H57</f>
        <v>0</v>
      </c>
      <c r="H57" s="8">
        <f>IF($D57="VISA",$C57,0)</f>
        <v>0</v>
      </c>
      <c r="I57" s="8">
        <f>I56+J57</f>
        <v>0</v>
      </c>
      <c r="J57" s="8">
        <f>IF($D57="ACC",$C57,0)</f>
        <v>0</v>
      </c>
      <c r="K57" s="8">
        <f>K56+L57</f>
        <v>0</v>
      </c>
      <c r="L57" s="8">
        <f>IF($D57="CBB",$C57,0)</f>
        <v>0</v>
      </c>
    </row>
    <row r="58" spans="1:12" x14ac:dyDescent="0.25">
      <c r="A58" s="6">
        <v>41314</v>
      </c>
      <c r="B58" t="s">
        <v>67</v>
      </c>
      <c r="C58" s="7">
        <v>3600</v>
      </c>
      <c r="D58" t="s">
        <v>6</v>
      </c>
      <c r="E58" s="8">
        <f>E57+F58</f>
        <v>5888</v>
      </c>
      <c r="F58" s="8">
        <f>IF($D58="CR01",$C58,0)</f>
        <v>3600</v>
      </c>
      <c r="G58" s="8">
        <f>G57+H58</f>
        <v>0</v>
      </c>
      <c r="H58" s="8">
        <f>IF($D58="VISA",$C58,0)</f>
        <v>0</v>
      </c>
      <c r="I58" s="8">
        <f>I57+J58</f>
        <v>0</v>
      </c>
      <c r="J58" s="8">
        <f>IF($D58="ACC",$C58,0)</f>
        <v>0</v>
      </c>
      <c r="K58" s="8">
        <f>K57+L58</f>
        <v>0</v>
      </c>
      <c r="L58" s="8">
        <f>IF($D58="CBB",$C58,0)</f>
        <v>0</v>
      </c>
    </row>
    <row r="59" spans="1:12" x14ac:dyDescent="0.25">
      <c r="A59" s="6">
        <v>41317</v>
      </c>
      <c r="B59" t="s">
        <v>42</v>
      </c>
      <c r="C59" s="7">
        <v>-2806</v>
      </c>
      <c r="D59" t="s">
        <v>6</v>
      </c>
      <c r="E59" s="8">
        <f>E58+F59</f>
        <v>3082</v>
      </c>
      <c r="F59" s="8">
        <f>IF($D59="CR01",$C59,0)</f>
        <v>-2806</v>
      </c>
      <c r="G59" s="8">
        <f>G58+H59</f>
        <v>0</v>
      </c>
      <c r="H59" s="8">
        <f>IF($D59="VISA",$C59,0)</f>
        <v>0</v>
      </c>
      <c r="I59" s="8">
        <f>I58+J59</f>
        <v>0</v>
      </c>
      <c r="J59" s="8">
        <f>IF($D59="ACC",$C59,0)</f>
        <v>0</v>
      </c>
      <c r="K59" s="8">
        <f>K58+L59</f>
        <v>0</v>
      </c>
      <c r="L59" s="8">
        <f>IF($D59="CBB",$C59,0)</f>
        <v>0</v>
      </c>
    </row>
    <row r="60" spans="1:12" x14ac:dyDescent="0.25">
      <c r="A60" s="6">
        <v>41317</v>
      </c>
      <c r="B60" t="s">
        <v>48</v>
      </c>
      <c r="C60" s="7">
        <v>-100</v>
      </c>
      <c r="D60" t="s">
        <v>6</v>
      </c>
      <c r="E60" s="8">
        <f>E59+F60</f>
        <v>2982</v>
      </c>
      <c r="F60" s="8">
        <f>IF($D60="CR01",$C60,0)</f>
        <v>-100</v>
      </c>
      <c r="G60" s="8">
        <f>G59+H60</f>
        <v>0</v>
      </c>
      <c r="H60" s="8">
        <f>IF($D60="VISA",$C60,0)</f>
        <v>0</v>
      </c>
      <c r="I60" s="8">
        <f>I59+J60</f>
        <v>0</v>
      </c>
      <c r="J60" s="8">
        <f>IF($D60="ACC",$C60,0)</f>
        <v>0</v>
      </c>
      <c r="K60" s="8">
        <f>K59+L60</f>
        <v>0</v>
      </c>
      <c r="L60" s="8">
        <f>IF($D60="CBB",$C60,0)</f>
        <v>0</v>
      </c>
    </row>
    <row r="61" spans="1:12" x14ac:dyDescent="0.25">
      <c r="A61" s="6">
        <v>41318</v>
      </c>
      <c r="B61" t="s">
        <v>47</v>
      </c>
      <c r="C61" s="7">
        <v>-120</v>
      </c>
      <c r="D61" t="s">
        <v>6</v>
      </c>
      <c r="E61" s="8">
        <f>E60+F61</f>
        <v>2862</v>
      </c>
      <c r="F61" s="8">
        <f>IF($D61="CR01",$C61,0)</f>
        <v>-120</v>
      </c>
      <c r="G61" s="8">
        <f>G60+H61</f>
        <v>0</v>
      </c>
      <c r="H61" s="8">
        <f>IF($D61="VISA",$C61,0)</f>
        <v>0</v>
      </c>
      <c r="I61" s="8">
        <f>I60+J61</f>
        <v>0</v>
      </c>
      <c r="J61" s="8">
        <f>IF($D61="ACC",$C61,0)</f>
        <v>0</v>
      </c>
      <c r="K61" s="8">
        <f>K60+L61</f>
        <v>0</v>
      </c>
      <c r="L61" s="8">
        <f>IF($D61="CBB",$C61,0)</f>
        <v>0</v>
      </c>
    </row>
    <row r="62" spans="1:12" x14ac:dyDescent="0.25">
      <c r="A62" s="6">
        <v>41319</v>
      </c>
      <c r="B62" t="s">
        <v>44</v>
      </c>
      <c r="C62" s="7">
        <v>-400</v>
      </c>
      <c r="D62" t="s">
        <v>6</v>
      </c>
      <c r="E62" s="8">
        <f>E61+F62</f>
        <v>2462</v>
      </c>
      <c r="F62" s="8">
        <f>IF($D62="CR01",$C62,0)</f>
        <v>-400</v>
      </c>
      <c r="G62" s="8">
        <f>G61+H62</f>
        <v>0</v>
      </c>
      <c r="H62" s="8">
        <f>IF($D62="VISA",$C62,0)</f>
        <v>0</v>
      </c>
      <c r="I62" s="8">
        <f>I61+J62</f>
        <v>0</v>
      </c>
      <c r="J62" s="8">
        <f>IF($D62="ACC",$C62,0)</f>
        <v>0</v>
      </c>
      <c r="K62" s="8">
        <f>K61+L62</f>
        <v>0</v>
      </c>
      <c r="L62" s="8">
        <f>IF($D62="CBB",$C62,0)</f>
        <v>0</v>
      </c>
    </row>
    <row r="63" spans="1:12" x14ac:dyDescent="0.25">
      <c r="A63" s="6">
        <v>41319</v>
      </c>
      <c r="B63" t="s">
        <v>45</v>
      </c>
      <c r="C63" s="7">
        <v>-180</v>
      </c>
      <c r="D63" t="s">
        <v>6</v>
      </c>
      <c r="E63" s="8">
        <f>E62+F63</f>
        <v>2282</v>
      </c>
      <c r="F63" s="8">
        <f>IF($D63="CR01",$C63,0)</f>
        <v>-180</v>
      </c>
      <c r="G63" s="8">
        <f>G62+H63</f>
        <v>0</v>
      </c>
      <c r="H63" s="8">
        <f>IF($D63="VISA",$C63,0)</f>
        <v>0</v>
      </c>
      <c r="I63" s="8">
        <f>I62+J63</f>
        <v>0</v>
      </c>
      <c r="J63" s="8">
        <f>IF($D63="ACC",$C63,0)</f>
        <v>0</v>
      </c>
      <c r="K63" s="8">
        <f>K62+L63</f>
        <v>0</v>
      </c>
      <c r="L63" s="8">
        <f>IF($D63="CBB",$C63,0)</f>
        <v>0</v>
      </c>
    </row>
    <row r="64" spans="1:12" x14ac:dyDescent="0.25">
      <c r="A64" s="6">
        <v>41319</v>
      </c>
      <c r="B64" t="s">
        <v>46</v>
      </c>
      <c r="C64" s="7">
        <v>-300</v>
      </c>
      <c r="D64" t="s">
        <v>6</v>
      </c>
      <c r="E64" s="8">
        <f>E63+F64</f>
        <v>1982</v>
      </c>
      <c r="F64" s="8">
        <f>IF($D64="CR01",$C64,0)</f>
        <v>-300</v>
      </c>
      <c r="G64" s="8">
        <f>G63+H64</f>
        <v>0</v>
      </c>
      <c r="H64" s="8">
        <f>IF($D64="VISA",$C64,0)</f>
        <v>0</v>
      </c>
      <c r="I64" s="8">
        <f>I63+J64</f>
        <v>0</v>
      </c>
      <c r="J64" s="8">
        <f>IF($D64="ACC",$C64,0)</f>
        <v>0</v>
      </c>
      <c r="K64" s="8">
        <f>K63+L64</f>
        <v>0</v>
      </c>
      <c r="L64" s="8">
        <f>IF($D64="CBB",$C64,0)</f>
        <v>0</v>
      </c>
    </row>
    <row r="65" spans="1:12" x14ac:dyDescent="0.25">
      <c r="A65" s="6">
        <v>41320</v>
      </c>
      <c r="B65" t="s">
        <v>43</v>
      </c>
      <c r="C65" s="7">
        <v>3226</v>
      </c>
      <c r="D65" t="s">
        <v>6</v>
      </c>
      <c r="E65" s="8">
        <f>E64+F65</f>
        <v>5208</v>
      </c>
      <c r="F65" s="8">
        <f>IF($D65="CR01",$C65,0)</f>
        <v>3226</v>
      </c>
      <c r="G65" s="8">
        <f>G64+H65</f>
        <v>0</v>
      </c>
      <c r="H65" s="8">
        <f>IF($D65="VISA",$C65,0)</f>
        <v>0</v>
      </c>
      <c r="I65" s="8">
        <f>I64+J65</f>
        <v>0</v>
      </c>
      <c r="J65" s="8">
        <f>IF($D65="ACC",$C65,0)</f>
        <v>0</v>
      </c>
      <c r="K65" s="8">
        <f>K64+L65</f>
        <v>0</v>
      </c>
      <c r="L65" s="8">
        <f>IF($D65="CBB",$C65,0)</f>
        <v>0</v>
      </c>
    </row>
    <row r="66" spans="1:12" x14ac:dyDescent="0.25">
      <c r="A66" s="6">
        <v>41324</v>
      </c>
      <c r="B66" t="s">
        <v>48</v>
      </c>
      <c r="C66" s="7">
        <v>-100</v>
      </c>
      <c r="D66" t="s">
        <v>6</v>
      </c>
      <c r="E66" s="8">
        <f>E65+F66</f>
        <v>5108</v>
      </c>
      <c r="F66" s="8">
        <f>IF($D66="CR01",$C66,0)</f>
        <v>-100</v>
      </c>
      <c r="G66" s="8">
        <f>G65+H66</f>
        <v>0</v>
      </c>
      <c r="H66" s="8">
        <f>IF($D66="VISA",$C66,0)</f>
        <v>0</v>
      </c>
      <c r="I66" s="8">
        <f>I65+J66</f>
        <v>0</v>
      </c>
      <c r="J66" s="8">
        <f>IF($D66="ACC",$C66,0)</f>
        <v>0</v>
      </c>
      <c r="K66" s="8">
        <f>K65+L66</f>
        <v>0</v>
      </c>
      <c r="L66" s="8">
        <f>IF($D66="CBB",$C66,0)</f>
        <v>0</v>
      </c>
    </row>
    <row r="67" spans="1:12" x14ac:dyDescent="0.25">
      <c r="A67" s="6">
        <v>41325</v>
      </c>
      <c r="B67" t="s">
        <v>47</v>
      </c>
      <c r="C67" s="7">
        <v>-120</v>
      </c>
      <c r="D67" t="s">
        <v>6</v>
      </c>
      <c r="E67" s="8">
        <f>E66+F67</f>
        <v>4988</v>
      </c>
      <c r="F67" s="8">
        <f>IF($D67="CR01",$C67,0)</f>
        <v>-120</v>
      </c>
      <c r="G67" s="8">
        <f>G66+H67</f>
        <v>0</v>
      </c>
      <c r="H67" s="8">
        <f>IF($D67="VISA",$C67,0)</f>
        <v>0</v>
      </c>
      <c r="I67" s="8">
        <f>I66+J67</f>
        <v>0</v>
      </c>
      <c r="J67" s="8">
        <f>IF($D67="ACC",$C67,0)</f>
        <v>0</v>
      </c>
      <c r="K67" s="8">
        <f>K66+L67</f>
        <v>0</v>
      </c>
      <c r="L67" s="8">
        <f>IF($D67="CBB",$C67,0)</f>
        <v>0</v>
      </c>
    </row>
    <row r="68" spans="1:12" x14ac:dyDescent="0.25">
      <c r="A68" s="6">
        <v>41326</v>
      </c>
      <c r="B68" t="s">
        <v>44</v>
      </c>
      <c r="C68" s="7">
        <v>-400</v>
      </c>
      <c r="D68" t="s">
        <v>6</v>
      </c>
      <c r="E68" s="8">
        <f>E67+F68</f>
        <v>4588</v>
      </c>
      <c r="F68" s="8">
        <f>IF($D68="CR01",$C68,0)</f>
        <v>-400</v>
      </c>
      <c r="G68" s="8">
        <f>G67+H68</f>
        <v>0</v>
      </c>
      <c r="H68" s="8">
        <f>IF($D68="VISA",$C68,0)</f>
        <v>0</v>
      </c>
      <c r="I68" s="8">
        <f>I67+J68</f>
        <v>0</v>
      </c>
      <c r="J68" s="8">
        <f>IF($D68="ACC",$C68,0)</f>
        <v>0</v>
      </c>
      <c r="K68" s="8">
        <f>K67+L68</f>
        <v>0</v>
      </c>
      <c r="L68" s="8">
        <f>IF($D68="CBB",$C68,0)</f>
        <v>0</v>
      </c>
    </row>
    <row r="69" spans="1:12" x14ac:dyDescent="0.25">
      <c r="A69" s="6">
        <v>41326</v>
      </c>
      <c r="B69" t="s">
        <v>45</v>
      </c>
      <c r="C69" s="7">
        <v>-180</v>
      </c>
      <c r="D69" t="s">
        <v>6</v>
      </c>
      <c r="E69" s="8">
        <f>E68+F69</f>
        <v>4408</v>
      </c>
      <c r="F69" s="8">
        <f>IF($D69="CR01",$C69,0)</f>
        <v>-180</v>
      </c>
      <c r="G69" s="8">
        <f>G68+H69</f>
        <v>0</v>
      </c>
      <c r="H69" s="8">
        <f>IF($D69="VISA",$C69,0)</f>
        <v>0</v>
      </c>
      <c r="I69" s="8">
        <f>I68+J69</f>
        <v>0</v>
      </c>
      <c r="J69" s="8">
        <f>IF($D69="ACC",$C69,0)</f>
        <v>0</v>
      </c>
      <c r="K69" s="8">
        <f>K68+L69</f>
        <v>0</v>
      </c>
      <c r="L69" s="8">
        <f>IF($D69="CBB",$C69,0)</f>
        <v>0</v>
      </c>
    </row>
    <row r="70" spans="1:12" x14ac:dyDescent="0.25">
      <c r="A70" s="6">
        <v>41326</v>
      </c>
      <c r="B70" t="s">
        <v>46</v>
      </c>
      <c r="C70" s="7">
        <v>-300</v>
      </c>
      <c r="D70" t="s">
        <v>6</v>
      </c>
      <c r="E70" s="8">
        <f>E69+F70</f>
        <v>4108</v>
      </c>
      <c r="F70" s="8">
        <f>IF($D70="CR01",$C70,0)</f>
        <v>-300</v>
      </c>
      <c r="G70" s="8">
        <f>G69+H70</f>
        <v>0</v>
      </c>
      <c r="H70" s="8">
        <f>IF($D70="VISA",$C70,0)</f>
        <v>0</v>
      </c>
      <c r="I70" s="8">
        <f>I69+J70</f>
        <v>0</v>
      </c>
      <c r="J70" s="8">
        <f>IF($D70="ACC",$C70,0)</f>
        <v>0</v>
      </c>
      <c r="K70" s="8">
        <f>K69+L70</f>
        <v>0</v>
      </c>
      <c r="L70" s="8">
        <f>IF($D70="CBB",$C70,0)</f>
        <v>0</v>
      </c>
    </row>
    <row r="71" spans="1:12" x14ac:dyDescent="0.25">
      <c r="A71" s="6">
        <v>41328</v>
      </c>
      <c r="B71" t="s">
        <v>67</v>
      </c>
      <c r="C71" s="7">
        <v>3600</v>
      </c>
      <c r="D71" t="s">
        <v>6</v>
      </c>
      <c r="E71" s="8">
        <f>E70+F71</f>
        <v>7708</v>
      </c>
      <c r="F71" s="8">
        <f>IF($D71="CR01",$C71,0)</f>
        <v>3600</v>
      </c>
      <c r="G71" s="8">
        <f>G70+H71</f>
        <v>0</v>
      </c>
      <c r="H71" s="8">
        <f>IF($D71="VISA",$C71,0)</f>
        <v>0</v>
      </c>
      <c r="I71" s="8">
        <f>I70+J71</f>
        <v>0</v>
      </c>
      <c r="J71" s="8">
        <f>IF($D71="ACC",$C71,0)</f>
        <v>0</v>
      </c>
      <c r="K71" s="8">
        <f>K70+L71</f>
        <v>0</v>
      </c>
      <c r="L71" s="8">
        <f>IF($D71="CBB",$C71,0)</f>
        <v>0</v>
      </c>
    </row>
    <row r="72" spans="1:12" x14ac:dyDescent="0.25">
      <c r="A72" s="6">
        <v>41331</v>
      </c>
      <c r="B72" t="s">
        <v>42</v>
      </c>
      <c r="C72" s="7">
        <v>-2806</v>
      </c>
      <c r="D72" t="s">
        <v>6</v>
      </c>
      <c r="E72" s="8">
        <f>E71+F72</f>
        <v>4902</v>
      </c>
      <c r="F72" s="8">
        <f>IF($D72="CR01",$C72,0)</f>
        <v>-2806</v>
      </c>
      <c r="G72" s="8">
        <f>G71+H72</f>
        <v>0</v>
      </c>
      <c r="H72" s="8">
        <f>IF($D72="VISA",$C72,0)</f>
        <v>0</v>
      </c>
      <c r="I72" s="8">
        <f>I71+J72</f>
        <v>0</v>
      </c>
      <c r="J72" s="8">
        <f>IF($D72="ACC",$C72,0)</f>
        <v>0</v>
      </c>
      <c r="K72" s="8">
        <f>K71+L72</f>
        <v>0</v>
      </c>
      <c r="L72" s="8">
        <f>IF($D72="CBB",$C72,0)</f>
        <v>0</v>
      </c>
    </row>
    <row r="73" spans="1:12" x14ac:dyDescent="0.25">
      <c r="A73" s="6">
        <v>41331</v>
      </c>
      <c r="B73" t="s">
        <v>48</v>
      </c>
      <c r="C73" s="7">
        <v>-100</v>
      </c>
      <c r="D73" t="s">
        <v>6</v>
      </c>
      <c r="E73" s="8">
        <f>E72+F73</f>
        <v>4802</v>
      </c>
      <c r="F73" s="8">
        <f>IF($D73="CR01",$C73,0)</f>
        <v>-100</v>
      </c>
      <c r="G73" s="8">
        <f>G72+H73</f>
        <v>0</v>
      </c>
      <c r="H73" s="8">
        <f>IF($D73="VISA",$C73,0)</f>
        <v>0</v>
      </c>
      <c r="I73" s="8">
        <f>I72+J73</f>
        <v>0</v>
      </c>
      <c r="J73" s="8">
        <f>IF($D73="ACC",$C73,0)</f>
        <v>0</v>
      </c>
      <c r="K73" s="8">
        <f>K72+L73</f>
        <v>0</v>
      </c>
      <c r="L73" s="8">
        <f>IF($D73="CBB",$C73,0)</f>
        <v>0</v>
      </c>
    </row>
    <row r="74" spans="1:12" x14ac:dyDescent="0.25">
      <c r="A74" s="6">
        <v>41332</v>
      </c>
      <c r="B74" t="s">
        <v>47</v>
      </c>
      <c r="C74" s="7">
        <v>-120</v>
      </c>
      <c r="D74" t="s">
        <v>6</v>
      </c>
      <c r="E74" s="8">
        <f>E73+F74</f>
        <v>4682</v>
      </c>
      <c r="F74" s="8">
        <f>IF($D74="CR01",$C74,0)</f>
        <v>-120</v>
      </c>
      <c r="G74" s="8">
        <f>G73+H74</f>
        <v>0</v>
      </c>
      <c r="H74" s="8">
        <f>IF($D74="VISA",$C74,0)</f>
        <v>0</v>
      </c>
      <c r="I74" s="8">
        <f>I73+J74</f>
        <v>0</v>
      </c>
      <c r="J74" s="8">
        <f>IF($D74="ACC",$C74,0)</f>
        <v>0</v>
      </c>
      <c r="K74" s="8">
        <f>K73+L74</f>
        <v>0</v>
      </c>
      <c r="L74" s="8">
        <f>IF($D74="CBB",$C74,0)</f>
        <v>0</v>
      </c>
    </row>
    <row r="75" spans="1:12" x14ac:dyDescent="0.25">
      <c r="A75" s="6">
        <v>41333</v>
      </c>
      <c r="B75" t="s">
        <v>44</v>
      </c>
      <c r="C75" s="7">
        <v>-400</v>
      </c>
      <c r="D75" t="s">
        <v>6</v>
      </c>
      <c r="E75" s="8">
        <f>E74+F75</f>
        <v>4282</v>
      </c>
      <c r="F75" s="8">
        <f>IF($D75="CR01",$C75,0)</f>
        <v>-400</v>
      </c>
      <c r="G75" s="8">
        <f>G74+H75</f>
        <v>0</v>
      </c>
      <c r="H75" s="8">
        <f>IF($D75="VISA",$C75,0)</f>
        <v>0</v>
      </c>
      <c r="I75" s="8">
        <f>I74+J75</f>
        <v>0</v>
      </c>
      <c r="J75" s="8">
        <f>IF($D75="ACC",$C75,0)</f>
        <v>0</v>
      </c>
      <c r="K75" s="8">
        <f>K74+L75</f>
        <v>0</v>
      </c>
      <c r="L75" s="8">
        <f>IF($D75="CBB",$C75,0)</f>
        <v>0</v>
      </c>
    </row>
    <row r="76" spans="1:12" x14ac:dyDescent="0.25">
      <c r="A76" s="6">
        <v>41333</v>
      </c>
      <c r="B76" t="s">
        <v>45</v>
      </c>
      <c r="C76" s="7">
        <v>-180</v>
      </c>
      <c r="D76" t="s">
        <v>6</v>
      </c>
      <c r="E76" s="8">
        <f>E75+F76</f>
        <v>4102</v>
      </c>
      <c r="F76" s="8">
        <f>IF($D76="CR01",$C76,0)</f>
        <v>-180</v>
      </c>
      <c r="G76" s="8">
        <f>G75+H76</f>
        <v>0</v>
      </c>
      <c r="H76" s="8">
        <f>IF($D76="VISA",$C76,0)</f>
        <v>0</v>
      </c>
      <c r="I76" s="8">
        <f>I75+J76</f>
        <v>0</v>
      </c>
      <c r="J76" s="8">
        <f>IF($D76="ACC",$C76,0)</f>
        <v>0</v>
      </c>
      <c r="K76" s="8">
        <f>K75+L76</f>
        <v>0</v>
      </c>
      <c r="L76" s="8">
        <f>IF($D76="CBB",$C76,0)</f>
        <v>0</v>
      </c>
    </row>
    <row r="77" spans="1:12" x14ac:dyDescent="0.25">
      <c r="A77" s="6">
        <v>41333</v>
      </c>
      <c r="B77" t="s">
        <v>46</v>
      </c>
      <c r="C77" s="7">
        <v>-300</v>
      </c>
      <c r="D77" t="s">
        <v>6</v>
      </c>
      <c r="E77" s="8">
        <f>E76+F77</f>
        <v>3802</v>
      </c>
      <c r="F77" s="8">
        <f>IF($D77="CR01",$C77,0)</f>
        <v>-300</v>
      </c>
      <c r="G77" s="8">
        <f>G76+H77</f>
        <v>0</v>
      </c>
      <c r="H77" s="8">
        <f>IF($D77="VISA",$C77,0)</f>
        <v>0</v>
      </c>
      <c r="I77" s="8">
        <f>I76+J77</f>
        <v>0</v>
      </c>
      <c r="J77" s="8">
        <f>IF($D77="ACC",$C77,0)</f>
        <v>0</v>
      </c>
      <c r="K77" s="8">
        <f>K76+L77</f>
        <v>0</v>
      </c>
      <c r="L77" s="8">
        <f>IF($D77="CBB",$C77,0)</f>
        <v>0</v>
      </c>
    </row>
    <row r="78" spans="1:12" x14ac:dyDescent="0.25">
      <c r="A78" s="6">
        <v>41334</v>
      </c>
      <c r="B78" t="s">
        <v>43</v>
      </c>
      <c r="C78" s="7">
        <v>3226</v>
      </c>
      <c r="D78" t="s">
        <v>6</v>
      </c>
      <c r="E78" s="8">
        <f>E77+F78</f>
        <v>7028</v>
      </c>
      <c r="F78" s="8">
        <f>IF($D78="CR01",$C78,0)</f>
        <v>3226</v>
      </c>
      <c r="G78" s="8">
        <f>G77+H78</f>
        <v>0</v>
      </c>
      <c r="H78" s="8">
        <f>IF($D78="VISA",$C78,0)</f>
        <v>0</v>
      </c>
      <c r="I78" s="8">
        <f>I77+J78</f>
        <v>0</v>
      </c>
      <c r="J78" s="8">
        <f>IF($D78="ACC",$C78,0)</f>
        <v>0</v>
      </c>
      <c r="K78" s="8">
        <f>K77+L78</f>
        <v>0</v>
      </c>
      <c r="L78" s="8">
        <f>IF($D78="CBB",$C78,0)</f>
        <v>0</v>
      </c>
    </row>
    <row r="79" spans="1:12" x14ac:dyDescent="0.25">
      <c r="A79" s="6">
        <v>41334</v>
      </c>
      <c r="B79" t="s">
        <v>58</v>
      </c>
      <c r="C79" s="7">
        <v>-200</v>
      </c>
      <c r="D79" t="s">
        <v>6</v>
      </c>
      <c r="E79" s="8">
        <f>E78+F79</f>
        <v>6828</v>
      </c>
      <c r="F79" s="8">
        <f>IF($D79="CR01",$C79,0)</f>
        <v>-200</v>
      </c>
      <c r="G79" s="8">
        <f>G78+H79</f>
        <v>0</v>
      </c>
      <c r="H79" s="8">
        <f>IF($D79="VISA",$C79,0)</f>
        <v>0</v>
      </c>
      <c r="I79" s="8">
        <f>I78+J79</f>
        <v>0</v>
      </c>
      <c r="J79" s="8">
        <f>IF($D79="ACC",$C79,0)</f>
        <v>0</v>
      </c>
      <c r="K79" s="8">
        <f>K78+L79</f>
        <v>0</v>
      </c>
      <c r="L79" s="8">
        <f>IF($D79="CBB",$C79,0)</f>
        <v>0</v>
      </c>
    </row>
    <row r="80" spans="1:12" x14ac:dyDescent="0.25">
      <c r="A80" s="6">
        <v>41334</v>
      </c>
      <c r="B80" t="s">
        <v>60</v>
      </c>
      <c r="C80" s="7">
        <v>-400</v>
      </c>
      <c r="D80" t="s">
        <v>6</v>
      </c>
      <c r="E80" s="8">
        <f>E79+F80</f>
        <v>6428</v>
      </c>
      <c r="F80" s="8">
        <f>IF($D80="CR01",$C80,0)</f>
        <v>-400</v>
      </c>
      <c r="G80" s="8">
        <f>G79+H80</f>
        <v>0</v>
      </c>
      <c r="H80" s="8">
        <f>IF($D80="VISA",$C80,0)</f>
        <v>0</v>
      </c>
      <c r="I80" s="8">
        <f>I79+J80</f>
        <v>0</v>
      </c>
      <c r="J80" s="8">
        <f>IF($D80="ACC",$C80,0)</f>
        <v>0</v>
      </c>
      <c r="K80" s="8">
        <f>K79+L80</f>
        <v>0</v>
      </c>
      <c r="L80" s="8">
        <f>IF($D80="CBB",$C80,0)</f>
        <v>0</v>
      </c>
    </row>
    <row r="81" spans="1:12" x14ac:dyDescent="0.25">
      <c r="A81" s="6">
        <v>41334</v>
      </c>
      <c r="B81" t="s">
        <v>64</v>
      </c>
      <c r="C81" s="7">
        <v>-26</v>
      </c>
      <c r="D81" t="s">
        <v>6</v>
      </c>
      <c r="E81" s="8">
        <f>E80+F81</f>
        <v>6402</v>
      </c>
      <c r="F81" s="8">
        <f>IF($D81="CR01",$C81,0)</f>
        <v>-26</v>
      </c>
      <c r="G81" s="8">
        <f>G80+H81</f>
        <v>0</v>
      </c>
      <c r="H81" s="8">
        <f>IF($D81="VISA",$C81,0)</f>
        <v>0</v>
      </c>
      <c r="I81" s="8">
        <f>I80+J81</f>
        <v>0</v>
      </c>
      <c r="J81" s="8">
        <f>IF($D81="ACC",$C81,0)</f>
        <v>0</v>
      </c>
      <c r="K81" s="8">
        <f>K80+L81</f>
        <v>0</v>
      </c>
      <c r="L81" s="8">
        <f>IF($D81="CBB",$C81,0)</f>
        <v>0</v>
      </c>
    </row>
    <row r="82" spans="1:12" x14ac:dyDescent="0.25">
      <c r="A82" s="6">
        <v>41334</v>
      </c>
      <c r="B82" t="s">
        <v>65</v>
      </c>
      <c r="C82" s="7">
        <v>-240</v>
      </c>
      <c r="D82" t="s">
        <v>6</v>
      </c>
      <c r="E82" s="8">
        <f>E81+F82</f>
        <v>6162</v>
      </c>
      <c r="F82" s="8">
        <f>IF($D82="CR01",$C82,0)</f>
        <v>-240</v>
      </c>
      <c r="G82" s="8">
        <f>G81+H82</f>
        <v>0</v>
      </c>
      <c r="H82" s="8">
        <f>IF($D82="VISA",$C82,0)</f>
        <v>0</v>
      </c>
      <c r="I82" s="8">
        <f>I81+J82</f>
        <v>0</v>
      </c>
      <c r="J82" s="8">
        <f>IF($D82="ACC",$C82,0)</f>
        <v>0</v>
      </c>
      <c r="K82" s="8">
        <f>K81+L82</f>
        <v>0</v>
      </c>
      <c r="L82" s="8">
        <f>IF($D82="CBB",$C82,0)</f>
        <v>0</v>
      </c>
    </row>
    <row r="83" spans="1:12" x14ac:dyDescent="0.25">
      <c r="A83" s="6">
        <v>41334</v>
      </c>
      <c r="B83" t="s">
        <v>66</v>
      </c>
      <c r="C83" s="7">
        <v>-120</v>
      </c>
      <c r="D83" t="s">
        <v>6</v>
      </c>
      <c r="E83" s="8">
        <f>E82+F83</f>
        <v>6042</v>
      </c>
      <c r="F83" s="8">
        <f>IF($D83="CR01",$C83,0)</f>
        <v>-120</v>
      </c>
      <c r="G83" s="8">
        <f>G82+H83</f>
        <v>0</v>
      </c>
      <c r="H83" s="8">
        <f>IF($D83="VISA",$C83,0)</f>
        <v>0</v>
      </c>
      <c r="I83" s="8">
        <f>I82+J83</f>
        <v>0</v>
      </c>
      <c r="J83" s="8">
        <f>IF($D83="ACC",$C83,0)</f>
        <v>0</v>
      </c>
      <c r="K83" s="8">
        <f>K82+L83</f>
        <v>0</v>
      </c>
      <c r="L83" s="8">
        <f>IF($D83="CBB",$C83,0)</f>
        <v>0</v>
      </c>
    </row>
    <row r="84" spans="1:12" x14ac:dyDescent="0.25">
      <c r="A84" s="6">
        <v>41335</v>
      </c>
      <c r="B84" t="s">
        <v>59</v>
      </c>
      <c r="C84" s="7">
        <v>-900</v>
      </c>
      <c r="D84" t="s">
        <v>6</v>
      </c>
      <c r="E84" s="8">
        <f>E83+F84</f>
        <v>5142</v>
      </c>
      <c r="F84" s="8">
        <f>IF($D84="CR01",$C84,0)</f>
        <v>-900</v>
      </c>
      <c r="G84" s="8">
        <f>G83+H84</f>
        <v>0</v>
      </c>
      <c r="H84" s="8">
        <f>IF($D84="VISA",$C84,0)</f>
        <v>0</v>
      </c>
      <c r="I84" s="8">
        <f>I83+J84</f>
        <v>0</v>
      </c>
      <c r="J84" s="8">
        <f>IF($D84="ACC",$C84,0)</f>
        <v>0</v>
      </c>
      <c r="K84" s="8">
        <f>K83+L84</f>
        <v>0</v>
      </c>
      <c r="L84" s="8">
        <f>IF($D84="CBB",$C84,0)</f>
        <v>0</v>
      </c>
    </row>
    <row r="85" spans="1:12" x14ac:dyDescent="0.25">
      <c r="A85" s="6">
        <v>41338</v>
      </c>
      <c r="B85" t="s">
        <v>48</v>
      </c>
      <c r="C85" s="7">
        <v>-100</v>
      </c>
      <c r="D85" t="s">
        <v>6</v>
      </c>
      <c r="E85" s="8">
        <f>E84+F85</f>
        <v>5042</v>
      </c>
      <c r="F85" s="8">
        <f>IF($D85="CR01",$C85,0)</f>
        <v>-100</v>
      </c>
      <c r="G85" s="8">
        <f>G84+H85</f>
        <v>0</v>
      </c>
      <c r="H85" s="8">
        <f>IF($D85="VISA",$C85,0)</f>
        <v>0</v>
      </c>
      <c r="I85" s="8">
        <f>I84+J85</f>
        <v>0</v>
      </c>
      <c r="J85" s="8">
        <f>IF($D85="ACC",$C85,0)</f>
        <v>0</v>
      </c>
      <c r="K85" s="8">
        <f>K84+L85</f>
        <v>0</v>
      </c>
      <c r="L85" s="8">
        <f>IF($D85="CBB",$C85,0)</f>
        <v>0</v>
      </c>
    </row>
    <row r="86" spans="1:12" x14ac:dyDescent="0.25">
      <c r="A86" s="6">
        <v>41339</v>
      </c>
      <c r="B86" t="s">
        <v>47</v>
      </c>
      <c r="C86" s="7">
        <v>-120</v>
      </c>
      <c r="D86" t="s">
        <v>6</v>
      </c>
      <c r="E86" s="8">
        <f>E85+F86</f>
        <v>4922</v>
      </c>
      <c r="F86" s="8">
        <f>IF($D86="CR01",$C86,0)</f>
        <v>-120</v>
      </c>
      <c r="G86" s="8">
        <f>G85+H86</f>
        <v>0</v>
      </c>
      <c r="H86" s="8">
        <f>IF($D86="VISA",$C86,0)</f>
        <v>0</v>
      </c>
      <c r="I86" s="8">
        <f>I85+J86</f>
        <v>0</v>
      </c>
      <c r="J86" s="8">
        <f>IF($D86="ACC",$C86,0)</f>
        <v>0</v>
      </c>
      <c r="K86" s="8">
        <f>K85+L86</f>
        <v>0</v>
      </c>
      <c r="L86" s="8">
        <f>IF($D86="CBB",$C86,0)</f>
        <v>0</v>
      </c>
    </row>
    <row r="87" spans="1:12" x14ac:dyDescent="0.25">
      <c r="A87" s="6">
        <v>41340</v>
      </c>
      <c r="B87" t="s">
        <v>44</v>
      </c>
      <c r="C87" s="7">
        <v>-400</v>
      </c>
      <c r="D87" t="s">
        <v>6</v>
      </c>
      <c r="E87" s="8">
        <f>E86+F87</f>
        <v>4522</v>
      </c>
      <c r="F87" s="8">
        <f>IF($D87="CR01",$C87,0)</f>
        <v>-400</v>
      </c>
      <c r="G87" s="8">
        <f>G86+H87</f>
        <v>0</v>
      </c>
      <c r="H87" s="8">
        <f>IF($D87="VISA",$C87,0)</f>
        <v>0</v>
      </c>
      <c r="I87" s="8">
        <f>I86+J87</f>
        <v>0</v>
      </c>
      <c r="J87" s="8">
        <f>IF($D87="ACC",$C87,0)</f>
        <v>0</v>
      </c>
      <c r="K87" s="8">
        <f>K86+L87</f>
        <v>0</v>
      </c>
      <c r="L87" s="8">
        <f>IF($D87="CBB",$C87,0)</f>
        <v>0</v>
      </c>
    </row>
    <row r="88" spans="1:12" x14ac:dyDescent="0.25">
      <c r="A88" s="6">
        <v>41340</v>
      </c>
      <c r="B88" t="s">
        <v>45</v>
      </c>
      <c r="C88" s="7">
        <v>-180</v>
      </c>
      <c r="D88" t="s">
        <v>6</v>
      </c>
      <c r="E88" s="8">
        <f>E87+F88</f>
        <v>4342</v>
      </c>
      <c r="F88" s="8">
        <f>IF($D88="CR01",$C88,0)</f>
        <v>-180</v>
      </c>
      <c r="G88" s="8">
        <f>G87+H88</f>
        <v>0</v>
      </c>
      <c r="H88" s="8">
        <f>IF($D88="VISA",$C88,0)</f>
        <v>0</v>
      </c>
      <c r="I88" s="8">
        <f>I87+J88</f>
        <v>0</v>
      </c>
      <c r="J88" s="8">
        <f>IF($D88="ACC",$C88,0)</f>
        <v>0</v>
      </c>
      <c r="K88" s="8">
        <f>K87+L88</f>
        <v>0</v>
      </c>
      <c r="L88" s="8">
        <f>IF($D88="CBB",$C88,0)</f>
        <v>0</v>
      </c>
    </row>
    <row r="89" spans="1:12" x14ac:dyDescent="0.25">
      <c r="A89" s="6">
        <v>41340</v>
      </c>
      <c r="B89" t="s">
        <v>46</v>
      </c>
      <c r="C89" s="7">
        <v>-300</v>
      </c>
      <c r="D89" t="s">
        <v>6</v>
      </c>
      <c r="E89" s="8">
        <f>E88+F89</f>
        <v>4042</v>
      </c>
      <c r="F89" s="8">
        <f>IF($D89="CR01",$C89,0)</f>
        <v>-300</v>
      </c>
      <c r="G89" s="8">
        <f>G88+H89</f>
        <v>0</v>
      </c>
      <c r="H89" s="8">
        <f>IF($D89="VISA",$C89,0)</f>
        <v>0</v>
      </c>
      <c r="I89" s="8">
        <f>I88+J89</f>
        <v>0</v>
      </c>
      <c r="J89" s="8">
        <f>IF($D89="ACC",$C89,0)</f>
        <v>0</v>
      </c>
      <c r="K89" s="8">
        <f>K88+L89</f>
        <v>0</v>
      </c>
      <c r="L89" s="8">
        <f>IF($D89="CBB",$C89,0)</f>
        <v>0</v>
      </c>
    </row>
    <row r="90" spans="1:12" x14ac:dyDescent="0.25">
      <c r="A90" s="6">
        <v>41342</v>
      </c>
      <c r="B90" t="s">
        <v>67</v>
      </c>
      <c r="C90" s="7">
        <v>3600</v>
      </c>
      <c r="D90" t="s">
        <v>6</v>
      </c>
      <c r="E90" s="8">
        <f>E89+F90</f>
        <v>7642</v>
      </c>
      <c r="F90" s="8">
        <f>IF($D90="CR01",$C90,0)</f>
        <v>3600</v>
      </c>
      <c r="G90" s="8">
        <f>G89+H90</f>
        <v>0</v>
      </c>
      <c r="H90" s="8">
        <f>IF($D90="VISA",$C90,0)</f>
        <v>0</v>
      </c>
      <c r="I90" s="8">
        <f>I89+J90</f>
        <v>0</v>
      </c>
      <c r="J90" s="8">
        <f>IF($D90="ACC",$C90,0)</f>
        <v>0</v>
      </c>
      <c r="K90" s="8">
        <f>K89+L90</f>
        <v>0</v>
      </c>
      <c r="L90" s="8">
        <f>IF($D90="CBB",$C90,0)</f>
        <v>0</v>
      </c>
    </row>
    <row r="91" spans="1:12" x14ac:dyDescent="0.25">
      <c r="A91" s="6">
        <v>41345</v>
      </c>
      <c r="B91" t="s">
        <v>42</v>
      </c>
      <c r="C91" s="7">
        <v>-2806</v>
      </c>
      <c r="D91" t="s">
        <v>6</v>
      </c>
      <c r="E91" s="8">
        <f>E90+F91</f>
        <v>4836</v>
      </c>
      <c r="F91" s="8">
        <f>IF($D91="CR01",$C91,0)</f>
        <v>-2806</v>
      </c>
      <c r="G91" s="8">
        <f>G90+H91</f>
        <v>0</v>
      </c>
      <c r="H91" s="8">
        <f>IF($D91="VISA",$C91,0)</f>
        <v>0</v>
      </c>
      <c r="I91" s="8">
        <f>I90+J91</f>
        <v>0</v>
      </c>
      <c r="J91" s="8">
        <f>IF($D91="ACC",$C91,0)</f>
        <v>0</v>
      </c>
      <c r="K91" s="8">
        <f>K90+L91</f>
        <v>0</v>
      </c>
      <c r="L91" s="8">
        <f>IF($D91="CBB",$C91,0)</f>
        <v>0</v>
      </c>
    </row>
    <row r="92" spans="1:12" x14ac:dyDescent="0.25">
      <c r="A92" s="6">
        <v>41345</v>
      </c>
      <c r="B92" t="s">
        <v>48</v>
      </c>
      <c r="C92" s="7">
        <v>-100</v>
      </c>
      <c r="D92" t="s">
        <v>6</v>
      </c>
      <c r="E92" s="8">
        <f>E91+F92</f>
        <v>4736</v>
      </c>
      <c r="F92" s="8">
        <f>IF($D92="CR01",$C92,0)</f>
        <v>-100</v>
      </c>
      <c r="G92" s="8">
        <f>G91+H92</f>
        <v>0</v>
      </c>
      <c r="H92" s="8">
        <f>IF($D92="VISA",$C92,0)</f>
        <v>0</v>
      </c>
      <c r="I92" s="8">
        <f>I91+J92</f>
        <v>0</v>
      </c>
      <c r="J92" s="8">
        <f>IF($D92="ACC",$C92,0)</f>
        <v>0</v>
      </c>
      <c r="K92" s="8">
        <f>K91+L92</f>
        <v>0</v>
      </c>
      <c r="L92" s="8">
        <f>IF($D92="CBB",$C92,0)</f>
        <v>0</v>
      </c>
    </row>
    <row r="93" spans="1:12" x14ac:dyDescent="0.25">
      <c r="A93" s="6">
        <v>41346</v>
      </c>
      <c r="B93" t="s">
        <v>47</v>
      </c>
      <c r="C93" s="7">
        <v>-120</v>
      </c>
      <c r="D93" t="s">
        <v>6</v>
      </c>
      <c r="E93" s="8">
        <f>E92+F93</f>
        <v>4616</v>
      </c>
      <c r="F93" s="8">
        <f>IF($D93="CR01",$C93,0)</f>
        <v>-120</v>
      </c>
      <c r="G93" s="8">
        <f>G92+H93</f>
        <v>0</v>
      </c>
      <c r="H93" s="8">
        <f>IF($D93="VISA",$C93,0)</f>
        <v>0</v>
      </c>
      <c r="I93" s="8">
        <f>I92+J93</f>
        <v>0</v>
      </c>
      <c r="J93" s="8">
        <f>IF($D93="ACC",$C93,0)</f>
        <v>0</v>
      </c>
      <c r="K93" s="8">
        <f>K92+L93</f>
        <v>0</v>
      </c>
      <c r="L93" s="8">
        <f>IF($D93="CBB",$C93,0)</f>
        <v>0</v>
      </c>
    </row>
    <row r="94" spans="1:12" x14ac:dyDescent="0.25">
      <c r="A94" s="6">
        <v>41347</v>
      </c>
      <c r="B94" t="s">
        <v>44</v>
      </c>
      <c r="C94" s="7">
        <v>-400</v>
      </c>
      <c r="D94" t="s">
        <v>6</v>
      </c>
      <c r="E94" s="8">
        <f>E93+F94</f>
        <v>4216</v>
      </c>
      <c r="F94" s="8">
        <f>IF($D94="CR01",$C94,0)</f>
        <v>-400</v>
      </c>
      <c r="G94" s="8">
        <f>G93+H94</f>
        <v>0</v>
      </c>
      <c r="H94" s="8">
        <f>IF($D94="VISA",$C94,0)</f>
        <v>0</v>
      </c>
      <c r="I94" s="8">
        <f>I93+J94</f>
        <v>0</v>
      </c>
      <c r="J94" s="8">
        <f>IF($D94="ACC",$C94,0)</f>
        <v>0</v>
      </c>
      <c r="K94" s="8">
        <f>K93+L94</f>
        <v>0</v>
      </c>
      <c r="L94" s="8">
        <f>IF($D94="CBB",$C94,0)</f>
        <v>0</v>
      </c>
    </row>
    <row r="95" spans="1:12" x14ac:dyDescent="0.25">
      <c r="A95" s="6">
        <v>41347</v>
      </c>
      <c r="B95" t="s">
        <v>45</v>
      </c>
      <c r="C95" s="7">
        <v>-180</v>
      </c>
      <c r="D95" t="s">
        <v>6</v>
      </c>
      <c r="E95" s="8">
        <f>E94+F95</f>
        <v>4036</v>
      </c>
      <c r="F95" s="8">
        <f>IF($D95="CR01",$C95,0)</f>
        <v>-180</v>
      </c>
      <c r="G95" s="8">
        <f>G94+H95</f>
        <v>0</v>
      </c>
      <c r="H95" s="8">
        <f>IF($D95="VISA",$C95,0)</f>
        <v>0</v>
      </c>
      <c r="I95" s="8">
        <f>I94+J95</f>
        <v>0</v>
      </c>
      <c r="J95" s="8">
        <f>IF($D95="ACC",$C95,0)</f>
        <v>0</v>
      </c>
      <c r="K95" s="8">
        <f>K94+L95</f>
        <v>0</v>
      </c>
      <c r="L95" s="8">
        <f>IF($D95="CBB",$C95,0)</f>
        <v>0</v>
      </c>
    </row>
    <row r="96" spans="1:12" x14ac:dyDescent="0.25">
      <c r="A96" s="6">
        <v>41347</v>
      </c>
      <c r="B96" t="s">
        <v>46</v>
      </c>
      <c r="C96" s="7">
        <v>-300</v>
      </c>
      <c r="D96" t="s">
        <v>6</v>
      </c>
      <c r="E96" s="8">
        <f>E95+F96</f>
        <v>3736</v>
      </c>
      <c r="F96" s="8">
        <f>IF($D96="CR01",$C96,0)</f>
        <v>-300</v>
      </c>
      <c r="G96" s="8">
        <f>G95+H96</f>
        <v>0</v>
      </c>
      <c r="H96" s="8">
        <f>IF($D96="VISA",$C96,0)</f>
        <v>0</v>
      </c>
      <c r="I96" s="8">
        <f>I95+J96</f>
        <v>0</v>
      </c>
      <c r="J96" s="8">
        <f>IF($D96="ACC",$C96,0)</f>
        <v>0</v>
      </c>
      <c r="K96" s="8">
        <f>K95+L96</f>
        <v>0</v>
      </c>
      <c r="L96" s="8">
        <f>IF($D96="CBB",$C96,0)</f>
        <v>0</v>
      </c>
    </row>
    <row r="97" spans="1:12" x14ac:dyDescent="0.25">
      <c r="A97" s="6">
        <v>41348</v>
      </c>
      <c r="B97" t="s">
        <v>43</v>
      </c>
      <c r="C97" s="7">
        <v>3226</v>
      </c>
      <c r="D97" t="s">
        <v>6</v>
      </c>
      <c r="E97" s="8">
        <f>E96+F97</f>
        <v>6962</v>
      </c>
      <c r="F97" s="8">
        <f>IF($D97="CR01",$C97,0)</f>
        <v>3226</v>
      </c>
      <c r="G97" s="8">
        <f>G96+H97</f>
        <v>0</v>
      </c>
      <c r="H97" s="8">
        <f>IF($D97="VISA",$C97,0)</f>
        <v>0</v>
      </c>
      <c r="I97" s="8">
        <f>I96+J97</f>
        <v>0</v>
      </c>
      <c r="J97" s="8">
        <f>IF($D97="ACC",$C97,0)</f>
        <v>0</v>
      </c>
      <c r="K97" s="8">
        <f>K96+L97</f>
        <v>0</v>
      </c>
      <c r="L97" s="8">
        <f>IF($D97="CBB",$C97,0)</f>
        <v>0</v>
      </c>
    </row>
    <row r="98" spans="1:12" x14ac:dyDescent="0.25">
      <c r="A98" s="6">
        <v>41352</v>
      </c>
      <c r="B98" t="s">
        <v>48</v>
      </c>
      <c r="C98" s="7">
        <v>-100</v>
      </c>
      <c r="D98" t="s">
        <v>6</v>
      </c>
      <c r="E98" s="8">
        <f>E97+F98</f>
        <v>6862</v>
      </c>
      <c r="F98" s="8">
        <f>IF($D98="CR01",$C98,0)</f>
        <v>-100</v>
      </c>
      <c r="G98" s="8">
        <f>G97+H98</f>
        <v>0</v>
      </c>
      <c r="H98" s="8">
        <f>IF($D98="VISA",$C98,0)</f>
        <v>0</v>
      </c>
      <c r="I98" s="8">
        <f>I97+J98</f>
        <v>0</v>
      </c>
      <c r="J98" s="8">
        <f>IF($D98="ACC",$C98,0)</f>
        <v>0</v>
      </c>
      <c r="K98" s="8">
        <f>K97+L98</f>
        <v>0</v>
      </c>
      <c r="L98" s="8">
        <f>IF($D98="CBB",$C98,0)</f>
        <v>0</v>
      </c>
    </row>
    <row r="99" spans="1:12" x14ac:dyDescent="0.25">
      <c r="A99" s="6">
        <v>41353</v>
      </c>
      <c r="B99" t="s">
        <v>47</v>
      </c>
      <c r="C99" s="7">
        <v>-120</v>
      </c>
      <c r="D99" t="s">
        <v>6</v>
      </c>
      <c r="E99" s="8">
        <f>E98+F99</f>
        <v>6742</v>
      </c>
      <c r="F99" s="8">
        <f>IF($D99="CR01",$C99,0)</f>
        <v>-120</v>
      </c>
      <c r="G99" s="8">
        <f>G98+H99</f>
        <v>0</v>
      </c>
      <c r="H99" s="8">
        <f>IF($D99="VISA",$C99,0)</f>
        <v>0</v>
      </c>
      <c r="I99" s="8">
        <f>I98+J99</f>
        <v>0</v>
      </c>
      <c r="J99" s="8">
        <f>IF($D99="ACC",$C99,0)</f>
        <v>0</v>
      </c>
      <c r="K99" s="8">
        <f>K98+L99</f>
        <v>0</v>
      </c>
      <c r="L99" s="8">
        <f>IF($D99="CBB",$C99,0)</f>
        <v>0</v>
      </c>
    </row>
    <row r="100" spans="1:12" x14ac:dyDescent="0.25">
      <c r="A100" s="6">
        <v>41354</v>
      </c>
      <c r="B100" t="s">
        <v>44</v>
      </c>
      <c r="C100" s="7">
        <v>-400</v>
      </c>
      <c r="D100" t="s">
        <v>6</v>
      </c>
      <c r="E100" s="8">
        <f>E99+F100</f>
        <v>6342</v>
      </c>
      <c r="F100" s="8">
        <f>IF($D100="CR01",$C100,0)</f>
        <v>-400</v>
      </c>
      <c r="G100" s="8">
        <f>G99+H100</f>
        <v>0</v>
      </c>
      <c r="H100" s="8">
        <f>IF($D100="VISA",$C100,0)</f>
        <v>0</v>
      </c>
      <c r="I100" s="8">
        <f>I99+J100</f>
        <v>0</v>
      </c>
      <c r="J100" s="8">
        <f>IF($D100="ACC",$C100,0)</f>
        <v>0</v>
      </c>
      <c r="K100" s="8">
        <f>K99+L100</f>
        <v>0</v>
      </c>
      <c r="L100" s="8">
        <f>IF($D100="CBB",$C100,0)</f>
        <v>0</v>
      </c>
    </row>
    <row r="101" spans="1:12" x14ac:dyDescent="0.25">
      <c r="A101" s="6">
        <v>41354</v>
      </c>
      <c r="B101" t="s">
        <v>45</v>
      </c>
      <c r="C101" s="7">
        <v>-180</v>
      </c>
      <c r="D101" t="s">
        <v>6</v>
      </c>
      <c r="E101" s="8">
        <f>E100+F101</f>
        <v>6162</v>
      </c>
      <c r="F101" s="8">
        <f>IF($D101="CR01",$C101,0)</f>
        <v>-180</v>
      </c>
      <c r="G101" s="8">
        <f>G100+H101</f>
        <v>0</v>
      </c>
      <c r="H101" s="8">
        <f>IF($D101="VISA",$C101,0)</f>
        <v>0</v>
      </c>
      <c r="I101" s="8">
        <f>I100+J101</f>
        <v>0</v>
      </c>
      <c r="J101" s="8">
        <f>IF($D101="ACC",$C101,0)</f>
        <v>0</v>
      </c>
      <c r="K101" s="8">
        <f>K100+L101</f>
        <v>0</v>
      </c>
      <c r="L101" s="8">
        <f>IF($D101="CBB",$C101,0)</f>
        <v>0</v>
      </c>
    </row>
    <row r="102" spans="1:12" x14ac:dyDescent="0.25">
      <c r="A102" s="6">
        <v>41354</v>
      </c>
      <c r="B102" t="s">
        <v>46</v>
      </c>
      <c r="C102" s="7">
        <v>-300</v>
      </c>
      <c r="D102" t="s">
        <v>6</v>
      </c>
      <c r="E102" s="8">
        <f>E101+F102</f>
        <v>5862</v>
      </c>
      <c r="F102" s="8">
        <f>IF($D102="CR01",$C102,0)</f>
        <v>-300</v>
      </c>
      <c r="G102" s="8">
        <f>G101+H102</f>
        <v>0</v>
      </c>
      <c r="H102" s="8">
        <f>IF($D102="VISA",$C102,0)</f>
        <v>0</v>
      </c>
      <c r="I102" s="8">
        <f>I101+J102</f>
        <v>0</v>
      </c>
      <c r="J102" s="8">
        <f>IF($D102="ACC",$C102,0)</f>
        <v>0</v>
      </c>
      <c r="K102" s="8">
        <f>K101+L102</f>
        <v>0</v>
      </c>
      <c r="L102" s="8">
        <f>IF($D102="CBB",$C102,0)</f>
        <v>0</v>
      </c>
    </row>
    <row r="103" spans="1:12" x14ac:dyDescent="0.25">
      <c r="A103" s="6">
        <v>41356</v>
      </c>
      <c r="B103" t="s">
        <v>67</v>
      </c>
      <c r="C103" s="7">
        <v>3600</v>
      </c>
      <c r="D103" t="s">
        <v>6</v>
      </c>
      <c r="E103" s="8">
        <f>E102+F103</f>
        <v>9462</v>
      </c>
      <c r="F103" s="8">
        <f>IF($D103="CR01",$C103,0)</f>
        <v>3600</v>
      </c>
      <c r="G103" s="8">
        <f>G102+H103</f>
        <v>0</v>
      </c>
      <c r="H103" s="8">
        <f>IF($D103="VISA",$C103,0)</f>
        <v>0</v>
      </c>
      <c r="I103" s="8">
        <f>I102+J103</f>
        <v>0</v>
      </c>
      <c r="J103" s="8">
        <f>IF($D103="ACC",$C103,0)</f>
        <v>0</v>
      </c>
      <c r="K103" s="8">
        <f>K102+L103</f>
        <v>0</v>
      </c>
      <c r="L103" s="8">
        <f>IF($D103="CBB",$C103,0)</f>
        <v>0</v>
      </c>
    </row>
    <row r="104" spans="1:12" x14ac:dyDescent="0.25">
      <c r="A104" s="6">
        <v>41359</v>
      </c>
      <c r="B104" t="s">
        <v>42</v>
      </c>
      <c r="C104" s="7">
        <v>-2806</v>
      </c>
      <c r="D104" t="s">
        <v>6</v>
      </c>
      <c r="E104" s="8">
        <f>E103+F104</f>
        <v>6656</v>
      </c>
      <c r="F104" s="8">
        <f>IF($D104="CR01",$C104,0)</f>
        <v>-2806</v>
      </c>
      <c r="G104" s="8">
        <f>G103+H104</f>
        <v>0</v>
      </c>
      <c r="H104" s="8">
        <f>IF($D104="VISA",$C104,0)</f>
        <v>0</v>
      </c>
      <c r="I104" s="8">
        <f>I103+J104</f>
        <v>0</v>
      </c>
      <c r="J104" s="8">
        <f>IF($D104="ACC",$C104,0)</f>
        <v>0</v>
      </c>
      <c r="K104" s="8">
        <f>K103+L104</f>
        <v>0</v>
      </c>
      <c r="L104" s="8">
        <f>IF($D104="CBB",$C104,0)</f>
        <v>0</v>
      </c>
    </row>
    <row r="105" spans="1:12" x14ac:dyDescent="0.25">
      <c r="A105" s="6">
        <v>41359</v>
      </c>
      <c r="B105" t="s">
        <v>48</v>
      </c>
      <c r="C105" s="7">
        <v>-100</v>
      </c>
      <c r="D105" t="s">
        <v>6</v>
      </c>
      <c r="E105" s="8">
        <f>E104+F105</f>
        <v>6556</v>
      </c>
      <c r="F105" s="8">
        <f>IF($D105="CR01",$C105,0)</f>
        <v>-100</v>
      </c>
      <c r="G105" s="8">
        <f>G104+H105</f>
        <v>0</v>
      </c>
      <c r="H105" s="8">
        <f>IF($D105="VISA",$C105,0)</f>
        <v>0</v>
      </c>
      <c r="I105" s="8">
        <f>I104+J105</f>
        <v>0</v>
      </c>
      <c r="J105" s="8">
        <f>IF($D105="ACC",$C105,0)</f>
        <v>0</v>
      </c>
      <c r="K105" s="8">
        <f>K104+L105</f>
        <v>0</v>
      </c>
      <c r="L105" s="8">
        <f>IF($D105="CBB",$C105,0)</f>
        <v>0</v>
      </c>
    </row>
    <row r="106" spans="1:12" x14ac:dyDescent="0.25">
      <c r="A106" s="6">
        <v>41360</v>
      </c>
      <c r="B106" t="s">
        <v>47</v>
      </c>
      <c r="C106" s="7">
        <v>-120</v>
      </c>
      <c r="D106" t="s">
        <v>6</v>
      </c>
      <c r="E106" s="8">
        <f>E105+F106</f>
        <v>6436</v>
      </c>
      <c r="F106" s="8">
        <f>IF($D106="CR01",$C106,0)</f>
        <v>-120</v>
      </c>
      <c r="G106" s="8">
        <f>G105+H106</f>
        <v>0</v>
      </c>
      <c r="H106" s="8">
        <f>IF($D106="VISA",$C106,0)</f>
        <v>0</v>
      </c>
      <c r="I106" s="8">
        <f>I105+J106</f>
        <v>0</v>
      </c>
      <c r="J106" s="8">
        <f>IF($D106="ACC",$C106,0)</f>
        <v>0</v>
      </c>
      <c r="K106" s="8">
        <f>K105+L106</f>
        <v>0</v>
      </c>
      <c r="L106" s="8">
        <f>IF($D106="CBB",$C106,0)</f>
        <v>0</v>
      </c>
    </row>
    <row r="107" spans="1:12" x14ac:dyDescent="0.25">
      <c r="A107" s="6">
        <v>41361</v>
      </c>
      <c r="B107" t="s">
        <v>44</v>
      </c>
      <c r="C107" s="7">
        <v>-400</v>
      </c>
      <c r="D107" t="s">
        <v>6</v>
      </c>
      <c r="E107" s="8">
        <f>E106+F107</f>
        <v>6036</v>
      </c>
      <c r="F107" s="8">
        <f>IF($D107="CR01",$C107,0)</f>
        <v>-400</v>
      </c>
      <c r="G107" s="8">
        <f>G106+H107</f>
        <v>0</v>
      </c>
      <c r="H107" s="8">
        <f>IF($D107="VISA",$C107,0)</f>
        <v>0</v>
      </c>
      <c r="I107" s="8">
        <f>I106+J107</f>
        <v>0</v>
      </c>
      <c r="J107" s="8">
        <f>IF($D107="ACC",$C107,0)</f>
        <v>0</v>
      </c>
      <c r="K107" s="8">
        <f>K106+L107</f>
        <v>0</v>
      </c>
      <c r="L107" s="8">
        <f>IF($D107="CBB",$C107,0)</f>
        <v>0</v>
      </c>
    </row>
    <row r="108" spans="1:12" x14ac:dyDescent="0.25">
      <c r="A108" s="6">
        <v>41361</v>
      </c>
      <c r="B108" t="s">
        <v>45</v>
      </c>
      <c r="C108" s="7">
        <v>-180</v>
      </c>
      <c r="D108" t="s">
        <v>6</v>
      </c>
      <c r="E108" s="8">
        <f>E107+F108</f>
        <v>5856</v>
      </c>
      <c r="F108" s="8">
        <f>IF($D108="CR01",$C108,0)</f>
        <v>-180</v>
      </c>
      <c r="G108" s="8">
        <f>G107+H108</f>
        <v>0</v>
      </c>
      <c r="H108" s="8">
        <f>IF($D108="VISA",$C108,0)</f>
        <v>0</v>
      </c>
      <c r="I108" s="8">
        <f>I107+J108</f>
        <v>0</v>
      </c>
      <c r="J108" s="8">
        <f>IF($D108="ACC",$C108,0)</f>
        <v>0</v>
      </c>
      <c r="K108" s="8">
        <f>K107+L108</f>
        <v>0</v>
      </c>
      <c r="L108" s="8">
        <f>IF($D108="CBB",$C108,0)</f>
        <v>0</v>
      </c>
    </row>
    <row r="109" spans="1:12" x14ac:dyDescent="0.25">
      <c r="A109" s="6">
        <v>41361</v>
      </c>
      <c r="B109" t="s">
        <v>46</v>
      </c>
      <c r="C109" s="7">
        <v>-300</v>
      </c>
      <c r="D109" t="s">
        <v>6</v>
      </c>
      <c r="E109" s="8">
        <f>E108+F109</f>
        <v>5556</v>
      </c>
      <c r="F109" s="8">
        <f>IF($D109="CR01",$C109,0)</f>
        <v>-300</v>
      </c>
      <c r="G109" s="8">
        <f>G108+H109</f>
        <v>0</v>
      </c>
      <c r="H109" s="8">
        <f>IF($D109="VISA",$C109,0)</f>
        <v>0</v>
      </c>
      <c r="I109" s="8">
        <f>I108+J109</f>
        <v>0</v>
      </c>
      <c r="J109" s="8">
        <f>IF($D109="ACC",$C109,0)</f>
        <v>0</v>
      </c>
      <c r="K109" s="8">
        <f>K108+L109</f>
        <v>0</v>
      </c>
      <c r="L109" s="8">
        <f>IF($D109="CBB",$C109,0)</f>
        <v>0</v>
      </c>
    </row>
    <row r="110" spans="1:12" x14ac:dyDescent="0.25">
      <c r="A110" s="6">
        <v>41362</v>
      </c>
      <c r="B110" t="s">
        <v>43</v>
      </c>
      <c r="C110" s="7">
        <v>3226</v>
      </c>
      <c r="D110" t="s">
        <v>6</v>
      </c>
      <c r="E110" s="8">
        <f>E109+F110</f>
        <v>8782</v>
      </c>
      <c r="F110" s="8">
        <f>IF($D110="CR01",$C110,0)</f>
        <v>3226</v>
      </c>
      <c r="G110" s="8">
        <f>G109+H110</f>
        <v>0</v>
      </c>
      <c r="H110" s="8">
        <f>IF($D110="VISA",$C110,0)</f>
        <v>0</v>
      </c>
      <c r="I110" s="8">
        <f>I109+J110</f>
        <v>0</v>
      </c>
      <c r="J110" s="8">
        <f>IF($D110="ACC",$C110,0)</f>
        <v>0</v>
      </c>
      <c r="K110" s="8">
        <f>K109+L110</f>
        <v>0</v>
      </c>
      <c r="L110" s="8">
        <f>IF($D110="CBB",$C110,0)</f>
        <v>0</v>
      </c>
    </row>
    <row r="111" spans="1:12" x14ac:dyDescent="0.25">
      <c r="A111" s="6">
        <v>41365</v>
      </c>
      <c r="B111" t="s">
        <v>58</v>
      </c>
      <c r="C111" s="7">
        <v>-200</v>
      </c>
      <c r="D111" t="s">
        <v>6</v>
      </c>
      <c r="E111" s="8">
        <f>E110+F111</f>
        <v>8582</v>
      </c>
      <c r="F111" s="8">
        <f>IF($D111="CR01",$C111,0)</f>
        <v>-200</v>
      </c>
      <c r="G111" s="8">
        <f>G110+H111</f>
        <v>0</v>
      </c>
      <c r="H111" s="8">
        <f>IF($D111="VISA",$C111,0)</f>
        <v>0</v>
      </c>
      <c r="I111" s="8">
        <f>I110+J111</f>
        <v>0</v>
      </c>
      <c r="J111" s="8">
        <f>IF($D111="ACC",$C111,0)</f>
        <v>0</v>
      </c>
      <c r="K111" s="8">
        <f>K110+L111</f>
        <v>0</v>
      </c>
      <c r="L111" s="8">
        <f>IF($D111="CBB",$C111,0)</f>
        <v>0</v>
      </c>
    </row>
    <row r="112" spans="1:12" x14ac:dyDescent="0.25">
      <c r="A112" s="6">
        <v>41365</v>
      </c>
      <c r="B112" t="s">
        <v>60</v>
      </c>
      <c r="C112" s="7">
        <v>-400</v>
      </c>
      <c r="D112" t="s">
        <v>6</v>
      </c>
      <c r="E112" s="8">
        <f>E111+F112</f>
        <v>8182</v>
      </c>
      <c r="F112" s="8">
        <f>IF($D112="CR01",$C112,0)</f>
        <v>-400</v>
      </c>
      <c r="G112" s="8">
        <f>G111+H112</f>
        <v>0</v>
      </c>
      <c r="H112" s="8">
        <f>IF($D112="VISA",$C112,0)</f>
        <v>0</v>
      </c>
      <c r="I112" s="8">
        <f>I111+J112</f>
        <v>0</v>
      </c>
      <c r="J112" s="8">
        <f>IF($D112="ACC",$C112,0)</f>
        <v>0</v>
      </c>
      <c r="K112" s="8">
        <f>K111+L112</f>
        <v>0</v>
      </c>
      <c r="L112" s="8">
        <f>IF($D112="CBB",$C112,0)</f>
        <v>0</v>
      </c>
    </row>
    <row r="113" spans="1:12" x14ac:dyDescent="0.25">
      <c r="A113" s="6">
        <v>41365</v>
      </c>
      <c r="B113" t="s">
        <v>61</v>
      </c>
      <c r="C113" s="7">
        <v>-300</v>
      </c>
      <c r="D113" t="s">
        <v>6</v>
      </c>
      <c r="E113" s="8">
        <f>E112+F113</f>
        <v>7882</v>
      </c>
      <c r="F113" s="8">
        <f>IF($D113="CR01",$C113,0)</f>
        <v>-300</v>
      </c>
      <c r="G113" s="8">
        <f>G112+H113</f>
        <v>0</v>
      </c>
      <c r="H113" s="8">
        <f>IF($D113="VISA",$C113,0)</f>
        <v>0</v>
      </c>
      <c r="I113" s="8">
        <f>I112+J113</f>
        <v>0</v>
      </c>
      <c r="J113" s="8">
        <f>IF($D113="ACC",$C113,0)</f>
        <v>0</v>
      </c>
      <c r="K113" s="8">
        <f>K112+L113</f>
        <v>0</v>
      </c>
      <c r="L113" s="8">
        <f>IF($D113="CBB",$C113,0)</f>
        <v>0</v>
      </c>
    </row>
    <row r="114" spans="1:12" x14ac:dyDescent="0.25">
      <c r="A114" s="6">
        <v>41365</v>
      </c>
      <c r="B114" t="s">
        <v>64</v>
      </c>
      <c r="C114" s="7">
        <v>-26</v>
      </c>
      <c r="D114" t="s">
        <v>6</v>
      </c>
      <c r="E114" s="8">
        <f>E113+F114</f>
        <v>7856</v>
      </c>
      <c r="F114" s="8">
        <f>IF($D114="CR01",$C114,0)</f>
        <v>-26</v>
      </c>
      <c r="G114" s="8">
        <f>G113+H114</f>
        <v>0</v>
      </c>
      <c r="H114" s="8">
        <f>IF($D114="VISA",$C114,0)</f>
        <v>0</v>
      </c>
      <c r="I114" s="8">
        <f>I113+J114</f>
        <v>0</v>
      </c>
      <c r="J114" s="8">
        <f>IF($D114="ACC",$C114,0)</f>
        <v>0</v>
      </c>
      <c r="K114" s="8">
        <f>K113+L114</f>
        <v>0</v>
      </c>
      <c r="L114" s="8">
        <f>IF($D114="CBB",$C114,0)</f>
        <v>0</v>
      </c>
    </row>
    <row r="115" spans="1:12" x14ac:dyDescent="0.25">
      <c r="A115" s="6">
        <v>41365</v>
      </c>
      <c r="B115" t="s">
        <v>65</v>
      </c>
      <c r="C115" s="7">
        <v>-240</v>
      </c>
      <c r="D115" t="s">
        <v>6</v>
      </c>
      <c r="E115" s="8">
        <f>E114+F115</f>
        <v>7616</v>
      </c>
      <c r="F115" s="8">
        <f>IF($D115="CR01",$C115,0)</f>
        <v>-240</v>
      </c>
      <c r="G115" s="8">
        <f>G114+H115</f>
        <v>0</v>
      </c>
      <c r="H115" s="8">
        <f>IF($D115="VISA",$C115,0)</f>
        <v>0</v>
      </c>
      <c r="I115" s="8">
        <f>I114+J115</f>
        <v>0</v>
      </c>
      <c r="J115" s="8">
        <f>IF($D115="ACC",$C115,0)</f>
        <v>0</v>
      </c>
      <c r="K115" s="8">
        <f>K114+L115</f>
        <v>0</v>
      </c>
      <c r="L115" s="8">
        <f>IF($D115="CBB",$C115,0)</f>
        <v>0</v>
      </c>
    </row>
    <row r="116" spans="1:12" x14ac:dyDescent="0.25">
      <c r="A116" s="6">
        <v>41365</v>
      </c>
      <c r="B116" t="s">
        <v>66</v>
      </c>
      <c r="C116" s="7">
        <v>-120</v>
      </c>
      <c r="D116" t="s">
        <v>6</v>
      </c>
      <c r="E116" s="8">
        <f>E115+F116</f>
        <v>7496</v>
      </c>
      <c r="F116" s="8">
        <f>IF($D116="CR01",$C116,0)</f>
        <v>-120</v>
      </c>
      <c r="G116" s="8">
        <f>G115+H116</f>
        <v>0</v>
      </c>
      <c r="H116" s="8">
        <f>IF($D116="VISA",$C116,0)</f>
        <v>0</v>
      </c>
      <c r="I116" s="8">
        <f>I115+J116</f>
        <v>0</v>
      </c>
      <c r="J116" s="8">
        <f>IF($D116="ACC",$C116,0)</f>
        <v>0</v>
      </c>
      <c r="K116" s="8">
        <f>K115+L116</f>
        <v>0</v>
      </c>
      <c r="L116" s="8">
        <f>IF($D116="CBB",$C116,0)</f>
        <v>0</v>
      </c>
    </row>
    <row r="117" spans="1:12" x14ac:dyDescent="0.25">
      <c r="A117" s="6">
        <v>41365</v>
      </c>
      <c r="B117" t="s">
        <v>69</v>
      </c>
      <c r="C117" s="7">
        <v>-1500</v>
      </c>
      <c r="D117" t="s">
        <v>6</v>
      </c>
      <c r="E117" s="8">
        <f>E116+F117</f>
        <v>5996</v>
      </c>
      <c r="F117" s="8">
        <f>IF($D117="CR01",$C117,0)</f>
        <v>-1500</v>
      </c>
      <c r="G117" s="8">
        <f>G116+H117</f>
        <v>0</v>
      </c>
      <c r="H117" s="8">
        <f>IF($D117="VISA",$C117,0)</f>
        <v>0</v>
      </c>
      <c r="I117" s="8">
        <f>I116+J117</f>
        <v>0</v>
      </c>
      <c r="J117" s="8">
        <f>IF($D117="ACC",$C117,0)</f>
        <v>0</v>
      </c>
      <c r="K117" s="8">
        <f>K116+L117</f>
        <v>0</v>
      </c>
      <c r="L117" s="8">
        <f>IF($D117="CBB",$C117,0)</f>
        <v>0</v>
      </c>
    </row>
    <row r="118" spans="1:12" x14ac:dyDescent="0.25">
      <c r="A118" s="6">
        <v>41366</v>
      </c>
      <c r="B118" t="s">
        <v>48</v>
      </c>
      <c r="C118" s="7">
        <v>-100</v>
      </c>
      <c r="D118" t="s">
        <v>6</v>
      </c>
      <c r="E118" s="8">
        <f>E117+F118</f>
        <v>5896</v>
      </c>
      <c r="F118" s="8">
        <f>IF($D118="CR01",$C118,0)</f>
        <v>-100</v>
      </c>
      <c r="G118" s="8">
        <f>G117+H118</f>
        <v>0</v>
      </c>
      <c r="H118" s="8">
        <f>IF($D118="VISA",$C118,0)</f>
        <v>0</v>
      </c>
      <c r="I118" s="8">
        <f>I117+J118</f>
        <v>0</v>
      </c>
      <c r="J118" s="8">
        <f>IF($D118="ACC",$C118,0)</f>
        <v>0</v>
      </c>
      <c r="K118" s="8">
        <f>K117+L118</f>
        <v>0</v>
      </c>
      <c r="L118" s="8">
        <f>IF($D118="CBB",$C118,0)</f>
        <v>0</v>
      </c>
    </row>
    <row r="119" spans="1:12" x14ac:dyDescent="0.25">
      <c r="A119" s="6">
        <v>41366</v>
      </c>
      <c r="B119" t="s">
        <v>59</v>
      </c>
      <c r="C119" s="7">
        <v>-900</v>
      </c>
      <c r="D119" t="s">
        <v>6</v>
      </c>
      <c r="E119" s="8">
        <f>E118+F119</f>
        <v>4996</v>
      </c>
      <c r="F119" s="8">
        <f>IF($D119="CR01",$C119,0)</f>
        <v>-900</v>
      </c>
      <c r="G119" s="8">
        <f>G118+H119</f>
        <v>0</v>
      </c>
      <c r="H119" s="8">
        <f>IF($D119="VISA",$C119,0)</f>
        <v>0</v>
      </c>
      <c r="I119" s="8">
        <f>I118+J119</f>
        <v>0</v>
      </c>
      <c r="J119" s="8">
        <f>IF($D119="ACC",$C119,0)</f>
        <v>0</v>
      </c>
      <c r="K119" s="8">
        <f>K118+L119</f>
        <v>0</v>
      </c>
      <c r="L119" s="8">
        <f>IF($D119="CBB",$C119,0)</f>
        <v>0</v>
      </c>
    </row>
    <row r="120" spans="1:12" x14ac:dyDescent="0.25">
      <c r="A120" s="6">
        <v>41367</v>
      </c>
      <c r="B120" t="s">
        <v>47</v>
      </c>
      <c r="C120" s="7">
        <v>-120</v>
      </c>
      <c r="D120" t="s">
        <v>6</v>
      </c>
      <c r="E120" s="8">
        <f>E119+F120</f>
        <v>4876</v>
      </c>
      <c r="F120" s="8">
        <f>IF($D120="CR01",$C120,0)</f>
        <v>-120</v>
      </c>
      <c r="G120" s="8">
        <f>G119+H120</f>
        <v>0</v>
      </c>
      <c r="H120" s="8">
        <f>IF($D120="VISA",$C120,0)</f>
        <v>0</v>
      </c>
      <c r="I120" s="8">
        <f>I119+J120</f>
        <v>0</v>
      </c>
      <c r="J120" s="8">
        <f>IF($D120="ACC",$C120,0)</f>
        <v>0</v>
      </c>
      <c r="K120" s="8">
        <f>K119+L120</f>
        <v>0</v>
      </c>
      <c r="L120" s="8">
        <f>IF($D120="CBB",$C120,0)</f>
        <v>0</v>
      </c>
    </row>
    <row r="121" spans="1:12" x14ac:dyDescent="0.25">
      <c r="A121" s="6">
        <v>41368</v>
      </c>
      <c r="B121" t="s">
        <v>44</v>
      </c>
      <c r="C121" s="7">
        <v>-400</v>
      </c>
      <c r="D121" t="s">
        <v>6</v>
      </c>
      <c r="E121" s="8">
        <f>E120+F121</f>
        <v>4476</v>
      </c>
      <c r="F121" s="8">
        <f>IF($D121="CR01",$C121,0)</f>
        <v>-400</v>
      </c>
      <c r="G121" s="8">
        <f>G120+H121</f>
        <v>0</v>
      </c>
      <c r="H121" s="8">
        <f>IF($D121="VISA",$C121,0)</f>
        <v>0</v>
      </c>
      <c r="I121" s="8">
        <f>I120+J121</f>
        <v>0</v>
      </c>
      <c r="J121" s="8">
        <f>IF($D121="ACC",$C121,0)</f>
        <v>0</v>
      </c>
      <c r="K121" s="8">
        <f>K120+L121</f>
        <v>0</v>
      </c>
      <c r="L121" s="8">
        <f>IF($D121="CBB",$C121,0)</f>
        <v>0</v>
      </c>
    </row>
    <row r="122" spans="1:12" x14ac:dyDescent="0.25">
      <c r="A122" s="6">
        <v>41368</v>
      </c>
      <c r="B122" t="s">
        <v>45</v>
      </c>
      <c r="C122" s="7">
        <v>-180</v>
      </c>
      <c r="D122" t="s">
        <v>6</v>
      </c>
      <c r="E122" s="8">
        <f>E121+F122</f>
        <v>4296</v>
      </c>
      <c r="F122" s="8">
        <f>IF($D122="CR01",$C122,0)</f>
        <v>-180</v>
      </c>
      <c r="G122" s="8">
        <f>G121+H122</f>
        <v>0</v>
      </c>
      <c r="H122" s="8">
        <f>IF($D122="VISA",$C122,0)</f>
        <v>0</v>
      </c>
      <c r="I122" s="8">
        <f>I121+J122</f>
        <v>0</v>
      </c>
      <c r="J122" s="8">
        <f>IF($D122="ACC",$C122,0)</f>
        <v>0</v>
      </c>
      <c r="K122" s="8">
        <f>K121+L122</f>
        <v>0</v>
      </c>
      <c r="L122" s="8">
        <f>IF($D122="CBB",$C122,0)</f>
        <v>0</v>
      </c>
    </row>
    <row r="123" spans="1:12" x14ac:dyDescent="0.25">
      <c r="A123" s="6">
        <v>41368</v>
      </c>
      <c r="B123" t="s">
        <v>46</v>
      </c>
      <c r="C123" s="7">
        <v>-300</v>
      </c>
      <c r="D123" t="s">
        <v>6</v>
      </c>
      <c r="E123" s="8">
        <f>E122+F123</f>
        <v>3996</v>
      </c>
      <c r="F123" s="8">
        <f>IF($D123="CR01",$C123,0)</f>
        <v>-300</v>
      </c>
      <c r="G123" s="8">
        <f>G122+H123</f>
        <v>0</v>
      </c>
      <c r="H123" s="8">
        <f>IF($D123="VISA",$C123,0)</f>
        <v>0</v>
      </c>
      <c r="I123" s="8">
        <f>I122+J123</f>
        <v>0</v>
      </c>
      <c r="J123" s="8">
        <f>IF($D123="ACC",$C123,0)</f>
        <v>0</v>
      </c>
      <c r="K123" s="8">
        <f>K122+L123</f>
        <v>0</v>
      </c>
      <c r="L123" s="8">
        <f>IF($D123="CBB",$C123,0)</f>
        <v>0</v>
      </c>
    </row>
    <row r="124" spans="1:12" x14ac:dyDescent="0.25">
      <c r="A124" s="6">
        <v>41370</v>
      </c>
      <c r="B124" t="s">
        <v>67</v>
      </c>
      <c r="C124" s="7">
        <v>3600</v>
      </c>
      <c r="D124" t="s">
        <v>6</v>
      </c>
      <c r="E124" s="8">
        <f>E123+F124</f>
        <v>7596</v>
      </c>
      <c r="F124" s="8">
        <f>IF($D124="CR01",$C124,0)</f>
        <v>3600</v>
      </c>
      <c r="G124" s="8">
        <f>G123+H124</f>
        <v>0</v>
      </c>
      <c r="H124" s="8">
        <f>IF($D124="VISA",$C124,0)</f>
        <v>0</v>
      </c>
      <c r="I124" s="8">
        <f>I123+J124</f>
        <v>0</v>
      </c>
      <c r="J124" s="8">
        <f>IF($D124="ACC",$C124,0)</f>
        <v>0</v>
      </c>
      <c r="K124" s="8">
        <f>K123+L124</f>
        <v>0</v>
      </c>
      <c r="L124" s="8">
        <f>IF($D124="CBB",$C124,0)</f>
        <v>0</v>
      </c>
    </row>
    <row r="125" spans="1:12" x14ac:dyDescent="0.25">
      <c r="A125" s="6">
        <v>41373</v>
      </c>
      <c r="B125" t="s">
        <v>42</v>
      </c>
      <c r="C125" s="7">
        <v>-2806</v>
      </c>
      <c r="D125" t="s">
        <v>6</v>
      </c>
      <c r="E125" s="8">
        <f>E124+F125</f>
        <v>4790</v>
      </c>
      <c r="F125" s="8">
        <f>IF($D125="CR01",$C125,0)</f>
        <v>-2806</v>
      </c>
      <c r="G125" s="8">
        <f>G124+H125</f>
        <v>0</v>
      </c>
      <c r="H125" s="8">
        <f>IF($D125="VISA",$C125,0)</f>
        <v>0</v>
      </c>
      <c r="I125" s="8">
        <f>I124+J125</f>
        <v>0</v>
      </c>
      <c r="J125" s="8">
        <f>IF($D125="ACC",$C125,0)</f>
        <v>0</v>
      </c>
      <c r="K125" s="8">
        <f>K124+L125</f>
        <v>0</v>
      </c>
      <c r="L125" s="8">
        <f>IF($D125="CBB",$C125,0)</f>
        <v>0</v>
      </c>
    </row>
    <row r="126" spans="1:12" x14ac:dyDescent="0.25">
      <c r="A126" s="6">
        <v>41373</v>
      </c>
      <c r="B126" t="s">
        <v>48</v>
      </c>
      <c r="C126" s="7">
        <v>-100</v>
      </c>
      <c r="D126" t="s">
        <v>6</v>
      </c>
      <c r="E126" s="8">
        <f>E125+F126</f>
        <v>4690</v>
      </c>
      <c r="F126" s="8">
        <f>IF($D126="CR01",$C126,0)</f>
        <v>-100</v>
      </c>
      <c r="G126" s="8">
        <f>G125+H126</f>
        <v>0</v>
      </c>
      <c r="H126" s="8">
        <f>IF($D126="VISA",$C126,0)</f>
        <v>0</v>
      </c>
      <c r="I126" s="8">
        <f>I125+J126</f>
        <v>0</v>
      </c>
      <c r="J126" s="8">
        <f>IF($D126="ACC",$C126,0)</f>
        <v>0</v>
      </c>
      <c r="K126" s="8">
        <f>K125+L126</f>
        <v>0</v>
      </c>
      <c r="L126" s="8">
        <f>IF($D126="CBB",$C126,0)</f>
        <v>0</v>
      </c>
    </row>
    <row r="127" spans="1:12" x14ac:dyDescent="0.25">
      <c r="A127" s="6">
        <v>41374</v>
      </c>
      <c r="B127" t="s">
        <v>47</v>
      </c>
      <c r="C127" s="7">
        <v>-120</v>
      </c>
      <c r="D127" t="s">
        <v>6</v>
      </c>
      <c r="E127" s="8">
        <f>E126+F127</f>
        <v>4570</v>
      </c>
      <c r="F127" s="8">
        <f>IF($D127="CR01",$C127,0)</f>
        <v>-120</v>
      </c>
      <c r="G127" s="8">
        <f>G126+H127</f>
        <v>0</v>
      </c>
      <c r="H127" s="8">
        <f>IF($D127="VISA",$C127,0)</f>
        <v>0</v>
      </c>
      <c r="I127" s="8">
        <f>I126+J127</f>
        <v>0</v>
      </c>
      <c r="J127" s="8">
        <f>IF($D127="ACC",$C127,0)</f>
        <v>0</v>
      </c>
      <c r="K127" s="8">
        <f>K126+L127</f>
        <v>0</v>
      </c>
      <c r="L127" s="8">
        <f>IF($D127="CBB",$C127,0)</f>
        <v>0</v>
      </c>
    </row>
    <row r="128" spans="1:12" x14ac:dyDescent="0.25">
      <c r="A128" s="6">
        <v>41375</v>
      </c>
      <c r="B128" t="s">
        <v>44</v>
      </c>
      <c r="C128" s="7">
        <v>-400</v>
      </c>
      <c r="D128" t="s">
        <v>6</v>
      </c>
      <c r="E128" s="8">
        <f>E127+F128</f>
        <v>4170</v>
      </c>
      <c r="F128" s="8">
        <f>IF($D128="CR01",$C128,0)</f>
        <v>-400</v>
      </c>
      <c r="G128" s="8">
        <f>G127+H128</f>
        <v>0</v>
      </c>
      <c r="H128" s="8">
        <f>IF($D128="VISA",$C128,0)</f>
        <v>0</v>
      </c>
      <c r="I128" s="8">
        <f>I127+J128</f>
        <v>0</v>
      </c>
      <c r="J128" s="8">
        <f>IF($D128="ACC",$C128,0)</f>
        <v>0</v>
      </c>
      <c r="K128" s="8">
        <f>K127+L128</f>
        <v>0</v>
      </c>
      <c r="L128" s="8">
        <f>IF($D128="CBB",$C128,0)</f>
        <v>0</v>
      </c>
    </row>
    <row r="129" spans="1:12" x14ac:dyDescent="0.25">
      <c r="A129" s="6">
        <v>41375</v>
      </c>
      <c r="B129" t="s">
        <v>45</v>
      </c>
      <c r="C129" s="7">
        <v>-180</v>
      </c>
      <c r="D129" t="s">
        <v>6</v>
      </c>
      <c r="E129" s="8">
        <f>E128+F129</f>
        <v>3990</v>
      </c>
      <c r="F129" s="8">
        <f>IF($D129="CR01",$C129,0)</f>
        <v>-180</v>
      </c>
      <c r="G129" s="8">
        <f>G128+H129</f>
        <v>0</v>
      </c>
      <c r="H129" s="8">
        <f>IF($D129="VISA",$C129,0)</f>
        <v>0</v>
      </c>
      <c r="I129" s="8">
        <f>I128+J129</f>
        <v>0</v>
      </c>
      <c r="J129" s="8">
        <f>IF($D129="ACC",$C129,0)</f>
        <v>0</v>
      </c>
      <c r="K129" s="8">
        <f>K128+L129</f>
        <v>0</v>
      </c>
      <c r="L129" s="8">
        <f>IF($D129="CBB",$C129,0)</f>
        <v>0</v>
      </c>
    </row>
    <row r="130" spans="1:12" x14ac:dyDescent="0.25">
      <c r="A130" s="6">
        <v>41375</v>
      </c>
      <c r="B130" t="s">
        <v>46</v>
      </c>
      <c r="C130" s="7">
        <v>-300</v>
      </c>
      <c r="D130" t="s">
        <v>6</v>
      </c>
      <c r="E130" s="8">
        <f>E129+F130</f>
        <v>3690</v>
      </c>
      <c r="F130" s="8">
        <f>IF($D130="CR01",$C130,0)</f>
        <v>-300</v>
      </c>
      <c r="G130" s="8">
        <f>G129+H130</f>
        <v>0</v>
      </c>
      <c r="H130" s="8">
        <f>IF($D130="VISA",$C130,0)</f>
        <v>0</v>
      </c>
      <c r="I130" s="8">
        <f>I129+J130</f>
        <v>0</v>
      </c>
      <c r="J130" s="8">
        <f>IF($D130="ACC",$C130,0)</f>
        <v>0</v>
      </c>
      <c r="K130" s="8">
        <f>K129+L130</f>
        <v>0</v>
      </c>
      <c r="L130" s="8">
        <f>IF($D130="CBB",$C130,0)</f>
        <v>0</v>
      </c>
    </row>
    <row r="131" spans="1:12" x14ac:dyDescent="0.25">
      <c r="A131" s="6">
        <v>41376</v>
      </c>
      <c r="B131" t="s">
        <v>43</v>
      </c>
      <c r="C131" s="7">
        <v>3226</v>
      </c>
      <c r="D131" t="s">
        <v>6</v>
      </c>
      <c r="E131" s="8">
        <f>E130+F131</f>
        <v>6916</v>
      </c>
      <c r="F131" s="8">
        <f>IF($D131="CR01",$C131,0)</f>
        <v>3226</v>
      </c>
      <c r="G131" s="8">
        <f>G130+H131</f>
        <v>0</v>
      </c>
      <c r="H131" s="8">
        <f>IF($D131="VISA",$C131,0)</f>
        <v>0</v>
      </c>
      <c r="I131" s="8">
        <f>I130+J131</f>
        <v>0</v>
      </c>
      <c r="J131" s="8">
        <f>IF($D131="ACC",$C131,0)</f>
        <v>0</v>
      </c>
      <c r="K131" s="8">
        <f>K130+L131</f>
        <v>0</v>
      </c>
      <c r="L131" s="8">
        <f>IF($D131="CBB",$C131,0)</f>
        <v>0</v>
      </c>
    </row>
    <row r="132" spans="1:12" x14ac:dyDescent="0.25">
      <c r="A132" s="6">
        <v>41380</v>
      </c>
      <c r="B132" t="s">
        <v>48</v>
      </c>
      <c r="C132" s="7">
        <v>-100</v>
      </c>
      <c r="D132" t="s">
        <v>6</v>
      </c>
      <c r="E132" s="8">
        <f>E131+F132</f>
        <v>6816</v>
      </c>
      <c r="F132" s="8">
        <f>IF($D132="CR01",$C132,0)</f>
        <v>-100</v>
      </c>
      <c r="G132" s="8">
        <f>G131+H132</f>
        <v>0</v>
      </c>
      <c r="H132" s="8">
        <f>IF($D132="VISA",$C132,0)</f>
        <v>0</v>
      </c>
      <c r="I132" s="8">
        <f>I131+J132</f>
        <v>0</v>
      </c>
      <c r="J132" s="8">
        <f>IF($D132="ACC",$C132,0)</f>
        <v>0</v>
      </c>
      <c r="K132" s="8">
        <f>K131+L132</f>
        <v>0</v>
      </c>
      <c r="L132" s="8">
        <f>IF($D132="CBB",$C132,0)</f>
        <v>0</v>
      </c>
    </row>
    <row r="133" spans="1:12" x14ac:dyDescent="0.25">
      <c r="A133" s="6">
        <v>41381</v>
      </c>
      <c r="B133" t="s">
        <v>47</v>
      </c>
      <c r="C133" s="7">
        <v>-120</v>
      </c>
      <c r="D133" t="s">
        <v>6</v>
      </c>
      <c r="E133" s="8">
        <f>E132+F133</f>
        <v>6696</v>
      </c>
      <c r="F133" s="8">
        <f>IF($D133="CR01",$C133,0)</f>
        <v>-120</v>
      </c>
      <c r="G133" s="8">
        <f>G132+H133</f>
        <v>0</v>
      </c>
      <c r="H133" s="8">
        <f>IF($D133="VISA",$C133,0)</f>
        <v>0</v>
      </c>
      <c r="I133" s="8">
        <f>I132+J133</f>
        <v>0</v>
      </c>
      <c r="J133" s="8">
        <f>IF($D133="ACC",$C133,0)</f>
        <v>0</v>
      </c>
      <c r="K133" s="8">
        <f>K132+L133</f>
        <v>0</v>
      </c>
      <c r="L133" s="8">
        <f>IF($D133="CBB",$C133,0)</f>
        <v>0</v>
      </c>
    </row>
    <row r="134" spans="1:12" x14ac:dyDescent="0.25">
      <c r="A134" s="6">
        <v>41382</v>
      </c>
      <c r="B134" t="s">
        <v>44</v>
      </c>
      <c r="C134" s="7">
        <v>-400</v>
      </c>
      <c r="D134" t="s">
        <v>6</v>
      </c>
      <c r="E134" s="8">
        <f>E133+F134</f>
        <v>6296</v>
      </c>
      <c r="F134" s="8">
        <f>IF($D134="CR01",$C134,0)</f>
        <v>-400</v>
      </c>
      <c r="G134" s="8">
        <f>G133+H134</f>
        <v>0</v>
      </c>
      <c r="H134" s="8">
        <f>IF($D134="VISA",$C134,0)</f>
        <v>0</v>
      </c>
      <c r="I134" s="8">
        <f>I133+J134</f>
        <v>0</v>
      </c>
      <c r="J134" s="8">
        <f>IF($D134="ACC",$C134,0)</f>
        <v>0</v>
      </c>
      <c r="K134" s="8">
        <f>K133+L134</f>
        <v>0</v>
      </c>
      <c r="L134" s="8">
        <f>IF($D134="CBB",$C134,0)</f>
        <v>0</v>
      </c>
    </row>
    <row r="135" spans="1:12" x14ac:dyDescent="0.25">
      <c r="A135" s="6">
        <v>41382</v>
      </c>
      <c r="B135" t="s">
        <v>45</v>
      </c>
      <c r="C135" s="7">
        <v>-180</v>
      </c>
      <c r="D135" t="s">
        <v>6</v>
      </c>
      <c r="E135" s="8">
        <f>E134+F135</f>
        <v>6116</v>
      </c>
      <c r="F135" s="8">
        <f>IF($D135="CR01",$C135,0)</f>
        <v>-180</v>
      </c>
      <c r="G135" s="8">
        <f>G134+H135</f>
        <v>0</v>
      </c>
      <c r="H135" s="8">
        <f>IF($D135="VISA",$C135,0)</f>
        <v>0</v>
      </c>
      <c r="I135" s="8">
        <f>I134+J135</f>
        <v>0</v>
      </c>
      <c r="J135" s="8">
        <f>IF($D135="ACC",$C135,0)</f>
        <v>0</v>
      </c>
      <c r="K135" s="8">
        <f>K134+L135</f>
        <v>0</v>
      </c>
      <c r="L135" s="8">
        <f>IF($D135="CBB",$C135,0)</f>
        <v>0</v>
      </c>
    </row>
    <row r="136" spans="1:12" x14ac:dyDescent="0.25">
      <c r="A136" s="6">
        <v>41382</v>
      </c>
      <c r="B136" t="s">
        <v>46</v>
      </c>
      <c r="C136" s="7">
        <v>-300</v>
      </c>
      <c r="D136" t="s">
        <v>6</v>
      </c>
      <c r="E136" s="8">
        <f>E135+F136</f>
        <v>5816</v>
      </c>
      <c r="F136" s="8">
        <f>IF($D136="CR01",$C136,0)</f>
        <v>-300</v>
      </c>
      <c r="G136" s="8">
        <f>G135+H136</f>
        <v>0</v>
      </c>
      <c r="H136" s="8">
        <f>IF($D136="VISA",$C136,0)</f>
        <v>0</v>
      </c>
      <c r="I136" s="8">
        <f>I135+J136</f>
        <v>0</v>
      </c>
      <c r="J136" s="8">
        <f>IF($D136="ACC",$C136,0)</f>
        <v>0</v>
      </c>
      <c r="K136" s="8">
        <f>K135+L136</f>
        <v>0</v>
      </c>
      <c r="L136" s="8">
        <f>IF($D136="CBB",$C136,0)</f>
        <v>0</v>
      </c>
    </row>
    <row r="137" spans="1:12" x14ac:dyDescent="0.25">
      <c r="A137" s="6">
        <v>41384</v>
      </c>
      <c r="B137" t="s">
        <v>67</v>
      </c>
      <c r="C137" s="7">
        <v>3600</v>
      </c>
      <c r="D137" t="s">
        <v>6</v>
      </c>
      <c r="E137" s="8">
        <f>E136+F137</f>
        <v>9416</v>
      </c>
      <c r="F137" s="8">
        <f>IF($D137="CR01",$C137,0)</f>
        <v>3600</v>
      </c>
      <c r="G137" s="8">
        <f>G136+H137</f>
        <v>0</v>
      </c>
      <c r="H137" s="8">
        <f>IF($D137="VISA",$C137,0)</f>
        <v>0</v>
      </c>
      <c r="I137" s="8">
        <f>I136+J137</f>
        <v>0</v>
      </c>
      <c r="J137" s="8">
        <f>IF($D137="ACC",$C137,0)</f>
        <v>0</v>
      </c>
      <c r="K137" s="8">
        <f>K136+L137</f>
        <v>0</v>
      </c>
      <c r="L137" s="8">
        <f>IF($D137="CBB",$C137,0)</f>
        <v>0</v>
      </c>
    </row>
    <row r="138" spans="1:12" x14ac:dyDescent="0.25">
      <c r="A138" s="6">
        <v>41387</v>
      </c>
      <c r="B138" t="s">
        <v>42</v>
      </c>
      <c r="C138" s="7">
        <v>-2806</v>
      </c>
      <c r="D138" t="s">
        <v>6</v>
      </c>
      <c r="E138" s="8">
        <f>E137+F138</f>
        <v>6610</v>
      </c>
      <c r="F138" s="8">
        <f>IF($D138="CR01",$C138,0)</f>
        <v>-2806</v>
      </c>
      <c r="G138" s="8">
        <f>G137+H138</f>
        <v>0</v>
      </c>
      <c r="H138" s="8">
        <f>IF($D138="VISA",$C138,0)</f>
        <v>0</v>
      </c>
      <c r="I138" s="8">
        <f>I137+J138</f>
        <v>0</v>
      </c>
      <c r="J138" s="8">
        <f>IF($D138="ACC",$C138,0)</f>
        <v>0</v>
      </c>
      <c r="K138" s="8">
        <f>K137+L138</f>
        <v>0</v>
      </c>
      <c r="L138" s="8">
        <f>IF($D138="CBB",$C138,0)</f>
        <v>0</v>
      </c>
    </row>
    <row r="139" spans="1:12" x14ac:dyDescent="0.25">
      <c r="A139" s="6">
        <v>41387</v>
      </c>
      <c r="B139" t="s">
        <v>48</v>
      </c>
      <c r="C139" s="7">
        <v>-100</v>
      </c>
      <c r="D139" t="s">
        <v>6</v>
      </c>
      <c r="E139" s="8">
        <f>E138+F139</f>
        <v>6510</v>
      </c>
      <c r="F139" s="8">
        <f>IF($D139="CR01",$C139,0)</f>
        <v>-100</v>
      </c>
      <c r="G139" s="8">
        <f>G138+H139</f>
        <v>0</v>
      </c>
      <c r="H139" s="8">
        <f>IF($D139="VISA",$C139,0)</f>
        <v>0</v>
      </c>
      <c r="I139" s="8">
        <f>I138+J139</f>
        <v>0</v>
      </c>
      <c r="J139" s="8">
        <f>IF($D139="ACC",$C139,0)</f>
        <v>0</v>
      </c>
      <c r="K139" s="8">
        <f>K138+L139</f>
        <v>0</v>
      </c>
      <c r="L139" s="8">
        <f>IF($D139="CBB",$C139,0)</f>
        <v>0</v>
      </c>
    </row>
    <row r="140" spans="1:12" x14ac:dyDescent="0.25">
      <c r="A140" s="6">
        <v>41388</v>
      </c>
      <c r="B140" t="s">
        <v>47</v>
      </c>
      <c r="C140" s="7">
        <v>-120</v>
      </c>
      <c r="D140" t="s">
        <v>6</v>
      </c>
      <c r="E140" s="8">
        <f>E139+F140</f>
        <v>6390</v>
      </c>
      <c r="F140" s="8">
        <f>IF($D140="CR01",$C140,0)</f>
        <v>-120</v>
      </c>
      <c r="G140" s="8">
        <f>G139+H140</f>
        <v>0</v>
      </c>
      <c r="H140" s="8">
        <f>IF($D140="VISA",$C140,0)</f>
        <v>0</v>
      </c>
      <c r="I140" s="8">
        <f>I139+J140</f>
        <v>0</v>
      </c>
      <c r="J140" s="8">
        <f>IF($D140="ACC",$C140,0)</f>
        <v>0</v>
      </c>
      <c r="K140" s="8">
        <f>K139+L140</f>
        <v>0</v>
      </c>
      <c r="L140" s="8">
        <f>IF($D140="CBB",$C140,0)</f>
        <v>0</v>
      </c>
    </row>
    <row r="141" spans="1:12" x14ac:dyDescent="0.25">
      <c r="A141" s="6">
        <v>41389</v>
      </c>
      <c r="B141" t="s">
        <v>44</v>
      </c>
      <c r="C141" s="7">
        <v>-400</v>
      </c>
      <c r="D141" t="s">
        <v>6</v>
      </c>
      <c r="E141" s="8">
        <f>E140+F141</f>
        <v>5990</v>
      </c>
      <c r="F141" s="8">
        <f>IF($D141="CR01",$C141,0)</f>
        <v>-400</v>
      </c>
      <c r="G141" s="8">
        <f>G140+H141</f>
        <v>0</v>
      </c>
      <c r="H141" s="8">
        <f>IF($D141="VISA",$C141,0)</f>
        <v>0</v>
      </c>
      <c r="I141" s="8">
        <f>I140+J141</f>
        <v>0</v>
      </c>
      <c r="J141" s="8">
        <f>IF($D141="ACC",$C141,0)</f>
        <v>0</v>
      </c>
      <c r="K141" s="8">
        <f>K140+L141</f>
        <v>0</v>
      </c>
      <c r="L141" s="8">
        <f>IF($D141="CBB",$C141,0)</f>
        <v>0</v>
      </c>
    </row>
    <row r="142" spans="1:12" x14ac:dyDescent="0.25">
      <c r="A142" s="6">
        <v>41389</v>
      </c>
      <c r="B142" t="s">
        <v>45</v>
      </c>
      <c r="C142" s="7">
        <v>-180</v>
      </c>
      <c r="D142" t="s">
        <v>6</v>
      </c>
      <c r="E142" s="8">
        <f>E141+F142</f>
        <v>5810</v>
      </c>
      <c r="F142" s="8">
        <f>IF($D142="CR01",$C142,0)</f>
        <v>-180</v>
      </c>
      <c r="G142" s="8">
        <f>G141+H142</f>
        <v>0</v>
      </c>
      <c r="H142" s="8">
        <f>IF($D142="VISA",$C142,0)</f>
        <v>0</v>
      </c>
      <c r="I142" s="8">
        <f>I141+J142</f>
        <v>0</v>
      </c>
      <c r="J142" s="8">
        <f>IF($D142="ACC",$C142,0)</f>
        <v>0</v>
      </c>
      <c r="K142" s="8">
        <f>K141+L142</f>
        <v>0</v>
      </c>
      <c r="L142" s="8">
        <f>IF($D142="CBB",$C142,0)</f>
        <v>0</v>
      </c>
    </row>
    <row r="143" spans="1:12" x14ac:dyDescent="0.25">
      <c r="A143" s="6">
        <v>41389</v>
      </c>
      <c r="B143" t="s">
        <v>46</v>
      </c>
      <c r="C143" s="7">
        <v>-300</v>
      </c>
      <c r="D143" t="s">
        <v>6</v>
      </c>
      <c r="E143" s="8">
        <f>E142+F143</f>
        <v>5510</v>
      </c>
      <c r="F143" s="8">
        <f>IF($D143="CR01",$C143,0)</f>
        <v>-300</v>
      </c>
      <c r="G143" s="8">
        <f>G142+H143</f>
        <v>0</v>
      </c>
      <c r="H143" s="8">
        <f>IF($D143="VISA",$C143,0)</f>
        <v>0</v>
      </c>
      <c r="I143" s="8">
        <f>I142+J143</f>
        <v>0</v>
      </c>
      <c r="J143" s="8">
        <f>IF($D143="ACC",$C143,0)</f>
        <v>0</v>
      </c>
      <c r="K143" s="8">
        <f>K142+L143</f>
        <v>0</v>
      </c>
      <c r="L143" s="8">
        <f>IF($D143="CBB",$C143,0)</f>
        <v>0</v>
      </c>
    </row>
    <row r="144" spans="1:12" x14ac:dyDescent="0.25">
      <c r="A144" s="6">
        <v>41390</v>
      </c>
      <c r="B144" t="s">
        <v>43</v>
      </c>
      <c r="C144" s="7">
        <v>3226</v>
      </c>
      <c r="D144" t="s">
        <v>6</v>
      </c>
      <c r="E144" s="8">
        <f>E143+F144</f>
        <v>8736</v>
      </c>
      <c r="F144" s="8">
        <f>IF($D144="CR01",$C144,0)</f>
        <v>3226</v>
      </c>
      <c r="G144" s="8">
        <f>G143+H144</f>
        <v>0</v>
      </c>
      <c r="H144" s="8">
        <f>IF($D144="VISA",$C144,0)</f>
        <v>0</v>
      </c>
      <c r="I144" s="8">
        <f>I143+J144</f>
        <v>0</v>
      </c>
      <c r="J144" s="8">
        <f>IF($D144="ACC",$C144,0)</f>
        <v>0</v>
      </c>
      <c r="K144" s="8">
        <f>K143+L144</f>
        <v>0</v>
      </c>
      <c r="L144" s="8">
        <f>IF($D144="CBB",$C144,0)</f>
        <v>0</v>
      </c>
    </row>
    <row r="145" spans="1:12" x14ac:dyDescent="0.25">
      <c r="A145" s="6">
        <v>41394</v>
      </c>
      <c r="B145" t="s">
        <v>48</v>
      </c>
      <c r="C145" s="7">
        <v>-100</v>
      </c>
      <c r="D145" t="s">
        <v>6</v>
      </c>
      <c r="E145" s="8">
        <f>E144+F145</f>
        <v>8636</v>
      </c>
      <c r="F145" s="8">
        <f>IF($D145="CR01",$C145,0)</f>
        <v>-100</v>
      </c>
      <c r="G145" s="8">
        <f>G144+H145</f>
        <v>0</v>
      </c>
      <c r="H145" s="8">
        <f>IF($D145="VISA",$C145,0)</f>
        <v>0</v>
      </c>
      <c r="I145" s="8">
        <f>I144+J145</f>
        <v>0</v>
      </c>
      <c r="J145" s="8">
        <f>IF($D145="ACC",$C145,0)</f>
        <v>0</v>
      </c>
      <c r="K145" s="8">
        <f>K144+L145</f>
        <v>0</v>
      </c>
      <c r="L145" s="8">
        <f>IF($D145="CBB",$C145,0)</f>
        <v>0</v>
      </c>
    </row>
    <row r="146" spans="1:12" x14ac:dyDescent="0.25">
      <c r="A146" s="6">
        <v>41395</v>
      </c>
      <c r="B146" t="s">
        <v>47</v>
      </c>
      <c r="C146" s="7">
        <v>-120</v>
      </c>
      <c r="D146" t="s">
        <v>6</v>
      </c>
      <c r="E146" s="8">
        <f>E145+F146</f>
        <v>8516</v>
      </c>
      <c r="F146" s="8">
        <f>IF($D146="CR01",$C146,0)</f>
        <v>-120</v>
      </c>
      <c r="G146" s="8">
        <f>G145+H146</f>
        <v>0</v>
      </c>
      <c r="H146" s="8">
        <f>IF($D146="VISA",$C146,0)</f>
        <v>0</v>
      </c>
      <c r="I146" s="8">
        <f>I145+J146</f>
        <v>0</v>
      </c>
      <c r="J146" s="8">
        <f>IF($D146="ACC",$C146,0)</f>
        <v>0</v>
      </c>
      <c r="K146" s="8">
        <f>K145+L146</f>
        <v>0</v>
      </c>
      <c r="L146" s="8">
        <f>IF($D146="CBB",$C146,0)</f>
        <v>0</v>
      </c>
    </row>
    <row r="147" spans="1:12" x14ac:dyDescent="0.25">
      <c r="A147" s="6">
        <v>41395</v>
      </c>
      <c r="B147" t="s">
        <v>58</v>
      </c>
      <c r="C147" s="7">
        <v>-200</v>
      </c>
      <c r="D147" t="s">
        <v>6</v>
      </c>
      <c r="E147" s="8">
        <f>E146+F147</f>
        <v>8316</v>
      </c>
      <c r="F147" s="8">
        <f>IF($D147="CR01",$C147,0)</f>
        <v>-200</v>
      </c>
      <c r="G147" s="8">
        <f>G146+H147</f>
        <v>0</v>
      </c>
      <c r="H147" s="8">
        <f>IF($D147="VISA",$C147,0)</f>
        <v>0</v>
      </c>
      <c r="I147" s="8">
        <f>I146+J147</f>
        <v>0</v>
      </c>
      <c r="J147" s="8">
        <f>IF($D147="ACC",$C147,0)</f>
        <v>0</v>
      </c>
      <c r="K147" s="8">
        <f>K146+L147</f>
        <v>0</v>
      </c>
      <c r="L147" s="8">
        <f>IF($D147="CBB",$C147,0)</f>
        <v>0</v>
      </c>
    </row>
    <row r="148" spans="1:12" x14ac:dyDescent="0.25">
      <c r="A148" s="6">
        <v>41395</v>
      </c>
      <c r="B148" t="s">
        <v>60</v>
      </c>
      <c r="C148" s="7">
        <v>-400</v>
      </c>
      <c r="D148" t="s">
        <v>6</v>
      </c>
      <c r="E148" s="8">
        <f>E147+F148</f>
        <v>7916</v>
      </c>
      <c r="F148" s="8">
        <f>IF($D148="CR01",$C148,0)</f>
        <v>-400</v>
      </c>
      <c r="G148" s="8">
        <f>G147+H148</f>
        <v>0</v>
      </c>
      <c r="H148" s="8">
        <f>IF($D148="VISA",$C148,0)</f>
        <v>0</v>
      </c>
      <c r="I148" s="8">
        <f>I147+J148</f>
        <v>0</v>
      </c>
      <c r="J148" s="8">
        <f>IF($D148="ACC",$C148,0)</f>
        <v>0</v>
      </c>
      <c r="K148" s="8">
        <f>K147+L148</f>
        <v>0</v>
      </c>
      <c r="L148" s="8">
        <f>IF($D148="CBB",$C148,0)</f>
        <v>0</v>
      </c>
    </row>
    <row r="149" spans="1:12" x14ac:dyDescent="0.25">
      <c r="A149" s="6">
        <v>41395</v>
      </c>
      <c r="B149" t="s">
        <v>62</v>
      </c>
      <c r="C149" s="7">
        <v>-300</v>
      </c>
      <c r="D149" t="s">
        <v>6</v>
      </c>
      <c r="E149" s="8">
        <f>E148+F149</f>
        <v>7616</v>
      </c>
      <c r="F149" s="8">
        <f>IF($D149="CR01",$C149,0)</f>
        <v>-300</v>
      </c>
      <c r="G149" s="8">
        <f>G148+H149</f>
        <v>0</v>
      </c>
      <c r="H149" s="8">
        <f>IF($D149="VISA",$C149,0)</f>
        <v>0</v>
      </c>
      <c r="I149" s="8">
        <f>I148+J149</f>
        <v>0</v>
      </c>
      <c r="J149" s="8">
        <f>IF($D149="ACC",$C149,0)</f>
        <v>0</v>
      </c>
      <c r="K149" s="8">
        <f>K148+L149</f>
        <v>0</v>
      </c>
      <c r="L149" s="8">
        <f>IF($D149="CBB",$C149,0)</f>
        <v>0</v>
      </c>
    </row>
    <row r="150" spans="1:12" x14ac:dyDescent="0.25">
      <c r="A150" s="6">
        <v>41395</v>
      </c>
      <c r="B150" t="s">
        <v>63</v>
      </c>
      <c r="C150" s="7">
        <v>-300</v>
      </c>
      <c r="D150" t="s">
        <v>6</v>
      </c>
      <c r="E150" s="8">
        <f>E149+F150</f>
        <v>7316</v>
      </c>
      <c r="F150" s="8">
        <f>IF($D150="CR01",$C150,0)</f>
        <v>-300</v>
      </c>
      <c r="G150" s="8">
        <f>G149+H150</f>
        <v>0</v>
      </c>
      <c r="H150" s="8">
        <f>IF($D150="VISA",$C150,0)</f>
        <v>0</v>
      </c>
      <c r="I150" s="8">
        <f>I149+J150</f>
        <v>0</v>
      </c>
      <c r="J150" s="8">
        <f>IF($D150="ACC",$C150,0)</f>
        <v>0</v>
      </c>
      <c r="K150" s="8">
        <f>K149+L150</f>
        <v>0</v>
      </c>
      <c r="L150" s="8">
        <f>IF($D150="CBB",$C150,0)</f>
        <v>0</v>
      </c>
    </row>
    <row r="151" spans="1:12" x14ac:dyDescent="0.25">
      <c r="A151" s="6">
        <v>41395</v>
      </c>
      <c r="B151" t="s">
        <v>64</v>
      </c>
      <c r="C151" s="7">
        <v>-26</v>
      </c>
      <c r="D151" t="s">
        <v>6</v>
      </c>
      <c r="E151" s="8">
        <f>E150+F151</f>
        <v>7290</v>
      </c>
      <c r="F151" s="8">
        <f>IF($D151="CR01",$C151,0)</f>
        <v>-26</v>
      </c>
      <c r="G151" s="8">
        <f>G150+H151</f>
        <v>0</v>
      </c>
      <c r="H151" s="8">
        <f>IF($D151="VISA",$C151,0)</f>
        <v>0</v>
      </c>
      <c r="I151" s="8">
        <f>I150+J151</f>
        <v>0</v>
      </c>
      <c r="J151" s="8">
        <f>IF($D151="ACC",$C151,0)</f>
        <v>0</v>
      </c>
      <c r="K151" s="8">
        <f>K150+L151</f>
        <v>0</v>
      </c>
      <c r="L151" s="8">
        <f>IF($D151="CBB",$C151,0)</f>
        <v>0</v>
      </c>
    </row>
    <row r="152" spans="1:12" x14ac:dyDescent="0.25">
      <c r="A152" s="6">
        <v>41395</v>
      </c>
      <c r="B152" t="s">
        <v>65</v>
      </c>
      <c r="C152" s="7">
        <v>-240</v>
      </c>
      <c r="D152" t="s">
        <v>6</v>
      </c>
      <c r="E152" s="8">
        <f>E151+F152</f>
        <v>7050</v>
      </c>
      <c r="F152" s="8">
        <f>IF($D152="CR01",$C152,0)</f>
        <v>-240</v>
      </c>
      <c r="G152" s="8">
        <f>G151+H152</f>
        <v>0</v>
      </c>
      <c r="H152" s="8">
        <f>IF($D152="VISA",$C152,0)</f>
        <v>0</v>
      </c>
      <c r="I152" s="8">
        <f>I151+J152</f>
        <v>0</v>
      </c>
      <c r="J152" s="8">
        <f>IF($D152="ACC",$C152,0)</f>
        <v>0</v>
      </c>
      <c r="K152" s="8">
        <f>K151+L152</f>
        <v>0</v>
      </c>
      <c r="L152" s="8">
        <f>IF($D152="CBB",$C152,0)</f>
        <v>0</v>
      </c>
    </row>
    <row r="153" spans="1:12" x14ac:dyDescent="0.25">
      <c r="A153" s="6">
        <v>41395</v>
      </c>
      <c r="B153" t="s">
        <v>66</v>
      </c>
      <c r="C153" s="7">
        <v>-120</v>
      </c>
      <c r="D153" t="s">
        <v>6</v>
      </c>
      <c r="E153" s="8">
        <f>E152+F153</f>
        <v>6930</v>
      </c>
      <c r="F153" s="8">
        <f>IF($D153="CR01",$C153,0)</f>
        <v>-120</v>
      </c>
      <c r="G153" s="8">
        <f>G152+H153</f>
        <v>0</v>
      </c>
      <c r="H153" s="8">
        <f>IF($D153="VISA",$C153,0)</f>
        <v>0</v>
      </c>
      <c r="I153" s="8">
        <f>I152+J153</f>
        <v>0</v>
      </c>
      <c r="J153" s="8">
        <f>IF($D153="ACC",$C153,0)</f>
        <v>0</v>
      </c>
      <c r="K153" s="8">
        <f>K152+L153</f>
        <v>0</v>
      </c>
      <c r="L153" s="8">
        <f>IF($D153="CBB",$C153,0)</f>
        <v>0</v>
      </c>
    </row>
    <row r="154" spans="1:12" x14ac:dyDescent="0.25">
      <c r="A154" s="6">
        <v>41396</v>
      </c>
      <c r="B154" t="s">
        <v>44</v>
      </c>
      <c r="C154" s="7">
        <v>-400</v>
      </c>
      <c r="D154" t="s">
        <v>6</v>
      </c>
      <c r="E154" s="8">
        <f>E153+F154</f>
        <v>6530</v>
      </c>
      <c r="F154" s="8">
        <f>IF($D154="CR01",$C154,0)</f>
        <v>-400</v>
      </c>
      <c r="G154" s="8">
        <f>G153+H154</f>
        <v>0</v>
      </c>
      <c r="H154" s="8">
        <f>IF($D154="VISA",$C154,0)</f>
        <v>0</v>
      </c>
      <c r="I154" s="8">
        <f>I153+J154</f>
        <v>0</v>
      </c>
      <c r="J154" s="8">
        <f>IF($D154="ACC",$C154,0)</f>
        <v>0</v>
      </c>
      <c r="K154" s="8">
        <f>K153+L154</f>
        <v>0</v>
      </c>
      <c r="L154" s="8">
        <f>IF($D154="CBB",$C154,0)</f>
        <v>0</v>
      </c>
    </row>
    <row r="155" spans="1:12" x14ac:dyDescent="0.25">
      <c r="A155" s="6">
        <v>41396</v>
      </c>
      <c r="B155" t="s">
        <v>45</v>
      </c>
      <c r="C155" s="7">
        <v>-180</v>
      </c>
      <c r="D155" t="s">
        <v>6</v>
      </c>
      <c r="E155" s="8">
        <f>E154+F155</f>
        <v>6350</v>
      </c>
      <c r="F155" s="8">
        <f>IF($D155="CR01",$C155,0)</f>
        <v>-180</v>
      </c>
      <c r="G155" s="8">
        <f>G154+H155</f>
        <v>0</v>
      </c>
      <c r="H155" s="8">
        <f>IF($D155="VISA",$C155,0)</f>
        <v>0</v>
      </c>
      <c r="I155" s="8">
        <f>I154+J155</f>
        <v>0</v>
      </c>
      <c r="J155" s="8">
        <f>IF($D155="ACC",$C155,0)</f>
        <v>0</v>
      </c>
      <c r="K155" s="8">
        <f>K154+L155</f>
        <v>0</v>
      </c>
      <c r="L155" s="8">
        <f>IF($D155="CBB",$C155,0)</f>
        <v>0</v>
      </c>
    </row>
    <row r="156" spans="1:12" x14ac:dyDescent="0.25">
      <c r="A156" s="6">
        <v>41396</v>
      </c>
      <c r="B156" t="s">
        <v>46</v>
      </c>
      <c r="C156" s="7">
        <v>-300</v>
      </c>
      <c r="D156" t="s">
        <v>6</v>
      </c>
      <c r="E156" s="8">
        <f>E155+F156</f>
        <v>6050</v>
      </c>
      <c r="F156" s="8">
        <f>IF($D156="CR01",$C156,0)</f>
        <v>-300</v>
      </c>
      <c r="G156" s="8">
        <f>G155+H156</f>
        <v>0</v>
      </c>
      <c r="H156" s="8">
        <f>IF($D156="VISA",$C156,0)</f>
        <v>0</v>
      </c>
      <c r="I156" s="8">
        <f>I155+J156</f>
        <v>0</v>
      </c>
      <c r="J156" s="8">
        <f>IF($D156="ACC",$C156,0)</f>
        <v>0</v>
      </c>
      <c r="K156" s="8">
        <f>K155+L156</f>
        <v>0</v>
      </c>
      <c r="L156" s="8">
        <f>IF($D156="CBB",$C156,0)</f>
        <v>0</v>
      </c>
    </row>
    <row r="157" spans="1:12" x14ac:dyDescent="0.25">
      <c r="A157" s="6">
        <v>41396</v>
      </c>
      <c r="B157" t="s">
        <v>59</v>
      </c>
      <c r="C157" s="7">
        <v>-900</v>
      </c>
      <c r="D157" t="s">
        <v>6</v>
      </c>
      <c r="E157" s="8">
        <f>E156+F157</f>
        <v>5150</v>
      </c>
      <c r="F157" s="8">
        <f>IF($D157="CR01",$C157,0)</f>
        <v>-900</v>
      </c>
      <c r="G157" s="8">
        <f>G156+H157</f>
        <v>0</v>
      </c>
      <c r="H157" s="8">
        <f>IF($D157="VISA",$C157,0)</f>
        <v>0</v>
      </c>
      <c r="I157" s="8">
        <f>I156+J157</f>
        <v>0</v>
      </c>
      <c r="J157" s="8">
        <f>IF($D157="ACC",$C157,0)</f>
        <v>0</v>
      </c>
      <c r="K157" s="8">
        <f>K156+L157</f>
        <v>0</v>
      </c>
      <c r="L157" s="8">
        <f>IF($D157="CBB",$C157,0)</f>
        <v>0</v>
      </c>
    </row>
    <row r="158" spans="1:12" x14ac:dyDescent="0.25">
      <c r="A158" s="6">
        <v>41398</v>
      </c>
      <c r="B158" t="s">
        <v>67</v>
      </c>
      <c r="C158" s="7">
        <v>3600</v>
      </c>
      <c r="D158" t="s">
        <v>6</v>
      </c>
      <c r="E158" s="8">
        <f>E157+F158</f>
        <v>8750</v>
      </c>
      <c r="F158" s="8">
        <f>IF($D158="CR01",$C158,0)</f>
        <v>3600</v>
      </c>
      <c r="G158" s="8">
        <f>G157+H158</f>
        <v>0</v>
      </c>
      <c r="H158" s="8">
        <f>IF($D158="VISA",$C158,0)</f>
        <v>0</v>
      </c>
      <c r="I158" s="8">
        <f>I157+J158</f>
        <v>0</v>
      </c>
      <c r="J158" s="8">
        <f>IF($D158="ACC",$C158,0)</f>
        <v>0</v>
      </c>
      <c r="K158" s="8">
        <f>K157+L158</f>
        <v>0</v>
      </c>
      <c r="L158" s="8">
        <f>IF($D158="CBB",$C158,0)</f>
        <v>0</v>
      </c>
    </row>
    <row r="159" spans="1:12" x14ac:dyDescent="0.25">
      <c r="A159" s="6">
        <v>41401</v>
      </c>
      <c r="B159" t="s">
        <v>42</v>
      </c>
      <c r="C159" s="7">
        <v>-2806</v>
      </c>
      <c r="D159" t="s">
        <v>6</v>
      </c>
      <c r="E159" s="8">
        <f>E158+F159</f>
        <v>5944</v>
      </c>
      <c r="F159" s="8">
        <f>IF($D159="CR01",$C159,0)</f>
        <v>-2806</v>
      </c>
      <c r="G159" s="8">
        <f>G158+H159</f>
        <v>0</v>
      </c>
      <c r="H159" s="8">
        <f>IF($D159="VISA",$C159,0)</f>
        <v>0</v>
      </c>
      <c r="I159" s="8">
        <f>I158+J159</f>
        <v>0</v>
      </c>
      <c r="J159" s="8">
        <f>IF($D159="ACC",$C159,0)</f>
        <v>0</v>
      </c>
      <c r="K159" s="8">
        <f>K158+L159</f>
        <v>0</v>
      </c>
      <c r="L159" s="8">
        <f>IF($D159="CBB",$C159,0)</f>
        <v>0</v>
      </c>
    </row>
    <row r="160" spans="1:12" x14ac:dyDescent="0.25">
      <c r="A160" s="6">
        <v>41401</v>
      </c>
      <c r="B160" t="s">
        <v>48</v>
      </c>
      <c r="C160" s="7">
        <v>-100</v>
      </c>
      <c r="D160" t="s">
        <v>6</v>
      </c>
      <c r="E160" s="8">
        <f>E159+F160</f>
        <v>5844</v>
      </c>
      <c r="F160" s="8">
        <f>IF($D160="CR01",$C160,0)</f>
        <v>-100</v>
      </c>
      <c r="G160" s="8">
        <f>G159+H160</f>
        <v>0</v>
      </c>
      <c r="H160" s="8">
        <f>IF($D160="VISA",$C160,0)</f>
        <v>0</v>
      </c>
      <c r="I160" s="8">
        <f>I159+J160</f>
        <v>0</v>
      </c>
      <c r="J160" s="8">
        <f>IF($D160="ACC",$C160,0)</f>
        <v>0</v>
      </c>
      <c r="K160" s="8">
        <f>K159+L160</f>
        <v>0</v>
      </c>
      <c r="L160" s="8">
        <f>IF($D160="CBB",$C160,0)</f>
        <v>0</v>
      </c>
    </row>
    <row r="161" spans="1:12" x14ac:dyDescent="0.25">
      <c r="A161" s="6">
        <v>41402</v>
      </c>
      <c r="B161" t="s">
        <v>47</v>
      </c>
      <c r="C161" s="7">
        <v>-120</v>
      </c>
      <c r="D161" t="s">
        <v>6</v>
      </c>
      <c r="E161" s="8">
        <f>E160+F161</f>
        <v>5724</v>
      </c>
      <c r="F161" s="8">
        <f>IF($D161="CR01",$C161,0)</f>
        <v>-120</v>
      </c>
      <c r="G161" s="8">
        <f>G160+H161</f>
        <v>0</v>
      </c>
      <c r="H161" s="8">
        <f>IF($D161="VISA",$C161,0)</f>
        <v>0</v>
      </c>
      <c r="I161" s="8">
        <f>I160+J161</f>
        <v>0</v>
      </c>
      <c r="J161" s="8">
        <f>IF($D161="ACC",$C161,0)</f>
        <v>0</v>
      </c>
      <c r="K161" s="8">
        <f>K160+L161</f>
        <v>0</v>
      </c>
      <c r="L161" s="8">
        <f>IF($D161="CBB",$C161,0)</f>
        <v>0</v>
      </c>
    </row>
    <row r="162" spans="1:12" x14ac:dyDescent="0.25">
      <c r="A162" s="6">
        <v>41403</v>
      </c>
      <c r="B162" t="s">
        <v>44</v>
      </c>
      <c r="C162" s="7">
        <v>-400</v>
      </c>
      <c r="D162" t="s">
        <v>6</v>
      </c>
      <c r="E162" s="8">
        <f>E161+F162</f>
        <v>5324</v>
      </c>
      <c r="F162" s="8">
        <f>IF($D162="CR01",$C162,0)</f>
        <v>-400</v>
      </c>
      <c r="G162" s="8">
        <f>G161+H162</f>
        <v>0</v>
      </c>
      <c r="H162" s="8">
        <f>IF($D162="VISA",$C162,0)</f>
        <v>0</v>
      </c>
      <c r="I162" s="8">
        <f>I161+J162</f>
        <v>0</v>
      </c>
      <c r="J162" s="8">
        <f>IF($D162="ACC",$C162,0)</f>
        <v>0</v>
      </c>
      <c r="K162" s="8">
        <f>K161+L162</f>
        <v>0</v>
      </c>
      <c r="L162" s="8">
        <f>IF($D162="CBB",$C162,0)</f>
        <v>0</v>
      </c>
    </row>
    <row r="163" spans="1:12" x14ac:dyDescent="0.25">
      <c r="A163" s="6">
        <v>41403</v>
      </c>
      <c r="B163" t="s">
        <v>45</v>
      </c>
      <c r="C163" s="7">
        <v>-180</v>
      </c>
      <c r="D163" t="s">
        <v>6</v>
      </c>
      <c r="E163" s="8">
        <f>E162+F163</f>
        <v>5144</v>
      </c>
      <c r="F163" s="8">
        <f>IF($D163="CR01",$C163,0)</f>
        <v>-180</v>
      </c>
      <c r="G163" s="8">
        <f>G162+H163</f>
        <v>0</v>
      </c>
      <c r="H163" s="8">
        <f>IF($D163="VISA",$C163,0)</f>
        <v>0</v>
      </c>
      <c r="I163" s="8">
        <f>I162+J163</f>
        <v>0</v>
      </c>
      <c r="J163" s="8">
        <f>IF($D163="ACC",$C163,0)</f>
        <v>0</v>
      </c>
      <c r="K163" s="8">
        <f>K162+L163</f>
        <v>0</v>
      </c>
      <c r="L163" s="8">
        <f>IF($D163="CBB",$C163,0)</f>
        <v>0</v>
      </c>
    </row>
    <row r="164" spans="1:12" x14ac:dyDescent="0.25">
      <c r="A164" s="6">
        <v>41403</v>
      </c>
      <c r="B164" t="s">
        <v>46</v>
      </c>
      <c r="C164" s="7">
        <v>-300</v>
      </c>
      <c r="D164" t="s">
        <v>6</v>
      </c>
      <c r="E164" s="8">
        <f>E163+F164</f>
        <v>4844</v>
      </c>
      <c r="F164" s="8">
        <f>IF($D164="CR01",$C164,0)</f>
        <v>-300</v>
      </c>
      <c r="G164" s="8">
        <f>G163+H164</f>
        <v>0</v>
      </c>
      <c r="H164" s="8">
        <f>IF($D164="VISA",$C164,0)</f>
        <v>0</v>
      </c>
      <c r="I164" s="8">
        <f>I163+J164</f>
        <v>0</v>
      </c>
      <c r="J164" s="8">
        <f>IF($D164="ACC",$C164,0)</f>
        <v>0</v>
      </c>
      <c r="K164" s="8">
        <f>K163+L164</f>
        <v>0</v>
      </c>
      <c r="L164" s="8">
        <f>IF($D164="CBB",$C164,0)</f>
        <v>0</v>
      </c>
    </row>
    <row r="165" spans="1:12" x14ac:dyDescent="0.25">
      <c r="A165" s="6">
        <v>41404</v>
      </c>
      <c r="B165" t="s">
        <v>43</v>
      </c>
      <c r="C165" s="7">
        <v>3226</v>
      </c>
      <c r="D165" t="s">
        <v>6</v>
      </c>
      <c r="E165" s="8">
        <f>E164+F165</f>
        <v>8070</v>
      </c>
      <c r="F165" s="8">
        <f>IF($D165="CR01",$C165,0)</f>
        <v>3226</v>
      </c>
      <c r="G165" s="8">
        <f>G164+H165</f>
        <v>0</v>
      </c>
      <c r="H165" s="8">
        <f>IF($D165="VISA",$C165,0)</f>
        <v>0</v>
      </c>
      <c r="I165" s="8">
        <f>I164+J165</f>
        <v>0</v>
      </c>
      <c r="J165" s="8">
        <f>IF($D165="ACC",$C165,0)</f>
        <v>0</v>
      </c>
      <c r="K165" s="8">
        <f>K164+L165</f>
        <v>0</v>
      </c>
      <c r="L165" s="8">
        <f>IF($D165="CBB",$C165,0)</f>
        <v>0</v>
      </c>
    </row>
    <row r="166" spans="1:12" x14ac:dyDescent="0.25">
      <c r="A166" s="6">
        <v>41408</v>
      </c>
      <c r="B166" t="s">
        <v>48</v>
      </c>
      <c r="C166" s="7">
        <v>-100</v>
      </c>
      <c r="D166" t="s">
        <v>6</v>
      </c>
      <c r="E166" s="8">
        <f>E165+F166</f>
        <v>7970</v>
      </c>
      <c r="F166" s="8">
        <f>IF($D166="CR01",$C166,0)</f>
        <v>-100</v>
      </c>
      <c r="G166" s="8">
        <f>G165+H166</f>
        <v>0</v>
      </c>
      <c r="H166" s="8">
        <f>IF($D166="VISA",$C166,0)</f>
        <v>0</v>
      </c>
      <c r="I166" s="8">
        <f>I165+J166</f>
        <v>0</v>
      </c>
      <c r="J166" s="8">
        <f>IF($D166="ACC",$C166,0)</f>
        <v>0</v>
      </c>
      <c r="K166" s="8">
        <f>K165+L166</f>
        <v>0</v>
      </c>
      <c r="L166" s="8">
        <f>IF($D166="CBB",$C166,0)</f>
        <v>0</v>
      </c>
    </row>
    <row r="167" spans="1:12" x14ac:dyDescent="0.25">
      <c r="A167" s="6">
        <v>41409</v>
      </c>
      <c r="B167" t="s">
        <v>47</v>
      </c>
      <c r="C167" s="7">
        <v>-120</v>
      </c>
      <c r="D167" t="s">
        <v>6</v>
      </c>
      <c r="E167" s="8">
        <f>E166+F167</f>
        <v>7850</v>
      </c>
      <c r="F167" s="8">
        <f>IF($D167="CR01",$C167,0)</f>
        <v>-120</v>
      </c>
      <c r="G167" s="8">
        <f>G166+H167</f>
        <v>0</v>
      </c>
      <c r="H167" s="8">
        <f>IF($D167="VISA",$C167,0)</f>
        <v>0</v>
      </c>
      <c r="I167" s="8">
        <f>I166+J167</f>
        <v>0</v>
      </c>
      <c r="J167" s="8">
        <f>IF($D167="ACC",$C167,0)</f>
        <v>0</v>
      </c>
      <c r="K167" s="8">
        <f>K166+L167</f>
        <v>0</v>
      </c>
      <c r="L167" s="8">
        <f>IF($D167="CBB",$C167,0)</f>
        <v>0</v>
      </c>
    </row>
    <row r="168" spans="1:12" x14ac:dyDescent="0.25">
      <c r="A168" s="6">
        <v>41410</v>
      </c>
      <c r="B168" t="s">
        <v>44</v>
      </c>
      <c r="C168" s="7">
        <v>-400</v>
      </c>
      <c r="D168" t="s">
        <v>6</v>
      </c>
      <c r="E168" s="8">
        <f>E167+F168</f>
        <v>7450</v>
      </c>
      <c r="F168" s="8">
        <f>IF($D168="CR01",$C168,0)</f>
        <v>-400</v>
      </c>
      <c r="G168" s="8">
        <f>G167+H168</f>
        <v>0</v>
      </c>
      <c r="H168" s="8">
        <f>IF($D168="VISA",$C168,0)</f>
        <v>0</v>
      </c>
      <c r="I168" s="8">
        <f>I167+J168</f>
        <v>0</v>
      </c>
      <c r="J168" s="8">
        <f>IF($D168="ACC",$C168,0)</f>
        <v>0</v>
      </c>
      <c r="K168" s="8">
        <f>K167+L168</f>
        <v>0</v>
      </c>
      <c r="L168" s="8">
        <f>IF($D168="CBB",$C168,0)</f>
        <v>0</v>
      </c>
    </row>
    <row r="169" spans="1:12" x14ac:dyDescent="0.25">
      <c r="A169" s="6">
        <v>41410</v>
      </c>
      <c r="B169" t="s">
        <v>45</v>
      </c>
      <c r="C169" s="7">
        <v>-180</v>
      </c>
      <c r="D169" t="s">
        <v>6</v>
      </c>
      <c r="E169" s="8">
        <f>E168+F169</f>
        <v>7270</v>
      </c>
      <c r="F169" s="8">
        <f>IF($D169="CR01",$C169,0)</f>
        <v>-180</v>
      </c>
      <c r="G169" s="8">
        <f>G168+H169</f>
        <v>0</v>
      </c>
      <c r="H169" s="8">
        <f>IF($D169="VISA",$C169,0)</f>
        <v>0</v>
      </c>
      <c r="I169" s="8">
        <f>I168+J169</f>
        <v>0</v>
      </c>
      <c r="J169" s="8">
        <f>IF($D169="ACC",$C169,0)</f>
        <v>0</v>
      </c>
      <c r="K169" s="8">
        <f>K168+L169</f>
        <v>0</v>
      </c>
      <c r="L169" s="8">
        <f>IF($D169="CBB",$C169,0)</f>
        <v>0</v>
      </c>
    </row>
    <row r="170" spans="1:12" x14ac:dyDescent="0.25">
      <c r="A170" s="6">
        <v>41410</v>
      </c>
      <c r="B170" t="s">
        <v>46</v>
      </c>
      <c r="C170" s="7">
        <v>-300</v>
      </c>
      <c r="D170" t="s">
        <v>6</v>
      </c>
      <c r="E170" s="8">
        <f>E169+F170</f>
        <v>6970</v>
      </c>
      <c r="F170" s="8">
        <f>IF($D170="CR01",$C170,0)</f>
        <v>-300</v>
      </c>
      <c r="G170" s="8">
        <f>G169+H170</f>
        <v>0</v>
      </c>
      <c r="H170" s="8">
        <f>IF($D170="VISA",$C170,0)</f>
        <v>0</v>
      </c>
      <c r="I170" s="8">
        <f>I169+J170</f>
        <v>0</v>
      </c>
      <c r="J170" s="8">
        <f>IF($D170="ACC",$C170,0)</f>
        <v>0</v>
      </c>
      <c r="K170" s="8">
        <f>K169+L170</f>
        <v>0</v>
      </c>
      <c r="L170" s="8">
        <f>IF($D170="CBB",$C170,0)</f>
        <v>0</v>
      </c>
    </row>
    <row r="171" spans="1:12" x14ac:dyDescent="0.25">
      <c r="A171" s="6">
        <v>41412</v>
      </c>
      <c r="B171" t="s">
        <v>67</v>
      </c>
      <c r="C171" s="7">
        <v>3600</v>
      </c>
      <c r="D171" t="s">
        <v>6</v>
      </c>
      <c r="E171" s="8">
        <f>E170+F171</f>
        <v>10570</v>
      </c>
      <c r="F171" s="8">
        <f>IF($D171="CR01",$C171,0)</f>
        <v>3600</v>
      </c>
      <c r="G171" s="8">
        <f>G170+H171</f>
        <v>0</v>
      </c>
      <c r="H171" s="8">
        <f>IF($D171="VISA",$C171,0)</f>
        <v>0</v>
      </c>
      <c r="I171" s="8">
        <f>I170+J171</f>
        <v>0</v>
      </c>
      <c r="J171" s="8">
        <f>IF($D171="ACC",$C171,0)</f>
        <v>0</v>
      </c>
      <c r="K171" s="8">
        <f>K170+L171</f>
        <v>0</v>
      </c>
      <c r="L171" s="8">
        <f>IF($D171="CBB",$C171,0)</f>
        <v>0</v>
      </c>
    </row>
    <row r="172" spans="1:12" x14ac:dyDescent="0.25">
      <c r="A172" s="6">
        <v>41415</v>
      </c>
      <c r="B172" t="s">
        <v>42</v>
      </c>
      <c r="C172" s="7">
        <v>-2806</v>
      </c>
      <c r="D172" t="s">
        <v>6</v>
      </c>
      <c r="E172" s="8">
        <f>E171+F172</f>
        <v>7764</v>
      </c>
      <c r="F172" s="8">
        <f>IF($D172="CR01",$C172,0)</f>
        <v>-2806</v>
      </c>
      <c r="G172" s="8">
        <f>G171+H172</f>
        <v>0</v>
      </c>
      <c r="H172" s="8">
        <f>IF($D172="VISA",$C172,0)</f>
        <v>0</v>
      </c>
      <c r="I172" s="8">
        <f>I171+J172</f>
        <v>0</v>
      </c>
      <c r="J172" s="8">
        <f>IF($D172="ACC",$C172,0)</f>
        <v>0</v>
      </c>
      <c r="K172" s="8">
        <f>K171+L172</f>
        <v>0</v>
      </c>
      <c r="L172" s="8">
        <f>IF($D172="CBB",$C172,0)</f>
        <v>0</v>
      </c>
    </row>
    <row r="173" spans="1:12" x14ac:dyDescent="0.25">
      <c r="A173" s="6">
        <v>41415</v>
      </c>
      <c r="B173" t="s">
        <v>48</v>
      </c>
      <c r="C173" s="7">
        <v>-100</v>
      </c>
      <c r="D173" t="s">
        <v>6</v>
      </c>
      <c r="E173" s="8">
        <f>E172+F173</f>
        <v>7664</v>
      </c>
      <c r="F173" s="8">
        <f>IF($D173="CR01",$C173,0)</f>
        <v>-100</v>
      </c>
      <c r="G173" s="8">
        <f>G172+H173</f>
        <v>0</v>
      </c>
      <c r="H173" s="8">
        <f>IF($D173="VISA",$C173,0)</f>
        <v>0</v>
      </c>
      <c r="I173" s="8">
        <f>I172+J173</f>
        <v>0</v>
      </c>
      <c r="J173" s="8">
        <f>IF($D173="ACC",$C173,0)</f>
        <v>0</v>
      </c>
      <c r="K173" s="8">
        <f>K172+L173</f>
        <v>0</v>
      </c>
      <c r="L173" s="8">
        <f>IF($D173="CBB",$C173,0)</f>
        <v>0</v>
      </c>
    </row>
    <row r="174" spans="1:12" x14ac:dyDescent="0.25">
      <c r="A174" s="6">
        <v>41416</v>
      </c>
      <c r="B174" t="s">
        <v>47</v>
      </c>
      <c r="C174" s="7">
        <v>-120</v>
      </c>
      <c r="D174" t="s">
        <v>6</v>
      </c>
      <c r="E174" s="8">
        <f>E173+F174</f>
        <v>7544</v>
      </c>
      <c r="F174" s="8">
        <f>IF($D174="CR01",$C174,0)</f>
        <v>-120</v>
      </c>
      <c r="G174" s="8">
        <f>G173+H174</f>
        <v>0</v>
      </c>
      <c r="H174" s="8">
        <f>IF($D174="VISA",$C174,0)</f>
        <v>0</v>
      </c>
      <c r="I174" s="8">
        <f>I173+J174</f>
        <v>0</v>
      </c>
      <c r="J174" s="8">
        <f>IF($D174="ACC",$C174,0)</f>
        <v>0</v>
      </c>
      <c r="K174" s="8">
        <f>K173+L174</f>
        <v>0</v>
      </c>
      <c r="L174" s="8">
        <f>IF($D174="CBB",$C174,0)</f>
        <v>0</v>
      </c>
    </row>
    <row r="175" spans="1:12" x14ac:dyDescent="0.25">
      <c r="A175" s="6">
        <v>41417</v>
      </c>
      <c r="B175" t="s">
        <v>44</v>
      </c>
      <c r="C175" s="7">
        <v>-400</v>
      </c>
      <c r="D175" t="s">
        <v>6</v>
      </c>
      <c r="E175" s="8">
        <f>E174+F175</f>
        <v>7144</v>
      </c>
      <c r="F175" s="8">
        <f>IF($D175="CR01",$C175,0)</f>
        <v>-400</v>
      </c>
      <c r="G175" s="8">
        <f>G174+H175</f>
        <v>0</v>
      </c>
      <c r="H175" s="8">
        <f>IF($D175="VISA",$C175,0)</f>
        <v>0</v>
      </c>
      <c r="I175" s="8">
        <f>I174+J175</f>
        <v>0</v>
      </c>
      <c r="J175" s="8">
        <f>IF($D175="ACC",$C175,0)</f>
        <v>0</v>
      </c>
      <c r="K175" s="8">
        <f>K174+L175</f>
        <v>0</v>
      </c>
      <c r="L175" s="8">
        <f>IF($D175="CBB",$C175,0)</f>
        <v>0</v>
      </c>
    </row>
    <row r="176" spans="1:12" x14ac:dyDescent="0.25">
      <c r="A176" s="6">
        <v>41417</v>
      </c>
      <c r="B176" t="s">
        <v>45</v>
      </c>
      <c r="C176" s="7">
        <v>-180</v>
      </c>
      <c r="D176" t="s">
        <v>6</v>
      </c>
      <c r="E176" s="8">
        <f>E175+F176</f>
        <v>6964</v>
      </c>
      <c r="F176" s="8">
        <f>IF($D176="CR01",$C176,0)</f>
        <v>-180</v>
      </c>
      <c r="G176" s="8">
        <f>G175+H176</f>
        <v>0</v>
      </c>
      <c r="H176" s="8">
        <f>IF($D176="VISA",$C176,0)</f>
        <v>0</v>
      </c>
      <c r="I176" s="8">
        <f>I175+J176</f>
        <v>0</v>
      </c>
      <c r="J176" s="8">
        <f>IF($D176="ACC",$C176,0)</f>
        <v>0</v>
      </c>
      <c r="K176" s="8">
        <f>K175+L176</f>
        <v>0</v>
      </c>
      <c r="L176" s="8">
        <f>IF($D176="CBB",$C176,0)</f>
        <v>0</v>
      </c>
    </row>
    <row r="177" spans="1:12" x14ac:dyDescent="0.25">
      <c r="A177" s="6">
        <v>41417</v>
      </c>
      <c r="B177" t="s">
        <v>46</v>
      </c>
      <c r="C177" s="7">
        <v>-300</v>
      </c>
      <c r="D177" t="s">
        <v>6</v>
      </c>
      <c r="E177" s="8">
        <f>E176+F177</f>
        <v>6664</v>
      </c>
      <c r="F177" s="8">
        <f>IF($D177="CR01",$C177,0)</f>
        <v>-300</v>
      </c>
      <c r="G177" s="8">
        <f>G176+H177</f>
        <v>0</v>
      </c>
      <c r="H177" s="8">
        <f>IF($D177="VISA",$C177,0)</f>
        <v>0</v>
      </c>
      <c r="I177" s="8">
        <f>I176+J177</f>
        <v>0</v>
      </c>
      <c r="J177" s="8">
        <f>IF($D177="ACC",$C177,0)</f>
        <v>0</v>
      </c>
      <c r="K177" s="8">
        <f>K176+L177</f>
        <v>0</v>
      </c>
      <c r="L177" s="8">
        <f>IF($D177="CBB",$C177,0)</f>
        <v>0</v>
      </c>
    </row>
    <row r="178" spans="1:12" x14ac:dyDescent="0.25">
      <c r="A178" s="6">
        <v>41418</v>
      </c>
      <c r="B178" t="s">
        <v>43</v>
      </c>
      <c r="C178" s="7">
        <v>3226</v>
      </c>
      <c r="D178" t="s">
        <v>6</v>
      </c>
      <c r="E178" s="8">
        <f>E177+F178</f>
        <v>9890</v>
      </c>
      <c r="F178" s="8">
        <f>IF($D178="CR01",$C178,0)</f>
        <v>3226</v>
      </c>
      <c r="G178" s="8">
        <f>G177+H178</f>
        <v>0</v>
      </c>
      <c r="H178" s="8">
        <f>IF($D178="VISA",$C178,0)</f>
        <v>0</v>
      </c>
      <c r="I178" s="8">
        <f>I177+J178</f>
        <v>0</v>
      </c>
      <c r="J178" s="8">
        <f>IF($D178="ACC",$C178,0)</f>
        <v>0</v>
      </c>
      <c r="K178" s="8">
        <f>K177+L178</f>
        <v>0</v>
      </c>
      <c r="L178" s="8">
        <f>IF($D178="CBB",$C178,0)</f>
        <v>0</v>
      </c>
    </row>
    <row r="179" spans="1:12" x14ac:dyDescent="0.25">
      <c r="A179" s="6">
        <v>41422</v>
      </c>
      <c r="B179" t="s">
        <v>48</v>
      </c>
      <c r="C179" s="7">
        <v>-100</v>
      </c>
      <c r="D179" t="s">
        <v>6</v>
      </c>
      <c r="E179" s="8">
        <f>E178+F179</f>
        <v>9790</v>
      </c>
      <c r="F179" s="8">
        <f>IF($D179="CR01",$C179,0)</f>
        <v>-100</v>
      </c>
      <c r="G179" s="8">
        <f>G178+H179</f>
        <v>0</v>
      </c>
      <c r="H179" s="8">
        <f>IF($D179="VISA",$C179,0)</f>
        <v>0</v>
      </c>
      <c r="I179" s="8">
        <f>I178+J179</f>
        <v>0</v>
      </c>
      <c r="J179" s="8">
        <f>IF($D179="ACC",$C179,0)</f>
        <v>0</v>
      </c>
      <c r="K179" s="8">
        <f>K178+L179</f>
        <v>0</v>
      </c>
      <c r="L179" s="8">
        <f>IF($D179="CBB",$C179,0)</f>
        <v>0</v>
      </c>
    </row>
    <row r="180" spans="1:12" x14ac:dyDescent="0.25">
      <c r="A180" s="6">
        <v>41423</v>
      </c>
      <c r="B180" t="s">
        <v>47</v>
      </c>
      <c r="C180" s="7">
        <v>-120</v>
      </c>
      <c r="D180" t="s">
        <v>6</v>
      </c>
      <c r="E180" s="8">
        <f>E179+F180</f>
        <v>9670</v>
      </c>
      <c r="F180" s="8">
        <f>IF($D180="CR01",$C180,0)</f>
        <v>-120</v>
      </c>
      <c r="G180" s="8">
        <f>G179+H180</f>
        <v>0</v>
      </c>
      <c r="H180" s="8">
        <f>IF($D180="VISA",$C180,0)</f>
        <v>0</v>
      </c>
      <c r="I180" s="8">
        <f>I179+J180</f>
        <v>0</v>
      </c>
      <c r="J180" s="8">
        <f>IF($D180="ACC",$C180,0)</f>
        <v>0</v>
      </c>
      <c r="K180" s="8">
        <f>K179+L180</f>
        <v>0</v>
      </c>
      <c r="L180" s="8">
        <f>IF($D180="CBB",$C180,0)</f>
        <v>0</v>
      </c>
    </row>
    <row r="181" spans="1:12" x14ac:dyDescent="0.25">
      <c r="A181" s="6">
        <v>41424</v>
      </c>
      <c r="B181" t="s">
        <v>44</v>
      </c>
      <c r="C181" s="7">
        <v>-400</v>
      </c>
      <c r="D181" t="s">
        <v>6</v>
      </c>
      <c r="E181" s="8">
        <f>E180+F181</f>
        <v>9270</v>
      </c>
      <c r="F181" s="8">
        <f>IF($D181="CR01",$C181,0)</f>
        <v>-400</v>
      </c>
      <c r="G181" s="8">
        <f>G180+H181</f>
        <v>0</v>
      </c>
      <c r="H181" s="8">
        <f>IF($D181="VISA",$C181,0)</f>
        <v>0</v>
      </c>
      <c r="I181" s="8">
        <f>I180+J181</f>
        <v>0</v>
      </c>
      <c r="J181" s="8">
        <f>IF($D181="ACC",$C181,0)</f>
        <v>0</v>
      </c>
      <c r="K181" s="8">
        <f>K180+L181</f>
        <v>0</v>
      </c>
      <c r="L181" s="8">
        <f>IF($D181="CBB",$C181,0)</f>
        <v>0</v>
      </c>
    </row>
    <row r="182" spans="1:12" x14ac:dyDescent="0.25">
      <c r="A182" s="6">
        <v>41424</v>
      </c>
      <c r="B182" t="s">
        <v>45</v>
      </c>
      <c r="C182" s="7">
        <v>-180</v>
      </c>
      <c r="D182" t="s">
        <v>6</v>
      </c>
      <c r="E182" s="8">
        <f>E181+F182</f>
        <v>9090</v>
      </c>
      <c r="F182" s="8">
        <f>IF($D182="CR01",$C182,0)</f>
        <v>-180</v>
      </c>
      <c r="G182" s="8">
        <f>G181+H182</f>
        <v>0</v>
      </c>
      <c r="H182" s="8">
        <f>IF($D182="VISA",$C182,0)</f>
        <v>0</v>
      </c>
      <c r="I182" s="8">
        <f>I181+J182</f>
        <v>0</v>
      </c>
      <c r="J182" s="8">
        <f>IF($D182="ACC",$C182,0)</f>
        <v>0</v>
      </c>
      <c r="K182" s="8">
        <f>K181+L182</f>
        <v>0</v>
      </c>
      <c r="L182" s="8">
        <f>IF($D182="CBB",$C182,0)</f>
        <v>0</v>
      </c>
    </row>
    <row r="183" spans="1:12" x14ac:dyDescent="0.25">
      <c r="A183" s="6">
        <v>41424</v>
      </c>
      <c r="B183" t="s">
        <v>46</v>
      </c>
      <c r="C183" s="7">
        <v>-300</v>
      </c>
      <c r="D183" t="s">
        <v>6</v>
      </c>
      <c r="E183" s="8">
        <f>E182+F183</f>
        <v>8790</v>
      </c>
      <c r="F183" s="8">
        <f>IF($D183="CR01",$C183,0)</f>
        <v>-300</v>
      </c>
      <c r="G183" s="8">
        <f>G182+H183</f>
        <v>0</v>
      </c>
      <c r="H183" s="8">
        <f>IF($D183="VISA",$C183,0)</f>
        <v>0</v>
      </c>
      <c r="I183" s="8">
        <f>I182+J183</f>
        <v>0</v>
      </c>
      <c r="J183" s="8">
        <f>IF($D183="ACC",$C183,0)</f>
        <v>0</v>
      </c>
      <c r="K183" s="8">
        <f>K182+L183</f>
        <v>0</v>
      </c>
      <c r="L183" s="8">
        <f>IF($D183="CBB",$C183,0)</f>
        <v>0</v>
      </c>
    </row>
    <row r="184" spans="1:12" x14ac:dyDescent="0.25">
      <c r="A184" s="6">
        <v>41426</v>
      </c>
      <c r="B184" t="s">
        <v>67</v>
      </c>
      <c r="C184" s="7">
        <v>3600</v>
      </c>
      <c r="D184" t="s">
        <v>6</v>
      </c>
      <c r="E184" s="8">
        <f>E183+F184</f>
        <v>12390</v>
      </c>
      <c r="F184" s="8">
        <f>IF($D184="CR01",$C184,0)</f>
        <v>3600</v>
      </c>
      <c r="G184" s="8">
        <f>G183+H184</f>
        <v>0</v>
      </c>
      <c r="H184" s="8">
        <f>IF($D184="VISA",$C184,0)</f>
        <v>0</v>
      </c>
      <c r="I184" s="8">
        <f>I183+J184</f>
        <v>0</v>
      </c>
      <c r="J184" s="8">
        <f>IF($D184="ACC",$C184,0)</f>
        <v>0</v>
      </c>
      <c r="K184" s="8">
        <f>K183+L184</f>
        <v>0</v>
      </c>
      <c r="L184" s="8">
        <f>IF($D184="CBB",$C184,0)</f>
        <v>0</v>
      </c>
    </row>
    <row r="185" spans="1:12" x14ac:dyDescent="0.25">
      <c r="A185" s="6">
        <v>41426</v>
      </c>
      <c r="B185" t="s">
        <v>58</v>
      </c>
      <c r="C185" s="7">
        <v>-200</v>
      </c>
      <c r="D185" t="s">
        <v>6</v>
      </c>
      <c r="E185" s="8">
        <f>E184+F185</f>
        <v>12190</v>
      </c>
      <c r="F185" s="8">
        <f>IF($D185="CR01",$C185,0)</f>
        <v>-200</v>
      </c>
      <c r="G185" s="8">
        <f>G184+H185</f>
        <v>0</v>
      </c>
      <c r="H185" s="8">
        <f>IF($D185="VISA",$C185,0)</f>
        <v>0</v>
      </c>
      <c r="I185" s="8">
        <f>I184+J185</f>
        <v>0</v>
      </c>
      <c r="J185" s="8">
        <f>IF($D185="ACC",$C185,0)</f>
        <v>0</v>
      </c>
      <c r="K185" s="8">
        <f>K184+L185</f>
        <v>0</v>
      </c>
      <c r="L185" s="8">
        <f>IF($D185="CBB",$C185,0)</f>
        <v>0</v>
      </c>
    </row>
    <row r="186" spans="1:12" x14ac:dyDescent="0.25">
      <c r="A186" s="6">
        <v>41426</v>
      </c>
      <c r="B186" t="s">
        <v>60</v>
      </c>
      <c r="C186" s="7">
        <v>-400</v>
      </c>
      <c r="D186" t="s">
        <v>6</v>
      </c>
      <c r="E186" s="8">
        <f>E185+F186</f>
        <v>11790</v>
      </c>
      <c r="F186" s="8">
        <f>IF($D186="CR01",$C186,0)</f>
        <v>-400</v>
      </c>
      <c r="G186" s="8">
        <f>G185+H186</f>
        <v>0</v>
      </c>
      <c r="H186" s="8">
        <f>IF($D186="VISA",$C186,0)</f>
        <v>0</v>
      </c>
      <c r="I186" s="8">
        <f>I185+J186</f>
        <v>0</v>
      </c>
      <c r="J186" s="8">
        <f>IF($D186="ACC",$C186,0)</f>
        <v>0</v>
      </c>
      <c r="K186" s="8">
        <f>K185+L186</f>
        <v>0</v>
      </c>
      <c r="L186" s="8">
        <f>IF($D186="CBB",$C186,0)</f>
        <v>0</v>
      </c>
    </row>
    <row r="187" spans="1:12" x14ac:dyDescent="0.25">
      <c r="A187" s="6">
        <v>41426</v>
      </c>
      <c r="B187" t="s">
        <v>64</v>
      </c>
      <c r="C187" s="7">
        <v>-26</v>
      </c>
      <c r="D187" t="s">
        <v>6</v>
      </c>
      <c r="E187" s="8">
        <f>E186+F187</f>
        <v>11764</v>
      </c>
      <c r="F187" s="8">
        <f>IF($D187="CR01",$C187,0)</f>
        <v>-26</v>
      </c>
      <c r="G187" s="8">
        <f>G186+H187</f>
        <v>0</v>
      </c>
      <c r="H187" s="8">
        <f>IF($D187="VISA",$C187,0)</f>
        <v>0</v>
      </c>
      <c r="I187" s="8">
        <f>I186+J187</f>
        <v>0</v>
      </c>
      <c r="J187" s="8">
        <f>IF($D187="ACC",$C187,0)</f>
        <v>0</v>
      </c>
      <c r="K187" s="8">
        <f>K186+L187</f>
        <v>0</v>
      </c>
      <c r="L187" s="8">
        <f>IF($D187="CBB",$C187,0)</f>
        <v>0</v>
      </c>
    </row>
    <row r="188" spans="1:12" x14ac:dyDescent="0.25">
      <c r="A188" s="6">
        <v>41426</v>
      </c>
      <c r="B188" t="s">
        <v>65</v>
      </c>
      <c r="C188" s="7">
        <v>-240</v>
      </c>
      <c r="D188" t="s">
        <v>6</v>
      </c>
      <c r="E188" s="8">
        <f>E187+F188</f>
        <v>11524</v>
      </c>
      <c r="F188" s="8">
        <f>IF($D188="CR01",$C188,0)</f>
        <v>-240</v>
      </c>
      <c r="G188" s="8">
        <f>G187+H188</f>
        <v>0</v>
      </c>
      <c r="H188" s="8">
        <f>IF($D188="VISA",$C188,0)</f>
        <v>0</v>
      </c>
      <c r="I188" s="8">
        <f>I187+J188</f>
        <v>0</v>
      </c>
      <c r="J188" s="8">
        <f>IF($D188="ACC",$C188,0)</f>
        <v>0</v>
      </c>
      <c r="K188" s="8">
        <f>K187+L188</f>
        <v>0</v>
      </c>
      <c r="L188" s="8">
        <f>IF($D188="CBB",$C188,0)</f>
        <v>0</v>
      </c>
    </row>
    <row r="189" spans="1:12" x14ac:dyDescent="0.25">
      <c r="A189" s="6">
        <v>41426</v>
      </c>
      <c r="B189" t="s">
        <v>66</v>
      </c>
      <c r="C189" s="7">
        <v>-120</v>
      </c>
      <c r="D189" t="s">
        <v>6</v>
      </c>
      <c r="E189" s="8">
        <f>E188+F189</f>
        <v>11404</v>
      </c>
      <c r="F189" s="8">
        <f>IF($D189="CR01",$C189,0)</f>
        <v>-120</v>
      </c>
      <c r="G189" s="8">
        <f>G188+H189</f>
        <v>0</v>
      </c>
      <c r="H189" s="8">
        <f>IF($D189="VISA",$C189,0)</f>
        <v>0</v>
      </c>
      <c r="I189" s="8">
        <f>I188+J189</f>
        <v>0</v>
      </c>
      <c r="J189" s="8">
        <f>IF($D189="ACC",$C189,0)</f>
        <v>0</v>
      </c>
      <c r="K189" s="8">
        <f>K188+L189</f>
        <v>0</v>
      </c>
      <c r="L189" s="8">
        <f>IF($D189="CBB",$C189,0)</f>
        <v>0</v>
      </c>
    </row>
    <row r="190" spans="1:12" x14ac:dyDescent="0.25">
      <c r="A190" s="6">
        <v>41427</v>
      </c>
      <c r="B190" t="s">
        <v>59</v>
      </c>
      <c r="C190" s="7">
        <v>-900</v>
      </c>
      <c r="D190" t="s">
        <v>6</v>
      </c>
      <c r="E190" s="8">
        <f>E189+F190</f>
        <v>10504</v>
      </c>
      <c r="F190" s="8">
        <f>IF($D190="CR01",$C190,0)</f>
        <v>-900</v>
      </c>
      <c r="G190" s="8">
        <f>G189+H190</f>
        <v>0</v>
      </c>
      <c r="H190" s="8">
        <f>IF($D190="VISA",$C190,0)</f>
        <v>0</v>
      </c>
      <c r="I190" s="8">
        <f>I189+J190</f>
        <v>0</v>
      </c>
      <c r="J190" s="8">
        <f>IF($D190="ACC",$C190,0)</f>
        <v>0</v>
      </c>
      <c r="K190" s="8">
        <f>K189+L190</f>
        <v>0</v>
      </c>
      <c r="L190" s="8">
        <f>IF($D190="CBB",$C190,0)</f>
        <v>0</v>
      </c>
    </row>
    <row r="191" spans="1:12" x14ac:dyDescent="0.25">
      <c r="A191" s="6">
        <v>41429</v>
      </c>
      <c r="B191" t="s">
        <v>42</v>
      </c>
      <c r="C191" s="7">
        <v>-2806</v>
      </c>
      <c r="D191" t="s">
        <v>6</v>
      </c>
      <c r="E191" s="8">
        <f>E190+F191</f>
        <v>7698</v>
      </c>
      <c r="F191" s="8">
        <f>IF($D191="CR01",$C191,0)</f>
        <v>-2806</v>
      </c>
      <c r="G191" s="8">
        <f>G190+H191</f>
        <v>0</v>
      </c>
      <c r="H191" s="8">
        <f>IF($D191="VISA",$C191,0)</f>
        <v>0</v>
      </c>
      <c r="I191" s="8">
        <f>I190+J191</f>
        <v>0</v>
      </c>
      <c r="J191" s="8">
        <f>IF($D191="ACC",$C191,0)</f>
        <v>0</v>
      </c>
      <c r="K191" s="8">
        <f>K190+L191</f>
        <v>0</v>
      </c>
      <c r="L191" s="8">
        <f>IF($D191="CBB",$C191,0)</f>
        <v>0</v>
      </c>
    </row>
    <row r="192" spans="1:12" x14ac:dyDescent="0.25">
      <c r="A192" s="6">
        <v>41429</v>
      </c>
      <c r="B192" t="s">
        <v>48</v>
      </c>
      <c r="C192" s="7">
        <v>-100</v>
      </c>
      <c r="D192" t="s">
        <v>6</v>
      </c>
      <c r="E192" s="8">
        <f>E191+F192</f>
        <v>7598</v>
      </c>
      <c r="F192" s="8">
        <f>IF($D192="CR01",$C192,0)</f>
        <v>-100</v>
      </c>
      <c r="G192" s="8">
        <f>G191+H192</f>
        <v>0</v>
      </c>
      <c r="H192" s="8">
        <f>IF($D192="VISA",$C192,0)</f>
        <v>0</v>
      </c>
      <c r="I192" s="8">
        <f>I191+J192</f>
        <v>0</v>
      </c>
      <c r="J192" s="8">
        <f>IF($D192="ACC",$C192,0)</f>
        <v>0</v>
      </c>
      <c r="K192" s="8">
        <f>K191+L192</f>
        <v>0</v>
      </c>
      <c r="L192" s="8">
        <f>IF($D192="CBB",$C192,0)</f>
        <v>0</v>
      </c>
    </row>
    <row r="193" spans="1:12" x14ac:dyDescent="0.25">
      <c r="A193" s="6">
        <v>41430</v>
      </c>
      <c r="B193" t="s">
        <v>47</v>
      </c>
      <c r="C193" s="7">
        <v>-120</v>
      </c>
      <c r="D193" t="s">
        <v>6</v>
      </c>
      <c r="E193" s="8">
        <f>E192+F193</f>
        <v>7478</v>
      </c>
      <c r="F193" s="8">
        <f>IF($D193="CR01",$C193,0)</f>
        <v>-120</v>
      </c>
      <c r="G193" s="8">
        <f>G192+H193</f>
        <v>0</v>
      </c>
      <c r="H193" s="8">
        <f>IF($D193="VISA",$C193,0)</f>
        <v>0</v>
      </c>
      <c r="I193" s="8">
        <f>I192+J193</f>
        <v>0</v>
      </c>
      <c r="J193" s="8">
        <f>IF($D193="ACC",$C193,0)</f>
        <v>0</v>
      </c>
      <c r="K193" s="8">
        <f>K192+L193</f>
        <v>0</v>
      </c>
      <c r="L193" s="8">
        <f>IF($D193="CBB",$C193,0)</f>
        <v>0</v>
      </c>
    </row>
    <row r="194" spans="1:12" x14ac:dyDescent="0.25">
      <c r="A194" s="6">
        <v>41431</v>
      </c>
      <c r="B194" t="s">
        <v>44</v>
      </c>
      <c r="C194" s="7">
        <v>-400</v>
      </c>
      <c r="D194" t="s">
        <v>6</v>
      </c>
      <c r="E194" s="8">
        <f>E193+F194</f>
        <v>7078</v>
      </c>
      <c r="F194" s="8">
        <f>IF($D194="CR01",$C194,0)</f>
        <v>-400</v>
      </c>
      <c r="G194" s="8">
        <f>G193+H194</f>
        <v>0</v>
      </c>
      <c r="H194" s="8">
        <f>IF($D194="VISA",$C194,0)</f>
        <v>0</v>
      </c>
      <c r="I194" s="8">
        <f>I193+J194</f>
        <v>0</v>
      </c>
      <c r="J194" s="8">
        <f>IF($D194="ACC",$C194,0)</f>
        <v>0</v>
      </c>
      <c r="K194" s="8">
        <f>K193+L194</f>
        <v>0</v>
      </c>
      <c r="L194" s="8">
        <f>IF($D194="CBB",$C194,0)</f>
        <v>0</v>
      </c>
    </row>
    <row r="195" spans="1:12" x14ac:dyDescent="0.25">
      <c r="A195" s="6">
        <v>41431</v>
      </c>
      <c r="B195" t="s">
        <v>45</v>
      </c>
      <c r="C195" s="7">
        <v>-180</v>
      </c>
      <c r="D195" t="s">
        <v>6</v>
      </c>
      <c r="E195" s="8">
        <f>E194+F195</f>
        <v>6898</v>
      </c>
      <c r="F195" s="8">
        <f>IF($D195="CR01",$C195,0)</f>
        <v>-180</v>
      </c>
      <c r="G195" s="8">
        <f>G194+H195</f>
        <v>0</v>
      </c>
      <c r="H195" s="8">
        <f>IF($D195="VISA",$C195,0)</f>
        <v>0</v>
      </c>
      <c r="I195" s="8">
        <f>I194+J195</f>
        <v>0</v>
      </c>
      <c r="J195" s="8">
        <f>IF($D195="ACC",$C195,0)</f>
        <v>0</v>
      </c>
      <c r="K195" s="8">
        <f>K194+L195</f>
        <v>0</v>
      </c>
      <c r="L195" s="8">
        <f>IF($D195="CBB",$C195,0)</f>
        <v>0</v>
      </c>
    </row>
    <row r="196" spans="1:12" x14ac:dyDescent="0.25">
      <c r="A196" s="6">
        <v>41431</v>
      </c>
      <c r="B196" t="s">
        <v>46</v>
      </c>
      <c r="C196" s="7">
        <v>-300</v>
      </c>
      <c r="D196" t="s">
        <v>6</v>
      </c>
      <c r="E196" s="8">
        <f>E195+F196</f>
        <v>6598</v>
      </c>
      <c r="F196" s="8">
        <f>IF($D196="CR01",$C196,0)</f>
        <v>-300</v>
      </c>
      <c r="G196" s="8">
        <f>G195+H196</f>
        <v>0</v>
      </c>
      <c r="H196" s="8">
        <f>IF($D196="VISA",$C196,0)</f>
        <v>0</v>
      </c>
      <c r="I196" s="8">
        <f>I195+J196</f>
        <v>0</v>
      </c>
      <c r="J196" s="8">
        <f>IF($D196="ACC",$C196,0)</f>
        <v>0</v>
      </c>
      <c r="K196" s="8">
        <f>K195+L196</f>
        <v>0</v>
      </c>
      <c r="L196" s="8">
        <f>IF($D196="CBB",$C196,0)</f>
        <v>0</v>
      </c>
    </row>
    <row r="197" spans="1:12" x14ac:dyDescent="0.25">
      <c r="A197" s="6">
        <v>41432</v>
      </c>
      <c r="B197" t="s">
        <v>43</v>
      </c>
      <c r="C197" s="7">
        <v>3226</v>
      </c>
      <c r="D197" t="s">
        <v>6</v>
      </c>
      <c r="E197" s="8">
        <f>E196+F197</f>
        <v>9824</v>
      </c>
      <c r="F197" s="8">
        <f>IF($D197="CR01",$C197,0)</f>
        <v>3226</v>
      </c>
      <c r="G197" s="8">
        <f>G196+H197</f>
        <v>0</v>
      </c>
      <c r="H197" s="8">
        <f>IF($D197="VISA",$C197,0)</f>
        <v>0</v>
      </c>
      <c r="I197" s="8">
        <f>I196+J197</f>
        <v>0</v>
      </c>
      <c r="J197" s="8">
        <f>IF($D197="ACC",$C197,0)</f>
        <v>0</v>
      </c>
      <c r="K197" s="8">
        <f>K196+L197</f>
        <v>0</v>
      </c>
      <c r="L197" s="8">
        <f>IF($D197="CBB",$C197,0)</f>
        <v>0</v>
      </c>
    </row>
    <row r="198" spans="1:12" x14ac:dyDescent="0.25">
      <c r="A198" s="6">
        <v>41436</v>
      </c>
      <c r="B198" t="s">
        <v>48</v>
      </c>
      <c r="C198" s="7">
        <v>-100</v>
      </c>
      <c r="D198" t="s">
        <v>6</v>
      </c>
      <c r="E198" s="8">
        <f>E197+F198</f>
        <v>9724</v>
      </c>
      <c r="F198" s="8">
        <f>IF($D198="CR01",$C198,0)</f>
        <v>-100</v>
      </c>
      <c r="G198" s="8">
        <f>G197+H198</f>
        <v>0</v>
      </c>
      <c r="H198" s="8">
        <f>IF($D198="VISA",$C198,0)</f>
        <v>0</v>
      </c>
      <c r="I198" s="8">
        <f>I197+J198</f>
        <v>0</v>
      </c>
      <c r="J198" s="8">
        <f>IF($D198="ACC",$C198,0)</f>
        <v>0</v>
      </c>
      <c r="K198" s="8">
        <f>K197+L198</f>
        <v>0</v>
      </c>
      <c r="L198" s="8">
        <f>IF($D198="CBB",$C198,0)</f>
        <v>0</v>
      </c>
    </row>
    <row r="199" spans="1:12" x14ac:dyDescent="0.25">
      <c r="A199" s="6">
        <v>41437</v>
      </c>
      <c r="B199" t="s">
        <v>47</v>
      </c>
      <c r="C199" s="7">
        <v>-120</v>
      </c>
      <c r="D199" t="s">
        <v>6</v>
      </c>
      <c r="E199" s="8">
        <f>E198+F199</f>
        <v>9604</v>
      </c>
      <c r="F199" s="8">
        <f>IF($D199="CR01",$C199,0)</f>
        <v>-120</v>
      </c>
      <c r="G199" s="8">
        <f>G198+H199</f>
        <v>0</v>
      </c>
      <c r="H199" s="8">
        <f>IF($D199="VISA",$C199,0)</f>
        <v>0</v>
      </c>
      <c r="I199" s="8">
        <f>I198+J199</f>
        <v>0</v>
      </c>
      <c r="J199" s="8">
        <f>IF($D199="ACC",$C199,0)</f>
        <v>0</v>
      </c>
      <c r="K199" s="8">
        <f>K198+L199</f>
        <v>0</v>
      </c>
      <c r="L199" s="8">
        <f>IF($D199="CBB",$C199,0)</f>
        <v>0</v>
      </c>
    </row>
    <row r="200" spans="1:12" x14ac:dyDescent="0.25">
      <c r="A200" s="6">
        <v>41438</v>
      </c>
      <c r="B200" t="s">
        <v>44</v>
      </c>
      <c r="C200" s="7">
        <v>-400</v>
      </c>
      <c r="D200" t="s">
        <v>6</v>
      </c>
      <c r="E200" s="8">
        <f>E199+F200</f>
        <v>9204</v>
      </c>
      <c r="F200" s="8">
        <f>IF($D200="CR01",$C200,0)</f>
        <v>-400</v>
      </c>
      <c r="G200" s="8">
        <f>G199+H200</f>
        <v>0</v>
      </c>
      <c r="H200" s="8">
        <f>IF($D200="VISA",$C200,0)</f>
        <v>0</v>
      </c>
      <c r="I200" s="8">
        <f>I199+J200</f>
        <v>0</v>
      </c>
      <c r="J200" s="8">
        <f>IF($D200="ACC",$C200,0)</f>
        <v>0</v>
      </c>
      <c r="K200" s="8">
        <f>K199+L200</f>
        <v>0</v>
      </c>
      <c r="L200" s="8">
        <f>IF($D200="CBB",$C200,0)</f>
        <v>0</v>
      </c>
    </row>
    <row r="201" spans="1:12" x14ac:dyDescent="0.25">
      <c r="A201" s="6">
        <v>41438</v>
      </c>
      <c r="B201" t="s">
        <v>45</v>
      </c>
      <c r="C201" s="7">
        <v>-180</v>
      </c>
      <c r="D201" t="s">
        <v>6</v>
      </c>
      <c r="E201" s="8">
        <f>E200+F201</f>
        <v>9024</v>
      </c>
      <c r="F201" s="8">
        <f>IF($D201="CR01",$C201,0)</f>
        <v>-180</v>
      </c>
      <c r="G201" s="8">
        <f>G200+H201</f>
        <v>0</v>
      </c>
      <c r="H201" s="8">
        <f>IF($D201="VISA",$C201,0)</f>
        <v>0</v>
      </c>
      <c r="I201" s="8">
        <f>I200+J201</f>
        <v>0</v>
      </c>
      <c r="J201" s="8">
        <f>IF($D201="ACC",$C201,0)</f>
        <v>0</v>
      </c>
      <c r="K201" s="8">
        <f>K200+L201</f>
        <v>0</v>
      </c>
      <c r="L201" s="8">
        <f>IF($D201="CBB",$C201,0)</f>
        <v>0</v>
      </c>
    </row>
    <row r="202" spans="1:12" x14ac:dyDescent="0.25">
      <c r="A202" s="6">
        <v>41438</v>
      </c>
      <c r="B202" t="s">
        <v>46</v>
      </c>
      <c r="C202" s="7">
        <v>-300</v>
      </c>
      <c r="D202" t="s">
        <v>6</v>
      </c>
      <c r="E202" s="8">
        <f>E201+F202</f>
        <v>8724</v>
      </c>
      <c r="F202" s="8">
        <f>IF($D202="CR01",$C202,0)</f>
        <v>-300</v>
      </c>
      <c r="G202" s="8">
        <f>G201+H202</f>
        <v>0</v>
      </c>
      <c r="H202" s="8">
        <f>IF($D202="VISA",$C202,0)</f>
        <v>0</v>
      </c>
      <c r="I202" s="8">
        <f>I201+J202</f>
        <v>0</v>
      </c>
      <c r="J202" s="8">
        <f>IF($D202="ACC",$C202,0)</f>
        <v>0</v>
      </c>
      <c r="K202" s="8">
        <f>K201+L202</f>
        <v>0</v>
      </c>
      <c r="L202" s="8">
        <f>IF($D202="CBB",$C202,0)</f>
        <v>0</v>
      </c>
    </row>
    <row r="203" spans="1:12" x14ac:dyDescent="0.25">
      <c r="A203" s="6">
        <v>41440</v>
      </c>
      <c r="B203" t="s">
        <v>67</v>
      </c>
      <c r="C203" s="7">
        <v>3600</v>
      </c>
      <c r="D203" t="s">
        <v>6</v>
      </c>
      <c r="E203" s="8">
        <f>E202+F203</f>
        <v>12324</v>
      </c>
      <c r="F203" s="8">
        <f>IF($D203="CR01",$C203,0)</f>
        <v>3600</v>
      </c>
      <c r="G203" s="8">
        <f>G202+H203</f>
        <v>0</v>
      </c>
      <c r="H203" s="8">
        <f>IF($D203="VISA",$C203,0)</f>
        <v>0</v>
      </c>
      <c r="I203" s="8">
        <f>I202+J203</f>
        <v>0</v>
      </c>
      <c r="J203" s="8">
        <f>IF($D203="ACC",$C203,0)</f>
        <v>0</v>
      </c>
      <c r="K203" s="8">
        <f>K202+L203</f>
        <v>0</v>
      </c>
      <c r="L203" s="8">
        <f>IF($D203="CBB",$C203,0)</f>
        <v>0</v>
      </c>
    </row>
    <row r="204" spans="1:12" x14ac:dyDescent="0.25">
      <c r="A204" s="6">
        <v>41443</v>
      </c>
      <c r="B204" t="s">
        <v>42</v>
      </c>
      <c r="C204" s="7">
        <v>-2806</v>
      </c>
      <c r="D204" t="s">
        <v>6</v>
      </c>
      <c r="E204" s="8">
        <f>E203+F204</f>
        <v>9518</v>
      </c>
      <c r="F204" s="8">
        <f>IF($D204="CR01",$C204,0)</f>
        <v>-2806</v>
      </c>
      <c r="G204" s="8">
        <f>G203+H204</f>
        <v>0</v>
      </c>
      <c r="H204" s="8">
        <f>IF($D204="VISA",$C204,0)</f>
        <v>0</v>
      </c>
      <c r="I204" s="8">
        <f>I203+J204</f>
        <v>0</v>
      </c>
      <c r="J204" s="8">
        <f>IF($D204="ACC",$C204,0)</f>
        <v>0</v>
      </c>
      <c r="K204" s="8">
        <f>K203+L204</f>
        <v>0</v>
      </c>
      <c r="L204" s="8">
        <f>IF($D204="CBB",$C204,0)</f>
        <v>0</v>
      </c>
    </row>
    <row r="205" spans="1:12" x14ac:dyDescent="0.25">
      <c r="A205" s="6">
        <v>41443</v>
      </c>
      <c r="B205" t="s">
        <v>48</v>
      </c>
      <c r="C205" s="7">
        <v>-100</v>
      </c>
      <c r="D205" t="s">
        <v>6</v>
      </c>
      <c r="E205" s="8">
        <f>E204+F205</f>
        <v>9418</v>
      </c>
      <c r="F205" s="8">
        <f>IF($D205="CR01",$C205,0)</f>
        <v>-100</v>
      </c>
      <c r="G205" s="8">
        <f>G204+H205</f>
        <v>0</v>
      </c>
      <c r="H205" s="8">
        <f>IF($D205="VISA",$C205,0)</f>
        <v>0</v>
      </c>
      <c r="I205" s="8">
        <f>I204+J205</f>
        <v>0</v>
      </c>
      <c r="J205" s="8">
        <f>IF($D205="ACC",$C205,0)</f>
        <v>0</v>
      </c>
      <c r="K205" s="8">
        <f>K204+L205</f>
        <v>0</v>
      </c>
      <c r="L205" s="8">
        <f>IF($D205="CBB",$C205,0)</f>
        <v>0</v>
      </c>
    </row>
    <row r="206" spans="1:12" x14ac:dyDescent="0.25">
      <c r="A206" s="6">
        <v>41444</v>
      </c>
      <c r="B206" t="s">
        <v>47</v>
      </c>
      <c r="C206" s="7">
        <v>-120</v>
      </c>
      <c r="D206" t="s">
        <v>6</v>
      </c>
      <c r="E206" s="8">
        <f>E205+F206</f>
        <v>9298</v>
      </c>
      <c r="F206" s="8">
        <f>IF($D206="CR01",$C206,0)</f>
        <v>-120</v>
      </c>
      <c r="G206" s="8">
        <f>G205+H206</f>
        <v>0</v>
      </c>
      <c r="H206" s="8">
        <f>IF($D206="VISA",$C206,0)</f>
        <v>0</v>
      </c>
      <c r="I206" s="8">
        <f>I205+J206</f>
        <v>0</v>
      </c>
      <c r="J206" s="8">
        <f>IF($D206="ACC",$C206,0)</f>
        <v>0</v>
      </c>
      <c r="K206" s="8">
        <f>K205+L206</f>
        <v>0</v>
      </c>
      <c r="L206" s="8">
        <f>IF($D206="CBB",$C206,0)</f>
        <v>0</v>
      </c>
    </row>
    <row r="207" spans="1:12" x14ac:dyDescent="0.25">
      <c r="A207" s="6">
        <v>41445</v>
      </c>
      <c r="B207" t="s">
        <v>44</v>
      </c>
      <c r="C207" s="7">
        <v>-400</v>
      </c>
      <c r="D207" t="s">
        <v>6</v>
      </c>
      <c r="E207" s="8">
        <f>E206+F207</f>
        <v>8898</v>
      </c>
      <c r="F207" s="8">
        <f>IF($D207="CR01",$C207,0)</f>
        <v>-400</v>
      </c>
      <c r="G207" s="8">
        <f>G206+H207</f>
        <v>0</v>
      </c>
      <c r="H207" s="8">
        <f>IF($D207="VISA",$C207,0)</f>
        <v>0</v>
      </c>
      <c r="I207" s="8">
        <f>I206+J207</f>
        <v>0</v>
      </c>
      <c r="J207" s="8">
        <f>IF($D207="ACC",$C207,0)</f>
        <v>0</v>
      </c>
      <c r="K207" s="8">
        <f>K206+L207</f>
        <v>0</v>
      </c>
      <c r="L207" s="8">
        <f>IF($D207="CBB",$C207,0)</f>
        <v>0</v>
      </c>
    </row>
    <row r="208" spans="1:12" x14ac:dyDescent="0.25">
      <c r="A208" s="6">
        <v>41445</v>
      </c>
      <c r="B208" t="s">
        <v>45</v>
      </c>
      <c r="C208" s="7">
        <v>-180</v>
      </c>
      <c r="D208" t="s">
        <v>6</v>
      </c>
      <c r="E208" s="8">
        <f>E207+F208</f>
        <v>8718</v>
      </c>
      <c r="F208" s="8">
        <f>IF($D208="CR01",$C208,0)</f>
        <v>-180</v>
      </c>
      <c r="G208" s="8">
        <f>G207+H208</f>
        <v>0</v>
      </c>
      <c r="H208" s="8">
        <f>IF($D208="VISA",$C208,0)</f>
        <v>0</v>
      </c>
      <c r="I208" s="8">
        <f>I207+J208</f>
        <v>0</v>
      </c>
      <c r="J208" s="8">
        <f>IF($D208="ACC",$C208,0)</f>
        <v>0</v>
      </c>
      <c r="K208" s="8">
        <f>K207+L208</f>
        <v>0</v>
      </c>
      <c r="L208" s="8">
        <f>IF($D208="CBB",$C208,0)</f>
        <v>0</v>
      </c>
    </row>
    <row r="209" spans="1:12" x14ac:dyDescent="0.25">
      <c r="A209" s="6">
        <v>41445</v>
      </c>
      <c r="B209" t="s">
        <v>46</v>
      </c>
      <c r="C209" s="7">
        <v>-300</v>
      </c>
      <c r="D209" t="s">
        <v>6</v>
      </c>
      <c r="E209" s="8">
        <f>E208+F209</f>
        <v>8418</v>
      </c>
      <c r="F209" s="8">
        <f>IF($D209="CR01",$C209,0)</f>
        <v>-300</v>
      </c>
      <c r="G209" s="8">
        <f>G208+H209</f>
        <v>0</v>
      </c>
      <c r="H209" s="8">
        <f>IF($D209="VISA",$C209,0)</f>
        <v>0</v>
      </c>
      <c r="I209" s="8">
        <f>I208+J209</f>
        <v>0</v>
      </c>
      <c r="J209" s="8">
        <f>IF($D209="ACC",$C209,0)</f>
        <v>0</v>
      </c>
      <c r="K209" s="8">
        <f>K208+L209</f>
        <v>0</v>
      </c>
      <c r="L209" s="8">
        <f>IF($D209="CBB",$C209,0)</f>
        <v>0</v>
      </c>
    </row>
    <row r="210" spans="1:12" x14ac:dyDescent="0.25">
      <c r="A210" s="6">
        <v>41446</v>
      </c>
      <c r="B210" t="s">
        <v>43</v>
      </c>
      <c r="C210" s="7">
        <v>3226</v>
      </c>
      <c r="D210" t="s">
        <v>6</v>
      </c>
      <c r="E210" s="8">
        <f>E209+F210</f>
        <v>11644</v>
      </c>
      <c r="F210" s="8">
        <f>IF($D210="CR01",$C210,0)</f>
        <v>3226</v>
      </c>
      <c r="G210" s="8">
        <f>G209+H210</f>
        <v>0</v>
      </c>
      <c r="H210" s="8">
        <f>IF($D210="VISA",$C210,0)</f>
        <v>0</v>
      </c>
      <c r="I210" s="8">
        <f>I209+J210</f>
        <v>0</v>
      </c>
      <c r="J210" s="8">
        <f>IF($D210="ACC",$C210,0)</f>
        <v>0</v>
      </c>
      <c r="K210" s="8">
        <f>K209+L210</f>
        <v>0</v>
      </c>
      <c r="L210" s="8">
        <f>IF($D210="CBB",$C210,0)</f>
        <v>0</v>
      </c>
    </row>
    <row r="211" spans="1:12" x14ac:dyDescent="0.25">
      <c r="A211" s="6">
        <v>41450</v>
      </c>
      <c r="B211" t="s">
        <v>48</v>
      </c>
      <c r="C211" s="7">
        <v>-100</v>
      </c>
      <c r="D211" t="s">
        <v>6</v>
      </c>
      <c r="E211" s="8">
        <f>E210+F211</f>
        <v>11544</v>
      </c>
      <c r="F211" s="8">
        <f>IF($D211="CR01",$C211,0)</f>
        <v>-100</v>
      </c>
      <c r="G211" s="8">
        <f>G210+H211</f>
        <v>0</v>
      </c>
      <c r="H211" s="8">
        <f>IF($D211="VISA",$C211,0)</f>
        <v>0</v>
      </c>
      <c r="I211" s="8">
        <f>I210+J211</f>
        <v>0</v>
      </c>
      <c r="J211" s="8">
        <f>IF($D211="ACC",$C211,0)</f>
        <v>0</v>
      </c>
      <c r="K211" s="8">
        <f>K210+L211</f>
        <v>0</v>
      </c>
      <c r="L211" s="8">
        <f>IF($D211="CBB",$C211,0)</f>
        <v>0</v>
      </c>
    </row>
    <row r="212" spans="1:12" x14ac:dyDescent="0.25">
      <c r="A212" s="6">
        <v>41451</v>
      </c>
      <c r="B212" t="s">
        <v>47</v>
      </c>
      <c r="C212" s="7">
        <v>-120</v>
      </c>
      <c r="D212" t="s">
        <v>6</v>
      </c>
      <c r="E212" s="8">
        <f>E211+F212</f>
        <v>11424</v>
      </c>
      <c r="F212" s="8">
        <f>IF($D212="CR01",$C212,0)</f>
        <v>-120</v>
      </c>
      <c r="G212" s="8">
        <f>G211+H212</f>
        <v>0</v>
      </c>
      <c r="H212" s="8">
        <f>IF($D212="VISA",$C212,0)</f>
        <v>0</v>
      </c>
      <c r="I212" s="8">
        <f>I211+J212</f>
        <v>0</v>
      </c>
      <c r="J212" s="8">
        <f>IF($D212="ACC",$C212,0)</f>
        <v>0</v>
      </c>
      <c r="K212" s="8">
        <f>K211+L212</f>
        <v>0</v>
      </c>
      <c r="L212" s="8">
        <f>IF($D212="CBB",$C212,0)</f>
        <v>0</v>
      </c>
    </row>
    <row r="213" spans="1:12" x14ac:dyDescent="0.25">
      <c r="A213" s="6">
        <v>41452</v>
      </c>
      <c r="B213" t="s">
        <v>44</v>
      </c>
      <c r="C213" s="7">
        <v>-400</v>
      </c>
      <c r="D213" t="s">
        <v>6</v>
      </c>
      <c r="E213" s="8">
        <f>E212+F213</f>
        <v>11024</v>
      </c>
      <c r="F213" s="8">
        <f>IF($D213="CR01",$C213,0)</f>
        <v>-400</v>
      </c>
      <c r="G213" s="8">
        <f>G212+H213</f>
        <v>0</v>
      </c>
      <c r="H213" s="8">
        <f>IF($D213="VISA",$C213,0)</f>
        <v>0</v>
      </c>
      <c r="I213" s="8">
        <f>I212+J213</f>
        <v>0</v>
      </c>
      <c r="J213" s="8">
        <f>IF($D213="ACC",$C213,0)</f>
        <v>0</v>
      </c>
      <c r="K213" s="8">
        <f>K212+L213</f>
        <v>0</v>
      </c>
      <c r="L213" s="8">
        <f>IF($D213="CBB",$C213,0)</f>
        <v>0</v>
      </c>
    </row>
    <row r="214" spans="1:12" x14ac:dyDescent="0.25">
      <c r="A214" s="6">
        <v>41452</v>
      </c>
      <c r="B214" t="s">
        <v>45</v>
      </c>
      <c r="C214" s="7">
        <v>-180</v>
      </c>
      <c r="D214" t="s">
        <v>6</v>
      </c>
      <c r="E214" s="8">
        <f>E213+F214</f>
        <v>10844</v>
      </c>
      <c r="F214" s="8">
        <f>IF($D214="CR01",$C214,0)</f>
        <v>-180</v>
      </c>
      <c r="G214" s="8">
        <f>G213+H214</f>
        <v>0</v>
      </c>
      <c r="H214" s="8">
        <f>IF($D214="VISA",$C214,0)</f>
        <v>0</v>
      </c>
      <c r="I214" s="8">
        <f>I213+J214</f>
        <v>0</v>
      </c>
      <c r="J214" s="8">
        <f>IF($D214="ACC",$C214,0)</f>
        <v>0</v>
      </c>
      <c r="K214" s="8">
        <f>K213+L214</f>
        <v>0</v>
      </c>
      <c r="L214" s="8">
        <f>IF($D214="CBB",$C214,0)</f>
        <v>0</v>
      </c>
    </row>
    <row r="215" spans="1:12" x14ac:dyDescent="0.25">
      <c r="A215" s="6">
        <v>41452</v>
      </c>
      <c r="B215" t="s">
        <v>46</v>
      </c>
      <c r="C215" s="7">
        <v>-300</v>
      </c>
      <c r="D215" t="s">
        <v>6</v>
      </c>
      <c r="E215" s="8">
        <f>E214+F215</f>
        <v>10544</v>
      </c>
      <c r="F215" s="8">
        <f>IF($D215="CR01",$C215,0)</f>
        <v>-300</v>
      </c>
      <c r="G215" s="8">
        <f>G214+H215</f>
        <v>0</v>
      </c>
      <c r="H215" s="8">
        <f>IF($D215="VISA",$C215,0)</f>
        <v>0</v>
      </c>
      <c r="I215" s="8">
        <f>I214+J215</f>
        <v>0</v>
      </c>
      <c r="J215" s="8">
        <f>IF($D215="ACC",$C215,0)</f>
        <v>0</v>
      </c>
      <c r="K215" s="8">
        <f>K214+L215</f>
        <v>0</v>
      </c>
      <c r="L215" s="8">
        <f>IF($D215="CBB",$C215,0)</f>
        <v>0</v>
      </c>
    </row>
    <row r="216" spans="1:12" x14ac:dyDescent="0.25">
      <c r="A216" s="6">
        <v>41454</v>
      </c>
      <c r="B216" t="s">
        <v>67</v>
      </c>
      <c r="C216" s="7">
        <v>3600</v>
      </c>
      <c r="D216" t="s">
        <v>6</v>
      </c>
      <c r="E216" s="8">
        <f>E215+F216</f>
        <v>14144</v>
      </c>
      <c r="F216" s="8">
        <f>IF($D216="CR01",$C216,0)</f>
        <v>3600</v>
      </c>
      <c r="G216" s="8">
        <f>G215+H216</f>
        <v>0</v>
      </c>
      <c r="H216" s="8">
        <f>IF($D216="VISA",$C216,0)</f>
        <v>0</v>
      </c>
      <c r="I216" s="8">
        <f>I215+J216</f>
        <v>0</v>
      </c>
      <c r="J216" s="8">
        <f>IF($D216="ACC",$C216,0)</f>
        <v>0</v>
      </c>
      <c r="K216" s="8">
        <f>K215+L216</f>
        <v>0</v>
      </c>
      <c r="L216" s="8">
        <f>IF($D216="CBB",$C216,0)</f>
        <v>0</v>
      </c>
    </row>
    <row r="217" spans="1:12" x14ac:dyDescent="0.25">
      <c r="A217" s="6">
        <v>41456</v>
      </c>
      <c r="B217" t="s">
        <v>58</v>
      </c>
      <c r="C217" s="7">
        <v>-200</v>
      </c>
      <c r="D217" t="s">
        <v>6</v>
      </c>
      <c r="E217" s="8">
        <f>E216+F217</f>
        <v>13944</v>
      </c>
      <c r="F217" s="8">
        <f>IF($D217="CR01",$C217,0)</f>
        <v>-200</v>
      </c>
      <c r="G217" s="8">
        <f>G216+H217</f>
        <v>0</v>
      </c>
      <c r="H217" s="8">
        <f>IF($D217="VISA",$C217,0)</f>
        <v>0</v>
      </c>
      <c r="I217" s="8">
        <f>I216+J217</f>
        <v>0</v>
      </c>
      <c r="J217" s="8">
        <f>IF($D217="ACC",$C217,0)</f>
        <v>0</v>
      </c>
      <c r="K217" s="8">
        <f>K216+L217</f>
        <v>0</v>
      </c>
      <c r="L217" s="8">
        <f>IF($D217="CBB",$C217,0)</f>
        <v>0</v>
      </c>
    </row>
    <row r="218" spans="1:12" x14ac:dyDescent="0.25">
      <c r="A218" s="6">
        <v>41456</v>
      </c>
      <c r="B218" t="s">
        <v>60</v>
      </c>
      <c r="C218" s="7">
        <v>-400</v>
      </c>
      <c r="D218" t="s">
        <v>6</v>
      </c>
      <c r="E218" s="8">
        <f>E217+F218</f>
        <v>13544</v>
      </c>
      <c r="F218" s="8">
        <f>IF($D218="CR01",$C218,0)</f>
        <v>-400</v>
      </c>
      <c r="G218" s="8">
        <f>G217+H218</f>
        <v>0</v>
      </c>
      <c r="H218" s="8">
        <f>IF($D218="VISA",$C218,0)</f>
        <v>0</v>
      </c>
      <c r="I218" s="8">
        <f>I217+J218</f>
        <v>0</v>
      </c>
      <c r="J218" s="8">
        <f>IF($D218="ACC",$C218,0)</f>
        <v>0</v>
      </c>
      <c r="K218" s="8">
        <f>K217+L218</f>
        <v>0</v>
      </c>
      <c r="L218" s="8">
        <f>IF($D218="CBB",$C218,0)</f>
        <v>0</v>
      </c>
    </row>
    <row r="219" spans="1:12" x14ac:dyDescent="0.25">
      <c r="A219" s="6">
        <v>41456</v>
      </c>
      <c r="B219" t="s">
        <v>61</v>
      </c>
      <c r="C219" s="7">
        <v>-300</v>
      </c>
      <c r="D219" t="s">
        <v>6</v>
      </c>
      <c r="E219" s="8">
        <f>E218+F219</f>
        <v>13244</v>
      </c>
      <c r="F219" s="8">
        <f>IF($D219="CR01",$C219,0)</f>
        <v>-300</v>
      </c>
      <c r="G219" s="8">
        <f>G218+H219</f>
        <v>0</v>
      </c>
      <c r="H219" s="8">
        <f>IF($D219="VISA",$C219,0)</f>
        <v>0</v>
      </c>
      <c r="I219" s="8">
        <f>I218+J219</f>
        <v>0</v>
      </c>
      <c r="J219" s="8">
        <f>IF($D219="ACC",$C219,0)</f>
        <v>0</v>
      </c>
      <c r="K219" s="8">
        <f>K218+L219</f>
        <v>0</v>
      </c>
      <c r="L219" s="8">
        <f>IF($D219="CBB",$C219,0)</f>
        <v>0</v>
      </c>
    </row>
    <row r="220" spans="1:12" x14ac:dyDescent="0.25">
      <c r="A220" s="6">
        <v>41456</v>
      </c>
      <c r="B220" t="s">
        <v>64</v>
      </c>
      <c r="C220" s="7">
        <v>-26</v>
      </c>
      <c r="D220" t="s">
        <v>6</v>
      </c>
      <c r="E220" s="8">
        <f>E219+F220</f>
        <v>13218</v>
      </c>
      <c r="F220" s="8">
        <f>IF($D220="CR01",$C220,0)</f>
        <v>-26</v>
      </c>
      <c r="G220" s="8">
        <f>G219+H220</f>
        <v>0</v>
      </c>
      <c r="H220" s="8">
        <f>IF($D220="VISA",$C220,0)</f>
        <v>0</v>
      </c>
      <c r="I220" s="8">
        <f>I219+J220</f>
        <v>0</v>
      </c>
      <c r="J220" s="8">
        <f>IF($D220="ACC",$C220,0)</f>
        <v>0</v>
      </c>
      <c r="K220" s="8">
        <f>K219+L220</f>
        <v>0</v>
      </c>
      <c r="L220" s="8">
        <f>IF($D220="CBB",$C220,0)</f>
        <v>0</v>
      </c>
    </row>
    <row r="221" spans="1:12" x14ac:dyDescent="0.25">
      <c r="A221" s="6">
        <v>41456</v>
      </c>
      <c r="B221" t="s">
        <v>65</v>
      </c>
      <c r="C221" s="7">
        <v>-240</v>
      </c>
      <c r="D221" t="s">
        <v>6</v>
      </c>
      <c r="E221" s="8">
        <f>E220+F221</f>
        <v>12978</v>
      </c>
      <c r="F221" s="8">
        <f>IF($D221="CR01",$C221,0)</f>
        <v>-240</v>
      </c>
      <c r="G221" s="8">
        <f>G220+H221</f>
        <v>0</v>
      </c>
      <c r="H221" s="8">
        <f>IF($D221="VISA",$C221,0)</f>
        <v>0</v>
      </c>
      <c r="I221" s="8">
        <f>I220+J221</f>
        <v>0</v>
      </c>
      <c r="J221" s="8">
        <f>IF($D221="ACC",$C221,0)</f>
        <v>0</v>
      </c>
      <c r="K221" s="8">
        <f>K220+L221</f>
        <v>0</v>
      </c>
      <c r="L221" s="8">
        <f>IF($D221="CBB",$C221,0)</f>
        <v>0</v>
      </c>
    </row>
    <row r="222" spans="1:12" x14ac:dyDescent="0.25">
      <c r="A222" s="6">
        <v>41456</v>
      </c>
      <c r="B222" t="s">
        <v>66</v>
      </c>
      <c r="C222" s="7">
        <v>-120</v>
      </c>
      <c r="D222" t="s">
        <v>6</v>
      </c>
      <c r="E222" s="8">
        <f>E221+F222</f>
        <v>12858</v>
      </c>
      <c r="F222" s="8">
        <f>IF($D222="CR01",$C222,0)</f>
        <v>-120</v>
      </c>
      <c r="G222" s="8">
        <f>G221+H222</f>
        <v>0</v>
      </c>
      <c r="H222" s="8">
        <f>IF($D222="VISA",$C222,0)</f>
        <v>0</v>
      </c>
      <c r="I222" s="8">
        <f>I221+J222</f>
        <v>0</v>
      </c>
      <c r="J222" s="8">
        <f>IF($D222="ACC",$C222,0)</f>
        <v>0</v>
      </c>
      <c r="K222" s="8">
        <f>K221+L222</f>
        <v>0</v>
      </c>
      <c r="L222" s="8">
        <f>IF($D222="CBB",$C222,0)</f>
        <v>0</v>
      </c>
    </row>
    <row r="223" spans="1:12" x14ac:dyDescent="0.25">
      <c r="A223" s="6">
        <v>41457</v>
      </c>
      <c r="B223" t="s">
        <v>42</v>
      </c>
      <c r="C223" s="7">
        <v>-2806</v>
      </c>
      <c r="D223" t="s">
        <v>6</v>
      </c>
      <c r="E223" s="8">
        <f>E222+F223</f>
        <v>10052</v>
      </c>
      <c r="F223" s="8">
        <f>IF($D223="CR01",$C223,0)</f>
        <v>-2806</v>
      </c>
      <c r="G223" s="8">
        <f>G222+H223</f>
        <v>0</v>
      </c>
      <c r="H223" s="8">
        <f>IF($D223="VISA",$C223,0)</f>
        <v>0</v>
      </c>
      <c r="I223" s="8">
        <f>I222+J223</f>
        <v>0</v>
      </c>
      <c r="J223" s="8">
        <f>IF($D223="ACC",$C223,0)</f>
        <v>0</v>
      </c>
      <c r="K223" s="8">
        <f>K222+L223</f>
        <v>0</v>
      </c>
      <c r="L223" s="8">
        <f>IF($D223="CBB",$C223,0)</f>
        <v>0</v>
      </c>
    </row>
    <row r="224" spans="1:12" x14ac:dyDescent="0.25">
      <c r="A224" s="6">
        <v>41457</v>
      </c>
      <c r="B224" t="s">
        <v>48</v>
      </c>
      <c r="C224" s="7">
        <v>-100</v>
      </c>
      <c r="D224" t="s">
        <v>6</v>
      </c>
      <c r="E224" s="8">
        <f>E223+F224</f>
        <v>9952</v>
      </c>
      <c r="F224" s="8">
        <f>IF($D224="CR01",$C224,0)</f>
        <v>-100</v>
      </c>
      <c r="G224" s="8">
        <f>G223+H224</f>
        <v>0</v>
      </c>
      <c r="H224" s="8">
        <f>IF($D224="VISA",$C224,0)</f>
        <v>0</v>
      </c>
      <c r="I224" s="8">
        <f>I223+J224</f>
        <v>0</v>
      </c>
      <c r="J224" s="8">
        <f>IF($D224="ACC",$C224,0)</f>
        <v>0</v>
      </c>
      <c r="K224" s="8">
        <f>K223+L224</f>
        <v>0</v>
      </c>
      <c r="L224" s="8">
        <f>IF($D224="CBB",$C224,0)</f>
        <v>0</v>
      </c>
    </row>
    <row r="225" spans="1:12" x14ac:dyDescent="0.25">
      <c r="A225" s="6">
        <v>41457</v>
      </c>
      <c r="B225" t="s">
        <v>59</v>
      </c>
      <c r="C225" s="7">
        <v>-900</v>
      </c>
      <c r="D225" t="s">
        <v>6</v>
      </c>
      <c r="E225" s="8">
        <f>E224+F225</f>
        <v>9052</v>
      </c>
      <c r="F225" s="8">
        <f>IF($D225="CR01",$C225,0)</f>
        <v>-900</v>
      </c>
      <c r="G225" s="8">
        <f>G224+H225</f>
        <v>0</v>
      </c>
      <c r="H225" s="8">
        <f>IF($D225="VISA",$C225,0)</f>
        <v>0</v>
      </c>
      <c r="I225" s="8">
        <f>I224+J225</f>
        <v>0</v>
      </c>
      <c r="J225" s="8">
        <f>IF($D225="ACC",$C225,0)</f>
        <v>0</v>
      </c>
      <c r="K225" s="8">
        <f>K224+L225</f>
        <v>0</v>
      </c>
      <c r="L225" s="8">
        <f>IF($D225="CBB",$C225,0)</f>
        <v>0</v>
      </c>
    </row>
    <row r="226" spans="1:12" x14ac:dyDescent="0.25">
      <c r="A226" s="6">
        <v>41458</v>
      </c>
      <c r="B226" t="s">
        <v>47</v>
      </c>
      <c r="C226" s="7">
        <v>-120</v>
      </c>
      <c r="D226" t="s">
        <v>6</v>
      </c>
      <c r="E226" s="8">
        <f>E225+F226</f>
        <v>8932</v>
      </c>
      <c r="F226" s="8">
        <f>IF($D226="CR01",$C226,0)</f>
        <v>-120</v>
      </c>
      <c r="G226" s="8">
        <f>G225+H226</f>
        <v>0</v>
      </c>
      <c r="H226" s="8">
        <f>IF($D226="VISA",$C226,0)</f>
        <v>0</v>
      </c>
      <c r="I226" s="8">
        <f>I225+J226</f>
        <v>0</v>
      </c>
      <c r="J226" s="8">
        <f>IF($D226="ACC",$C226,0)</f>
        <v>0</v>
      </c>
      <c r="K226" s="8">
        <f>K225+L226</f>
        <v>0</v>
      </c>
      <c r="L226" s="8">
        <f>IF($D226="CBB",$C226,0)</f>
        <v>0</v>
      </c>
    </row>
    <row r="227" spans="1:12" x14ac:dyDescent="0.25">
      <c r="A227" s="6">
        <v>41459</v>
      </c>
      <c r="B227" t="s">
        <v>44</v>
      </c>
      <c r="C227" s="7">
        <v>-400</v>
      </c>
      <c r="D227" t="s">
        <v>6</v>
      </c>
      <c r="E227" s="8">
        <f>E226+F227</f>
        <v>8532</v>
      </c>
      <c r="F227" s="8">
        <f>IF($D227="CR01",$C227,0)</f>
        <v>-400</v>
      </c>
      <c r="G227" s="8">
        <f>G226+H227</f>
        <v>0</v>
      </c>
      <c r="H227" s="8">
        <f>IF($D227="VISA",$C227,0)</f>
        <v>0</v>
      </c>
      <c r="I227" s="8">
        <f>I226+J227</f>
        <v>0</v>
      </c>
      <c r="J227" s="8">
        <f>IF($D227="ACC",$C227,0)</f>
        <v>0</v>
      </c>
      <c r="K227" s="8">
        <f>K226+L227</f>
        <v>0</v>
      </c>
      <c r="L227" s="8">
        <f>IF($D227="CBB",$C227,0)</f>
        <v>0</v>
      </c>
    </row>
    <row r="228" spans="1:12" x14ac:dyDescent="0.25">
      <c r="A228" s="6">
        <v>41459</v>
      </c>
      <c r="B228" t="s">
        <v>45</v>
      </c>
      <c r="C228" s="7">
        <v>-180</v>
      </c>
      <c r="D228" t="s">
        <v>6</v>
      </c>
      <c r="E228" s="8">
        <f>E227+F228</f>
        <v>8352</v>
      </c>
      <c r="F228" s="8">
        <f>IF($D228="CR01",$C228,0)</f>
        <v>-180</v>
      </c>
      <c r="G228" s="8">
        <f>G227+H228</f>
        <v>0</v>
      </c>
      <c r="H228" s="8">
        <f>IF($D228="VISA",$C228,0)</f>
        <v>0</v>
      </c>
      <c r="I228" s="8">
        <f>I227+J228</f>
        <v>0</v>
      </c>
      <c r="J228" s="8">
        <f>IF($D228="ACC",$C228,0)</f>
        <v>0</v>
      </c>
      <c r="K228" s="8">
        <f>K227+L228</f>
        <v>0</v>
      </c>
      <c r="L228" s="8">
        <f>IF($D228="CBB",$C228,0)</f>
        <v>0</v>
      </c>
    </row>
    <row r="229" spans="1:12" x14ac:dyDescent="0.25">
      <c r="A229" s="6">
        <v>41459</v>
      </c>
      <c r="B229" t="s">
        <v>46</v>
      </c>
      <c r="C229" s="7">
        <v>-300</v>
      </c>
      <c r="D229" t="s">
        <v>6</v>
      </c>
      <c r="E229" s="8">
        <f>E228+F229</f>
        <v>8052</v>
      </c>
      <c r="F229" s="8">
        <f>IF($D229="CR01",$C229,0)</f>
        <v>-300</v>
      </c>
      <c r="G229" s="8">
        <f>G228+H229</f>
        <v>0</v>
      </c>
      <c r="H229" s="8">
        <f>IF($D229="VISA",$C229,0)</f>
        <v>0</v>
      </c>
      <c r="I229" s="8">
        <f>I228+J229</f>
        <v>0</v>
      </c>
      <c r="J229" s="8">
        <f>IF($D229="ACC",$C229,0)</f>
        <v>0</v>
      </c>
      <c r="K229" s="8">
        <f>K228+L229</f>
        <v>0</v>
      </c>
      <c r="L229" s="8">
        <f>IF($D229="CBB",$C229,0)</f>
        <v>0</v>
      </c>
    </row>
    <row r="230" spans="1:12" x14ac:dyDescent="0.25">
      <c r="A230" s="6">
        <v>41460</v>
      </c>
      <c r="B230" t="s">
        <v>43</v>
      </c>
      <c r="C230" s="7">
        <v>3226</v>
      </c>
      <c r="D230" t="s">
        <v>6</v>
      </c>
      <c r="E230" s="8">
        <f>E229+F230</f>
        <v>11278</v>
      </c>
      <c r="F230" s="8">
        <f>IF($D230="CR01",$C230,0)</f>
        <v>3226</v>
      </c>
      <c r="G230" s="8">
        <f>G229+H230</f>
        <v>0</v>
      </c>
      <c r="H230" s="8">
        <f>IF($D230="VISA",$C230,0)</f>
        <v>0</v>
      </c>
      <c r="I230" s="8">
        <f>I229+J230</f>
        <v>0</v>
      </c>
      <c r="J230" s="8">
        <f>IF($D230="ACC",$C230,0)</f>
        <v>0</v>
      </c>
      <c r="K230" s="8">
        <f>K229+L230</f>
        <v>0</v>
      </c>
      <c r="L230" s="8">
        <f>IF($D230="CBB",$C230,0)</f>
        <v>0</v>
      </c>
    </row>
    <row r="231" spans="1:12" x14ac:dyDescent="0.25">
      <c r="A231" s="6">
        <v>41464</v>
      </c>
      <c r="B231" t="s">
        <v>48</v>
      </c>
      <c r="C231" s="7">
        <v>-100</v>
      </c>
      <c r="D231" t="s">
        <v>6</v>
      </c>
      <c r="E231" s="8">
        <f>E230+F231</f>
        <v>11178</v>
      </c>
      <c r="F231" s="8">
        <f>IF($D231="CR01",$C231,0)</f>
        <v>-100</v>
      </c>
      <c r="G231" s="8">
        <f>G230+H231</f>
        <v>0</v>
      </c>
      <c r="H231" s="8">
        <f>IF($D231="VISA",$C231,0)</f>
        <v>0</v>
      </c>
      <c r="I231" s="8">
        <f>I230+J231</f>
        <v>0</v>
      </c>
      <c r="J231" s="8">
        <f>IF($D231="ACC",$C231,0)</f>
        <v>0</v>
      </c>
      <c r="K231" s="8">
        <f>K230+L231</f>
        <v>0</v>
      </c>
      <c r="L231" s="8">
        <f>IF($D231="CBB",$C231,0)</f>
        <v>0</v>
      </c>
    </row>
    <row r="232" spans="1:12" x14ac:dyDescent="0.25">
      <c r="A232" s="6">
        <v>41465</v>
      </c>
      <c r="B232" t="s">
        <v>47</v>
      </c>
      <c r="C232" s="7">
        <v>-120</v>
      </c>
      <c r="D232" t="s">
        <v>6</v>
      </c>
      <c r="E232" s="8">
        <f>E231+F232</f>
        <v>11058</v>
      </c>
      <c r="F232" s="8">
        <f>IF($D232="CR01",$C232,0)</f>
        <v>-120</v>
      </c>
      <c r="G232" s="8">
        <f>G231+H232</f>
        <v>0</v>
      </c>
      <c r="H232" s="8">
        <f>IF($D232="VISA",$C232,0)</f>
        <v>0</v>
      </c>
      <c r="I232" s="8">
        <f>I231+J232</f>
        <v>0</v>
      </c>
      <c r="J232" s="8">
        <f>IF($D232="ACC",$C232,0)</f>
        <v>0</v>
      </c>
      <c r="K232" s="8">
        <f>K231+L232</f>
        <v>0</v>
      </c>
      <c r="L232" s="8">
        <f>IF($D232="CBB",$C232,0)</f>
        <v>0</v>
      </c>
    </row>
    <row r="233" spans="1:12" x14ac:dyDescent="0.25">
      <c r="A233" s="6">
        <v>41466</v>
      </c>
      <c r="B233" t="s">
        <v>44</v>
      </c>
      <c r="C233" s="7">
        <v>-400</v>
      </c>
      <c r="D233" t="s">
        <v>6</v>
      </c>
      <c r="E233" s="8">
        <f>E232+F233</f>
        <v>10658</v>
      </c>
      <c r="F233" s="8">
        <f>IF($D233="CR01",$C233,0)</f>
        <v>-400</v>
      </c>
      <c r="G233" s="8">
        <f>G232+H233</f>
        <v>0</v>
      </c>
      <c r="H233" s="8">
        <f>IF($D233="VISA",$C233,0)</f>
        <v>0</v>
      </c>
      <c r="I233" s="8">
        <f>I232+J233</f>
        <v>0</v>
      </c>
      <c r="J233" s="8">
        <f>IF($D233="ACC",$C233,0)</f>
        <v>0</v>
      </c>
      <c r="K233" s="8">
        <f>K232+L233</f>
        <v>0</v>
      </c>
      <c r="L233" s="8">
        <f>IF($D233="CBB",$C233,0)</f>
        <v>0</v>
      </c>
    </row>
    <row r="234" spans="1:12" x14ac:dyDescent="0.25">
      <c r="A234" s="6">
        <v>41466</v>
      </c>
      <c r="B234" t="s">
        <v>45</v>
      </c>
      <c r="C234" s="7">
        <v>-180</v>
      </c>
      <c r="D234" t="s">
        <v>6</v>
      </c>
      <c r="E234" s="8">
        <f>E233+F234</f>
        <v>10478</v>
      </c>
      <c r="F234" s="8">
        <f>IF($D234="CR01",$C234,0)</f>
        <v>-180</v>
      </c>
      <c r="G234" s="8">
        <f>G233+H234</f>
        <v>0</v>
      </c>
      <c r="H234" s="8">
        <f>IF($D234="VISA",$C234,0)</f>
        <v>0</v>
      </c>
      <c r="I234" s="8">
        <f>I233+J234</f>
        <v>0</v>
      </c>
      <c r="J234" s="8">
        <f>IF($D234="ACC",$C234,0)</f>
        <v>0</v>
      </c>
      <c r="K234" s="8">
        <f>K233+L234</f>
        <v>0</v>
      </c>
      <c r="L234" s="8">
        <f>IF($D234="CBB",$C234,0)</f>
        <v>0</v>
      </c>
    </row>
    <row r="235" spans="1:12" x14ac:dyDescent="0.25">
      <c r="A235" s="6">
        <v>41466</v>
      </c>
      <c r="B235" t="s">
        <v>46</v>
      </c>
      <c r="C235" s="7">
        <v>-300</v>
      </c>
      <c r="D235" t="s">
        <v>6</v>
      </c>
      <c r="E235" s="8">
        <f>E234+F235</f>
        <v>10178</v>
      </c>
      <c r="F235" s="8">
        <f>IF($D235="CR01",$C235,0)</f>
        <v>-300</v>
      </c>
      <c r="G235" s="8">
        <f>G234+H235</f>
        <v>0</v>
      </c>
      <c r="H235" s="8">
        <f>IF($D235="VISA",$C235,0)</f>
        <v>0</v>
      </c>
      <c r="I235" s="8">
        <f>I234+J235</f>
        <v>0</v>
      </c>
      <c r="J235" s="8">
        <f>IF($D235="ACC",$C235,0)</f>
        <v>0</v>
      </c>
      <c r="K235" s="8">
        <f>K234+L235</f>
        <v>0</v>
      </c>
      <c r="L235" s="8">
        <f>IF($D235="CBB",$C235,0)</f>
        <v>0</v>
      </c>
    </row>
    <row r="236" spans="1:12" x14ac:dyDescent="0.25">
      <c r="A236" s="6">
        <v>41468</v>
      </c>
      <c r="B236" t="s">
        <v>67</v>
      </c>
      <c r="C236" s="7">
        <v>3600</v>
      </c>
      <c r="D236" t="s">
        <v>6</v>
      </c>
      <c r="E236" s="8">
        <f>E235+F236</f>
        <v>13778</v>
      </c>
      <c r="F236" s="8">
        <f>IF($D236="CR01",$C236,0)</f>
        <v>3600</v>
      </c>
      <c r="G236" s="8">
        <f>G235+H236</f>
        <v>0</v>
      </c>
      <c r="H236" s="8">
        <f>IF($D236="VISA",$C236,0)</f>
        <v>0</v>
      </c>
      <c r="I236" s="8">
        <f>I235+J236</f>
        <v>0</v>
      </c>
      <c r="J236" s="8">
        <f>IF($D236="ACC",$C236,0)</f>
        <v>0</v>
      </c>
      <c r="K236" s="8">
        <f>K235+L236</f>
        <v>0</v>
      </c>
      <c r="L236" s="8">
        <f>IF($D236="CBB",$C236,0)</f>
        <v>0</v>
      </c>
    </row>
    <row r="237" spans="1:12" x14ac:dyDescent="0.25">
      <c r="A237" s="6">
        <v>41471</v>
      </c>
      <c r="B237" t="s">
        <v>42</v>
      </c>
      <c r="C237" s="7">
        <v>-2806</v>
      </c>
      <c r="D237" t="s">
        <v>6</v>
      </c>
      <c r="E237" s="8">
        <f>E236+F237</f>
        <v>10972</v>
      </c>
      <c r="F237" s="8">
        <f>IF($D237="CR01",$C237,0)</f>
        <v>-2806</v>
      </c>
      <c r="G237" s="8">
        <f>G236+H237</f>
        <v>0</v>
      </c>
      <c r="H237" s="8">
        <f>IF($D237="VISA",$C237,0)</f>
        <v>0</v>
      </c>
      <c r="I237" s="8">
        <f>I236+J237</f>
        <v>0</v>
      </c>
      <c r="J237" s="8">
        <f>IF($D237="ACC",$C237,0)</f>
        <v>0</v>
      </c>
      <c r="K237" s="8">
        <f>K236+L237</f>
        <v>0</v>
      </c>
      <c r="L237" s="8">
        <f>IF($D237="CBB",$C237,0)</f>
        <v>0</v>
      </c>
    </row>
    <row r="238" spans="1:12" x14ac:dyDescent="0.25">
      <c r="A238" s="6">
        <v>41471</v>
      </c>
      <c r="B238" t="s">
        <v>48</v>
      </c>
      <c r="C238" s="7">
        <v>-100</v>
      </c>
      <c r="D238" t="s">
        <v>6</v>
      </c>
      <c r="E238" s="8">
        <f>E237+F238</f>
        <v>10872</v>
      </c>
      <c r="F238" s="8">
        <f>IF($D238="CR01",$C238,0)</f>
        <v>-100</v>
      </c>
      <c r="G238" s="8">
        <f>G237+H238</f>
        <v>0</v>
      </c>
      <c r="H238" s="8">
        <f>IF($D238="VISA",$C238,0)</f>
        <v>0</v>
      </c>
      <c r="I238" s="8">
        <f>I237+J238</f>
        <v>0</v>
      </c>
      <c r="J238" s="8">
        <f>IF($D238="ACC",$C238,0)</f>
        <v>0</v>
      </c>
      <c r="K238" s="8">
        <f>K237+L238</f>
        <v>0</v>
      </c>
      <c r="L238" s="8">
        <f>IF($D238="CBB",$C238,0)</f>
        <v>0</v>
      </c>
    </row>
    <row r="239" spans="1:12" x14ac:dyDescent="0.25">
      <c r="A239" s="6">
        <v>41472</v>
      </c>
      <c r="B239" t="s">
        <v>47</v>
      </c>
      <c r="C239" s="7">
        <v>-120</v>
      </c>
      <c r="D239" t="s">
        <v>6</v>
      </c>
      <c r="E239" s="8">
        <f>E238+F239</f>
        <v>10752</v>
      </c>
      <c r="F239" s="8">
        <f>IF($D239="CR01",$C239,0)</f>
        <v>-120</v>
      </c>
      <c r="G239" s="8">
        <f>G238+H239</f>
        <v>0</v>
      </c>
      <c r="H239" s="8">
        <f>IF($D239="VISA",$C239,0)</f>
        <v>0</v>
      </c>
      <c r="I239" s="8">
        <f>I238+J239</f>
        <v>0</v>
      </c>
      <c r="J239" s="8">
        <f>IF($D239="ACC",$C239,0)</f>
        <v>0</v>
      </c>
      <c r="K239" s="8">
        <f>K238+L239</f>
        <v>0</v>
      </c>
      <c r="L239" s="8">
        <f>IF($D239="CBB",$C239,0)</f>
        <v>0</v>
      </c>
    </row>
    <row r="240" spans="1:12" x14ac:dyDescent="0.25">
      <c r="A240" s="6">
        <v>41473</v>
      </c>
      <c r="B240" t="s">
        <v>44</v>
      </c>
      <c r="C240" s="7">
        <v>-400</v>
      </c>
      <c r="D240" t="s">
        <v>6</v>
      </c>
      <c r="E240" s="8">
        <f>E239+F240</f>
        <v>10352</v>
      </c>
      <c r="F240" s="8">
        <f>IF($D240="CR01",$C240,0)</f>
        <v>-400</v>
      </c>
      <c r="G240" s="8">
        <f>G239+H240</f>
        <v>0</v>
      </c>
      <c r="H240" s="8">
        <f>IF($D240="VISA",$C240,0)</f>
        <v>0</v>
      </c>
      <c r="I240" s="8">
        <f>I239+J240</f>
        <v>0</v>
      </c>
      <c r="J240" s="8">
        <f>IF($D240="ACC",$C240,0)</f>
        <v>0</v>
      </c>
      <c r="K240" s="8">
        <f>K239+L240</f>
        <v>0</v>
      </c>
      <c r="L240" s="8">
        <f>IF($D240="CBB",$C240,0)</f>
        <v>0</v>
      </c>
    </row>
    <row r="241" spans="1:12" x14ac:dyDescent="0.25">
      <c r="A241" s="6">
        <v>41473</v>
      </c>
      <c r="B241" t="s">
        <v>45</v>
      </c>
      <c r="C241" s="7">
        <v>-180</v>
      </c>
      <c r="D241" t="s">
        <v>6</v>
      </c>
      <c r="E241" s="8">
        <f>E240+F241</f>
        <v>10172</v>
      </c>
      <c r="F241" s="8">
        <f>IF($D241="CR01",$C241,0)</f>
        <v>-180</v>
      </c>
      <c r="G241" s="8">
        <f>G240+H241</f>
        <v>0</v>
      </c>
      <c r="H241" s="8">
        <f>IF($D241="VISA",$C241,0)</f>
        <v>0</v>
      </c>
      <c r="I241" s="8">
        <f>I240+J241</f>
        <v>0</v>
      </c>
      <c r="J241" s="8">
        <f>IF($D241="ACC",$C241,0)</f>
        <v>0</v>
      </c>
      <c r="K241" s="8">
        <f>K240+L241</f>
        <v>0</v>
      </c>
      <c r="L241" s="8">
        <f>IF($D241="CBB",$C241,0)</f>
        <v>0</v>
      </c>
    </row>
    <row r="242" spans="1:12" x14ac:dyDescent="0.25">
      <c r="A242" s="6">
        <v>41473</v>
      </c>
      <c r="B242" t="s">
        <v>46</v>
      </c>
      <c r="C242" s="7">
        <v>-300</v>
      </c>
      <c r="D242" t="s">
        <v>6</v>
      </c>
      <c r="E242" s="8">
        <f>E241+F242</f>
        <v>9872</v>
      </c>
      <c r="F242" s="8">
        <f>IF($D242="CR01",$C242,0)</f>
        <v>-300</v>
      </c>
      <c r="G242" s="8">
        <f>G241+H242</f>
        <v>0</v>
      </c>
      <c r="H242" s="8">
        <f>IF($D242="VISA",$C242,0)</f>
        <v>0</v>
      </c>
      <c r="I242" s="8">
        <f>I241+J242</f>
        <v>0</v>
      </c>
      <c r="J242" s="8">
        <f>IF($D242="ACC",$C242,0)</f>
        <v>0</v>
      </c>
      <c r="K242" s="8">
        <f>K241+L242</f>
        <v>0</v>
      </c>
      <c r="L242" s="8">
        <f>IF($D242="CBB",$C242,0)</f>
        <v>0</v>
      </c>
    </row>
    <row r="243" spans="1:12" x14ac:dyDescent="0.25">
      <c r="A243" s="6">
        <v>41474</v>
      </c>
      <c r="B243" t="s">
        <v>43</v>
      </c>
      <c r="C243" s="7">
        <v>3226</v>
      </c>
      <c r="D243" t="s">
        <v>6</v>
      </c>
      <c r="E243" s="8">
        <f>E242+F243</f>
        <v>13098</v>
      </c>
      <c r="F243" s="8">
        <f>IF($D243="CR01",$C243,0)</f>
        <v>3226</v>
      </c>
      <c r="G243" s="8">
        <f>G242+H243</f>
        <v>0</v>
      </c>
      <c r="H243" s="8">
        <f>IF($D243="VISA",$C243,0)</f>
        <v>0</v>
      </c>
      <c r="I243" s="8">
        <f>I242+J243</f>
        <v>0</v>
      </c>
      <c r="J243" s="8">
        <f>IF($D243="ACC",$C243,0)</f>
        <v>0</v>
      </c>
      <c r="K243" s="8">
        <f>K242+L243</f>
        <v>0</v>
      </c>
      <c r="L243" s="8">
        <f>IF($D243="CBB",$C243,0)</f>
        <v>0</v>
      </c>
    </row>
    <row r="244" spans="1:12" x14ac:dyDescent="0.25">
      <c r="A244" s="6">
        <v>41478</v>
      </c>
      <c r="B244" t="s">
        <v>48</v>
      </c>
      <c r="C244" s="7">
        <v>-100</v>
      </c>
      <c r="D244" t="s">
        <v>6</v>
      </c>
      <c r="E244" s="8">
        <f>E243+F244</f>
        <v>12998</v>
      </c>
      <c r="F244" s="8">
        <f>IF($D244="CR01",$C244,0)</f>
        <v>-100</v>
      </c>
      <c r="G244" s="8">
        <f>G243+H244</f>
        <v>0</v>
      </c>
      <c r="H244" s="8">
        <f>IF($D244="VISA",$C244,0)</f>
        <v>0</v>
      </c>
      <c r="I244" s="8">
        <f>I243+J244</f>
        <v>0</v>
      </c>
      <c r="J244" s="8">
        <f>IF($D244="ACC",$C244,0)</f>
        <v>0</v>
      </c>
      <c r="K244" s="8">
        <f>K243+L244</f>
        <v>0</v>
      </c>
      <c r="L244" s="8">
        <f>IF($D244="CBB",$C244,0)</f>
        <v>0</v>
      </c>
    </row>
    <row r="245" spans="1:12" x14ac:dyDescent="0.25">
      <c r="A245" s="6">
        <v>41479</v>
      </c>
      <c r="B245" t="s">
        <v>47</v>
      </c>
      <c r="C245" s="7">
        <v>-120</v>
      </c>
      <c r="D245" t="s">
        <v>6</v>
      </c>
      <c r="E245" s="8">
        <f>E244+F245</f>
        <v>12878</v>
      </c>
      <c r="F245" s="8">
        <f>IF($D245="CR01",$C245,0)</f>
        <v>-120</v>
      </c>
      <c r="G245" s="8">
        <f>G244+H245</f>
        <v>0</v>
      </c>
      <c r="H245" s="8">
        <f>IF($D245="VISA",$C245,0)</f>
        <v>0</v>
      </c>
      <c r="I245" s="8">
        <f>I244+J245</f>
        <v>0</v>
      </c>
      <c r="J245" s="8">
        <f>IF($D245="ACC",$C245,0)</f>
        <v>0</v>
      </c>
      <c r="K245" s="8">
        <f>K244+L245</f>
        <v>0</v>
      </c>
      <c r="L245" s="8">
        <f>IF($D245="CBB",$C245,0)</f>
        <v>0</v>
      </c>
    </row>
    <row r="246" spans="1:12" x14ac:dyDescent="0.25">
      <c r="A246" s="6">
        <v>41480</v>
      </c>
      <c r="B246" t="s">
        <v>44</v>
      </c>
      <c r="C246" s="7">
        <v>-400</v>
      </c>
      <c r="D246" t="s">
        <v>6</v>
      </c>
      <c r="E246" s="8">
        <f>E245+F246</f>
        <v>12478</v>
      </c>
      <c r="F246" s="8">
        <f>IF($D246="CR01",$C246,0)</f>
        <v>-400</v>
      </c>
      <c r="G246" s="8">
        <f>G245+H246</f>
        <v>0</v>
      </c>
      <c r="H246" s="8">
        <f>IF($D246="VISA",$C246,0)</f>
        <v>0</v>
      </c>
      <c r="I246" s="8">
        <f>I245+J246</f>
        <v>0</v>
      </c>
      <c r="J246" s="8">
        <f>IF($D246="ACC",$C246,0)</f>
        <v>0</v>
      </c>
      <c r="K246" s="8">
        <f>K245+L246</f>
        <v>0</v>
      </c>
      <c r="L246" s="8">
        <f>IF($D246="CBB",$C246,0)</f>
        <v>0</v>
      </c>
    </row>
    <row r="247" spans="1:12" x14ac:dyDescent="0.25">
      <c r="A247" s="6">
        <v>41480</v>
      </c>
      <c r="B247" t="s">
        <v>45</v>
      </c>
      <c r="C247" s="7">
        <v>-180</v>
      </c>
      <c r="D247" t="s">
        <v>6</v>
      </c>
      <c r="E247" s="8">
        <f>E246+F247</f>
        <v>12298</v>
      </c>
      <c r="F247" s="8">
        <f>IF($D247="CR01",$C247,0)</f>
        <v>-180</v>
      </c>
      <c r="G247" s="8">
        <f>G246+H247</f>
        <v>0</v>
      </c>
      <c r="H247" s="8">
        <f>IF($D247="VISA",$C247,0)</f>
        <v>0</v>
      </c>
      <c r="I247" s="8">
        <f>I246+J247</f>
        <v>0</v>
      </c>
      <c r="J247" s="8">
        <f>IF($D247="ACC",$C247,0)</f>
        <v>0</v>
      </c>
      <c r="K247" s="8">
        <f>K246+L247</f>
        <v>0</v>
      </c>
      <c r="L247" s="8">
        <f>IF($D247="CBB",$C247,0)</f>
        <v>0</v>
      </c>
    </row>
    <row r="248" spans="1:12" x14ac:dyDescent="0.25">
      <c r="A248" s="6">
        <v>41480</v>
      </c>
      <c r="B248" t="s">
        <v>46</v>
      </c>
      <c r="C248" s="7">
        <v>-300</v>
      </c>
      <c r="D248" t="s">
        <v>6</v>
      </c>
      <c r="E248" s="8">
        <f>E247+F248</f>
        <v>11998</v>
      </c>
      <c r="F248" s="8">
        <f>IF($D248="CR01",$C248,0)</f>
        <v>-300</v>
      </c>
      <c r="G248" s="8">
        <f>G247+H248</f>
        <v>0</v>
      </c>
      <c r="H248" s="8">
        <f>IF($D248="VISA",$C248,0)</f>
        <v>0</v>
      </c>
      <c r="I248" s="8">
        <f>I247+J248</f>
        <v>0</v>
      </c>
      <c r="J248" s="8">
        <f>IF($D248="ACC",$C248,0)</f>
        <v>0</v>
      </c>
      <c r="K248" s="8">
        <f>K247+L248</f>
        <v>0</v>
      </c>
      <c r="L248" s="8">
        <f>IF($D248="CBB",$C248,0)</f>
        <v>0</v>
      </c>
    </row>
    <row r="249" spans="1:12" x14ac:dyDescent="0.25">
      <c r="A249" s="6">
        <v>41482</v>
      </c>
      <c r="B249" t="s">
        <v>67</v>
      </c>
      <c r="C249" s="7">
        <v>3600</v>
      </c>
      <c r="D249" t="s">
        <v>6</v>
      </c>
      <c r="E249" s="8">
        <f>E248+F249</f>
        <v>15598</v>
      </c>
      <c r="F249" s="8">
        <f>IF($D249="CR01",$C249,0)</f>
        <v>3600</v>
      </c>
      <c r="G249" s="8">
        <f>G248+H249</f>
        <v>0</v>
      </c>
      <c r="H249" s="8">
        <f>IF($D249="VISA",$C249,0)</f>
        <v>0</v>
      </c>
      <c r="I249" s="8">
        <f>I248+J249</f>
        <v>0</v>
      </c>
      <c r="J249" s="8">
        <f>IF($D249="ACC",$C249,0)</f>
        <v>0</v>
      </c>
      <c r="K249" s="8">
        <f>K248+L249</f>
        <v>0</v>
      </c>
      <c r="L249" s="8">
        <f>IF($D249="CBB",$C249,0)</f>
        <v>0</v>
      </c>
    </row>
    <row r="250" spans="1:12" x14ac:dyDescent="0.25">
      <c r="A250" s="6">
        <v>41485</v>
      </c>
      <c r="B250" t="s">
        <v>42</v>
      </c>
      <c r="C250" s="7">
        <v>-2806</v>
      </c>
      <c r="D250" t="s">
        <v>6</v>
      </c>
      <c r="E250" s="8">
        <f>E249+F250</f>
        <v>12792</v>
      </c>
      <c r="F250" s="8">
        <f>IF($D250="CR01",$C250,0)</f>
        <v>-2806</v>
      </c>
      <c r="G250" s="8">
        <f>G249+H250</f>
        <v>0</v>
      </c>
      <c r="H250" s="8">
        <f>IF($D250="VISA",$C250,0)</f>
        <v>0</v>
      </c>
      <c r="I250" s="8">
        <f>I249+J250</f>
        <v>0</v>
      </c>
      <c r="J250" s="8">
        <f>IF($D250="ACC",$C250,0)</f>
        <v>0</v>
      </c>
      <c r="K250" s="8">
        <f>K249+L250</f>
        <v>0</v>
      </c>
      <c r="L250" s="8">
        <f>IF($D250="CBB",$C250,0)</f>
        <v>0</v>
      </c>
    </row>
    <row r="251" spans="1:12" x14ac:dyDescent="0.25">
      <c r="A251" s="6">
        <v>41485</v>
      </c>
      <c r="B251" t="s">
        <v>48</v>
      </c>
      <c r="C251" s="7">
        <v>-100</v>
      </c>
      <c r="D251" t="s">
        <v>6</v>
      </c>
      <c r="E251" s="8">
        <f>E250+F251</f>
        <v>12692</v>
      </c>
      <c r="F251" s="8">
        <f>IF($D251="CR01",$C251,0)</f>
        <v>-100</v>
      </c>
      <c r="G251" s="8">
        <f>G250+H251</f>
        <v>0</v>
      </c>
      <c r="H251" s="8">
        <f>IF($D251="VISA",$C251,0)</f>
        <v>0</v>
      </c>
      <c r="I251" s="8">
        <f>I250+J251</f>
        <v>0</v>
      </c>
      <c r="J251" s="8">
        <f>IF($D251="ACC",$C251,0)</f>
        <v>0</v>
      </c>
      <c r="K251" s="8">
        <f>K250+L251</f>
        <v>0</v>
      </c>
      <c r="L251" s="8">
        <f>IF($D251="CBB",$C251,0)</f>
        <v>0</v>
      </c>
    </row>
    <row r="252" spans="1:12" x14ac:dyDescent="0.25">
      <c r="A252" s="6">
        <v>41486</v>
      </c>
      <c r="B252" t="s">
        <v>47</v>
      </c>
      <c r="C252" s="7">
        <v>-120</v>
      </c>
      <c r="D252" t="s">
        <v>6</v>
      </c>
      <c r="E252" s="8">
        <f>E251+F252</f>
        <v>12572</v>
      </c>
      <c r="F252" s="8">
        <f>IF($D252="CR01",$C252,0)</f>
        <v>-120</v>
      </c>
      <c r="G252" s="8">
        <f>G251+H252</f>
        <v>0</v>
      </c>
      <c r="H252" s="8">
        <f>IF($D252="VISA",$C252,0)</f>
        <v>0</v>
      </c>
      <c r="I252" s="8">
        <f>I251+J252</f>
        <v>0</v>
      </c>
      <c r="J252" s="8">
        <f>IF($D252="ACC",$C252,0)</f>
        <v>0</v>
      </c>
      <c r="K252" s="8">
        <f>K251+L252</f>
        <v>0</v>
      </c>
      <c r="L252" s="8">
        <f>IF($D252="CBB",$C252,0)</f>
        <v>0</v>
      </c>
    </row>
    <row r="253" spans="1:12" x14ac:dyDescent="0.25">
      <c r="A253" s="6">
        <v>41487</v>
      </c>
      <c r="B253" t="s">
        <v>44</v>
      </c>
      <c r="C253" s="7">
        <v>-400</v>
      </c>
      <c r="D253" t="s">
        <v>6</v>
      </c>
      <c r="E253" s="8">
        <f>E252+F253</f>
        <v>12172</v>
      </c>
      <c r="F253" s="8">
        <f>IF($D253="CR01",$C253,0)</f>
        <v>-400</v>
      </c>
      <c r="G253" s="8">
        <f>G252+H253</f>
        <v>0</v>
      </c>
      <c r="H253" s="8">
        <f>IF($D253="VISA",$C253,0)</f>
        <v>0</v>
      </c>
      <c r="I253" s="8">
        <f>I252+J253</f>
        <v>0</v>
      </c>
      <c r="J253" s="8">
        <f>IF($D253="ACC",$C253,0)</f>
        <v>0</v>
      </c>
      <c r="K253" s="8">
        <f>K252+L253</f>
        <v>0</v>
      </c>
      <c r="L253" s="8">
        <f>IF($D253="CBB",$C253,0)</f>
        <v>0</v>
      </c>
    </row>
    <row r="254" spans="1:12" x14ac:dyDescent="0.25">
      <c r="A254" s="6">
        <v>41487</v>
      </c>
      <c r="B254" t="s">
        <v>45</v>
      </c>
      <c r="C254" s="7">
        <v>-180</v>
      </c>
      <c r="D254" t="s">
        <v>6</v>
      </c>
      <c r="E254" s="8">
        <f>E253+F254</f>
        <v>11992</v>
      </c>
      <c r="F254" s="8">
        <f>IF($D254="CR01",$C254,0)</f>
        <v>-180</v>
      </c>
      <c r="G254" s="8">
        <f>G253+H254</f>
        <v>0</v>
      </c>
      <c r="H254" s="8">
        <f>IF($D254="VISA",$C254,0)</f>
        <v>0</v>
      </c>
      <c r="I254" s="8">
        <f>I253+J254</f>
        <v>0</v>
      </c>
      <c r="J254" s="8">
        <f>IF($D254="ACC",$C254,0)</f>
        <v>0</v>
      </c>
      <c r="K254" s="8">
        <f>K253+L254</f>
        <v>0</v>
      </c>
      <c r="L254" s="8">
        <f>IF($D254="CBB",$C254,0)</f>
        <v>0</v>
      </c>
    </row>
    <row r="255" spans="1:12" x14ac:dyDescent="0.25">
      <c r="A255" s="6">
        <v>41487</v>
      </c>
      <c r="B255" t="s">
        <v>46</v>
      </c>
      <c r="C255" s="7">
        <v>-300</v>
      </c>
      <c r="D255" t="s">
        <v>6</v>
      </c>
      <c r="E255" s="8">
        <f>E254+F255</f>
        <v>11692</v>
      </c>
      <c r="F255" s="8">
        <f>IF($D255="CR01",$C255,0)</f>
        <v>-300</v>
      </c>
      <c r="G255" s="8">
        <f>G254+H255</f>
        <v>0</v>
      </c>
      <c r="H255" s="8">
        <f>IF($D255="VISA",$C255,0)</f>
        <v>0</v>
      </c>
      <c r="I255" s="8">
        <f>I254+J255</f>
        <v>0</v>
      </c>
      <c r="J255" s="8">
        <f>IF($D255="ACC",$C255,0)</f>
        <v>0</v>
      </c>
      <c r="K255" s="8">
        <f>K254+L255</f>
        <v>0</v>
      </c>
      <c r="L255" s="8">
        <f>IF($D255="CBB",$C255,0)</f>
        <v>0</v>
      </c>
    </row>
    <row r="256" spans="1:12" x14ac:dyDescent="0.25">
      <c r="A256" s="6">
        <v>41487</v>
      </c>
      <c r="B256" t="s">
        <v>58</v>
      </c>
      <c r="C256" s="7">
        <v>-200</v>
      </c>
      <c r="D256" t="s">
        <v>6</v>
      </c>
      <c r="E256" s="8">
        <f>E255+F256</f>
        <v>11492</v>
      </c>
      <c r="F256" s="8">
        <f>IF($D256="CR01",$C256,0)</f>
        <v>-200</v>
      </c>
      <c r="G256" s="8">
        <f>G255+H256</f>
        <v>0</v>
      </c>
      <c r="H256" s="8">
        <f>IF($D256="VISA",$C256,0)</f>
        <v>0</v>
      </c>
      <c r="I256" s="8">
        <f>I255+J256</f>
        <v>0</v>
      </c>
      <c r="J256" s="8">
        <f>IF($D256="ACC",$C256,0)</f>
        <v>0</v>
      </c>
      <c r="K256" s="8">
        <f>K255+L256</f>
        <v>0</v>
      </c>
      <c r="L256" s="8">
        <f>IF($D256="CBB",$C256,0)</f>
        <v>0</v>
      </c>
    </row>
    <row r="257" spans="1:12" x14ac:dyDescent="0.25">
      <c r="A257" s="6">
        <v>41487</v>
      </c>
      <c r="B257" t="s">
        <v>60</v>
      </c>
      <c r="C257" s="7">
        <v>-400</v>
      </c>
      <c r="D257" t="s">
        <v>6</v>
      </c>
      <c r="E257" s="8">
        <f>E256+F257</f>
        <v>11092</v>
      </c>
      <c r="F257" s="8">
        <f>IF($D257="CR01",$C257,0)</f>
        <v>-400</v>
      </c>
      <c r="G257" s="8">
        <f>G256+H257</f>
        <v>0</v>
      </c>
      <c r="H257" s="8">
        <f>IF($D257="VISA",$C257,0)</f>
        <v>0</v>
      </c>
      <c r="I257" s="8">
        <f>I256+J257</f>
        <v>0</v>
      </c>
      <c r="J257" s="8">
        <f>IF($D257="ACC",$C257,0)</f>
        <v>0</v>
      </c>
      <c r="K257" s="8">
        <f>K256+L257</f>
        <v>0</v>
      </c>
      <c r="L257" s="8">
        <f>IF($D257="CBB",$C257,0)</f>
        <v>0</v>
      </c>
    </row>
    <row r="258" spans="1:12" x14ac:dyDescent="0.25">
      <c r="A258" s="6">
        <v>41487</v>
      </c>
      <c r="B258" t="s">
        <v>62</v>
      </c>
      <c r="C258" s="7">
        <v>-300</v>
      </c>
      <c r="D258" t="s">
        <v>6</v>
      </c>
      <c r="E258" s="8">
        <f>E257+F258</f>
        <v>10792</v>
      </c>
      <c r="F258" s="8">
        <f>IF($D258="CR01",$C258,0)</f>
        <v>-300</v>
      </c>
      <c r="G258" s="8">
        <f>G257+H258</f>
        <v>0</v>
      </c>
      <c r="H258" s="8">
        <f>IF($D258="VISA",$C258,0)</f>
        <v>0</v>
      </c>
      <c r="I258" s="8">
        <f>I257+J258</f>
        <v>0</v>
      </c>
      <c r="J258" s="8">
        <f>IF($D258="ACC",$C258,0)</f>
        <v>0</v>
      </c>
      <c r="K258" s="8">
        <f>K257+L258</f>
        <v>0</v>
      </c>
      <c r="L258" s="8">
        <f>IF($D258="CBB",$C258,0)</f>
        <v>0</v>
      </c>
    </row>
    <row r="259" spans="1:12" x14ac:dyDescent="0.25">
      <c r="A259" s="6">
        <v>41487</v>
      </c>
      <c r="B259" t="s">
        <v>63</v>
      </c>
      <c r="C259" s="7">
        <v>-300</v>
      </c>
      <c r="D259" t="s">
        <v>6</v>
      </c>
      <c r="E259" s="8">
        <f>E258+F259</f>
        <v>10492</v>
      </c>
      <c r="F259" s="8">
        <f>IF($D259="CR01",$C259,0)</f>
        <v>-300</v>
      </c>
      <c r="G259" s="8">
        <f>G258+H259</f>
        <v>0</v>
      </c>
      <c r="H259" s="8">
        <f>IF($D259="VISA",$C259,0)</f>
        <v>0</v>
      </c>
      <c r="I259" s="8">
        <f>I258+J259</f>
        <v>0</v>
      </c>
      <c r="J259" s="8">
        <f>IF($D259="ACC",$C259,0)</f>
        <v>0</v>
      </c>
      <c r="K259" s="8">
        <f>K258+L259</f>
        <v>0</v>
      </c>
      <c r="L259" s="8">
        <f>IF($D259="CBB",$C259,0)</f>
        <v>0</v>
      </c>
    </row>
    <row r="260" spans="1:12" x14ac:dyDescent="0.25">
      <c r="A260" s="6">
        <v>41487</v>
      </c>
      <c r="B260" t="s">
        <v>64</v>
      </c>
      <c r="C260" s="7">
        <v>-26</v>
      </c>
      <c r="D260" t="s">
        <v>6</v>
      </c>
      <c r="E260" s="8">
        <f>E259+F260</f>
        <v>10466</v>
      </c>
      <c r="F260" s="8">
        <f>IF($D260="CR01",$C260,0)</f>
        <v>-26</v>
      </c>
      <c r="G260" s="8">
        <f>G259+H260</f>
        <v>0</v>
      </c>
      <c r="H260" s="8">
        <f>IF($D260="VISA",$C260,0)</f>
        <v>0</v>
      </c>
      <c r="I260" s="8">
        <f>I259+J260</f>
        <v>0</v>
      </c>
      <c r="J260" s="8">
        <f>IF($D260="ACC",$C260,0)</f>
        <v>0</v>
      </c>
      <c r="K260" s="8">
        <f>K259+L260</f>
        <v>0</v>
      </c>
      <c r="L260" s="8">
        <f>IF($D260="CBB",$C260,0)</f>
        <v>0</v>
      </c>
    </row>
    <row r="261" spans="1:12" x14ac:dyDescent="0.25">
      <c r="A261" s="6">
        <v>41487</v>
      </c>
      <c r="B261" t="s">
        <v>65</v>
      </c>
      <c r="C261" s="7">
        <v>-240</v>
      </c>
      <c r="D261" t="s">
        <v>6</v>
      </c>
      <c r="E261" s="8">
        <f>E260+F261</f>
        <v>10226</v>
      </c>
      <c r="F261" s="8">
        <f>IF($D261="CR01",$C261,0)</f>
        <v>-240</v>
      </c>
      <c r="G261" s="8">
        <f>G260+H261</f>
        <v>0</v>
      </c>
      <c r="H261" s="8">
        <f>IF($D261="VISA",$C261,0)</f>
        <v>0</v>
      </c>
      <c r="I261" s="8">
        <f>I260+J261</f>
        <v>0</v>
      </c>
      <c r="J261" s="8">
        <f>IF($D261="ACC",$C261,0)</f>
        <v>0</v>
      </c>
      <c r="K261" s="8">
        <f>K260+L261</f>
        <v>0</v>
      </c>
      <c r="L261" s="8">
        <f>IF($D261="CBB",$C261,0)</f>
        <v>0</v>
      </c>
    </row>
    <row r="262" spans="1:12" x14ac:dyDescent="0.25">
      <c r="A262" s="6">
        <v>41487</v>
      </c>
      <c r="B262" t="s">
        <v>66</v>
      </c>
      <c r="C262" s="7">
        <v>-120</v>
      </c>
      <c r="D262" t="s">
        <v>6</v>
      </c>
      <c r="E262" s="8">
        <f>E261+F262</f>
        <v>10106</v>
      </c>
      <c r="F262" s="8">
        <f>IF($D262="CR01",$C262,0)</f>
        <v>-120</v>
      </c>
      <c r="G262" s="8">
        <f>G261+H262</f>
        <v>0</v>
      </c>
      <c r="H262" s="8">
        <f>IF($D262="VISA",$C262,0)</f>
        <v>0</v>
      </c>
      <c r="I262" s="8">
        <f>I261+J262</f>
        <v>0</v>
      </c>
      <c r="J262" s="8">
        <f>IF($D262="ACC",$C262,0)</f>
        <v>0</v>
      </c>
      <c r="K262" s="8">
        <f>K261+L262</f>
        <v>0</v>
      </c>
      <c r="L262" s="8">
        <f>IF($D262="CBB",$C262,0)</f>
        <v>0</v>
      </c>
    </row>
    <row r="263" spans="1:12" x14ac:dyDescent="0.25">
      <c r="A263" s="6">
        <v>41488</v>
      </c>
      <c r="B263" t="s">
        <v>43</v>
      </c>
      <c r="C263" s="7">
        <v>3226</v>
      </c>
      <c r="D263" t="s">
        <v>6</v>
      </c>
      <c r="E263" s="8">
        <f>E262+F263</f>
        <v>13332</v>
      </c>
      <c r="F263" s="8">
        <f>IF($D263="CR01",$C263,0)</f>
        <v>3226</v>
      </c>
      <c r="G263" s="8">
        <f>G262+H263</f>
        <v>0</v>
      </c>
      <c r="H263" s="8">
        <f>IF($D263="VISA",$C263,0)</f>
        <v>0</v>
      </c>
      <c r="I263" s="8">
        <f>I262+J263</f>
        <v>0</v>
      </c>
      <c r="J263" s="8">
        <f>IF($D263="ACC",$C263,0)</f>
        <v>0</v>
      </c>
      <c r="K263" s="8">
        <f>K262+L263</f>
        <v>0</v>
      </c>
      <c r="L263" s="8">
        <f>IF($D263="CBB",$C263,0)</f>
        <v>0</v>
      </c>
    </row>
    <row r="264" spans="1:12" x14ac:dyDescent="0.25">
      <c r="A264" s="6">
        <v>41488</v>
      </c>
      <c r="B264" t="s">
        <v>59</v>
      </c>
      <c r="C264" s="7">
        <v>-900</v>
      </c>
      <c r="D264" t="s">
        <v>6</v>
      </c>
      <c r="E264" s="8">
        <f>E263+F264</f>
        <v>12432</v>
      </c>
      <c r="F264" s="8">
        <f>IF($D264="CR01",$C264,0)</f>
        <v>-900</v>
      </c>
      <c r="G264" s="8">
        <f>G263+H264</f>
        <v>0</v>
      </c>
      <c r="H264" s="8">
        <f>IF($D264="VISA",$C264,0)</f>
        <v>0</v>
      </c>
      <c r="I264" s="8">
        <f>I263+J264</f>
        <v>0</v>
      </c>
      <c r="J264" s="8">
        <f>IF($D264="ACC",$C264,0)</f>
        <v>0</v>
      </c>
      <c r="K264" s="8">
        <f>K263+L264</f>
        <v>0</v>
      </c>
      <c r="L264" s="8">
        <f>IF($D264="CBB",$C264,0)</f>
        <v>0</v>
      </c>
    </row>
    <row r="265" spans="1:12" x14ac:dyDescent="0.25">
      <c r="A265" s="6">
        <v>41492</v>
      </c>
      <c r="B265" t="s">
        <v>48</v>
      </c>
      <c r="C265" s="7">
        <v>-100</v>
      </c>
      <c r="D265" t="s">
        <v>6</v>
      </c>
      <c r="E265" s="8">
        <f>E264+F265</f>
        <v>12332</v>
      </c>
      <c r="F265" s="8">
        <f>IF($D265="CR01",$C265,0)</f>
        <v>-100</v>
      </c>
      <c r="G265" s="8">
        <f>G264+H265</f>
        <v>0</v>
      </c>
      <c r="H265" s="8">
        <f>IF($D265="VISA",$C265,0)</f>
        <v>0</v>
      </c>
      <c r="I265" s="8">
        <f>I264+J265</f>
        <v>0</v>
      </c>
      <c r="J265" s="8">
        <f>IF($D265="ACC",$C265,0)</f>
        <v>0</v>
      </c>
      <c r="K265" s="8">
        <f>K264+L265</f>
        <v>0</v>
      </c>
      <c r="L265" s="8">
        <f>IF($D265="CBB",$C265,0)</f>
        <v>0</v>
      </c>
    </row>
    <row r="266" spans="1:12" x14ac:dyDescent="0.25">
      <c r="A266" s="6">
        <v>41493</v>
      </c>
      <c r="B266" t="s">
        <v>47</v>
      </c>
      <c r="C266" s="7">
        <v>-120</v>
      </c>
      <c r="D266" t="s">
        <v>6</v>
      </c>
      <c r="E266" s="8">
        <f>E265+F266</f>
        <v>12212</v>
      </c>
      <c r="F266" s="8">
        <f>IF($D266="CR01",$C266,0)</f>
        <v>-120</v>
      </c>
      <c r="G266" s="8">
        <f>G265+H266</f>
        <v>0</v>
      </c>
      <c r="H266" s="8">
        <f>IF($D266="VISA",$C266,0)</f>
        <v>0</v>
      </c>
      <c r="I266" s="8">
        <f>I265+J266</f>
        <v>0</v>
      </c>
      <c r="J266" s="8">
        <f>IF($D266="ACC",$C266,0)</f>
        <v>0</v>
      </c>
      <c r="K266" s="8">
        <f>K265+L266</f>
        <v>0</v>
      </c>
      <c r="L266" s="8">
        <f>IF($D266="CBB",$C266,0)</f>
        <v>0</v>
      </c>
    </row>
    <row r="267" spans="1:12" x14ac:dyDescent="0.25">
      <c r="A267" s="6">
        <v>41494</v>
      </c>
      <c r="B267" t="s">
        <v>44</v>
      </c>
      <c r="C267" s="7">
        <v>-400</v>
      </c>
      <c r="D267" t="s">
        <v>6</v>
      </c>
      <c r="E267" s="8">
        <f>E266+F267</f>
        <v>11812</v>
      </c>
      <c r="F267" s="8">
        <f>IF($D267="CR01",$C267,0)</f>
        <v>-400</v>
      </c>
      <c r="G267" s="8">
        <f>G266+H267</f>
        <v>0</v>
      </c>
      <c r="H267" s="8">
        <f>IF($D267="VISA",$C267,0)</f>
        <v>0</v>
      </c>
      <c r="I267" s="8">
        <f>I266+J267</f>
        <v>0</v>
      </c>
      <c r="J267" s="8">
        <f>IF($D267="ACC",$C267,0)</f>
        <v>0</v>
      </c>
      <c r="K267" s="8">
        <f>K266+L267</f>
        <v>0</v>
      </c>
      <c r="L267" s="8">
        <f>IF($D267="CBB",$C267,0)</f>
        <v>0</v>
      </c>
    </row>
    <row r="268" spans="1:12" x14ac:dyDescent="0.25">
      <c r="A268" s="6">
        <v>41494</v>
      </c>
      <c r="B268" t="s">
        <v>45</v>
      </c>
      <c r="C268" s="7">
        <v>-180</v>
      </c>
      <c r="D268" t="s">
        <v>6</v>
      </c>
      <c r="E268" s="8">
        <f>E267+F268</f>
        <v>11632</v>
      </c>
      <c r="F268" s="8">
        <f>IF($D268="CR01",$C268,0)</f>
        <v>-180</v>
      </c>
      <c r="G268" s="8">
        <f>G267+H268</f>
        <v>0</v>
      </c>
      <c r="H268" s="8">
        <f>IF($D268="VISA",$C268,0)</f>
        <v>0</v>
      </c>
      <c r="I268" s="8">
        <f>I267+J268</f>
        <v>0</v>
      </c>
      <c r="J268" s="8">
        <f>IF($D268="ACC",$C268,0)</f>
        <v>0</v>
      </c>
      <c r="K268" s="8">
        <f>K267+L268</f>
        <v>0</v>
      </c>
      <c r="L268" s="8">
        <f>IF($D268="CBB",$C268,0)</f>
        <v>0</v>
      </c>
    </row>
    <row r="269" spans="1:12" x14ac:dyDescent="0.25">
      <c r="A269" s="6">
        <v>41494</v>
      </c>
      <c r="B269" t="s">
        <v>46</v>
      </c>
      <c r="C269" s="7">
        <v>-300</v>
      </c>
      <c r="D269" t="s">
        <v>6</v>
      </c>
      <c r="E269" s="8">
        <f>E268+F269</f>
        <v>11332</v>
      </c>
      <c r="F269" s="8">
        <f>IF($D269="CR01",$C269,0)</f>
        <v>-300</v>
      </c>
      <c r="G269" s="8">
        <f>G268+H269</f>
        <v>0</v>
      </c>
      <c r="H269" s="8">
        <f>IF($D269="VISA",$C269,0)</f>
        <v>0</v>
      </c>
      <c r="I269" s="8">
        <f>I268+J269</f>
        <v>0</v>
      </c>
      <c r="J269" s="8">
        <f>IF($D269="ACC",$C269,0)</f>
        <v>0</v>
      </c>
      <c r="K269" s="8">
        <f>K268+L269</f>
        <v>0</v>
      </c>
      <c r="L269" s="8">
        <f>IF($D269="CBB",$C269,0)</f>
        <v>0</v>
      </c>
    </row>
    <row r="270" spans="1:12" x14ac:dyDescent="0.25">
      <c r="A270" s="6">
        <v>41496</v>
      </c>
      <c r="B270" t="s">
        <v>67</v>
      </c>
      <c r="C270" s="7">
        <v>3600</v>
      </c>
      <c r="D270" t="s">
        <v>6</v>
      </c>
      <c r="E270" s="8">
        <f>E269+F270</f>
        <v>14932</v>
      </c>
      <c r="F270" s="8">
        <f>IF($D270="CR01",$C270,0)</f>
        <v>3600</v>
      </c>
      <c r="G270" s="8">
        <f>G269+H270</f>
        <v>0</v>
      </c>
      <c r="H270" s="8">
        <f>IF($D270="VISA",$C270,0)</f>
        <v>0</v>
      </c>
      <c r="I270" s="8">
        <f>I269+J270</f>
        <v>0</v>
      </c>
      <c r="J270" s="8">
        <f>IF($D270="ACC",$C270,0)</f>
        <v>0</v>
      </c>
      <c r="K270" s="8">
        <f>K269+L270</f>
        <v>0</v>
      </c>
      <c r="L270" s="8">
        <f>IF($D270="CBB",$C270,0)</f>
        <v>0</v>
      </c>
    </row>
    <row r="271" spans="1:12" x14ac:dyDescent="0.25">
      <c r="A271" s="6">
        <v>41499</v>
      </c>
      <c r="B271" t="s">
        <v>42</v>
      </c>
      <c r="C271" s="7">
        <v>-2806</v>
      </c>
      <c r="D271" t="s">
        <v>6</v>
      </c>
      <c r="E271" s="8">
        <f>E270+F271</f>
        <v>12126</v>
      </c>
      <c r="F271" s="8">
        <f>IF($D271="CR01",$C271,0)</f>
        <v>-2806</v>
      </c>
      <c r="G271" s="8">
        <f>G270+H271</f>
        <v>0</v>
      </c>
      <c r="H271" s="8">
        <f>IF($D271="VISA",$C271,0)</f>
        <v>0</v>
      </c>
      <c r="I271" s="8">
        <f>I270+J271</f>
        <v>0</v>
      </c>
      <c r="J271" s="8">
        <f>IF($D271="ACC",$C271,0)</f>
        <v>0</v>
      </c>
      <c r="K271" s="8">
        <f>K270+L271</f>
        <v>0</v>
      </c>
      <c r="L271" s="8">
        <f>IF($D271="CBB",$C271,0)</f>
        <v>0</v>
      </c>
    </row>
    <row r="272" spans="1:12" x14ac:dyDescent="0.25">
      <c r="A272" s="6">
        <v>41499</v>
      </c>
      <c r="B272" t="s">
        <v>48</v>
      </c>
      <c r="C272" s="7">
        <v>-100</v>
      </c>
      <c r="D272" t="s">
        <v>6</v>
      </c>
      <c r="E272" s="8">
        <f>E271+F272</f>
        <v>12026</v>
      </c>
      <c r="F272" s="8">
        <f>IF($D272="CR01",$C272,0)</f>
        <v>-100</v>
      </c>
      <c r="G272" s="8">
        <f>G271+H272</f>
        <v>0</v>
      </c>
      <c r="H272" s="8">
        <f>IF($D272="VISA",$C272,0)</f>
        <v>0</v>
      </c>
      <c r="I272" s="8">
        <f>I271+J272</f>
        <v>0</v>
      </c>
      <c r="J272" s="8">
        <f>IF($D272="ACC",$C272,0)</f>
        <v>0</v>
      </c>
      <c r="K272" s="8">
        <f>K271+L272</f>
        <v>0</v>
      </c>
      <c r="L272" s="8">
        <f>IF($D272="CBB",$C272,0)</f>
        <v>0</v>
      </c>
    </row>
    <row r="273" spans="1:12" x14ac:dyDescent="0.25">
      <c r="A273" s="6">
        <v>41500</v>
      </c>
      <c r="B273" t="s">
        <v>47</v>
      </c>
      <c r="C273" s="7">
        <v>-120</v>
      </c>
      <c r="D273" t="s">
        <v>6</v>
      </c>
      <c r="E273" s="8">
        <f>E272+F273</f>
        <v>11906</v>
      </c>
      <c r="F273" s="8">
        <f>IF($D273="CR01",$C273,0)</f>
        <v>-120</v>
      </c>
      <c r="G273" s="8">
        <f>G272+H273</f>
        <v>0</v>
      </c>
      <c r="H273" s="8">
        <f>IF($D273="VISA",$C273,0)</f>
        <v>0</v>
      </c>
      <c r="I273" s="8">
        <f>I272+J273</f>
        <v>0</v>
      </c>
      <c r="J273" s="8">
        <f>IF($D273="ACC",$C273,0)</f>
        <v>0</v>
      </c>
      <c r="K273" s="8">
        <f>K272+L273</f>
        <v>0</v>
      </c>
      <c r="L273" s="8">
        <f>IF($D273="CBB",$C273,0)</f>
        <v>0</v>
      </c>
    </row>
    <row r="274" spans="1:12" x14ac:dyDescent="0.25">
      <c r="A274" s="6">
        <v>41501</v>
      </c>
      <c r="B274" t="s">
        <v>44</v>
      </c>
      <c r="C274" s="7">
        <v>-400</v>
      </c>
      <c r="D274" t="s">
        <v>6</v>
      </c>
      <c r="E274" s="8">
        <f>E273+F274</f>
        <v>11506</v>
      </c>
      <c r="F274" s="8">
        <f>IF($D274="CR01",$C274,0)</f>
        <v>-400</v>
      </c>
      <c r="G274" s="8">
        <f>G273+H274</f>
        <v>0</v>
      </c>
      <c r="H274" s="8">
        <f>IF($D274="VISA",$C274,0)</f>
        <v>0</v>
      </c>
      <c r="I274" s="8">
        <f>I273+J274</f>
        <v>0</v>
      </c>
      <c r="J274" s="8">
        <f>IF($D274="ACC",$C274,0)</f>
        <v>0</v>
      </c>
      <c r="K274" s="8">
        <f>K273+L274</f>
        <v>0</v>
      </c>
      <c r="L274" s="8">
        <f>IF($D274="CBB",$C274,0)</f>
        <v>0</v>
      </c>
    </row>
    <row r="275" spans="1:12" x14ac:dyDescent="0.25">
      <c r="A275" s="6">
        <v>41501</v>
      </c>
      <c r="B275" t="s">
        <v>45</v>
      </c>
      <c r="C275" s="7">
        <v>-180</v>
      </c>
      <c r="D275" t="s">
        <v>6</v>
      </c>
      <c r="E275" s="8">
        <f>E274+F275</f>
        <v>11326</v>
      </c>
      <c r="F275" s="8">
        <f>IF($D275="CR01",$C275,0)</f>
        <v>-180</v>
      </c>
      <c r="G275" s="8">
        <f>G274+H275</f>
        <v>0</v>
      </c>
      <c r="H275" s="8">
        <f>IF($D275="VISA",$C275,0)</f>
        <v>0</v>
      </c>
      <c r="I275" s="8">
        <f>I274+J275</f>
        <v>0</v>
      </c>
      <c r="J275" s="8">
        <f>IF($D275="ACC",$C275,0)</f>
        <v>0</v>
      </c>
      <c r="K275" s="8">
        <f>K274+L275</f>
        <v>0</v>
      </c>
      <c r="L275" s="8">
        <f>IF($D275="CBB",$C275,0)</f>
        <v>0</v>
      </c>
    </row>
    <row r="276" spans="1:12" x14ac:dyDescent="0.25">
      <c r="A276" s="6">
        <v>41501</v>
      </c>
      <c r="B276" t="s">
        <v>46</v>
      </c>
      <c r="C276" s="7">
        <v>-300</v>
      </c>
      <c r="D276" t="s">
        <v>6</v>
      </c>
      <c r="E276" s="8">
        <f>E275+F276</f>
        <v>11026</v>
      </c>
      <c r="F276" s="8">
        <f>IF($D276="CR01",$C276,0)</f>
        <v>-300</v>
      </c>
      <c r="G276" s="8">
        <f>G275+H276</f>
        <v>0</v>
      </c>
      <c r="H276" s="8">
        <f>IF($D276="VISA",$C276,0)</f>
        <v>0</v>
      </c>
      <c r="I276" s="8">
        <f>I275+J276</f>
        <v>0</v>
      </c>
      <c r="J276" s="8">
        <f>IF($D276="ACC",$C276,0)</f>
        <v>0</v>
      </c>
      <c r="K276" s="8">
        <f>K275+L276</f>
        <v>0</v>
      </c>
      <c r="L276" s="8">
        <f>IF($D276="CBB",$C276,0)</f>
        <v>0</v>
      </c>
    </row>
    <row r="277" spans="1:12" x14ac:dyDescent="0.25">
      <c r="A277" s="6">
        <v>41502</v>
      </c>
      <c r="B277" t="s">
        <v>43</v>
      </c>
      <c r="C277" s="7">
        <v>3226</v>
      </c>
      <c r="D277" t="s">
        <v>6</v>
      </c>
      <c r="E277" s="8">
        <f>E276+F277</f>
        <v>14252</v>
      </c>
      <c r="F277" s="8">
        <f>IF($D277="CR01",$C277,0)</f>
        <v>3226</v>
      </c>
      <c r="G277" s="8">
        <f>G276+H277</f>
        <v>0</v>
      </c>
      <c r="H277" s="8">
        <f>IF($D277="VISA",$C277,0)</f>
        <v>0</v>
      </c>
      <c r="I277" s="8">
        <f>I276+J277</f>
        <v>0</v>
      </c>
      <c r="J277" s="8">
        <f>IF($D277="ACC",$C277,0)</f>
        <v>0</v>
      </c>
      <c r="K277" s="8">
        <f>K276+L277</f>
        <v>0</v>
      </c>
      <c r="L277" s="8">
        <f>IF($D277="CBB",$C277,0)</f>
        <v>0</v>
      </c>
    </row>
    <row r="278" spans="1:12" x14ac:dyDescent="0.25">
      <c r="A278" s="6">
        <v>41506</v>
      </c>
      <c r="B278" t="s">
        <v>48</v>
      </c>
      <c r="C278" s="7">
        <v>-100</v>
      </c>
      <c r="D278" t="s">
        <v>6</v>
      </c>
      <c r="E278" s="8">
        <f>E277+F278</f>
        <v>14152</v>
      </c>
      <c r="F278" s="8">
        <f>IF($D278="CR01",$C278,0)</f>
        <v>-100</v>
      </c>
      <c r="G278" s="8">
        <f>G277+H278</f>
        <v>0</v>
      </c>
      <c r="H278" s="8">
        <f>IF($D278="VISA",$C278,0)</f>
        <v>0</v>
      </c>
      <c r="I278" s="8">
        <f>I277+J278</f>
        <v>0</v>
      </c>
      <c r="J278" s="8">
        <f>IF($D278="ACC",$C278,0)</f>
        <v>0</v>
      </c>
      <c r="K278" s="8">
        <f>K277+L278</f>
        <v>0</v>
      </c>
      <c r="L278" s="8">
        <f>IF($D278="CBB",$C278,0)</f>
        <v>0</v>
      </c>
    </row>
    <row r="279" spans="1:12" x14ac:dyDescent="0.25">
      <c r="A279" s="6">
        <v>41507</v>
      </c>
      <c r="B279" t="s">
        <v>47</v>
      </c>
      <c r="C279" s="7">
        <v>-120</v>
      </c>
      <c r="D279" t="s">
        <v>6</v>
      </c>
      <c r="E279" s="8">
        <f>E278+F279</f>
        <v>14032</v>
      </c>
      <c r="F279" s="8">
        <f>IF($D279="CR01",$C279,0)</f>
        <v>-120</v>
      </c>
      <c r="G279" s="8">
        <f>G278+H279</f>
        <v>0</v>
      </c>
      <c r="H279" s="8">
        <f>IF($D279="VISA",$C279,0)</f>
        <v>0</v>
      </c>
      <c r="I279" s="8">
        <f>I278+J279</f>
        <v>0</v>
      </c>
      <c r="J279" s="8">
        <f>IF($D279="ACC",$C279,0)</f>
        <v>0</v>
      </c>
      <c r="K279" s="8">
        <f>K278+L279</f>
        <v>0</v>
      </c>
      <c r="L279" s="8">
        <f>IF($D279="CBB",$C279,0)</f>
        <v>0</v>
      </c>
    </row>
    <row r="280" spans="1:12" x14ac:dyDescent="0.25">
      <c r="A280" s="6">
        <v>41508</v>
      </c>
      <c r="B280" t="s">
        <v>44</v>
      </c>
      <c r="C280" s="7">
        <v>-400</v>
      </c>
      <c r="D280" t="s">
        <v>6</v>
      </c>
      <c r="E280" s="8">
        <f>E279+F280</f>
        <v>13632</v>
      </c>
      <c r="F280" s="8">
        <f>IF($D280="CR01",$C280,0)</f>
        <v>-400</v>
      </c>
      <c r="G280" s="8">
        <f>G279+H280</f>
        <v>0</v>
      </c>
      <c r="H280" s="8">
        <f>IF($D280="VISA",$C280,0)</f>
        <v>0</v>
      </c>
      <c r="I280" s="8">
        <f>I279+J280</f>
        <v>0</v>
      </c>
      <c r="J280" s="8">
        <f>IF($D280="ACC",$C280,0)</f>
        <v>0</v>
      </c>
      <c r="K280" s="8">
        <f>K279+L280</f>
        <v>0</v>
      </c>
      <c r="L280" s="8">
        <f>IF($D280="CBB",$C280,0)</f>
        <v>0</v>
      </c>
    </row>
    <row r="281" spans="1:12" x14ac:dyDescent="0.25">
      <c r="A281" s="6">
        <v>41508</v>
      </c>
      <c r="B281" t="s">
        <v>45</v>
      </c>
      <c r="C281" s="7">
        <v>-180</v>
      </c>
      <c r="D281" t="s">
        <v>6</v>
      </c>
      <c r="E281" s="8">
        <f>E280+F281</f>
        <v>13452</v>
      </c>
      <c r="F281" s="8">
        <f>IF($D281="CR01",$C281,0)</f>
        <v>-180</v>
      </c>
      <c r="G281" s="8">
        <f>G280+H281</f>
        <v>0</v>
      </c>
      <c r="H281" s="8">
        <f>IF($D281="VISA",$C281,0)</f>
        <v>0</v>
      </c>
      <c r="I281" s="8">
        <f>I280+J281</f>
        <v>0</v>
      </c>
      <c r="J281" s="8">
        <f>IF($D281="ACC",$C281,0)</f>
        <v>0</v>
      </c>
      <c r="K281" s="8">
        <f>K280+L281</f>
        <v>0</v>
      </c>
      <c r="L281" s="8">
        <f>IF($D281="CBB",$C281,0)</f>
        <v>0</v>
      </c>
    </row>
    <row r="282" spans="1:12" x14ac:dyDescent="0.25">
      <c r="A282" s="6">
        <v>41508</v>
      </c>
      <c r="B282" t="s">
        <v>46</v>
      </c>
      <c r="C282" s="7">
        <v>-300</v>
      </c>
      <c r="D282" t="s">
        <v>6</v>
      </c>
      <c r="E282" s="8">
        <f>E281+F282</f>
        <v>13152</v>
      </c>
      <c r="F282" s="8">
        <f>IF($D282="CR01",$C282,0)</f>
        <v>-300</v>
      </c>
      <c r="G282" s="8">
        <f>G281+H282</f>
        <v>0</v>
      </c>
      <c r="H282" s="8">
        <f>IF($D282="VISA",$C282,0)</f>
        <v>0</v>
      </c>
      <c r="I282" s="8">
        <f>I281+J282</f>
        <v>0</v>
      </c>
      <c r="J282" s="8">
        <f>IF($D282="ACC",$C282,0)</f>
        <v>0</v>
      </c>
      <c r="K282" s="8">
        <f>K281+L282</f>
        <v>0</v>
      </c>
      <c r="L282" s="8">
        <f>IF($D282="CBB",$C282,0)</f>
        <v>0</v>
      </c>
    </row>
    <row r="283" spans="1:12" x14ac:dyDescent="0.25">
      <c r="A283" s="6">
        <v>41510</v>
      </c>
      <c r="B283" t="s">
        <v>67</v>
      </c>
      <c r="C283" s="7">
        <v>3600</v>
      </c>
      <c r="D283" t="s">
        <v>6</v>
      </c>
      <c r="E283" s="8">
        <f>E282+F283</f>
        <v>16752</v>
      </c>
      <c r="F283" s="8">
        <f>IF($D283="CR01",$C283,0)</f>
        <v>3600</v>
      </c>
      <c r="G283" s="8">
        <f>G282+H283</f>
        <v>0</v>
      </c>
      <c r="H283" s="8">
        <f>IF($D283="VISA",$C283,0)</f>
        <v>0</v>
      </c>
      <c r="I283" s="8">
        <f>I282+J283</f>
        <v>0</v>
      </c>
      <c r="J283" s="8">
        <f>IF($D283="ACC",$C283,0)</f>
        <v>0</v>
      </c>
      <c r="K283" s="8">
        <f>K282+L283</f>
        <v>0</v>
      </c>
      <c r="L283" s="8">
        <f>IF($D283="CBB",$C283,0)</f>
        <v>0</v>
      </c>
    </row>
    <row r="284" spans="1:12" x14ac:dyDescent="0.25">
      <c r="A284" s="6">
        <v>41513</v>
      </c>
      <c r="B284" t="s">
        <v>42</v>
      </c>
      <c r="C284" s="7">
        <v>-2806</v>
      </c>
      <c r="D284" t="s">
        <v>6</v>
      </c>
      <c r="E284" s="8">
        <f>E283+F284</f>
        <v>13946</v>
      </c>
      <c r="F284" s="8">
        <f>IF($D284="CR01",$C284,0)</f>
        <v>-2806</v>
      </c>
      <c r="G284" s="8">
        <f>G283+H284</f>
        <v>0</v>
      </c>
      <c r="H284" s="8">
        <f>IF($D284="VISA",$C284,0)</f>
        <v>0</v>
      </c>
      <c r="I284" s="8">
        <f>I283+J284</f>
        <v>0</v>
      </c>
      <c r="J284" s="8">
        <f>IF($D284="ACC",$C284,0)</f>
        <v>0</v>
      </c>
      <c r="K284" s="8">
        <f>K283+L284</f>
        <v>0</v>
      </c>
      <c r="L284" s="8">
        <f>IF($D284="CBB",$C284,0)</f>
        <v>0</v>
      </c>
    </row>
    <row r="285" spans="1:12" x14ac:dyDescent="0.25">
      <c r="A285" s="6">
        <v>41513</v>
      </c>
      <c r="B285" t="s">
        <v>48</v>
      </c>
      <c r="C285" s="7">
        <v>-100</v>
      </c>
      <c r="D285" t="s">
        <v>6</v>
      </c>
      <c r="E285" s="8">
        <f>E284+F285</f>
        <v>13846</v>
      </c>
      <c r="F285" s="8">
        <f>IF($D285="CR01",$C285,0)</f>
        <v>-100</v>
      </c>
      <c r="G285" s="8">
        <f>G284+H285</f>
        <v>0</v>
      </c>
      <c r="H285" s="8">
        <f>IF($D285="VISA",$C285,0)</f>
        <v>0</v>
      </c>
      <c r="I285" s="8">
        <f>I284+J285</f>
        <v>0</v>
      </c>
      <c r="J285" s="8">
        <f>IF($D285="ACC",$C285,0)</f>
        <v>0</v>
      </c>
      <c r="K285" s="8">
        <f>K284+L285</f>
        <v>0</v>
      </c>
      <c r="L285" s="8">
        <f>IF($D285="CBB",$C285,0)</f>
        <v>0</v>
      </c>
    </row>
    <row r="286" spans="1:12" x14ac:dyDescent="0.25">
      <c r="A286" s="6">
        <v>41514</v>
      </c>
      <c r="B286" t="s">
        <v>47</v>
      </c>
      <c r="C286" s="7">
        <v>-120</v>
      </c>
      <c r="D286" t="s">
        <v>6</v>
      </c>
      <c r="E286" s="8">
        <f>E285+F286</f>
        <v>13726</v>
      </c>
      <c r="F286" s="8">
        <f>IF($D286="CR01",$C286,0)</f>
        <v>-120</v>
      </c>
      <c r="G286" s="8">
        <f>G285+H286</f>
        <v>0</v>
      </c>
      <c r="H286" s="8">
        <f>IF($D286="VISA",$C286,0)</f>
        <v>0</v>
      </c>
      <c r="I286" s="8">
        <f>I285+J286</f>
        <v>0</v>
      </c>
      <c r="J286" s="8">
        <f>IF($D286="ACC",$C286,0)</f>
        <v>0</v>
      </c>
      <c r="K286" s="8">
        <f>K285+L286</f>
        <v>0</v>
      </c>
      <c r="L286" s="8">
        <f>IF($D286="CBB",$C286,0)</f>
        <v>0</v>
      </c>
    </row>
    <row r="287" spans="1:12" x14ac:dyDescent="0.25">
      <c r="A287" s="6">
        <v>41515</v>
      </c>
      <c r="B287" t="s">
        <v>44</v>
      </c>
      <c r="C287" s="7">
        <v>-400</v>
      </c>
      <c r="D287" t="s">
        <v>6</v>
      </c>
      <c r="E287" s="8">
        <f>E286+F287</f>
        <v>13326</v>
      </c>
      <c r="F287" s="8">
        <f>IF($D287="CR01",$C287,0)</f>
        <v>-400</v>
      </c>
      <c r="G287" s="8">
        <f>G286+H287</f>
        <v>0</v>
      </c>
      <c r="H287" s="8">
        <f>IF($D287="VISA",$C287,0)</f>
        <v>0</v>
      </c>
      <c r="I287" s="8">
        <f>I286+J287</f>
        <v>0</v>
      </c>
      <c r="J287" s="8">
        <f>IF($D287="ACC",$C287,0)</f>
        <v>0</v>
      </c>
      <c r="K287" s="8">
        <f>K286+L287</f>
        <v>0</v>
      </c>
      <c r="L287" s="8">
        <f>IF($D287="CBB",$C287,0)</f>
        <v>0</v>
      </c>
    </row>
    <row r="288" spans="1:12" x14ac:dyDescent="0.25">
      <c r="A288" s="6">
        <v>41515</v>
      </c>
      <c r="B288" t="s">
        <v>45</v>
      </c>
      <c r="C288" s="7">
        <v>-180</v>
      </c>
      <c r="D288" t="s">
        <v>6</v>
      </c>
      <c r="E288" s="8">
        <f>E287+F288</f>
        <v>13146</v>
      </c>
      <c r="F288" s="8">
        <f>IF($D288="CR01",$C288,0)</f>
        <v>-180</v>
      </c>
      <c r="G288" s="8">
        <f>G287+H288</f>
        <v>0</v>
      </c>
      <c r="H288" s="8">
        <f>IF($D288="VISA",$C288,0)</f>
        <v>0</v>
      </c>
      <c r="I288" s="8">
        <f>I287+J288</f>
        <v>0</v>
      </c>
      <c r="J288" s="8">
        <f>IF($D288="ACC",$C288,0)</f>
        <v>0</v>
      </c>
      <c r="K288" s="8">
        <f>K287+L288</f>
        <v>0</v>
      </c>
      <c r="L288" s="8">
        <f>IF($D288="CBB",$C288,0)</f>
        <v>0</v>
      </c>
    </row>
    <row r="289" spans="1:12" x14ac:dyDescent="0.25">
      <c r="A289" s="6">
        <v>41515</v>
      </c>
      <c r="B289" t="s">
        <v>46</v>
      </c>
      <c r="C289" s="7">
        <v>-300</v>
      </c>
      <c r="D289" t="s">
        <v>6</v>
      </c>
      <c r="E289" s="8">
        <f>E288+F289</f>
        <v>12846</v>
      </c>
      <c r="F289" s="8">
        <f>IF($D289="CR01",$C289,0)</f>
        <v>-300</v>
      </c>
      <c r="G289" s="8">
        <f>G288+H289</f>
        <v>0</v>
      </c>
      <c r="H289" s="8">
        <f>IF($D289="VISA",$C289,0)</f>
        <v>0</v>
      </c>
      <c r="I289" s="8">
        <f>I288+J289</f>
        <v>0</v>
      </c>
      <c r="J289" s="8">
        <f>IF($D289="ACC",$C289,0)</f>
        <v>0</v>
      </c>
      <c r="K289" s="8">
        <f>K288+L289</f>
        <v>0</v>
      </c>
      <c r="L289" s="8">
        <f>IF($D289="CBB",$C289,0)</f>
        <v>0</v>
      </c>
    </row>
    <row r="290" spans="1:12" x14ac:dyDescent="0.25">
      <c r="A290" s="6">
        <v>41516</v>
      </c>
      <c r="B290" t="s">
        <v>43</v>
      </c>
      <c r="C290" s="7">
        <v>3226</v>
      </c>
      <c r="D290" t="s">
        <v>6</v>
      </c>
      <c r="E290" s="8">
        <f>E289+F290</f>
        <v>16072</v>
      </c>
      <c r="F290" s="8">
        <f>IF($D290="CR01",$C290,0)</f>
        <v>3226</v>
      </c>
      <c r="G290" s="8">
        <f>G289+H290</f>
        <v>0</v>
      </c>
      <c r="H290" s="8">
        <f>IF($D290="VISA",$C290,0)</f>
        <v>0</v>
      </c>
      <c r="I290" s="8">
        <f>I289+J290</f>
        <v>0</v>
      </c>
      <c r="J290" s="8">
        <f>IF($D290="ACC",$C290,0)</f>
        <v>0</v>
      </c>
      <c r="K290" s="8">
        <f>K289+L290</f>
        <v>0</v>
      </c>
      <c r="L290" s="8">
        <f>IF($D290="CBB",$C290,0)</f>
        <v>0</v>
      </c>
    </row>
    <row r="291" spans="1:12" x14ac:dyDescent="0.25">
      <c r="A291" s="6">
        <v>41518</v>
      </c>
      <c r="B291" t="s">
        <v>58</v>
      </c>
      <c r="C291" s="7">
        <v>-200</v>
      </c>
      <c r="D291" t="s">
        <v>6</v>
      </c>
      <c r="E291" s="8">
        <f>E290+F291</f>
        <v>15872</v>
      </c>
      <c r="F291" s="8">
        <f>IF($D291="CR01",$C291,0)</f>
        <v>-200</v>
      </c>
      <c r="G291" s="8">
        <f>G290+H291</f>
        <v>0</v>
      </c>
      <c r="H291" s="8">
        <f>IF($D291="VISA",$C291,0)</f>
        <v>0</v>
      </c>
      <c r="I291" s="8">
        <f>I290+J291</f>
        <v>0</v>
      </c>
      <c r="J291" s="8">
        <f>IF($D291="ACC",$C291,0)</f>
        <v>0</v>
      </c>
      <c r="K291" s="8">
        <f>K290+L291</f>
        <v>0</v>
      </c>
      <c r="L291" s="8">
        <f>IF($D291="CBB",$C291,0)</f>
        <v>0</v>
      </c>
    </row>
    <row r="292" spans="1:12" x14ac:dyDescent="0.25">
      <c r="A292" s="6">
        <v>41518</v>
      </c>
      <c r="B292" t="s">
        <v>60</v>
      </c>
      <c r="C292" s="7">
        <v>-400</v>
      </c>
      <c r="D292" t="s">
        <v>6</v>
      </c>
      <c r="E292" s="8">
        <f>E291+F292</f>
        <v>15472</v>
      </c>
      <c r="F292" s="8">
        <f>IF($D292="CR01",$C292,0)</f>
        <v>-400</v>
      </c>
      <c r="G292" s="8">
        <f>G291+H292</f>
        <v>0</v>
      </c>
      <c r="H292" s="8">
        <f>IF($D292="VISA",$C292,0)</f>
        <v>0</v>
      </c>
      <c r="I292" s="8">
        <f>I291+J292</f>
        <v>0</v>
      </c>
      <c r="J292" s="8">
        <f>IF($D292="ACC",$C292,0)</f>
        <v>0</v>
      </c>
      <c r="K292" s="8">
        <f>K291+L292</f>
        <v>0</v>
      </c>
      <c r="L292" s="8">
        <f>IF($D292="CBB",$C292,0)</f>
        <v>0</v>
      </c>
    </row>
    <row r="293" spans="1:12" x14ac:dyDescent="0.25">
      <c r="A293" s="6">
        <v>41518</v>
      </c>
      <c r="B293" t="s">
        <v>64</v>
      </c>
      <c r="C293" s="7">
        <v>-26</v>
      </c>
      <c r="D293" t="s">
        <v>6</v>
      </c>
      <c r="E293" s="8">
        <f>E292+F293</f>
        <v>15446</v>
      </c>
      <c r="F293" s="8">
        <f>IF($D293="CR01",$C293,0)</f>
        <v>-26</v>
      </c>
      <c r="G293" s="8">
        <f>G292+H293</f>
        <v>0</v>
      </c>
      <c r="H293" s="8">
        <f>IF($D293="VISA",$C293,0)</f>
        <v>0</v>
      </c>
      <c r="I293" s="8">
        <f>I292+J293</f>
        <v>0</v>
      </c>
      <c r="J293" s="8">
        <f>IF($D293="ACC",$C293,0)</f>
        <v>0</v>
      </c>
      <c r="K293" s="8">
        <f>K292+L293</f>
        <v>0</v>
      </c>
      <c r="L293" s="8">
        <f>IF($D293="CBB",$C293,0)</f>
        <v>0</v>
      </c>
    </row>
    <row r="294" spans="1:12" x14ac:dyDescent="0.25">
      <c r="A294" s="6">
        <v>41518</v>
      </c>
      <c r="B294" t="s">
        <v>65</v>
      </c>
      <c r="C294" s="7">
        <v>-240</v>
      </c>
      <c r="D294" t="s">
        <v>6</v>
      </c>
      <c r="E294" s="8">
        <f>E293+F294</f>
        <v>15206</v>
      </c>
      <c r="F294" s="8">
        <f>IF($D294="CR01",$C294,0)</f>
        <v>-240</v>
      </c>
      <c r="G294" s="8">
        <f>G293+H294</f>
        <v>0</v>
      </c>
      <c r="H294" s="8">
        <f>IF($D294="VISA",$C294,0)</f>
        <v>0</v>
      </c>
      <c r="I294" s="8">
        <f>I293+J294</f>
        <v>0</v>
      </c>
      <c r="J294" s="8">
        <f>IF($D294="ACC",$C294,0)</f>
        <v>0</v>
      </c>
      <c r="K294" s="8">
        <f>K293+L294</f>
        <v>0</v>
      </c>
      <c r="L294" s="8">
        <f>IF($D294="CBB",$C294,0)</f>
        <v>0</v>
      </c>
    </row>
    <row r="295" spans="1:12" x14ac:dyDescent="0.25">
      <c r="A295" s="6">
        <v>41518</v>
      </c>
      <c r="B295" t="s">
        <v>66</v>
      </c>
      <c r="C295" s="7">
        <v>-120</v>
      </c>
      <c r="D295" t="s">
        <v>6</v>
      </c>
      <c r="E295" s="8">
        <f>E294+F295</f>
        <v>15086</v>
      </c>
      <c r="F295" s="8">
        <f>IF($D295="CR01",$C295,0)</f>
        <v>-120</v>
      </c>
      <c r="G295" s="8">
        <f>G294+H295</f>
        <v>0</v>
      </c>
      <c r="H295" s="8">
        <f>IF($D295="VISA",$C295,0)</f>
        <v>0</v>
      </c>
      <c r="I295" s="8">
        <f>I294+J295</f>
        <v>0</v>
      </c>
      <c r="J295" s="8">
        <f>IF($D295="ACC",$C295,0)</f>
        <v>0</v>
      </c>
      <c r="K295" s="8">
        <f>K294+L295</f>
        <v>0</v>
      </c>
      <c r="L295" s="8">
        <f>IF($D295="CBB",$C295,0)</f>
        <v>0</v>
      </c>
    </row>
    <row r="296" spans="1:12" x14ac:dyDescent="0.25">
      <c r="A296" s="6">
        <v>41519</v>
      </c>
      <c r="B296" t="s">
        <v>59</v>
      </c>
      <c r="C296" s="7">
        <v>-900</v>
      </c>
      <c r="D296" t="s">
        <v>6</v>
      </c>
      <c r="E296" s="8">
        <f>E295+F296</f>
        <v>14186</v>
      </c>
      <c r="F296" s="8">
        <f>IF($D296="CR01",$C296,0)</f>
        <v>-900</v>
      </c>
      <c r="G296" s="8">
        <f>G295+H296</f>
        <v>0</v>
      </c>
      <c r="H296" s="8">
        <f>IF($D296="VISA",$C296,0)</f>
        <v>0</v>
      </c>
      <c r="I296" s="8">
        <f>I295+J296</f>
        <v>0</v>
      </c>
      <c r="J296" s="8">
        <f>IF($D296="ACC",$C296,0)</f>
        <v>0</v>
      </c>
      <c r="K296" s="8">
        <f>K295+L296</f>
        <v>0</v>
      </c>
      <c r="L296" s="8">
        <f>IF($D296="CBB",$C296,0)</f>
        <v>0</v>
      </c>
    </row>
    <row r="297" spans="1:12" x14ac:dyDescent="0.25">
      <c r="A297" s="6">
        <v>41520</v>
      </c>
      <c r="B297" t="s">
        <v>48</v>
      </c>
      <c r="C297" s="7">
        <v>-100</v>
      </c>
      <c r="D297" t="s">
        <v>6</v>
      </c>
      <c r="E297" s="8">
        <f>E296+F297</f>
        <v>14086</v>
      </c>
      <c r="F297" s="8">
        <f>IF($D297="CR01",$C297,0)</f>
        <v>-100</v>
      </c>
      <c r="G297" s="8">
        <f>G296+H297</f>
        <v>0</v>
      </c>
      <c r="H297" s="8">
        <f>IF($D297="VISA",$C297,0)</f>
        <v>0</v>
      </c>
      <c r="I297" s="8">
        <f>I296+J297</f>
        <v>0</v>
      </c>
      <c r="J297" s="8">
        <f>IF($D297="ACC",$C297,0)</f>
        <v>0</v>
      </c>
      <c r="K297" s="8">
        <f>K296+L297</f>
        <v>0</v>
      </c>
      <c r="L297" s="8">
        <f>IF($D297="CBB",$C297,0)</f>
        <v>0</v>
      </c>
    </row>
    <row r="298" spans="1:12" x14ac:dyDescent="0.25">
      <c r="A298" s="6">
        <v>41521</v>
      </c>
      <c r="B298" t="s">
        <v>47</v>
      </c>
      <c r="C298" s="7">
        <v>-120</v>
      </c>
      <c r="D298" t="s">
        <v>6</v>
      </c>
      <c r="E298" s="8">
        <f>E297+F298</f>
        <v>13966</v>
      </c>
      <c r="F298" s="8">
        <f>IF($D298="CR01",$C298,0)</f>
        <v>-120</v>
      </c>
      <c r="G298" s="8">
        <f>G297+H298</f>
        <v>0</v>
      </c>
      <c r="H298" s="8">
        <f>IF($D298="VISA",$C298,0)</f>
        <v>0</v>
      </c>
      <c r="I298" s="8">
        <f>I297+J298</f>
        <v>0</v>
      </c>
      <c r="J298" s="8">
        <f>IF($D298="ACC",$C298,0)</f>
        <v>0</v>
      </c>
      <c r="K298" s="8">
        <f>K297+L298</f>
        <v>0</v>
      </c>
      <c r="L298" s="8">
        <f>IF($D298="CBB",$C298,0)</f>
        <v>0</v>
      </c>
    </row>
    <row r="299" spans="1:12" x14ac:dyDescent="0.25">
      <c r="A299" s="6">
        <v>41522</v>
      </c>
      <c r="B299" t="s">
        <v>44</v>
      </c>
      <c r="C299" s="7">
        <v>-400</v>
      </c>
      <c r="D299" t="s">
        <v>6</v>
      </c>
      <c r="E299" s="8">
        <f>E298+F299</f>
        <v>13566</v>
      </c>
      <c r="F299" s="8">
        <f>IF($D299="CR01",$C299,0)</f>
        <v>-400</v>
      </c>
      <c r="G299" s="8">
        <f>G298+H299</f>
        <v>0</v>
      </c>
      <c r="H299" s="8">
        <f>IF($D299="VISA",$C299,0)</f>
        <v>0</v>
      </c>
      <c r="I299" s="8">
        <f>I298+J299</f>
        <v>0</v>
      </c>
      <c r="J299" s="8">
        <f>IF($D299="ACC",$C299,0)</f>
        <v>0</v>
      </c>
      <c r="K299" s="8">
        <f>K298+L299</f>
        <v>0</v>
      </c>
      <c r="L299" s="8">
        <f>IF($D299="CBB",$C299,0)</f>
        <v>0</v>
      </c>
    </row>
    <row r="300" spans="1:12" x14ac:dyDescent="0.25">
      <c r="A300" s="6">
        <v>41522</v>
      </c>
      <c r="B300" t="s">
        <v>45</v>
      </c>
      <c r="C300" s="7">
        <v>-180</v>
      </c>
      <c r="D300" t="s">
        <v>6</v>
      </c>
      <c r="E300" s="8">
        <f>E299+F300</f>
        <v>13386</v>
      </c>
      <c r="F300" s="8">
        <f>IF($D300="CR01",$C300,0)</f>
        <v>-180</v>
      </c>
      <c r="G300" s="8">
        <f>G299+H300</f>
        <v>0</v>
      </c>
      <c r="H300" s="8">
        <f>IF($D300="VISA",$C300,0)</f>
        <v>0</v>
      </c>
      <c r="I300" s="8">
        <f>I299+J300</f>
        <v>0</v>
      </c>
      <c r="J300" s="8">
        <f>IF($D300="ACC",$C300,0)</f>
        <v>0</v>
      </c>
      <c r="K300" s="8">
        <f>K299+L300</f>
        <v>0</v>
      </c>
      <c r="L300" s="8">
        <f>IF($D300="CBB",$C300,0)</f>
        <v>0</v>
      </c>
    </row>
    <row r="301" spans="1:12" x14ac:dyDescent="0.25">
      <c r="A301" s="6">
        <v>41522</v>
      </c>
      <c r="B301" t="s">
        <v>46</v>
      </c>
      <c r="C301" s="7">
        <v>-300</v>
      </c>
      <c r="D301" t="s">
        <v>6</v>
      </c>
      <c r="E301" s="8">
        <f>E300+F301</f>
        <v>13086</v>
      </c>
      <c r="F301" s="8">
        <f>IF($D301="CR01",$C301,0)</f>
        <v>-300</v>
      </c>
      <c r="G301" s="8">
        <f>G300+H301</f>
        <v>0</v>
      </c>
      <c r="H301" s="8">
        <f>IF($D301="VISA",$C301,0)</f>
        <v>0</v>
      </c>
      <c r="I301" s="8">
        <f>I300+J301</f>
        <v>0</v>
      </c>
      <c r="J301" s="8">
        <f>IF($D301="ACC",$C301,0)</f>
        <v>0</v>
      </c>
      <c r="K301" s="8">
        <f>K300+L301</f>
        <v>0</v>
      </c>
      <c r="L301" s="8">
        <f>IF($D301="CBB",$C301,0)</f>
        <v>0</v>
      </c>
    </row>
    <row r="302" spans="1:12" x14ac:dyDescent="0.25">
      <c r="A302" s="6">
        <v>41524</v>
      </c>
      <c r="B302" t="s">
        <v>67</v>
      </c>
      <c r="C302" s="7">
        <v>3600</v>
      </c>
      <c r="D302" t="s">
        <v>6</v>
      </c>
      <c r="E302" s="8">
        <f>E301+F302</f>
        <v>16686</v>
      </c>
      <c r="F302" s="8">
        <f>IF($D302="CR01",$C302,0)</f>
        <v>3600</v>
      </c>
      <c r="G302" s="8">
        <f>G301+H302</f>
        <v>0</v>
      </c>
      <c r="H302" s="8">
        <f>IF($D302="VISA",$C302,0)</f>
        <v>0</v>
      </c>
      <c r="I302" s="8">
        <f>I301+J302</f>
        <v>0</v>
      </c>
      <c r="J302" s="8">
        <f>IF($D302="ACC",$C302,0)</f>
        <v>0</v>
      </c>
      <c r="K302" s="8">
        <f>K301+L302</f>
        <v>0</v>
      </c>
      <c r="L302" s="8">
        <f>IF($D302="CBB",$C302,0)</f>
        <v>0</v>
      </c>
    </row>
    <row r="303" spans="1:12" x14ac:dyDescent="0.25">
      <c r="A303" s="6">
        <v>41527</v>
      </c>
      <c r="B303" t="s">
        <v>42</v>
      </c>
      <c r="C303" s="7">
        <v>-2806</v>
      </c>
      <c r="D303" t="s">
        <v>6</v>
      </c>
      <c r="E303" s="8">
        <f>E302+F303</f>
        <v>13880</v>
      </c>
      <c r="F303" s="8">
        <f>IF($D303="CR01",$C303,0)</f>
        <v>-2806</v>
      </c>
      <c r="G303" s="8">
        <f>G302+H303</f>
        <v>0</v>
      </c>
      <c r="H303" s="8">
        <f>IF($D303="VISA",$C303,0)</f>
        <v>0</v>
      </c>
      <c r="I303" s="8">
        <f>I302+J303</f>
        <v>0</v>
      </c>
      <c r="J303" s="8">
        <f>IF($D303="ACC",$C303,0)</f>
        <v>0</v>
      </c>
      <c r="K303" s="8">
        <f>K302+L303</f>
        <v>0</v>
      </c>
      <c r="L303" s="8">
        <f>IF($D303="CBB",$C303,0)</f>
        <v>0</v>
      </c>
    </row>
    <row r="304" spans="1:12" x14ac:dyDescent="0.25">
      <c r="A304" s="6">
        <v>41527</v>
      </c>
      <c r="B304" t="s">
        <v>48</v>
      </c>
      <c r="C304" s="7">
        <v>-100</v>
      </c>
      <c r="D304" t="s">
        <v>6</v>
      </c>
      <c r="E304" s="8">
        <f>E303+F304</f>
        <v>13780</v>
      </c>
      <c r="F304" s="8">
        <f>IF($D304="CR01",$C304,0)</f>
        <v>-100</v>
      </c>
      <c r="G304" s="8">
        <f>G303+H304</f>
        <v>0</v>
      </c>
      <c r="H304" s="8">
        <f>IF($D304="VISA",$C304,0)</f>
        <v>0</v>
      </c>
      <c r="I304" s="8">
        <f>I303+J304</f>
        <v>0</v>
      </c>
      <c r="J304" s="8">
        <f>IF($D304="ACC",$C304,0)</f>
        <v>0</v>
      </c>
      <c r="K304" s="8">
        <f>K303+L304</f>
        <v>0</v>
      </c>
      <c r="L304" s="8">
        <f>IF($D304="CBB",$C304,0)</f>
        <v>0</v>
      </c>
    </row>
    <row r="305" spans="1:12" x14ac:dyDescent="0.25">
      <c r="A305" s="6">
        <v>41528</v>
      </c>
      <c r="B305" t="s">
        <v>47</v>
      </c>
      <c r="C305" s="7">
        <v>-120</v>
      </c>
      <c r="D305" t="s">
        <v>6</v>
      </c>
      <c r="E305" s="8">
        <f>E304+F305</f>
        <v>13660</v>
      </c>
      <c r="F305" s="8">
        <f>IF($D305="CR01",$C305,0)</f>
        <v>-120</v>
      </c>
      <c r="G305" s="8">
        <f>G304+H305</f>
        <v>0</v>
      </c>
      <c r="H305" s="8">
        <f>IF($D305="VISA",$C305,0)</f>
        <v>0</v>
      </c>
      <c r="I305" s="8">
        <f>I304+J305</f>
        <v>0</v>
      </c>
      <c r="J305" s="8">
        <f>IF($D305="ACC",$C305,0)</f>
        <v>0</v>
      </c>
      <c r="K305" s="8">
        <f>K304+L305</f>
        <v>0</v>
      </c>
      <c r="L305" s="8">
        <f>IF($D305="CBB",$C305,0)</f>
        <v>0</v>
      </c>
    </row>
    <row r="306" spans="1:12" x14ac:dyDescent="0.25">
      <c r="A306" s="6">
        <v>41529</v>
      </c>
      <c r="B306" t="s">
        <v>44</v>
      </c>
      <c r="C306" s="7">
        <v>-400</v>
      </c>
      <c r="D306" t="s">
        <v>6</v>
      </c>
      <c r="E306" s="8">
        <f>E305+F306</f>
        <v>13260</v>
      </c>
      <c r="F306" s="8">
        <f>IF($D306="CR01",$C306,0)</f>
        <v>-400</v>
      </c>
      <c r="G306" s="8">
        <f>G305+H306</f>
        <v>0</v>
      </c>
      <c r="H306" s="8">
        <f>IF($D306="VISA",$C306,0)</f>
        <v>0</v>
      </c>
      <c r="I306" s="8">
        <f>I305+J306</f>
        <v>0</v>
      </c>
      <c r="J306" s="8">
        <f>IF($D306="ACC",$C306,0)</f>
        <v>0</v>
      </c>
      <c r="K306" s="8">
        <f>K305+L306</f>
        <v>0</v>
      </c>
      <c r="L306" s="8">
        <f>IF($D306="CBB",$C306,0)</f>
        <v>0</v>
      </c>
    </row>
    <row r="307" spans="1:12" x14ac:dyDescent="0.25">
      <c r="A307" s="6">
        <v>41529</v>
      </c>
      <c r="B307" t="s">
        <v>45</v>
      </c>
      <c r="C307" s="7">
        <v>-180</v>
      </c>
      <c r="D307" t="s">
        <v>6</v>
      </c>
      <c r="E307" s="8">
        <f>E306+F307</f>
        <v>13080</v>
      </c>
      <c r="F307" s="8">
        <f>IF($D307="CR01",$C307,0)</f>
        <v>-180</v>
      </c>
      <c r="G307" s="8">
        <f>G306+H307</f>
        <v>0</v>
      </c>
      <c r="H307" s="8">
        <f>IF($D307="VISA",$C307,0)</f>
        <v>0</v>
      </c>
      <c r="I307" s="8">
        <f>I306+J307</f>
        <v>0</v>
      </c>
      <c r="J307" s="8">
        <f>IF($D307="ACC",$C307,0)</f>
        <v>0</v>
      </c>
      <c r="K307" s="8">
        <f>K306+L307</f>
        <v>0</v>
      </c>
      <c r="L307" s="8">
        <f>IF($D307="CBB",$C307,0)</f>
        <v>0</v>
      </c>
    </row>
    <row r="308" spans="1:12" x14ac:dyDescent="0.25">
      <c r="A308" s="6">
        <v>41529</v>
      </c>
      <c r="B308" t="s">
        <v>46</v>
      </c>
      <c r="C308" s="7">
        <v>-300</v>
      </c>
      <c r="D308" t="s">
        <v>6</v>
      </c>
      <c r="E308" s="8">
        <f>E307+F308</f>
        <v>12780</v>
      </c>
      <c r="F308" s="8">
        <f>IF($D308="CR01",$C308,0)</f>
        <v>-300</v>
      </c>
      <c r="G308" s="8">
        <f>G307+H308</f>
        <v>0</v>
      </c>
      <c r="H308" s="8">
        <f>IF($D308="VISA",$C308,0)</f>
        <v>0</v>
      </c>
      <c r="I308" s="8">
        <f>I307+J308</f>
        <v>0</v>
      </c>
      <c r="J308" s="8">
        <f>IF($D308="ACC",$C308,0)</f>
        <v>0</v>
      </c>
      <c r="K308" s="8">
        <f>K307+L308</f>
        <v>0</v>
      </c>
      <c r="L308" s="8">
        <f>IF($D308="CBB",$C308,0)</f>
        <v>0</v>
      </c>
    </row>
    <row r="309" spans="1:12" x14ac:dyDescent="0.25">
      <c r="A309" s="6">
        <v>41530</v>
      </c>
      <c r="B309" t="s">
        <v>43</v>
      </c>
      <c r="C309" s="7">
        <v>3226</v>
      </c>
      <c r="D309" t="s">
        <v>6</v>
      </c>
      <c r="E309" s="8">
        <f>E308+F309</f>
        <v>16006</v>
      </c>
      <c r="F309" s="8">
        <f>IF($D309="CR01",$C309,0)</f>
        <v>3226</v>
      </c>
      <c r="G309" s="8">
        <f>G308+H309</f>
        <v>0</v>
      </c>
      <c r="H309" s="8">
        <f>IF($D309="VISA",$C309,0)</f>
        <v>0</v>
      </c>
      <c r="I309" s="8">
        <f>I308+J309</f>
        <v>0</v>
      </c>
      <c r="J309" s="8">
        <f>IF($D309="ACC",$C309,0)</f>
        <v>0</v>
      </c>
      <c r="K309" s="8">
        <f>K308+L309</f>
        <v>0</v>
      </c>
      <c r="L309" s="8">
        <f>IF($D309="CBB",$C309,0)</f>
        <v>0</v>
      </c>
    </row>
    <row r="310" spans="1:12" x14ac:dyDescent="0.25">
      <c r="A310" s="6">
        <v>41534</v>
      </c>
      <c r="B310" t="s">
        <v>48</v>
      </c>
      <c r="C310" s="7">
        <v>-100</v>
      </c>
      <c r="D310" t="s">
        <v>6</v>
      </c>
      <c r="E310" s="8">
        <f>E309+F310</f>
        <v>15906</v>
      </c>
      <c r="F310" s="8">
        <f>IF($D310="CR01",$C310,0)</f>
        <v>-100</v>
      </c>
      <c r="G310" s="8">
        <f>G309+H310</f>
        <v>0</v>
      </c>
      <c r="H310" s="8">
        <f>IF($D310="VISA",$C310,0)</f>
        <v>0</v>
      </c>
      <c r="I310" s="8">
        <f>I309+J310</f>
        <v>0</v>
      </c>
      <c r="J310" s="8">
        <f>IF($D310="ACC",$C310,0)</f>
        <v>0</v>
      </c>
      <c r="K310" s="8">
        <f>K309+L310</f>
        <v>0</v>
      </c>
      <c r="L310" s="8">
        <f>IF($D310="CBB",$C310,0)</f>
        <v>0</v>
      </c>
    </row>
    <row r="311" spans="1:12" x14ac:dyDescent="0.25">
      <c r="A311" s="6">
        <v>41535</v>
      </c>
      <c r="B311" t="s">
        <v>47</v>
      </c>
      <c r="C311" s="7">
        <v>-120</v>
      </c>
      <c r="D311" t="s">
        <v>6</v>
      </c>
      <c r="E311" s="8">
        <f>E310+F311</f>
        <v>15786</v>
      </c>
      <c r="F311" s="8">
        <f>IF($D311="CR01",$C311,0)</f>
        <v>-120</v>
      </c>
      <c r="G311" s="8">
        <f>G310+H311</f>
        <v>0</v>
      </c>
      <c r="H311" s="8">
        <f>IF($D311="VISA",$C311,0)</f>
        <v>0</v>
      </c>
      <c r="I311" s="8">
        <f>I310+J311</f>
        <v>0</v>
      </c>
      <c r="J311" s="8">
        <f>IF($D311="ACC",$C311,0)</f>
        <v>0</v>
      </c>
      <c r="K311" s="8">
        <f>K310+L311</f>
        <v>0</v>
      </c>
      <c r="L311" s="8">
        <f>IF($D311="CBB",$C311,0)</f>
        <v>0</v>
      </c>
    </row>
    <row r="312" spans="1:12" x14ac:dyDescent="0.25">
      <c r="A312" s="6">
        <v>41536</v>
      </c>
      <c r="B312" t="s">
        <v>44</v>
      </c>
      <c r="C312" s="7">
        <v>-400</v>
      </c>
      <c r="D312" t="s">
        <v>6</v>
      </c>
      <c r="E312" s="8">
        <f>E311+F312</f>
        <v>15386</v>
      </c>
      <c r="F312" s="8">
        <f>IF($D312="CR01",$C312,0)</f>
        <v>-400</v>
      </c>
      <c r="G312" s="8">
        <f>G311+H312</f>
        <v>0</v>
      </c>
      <c r="H312" s="8">
        <f>IF($D312="VISA",$C312,0)</f>
        <v>0</v>
      </c>
      <c r="I312" s="8">
        <f>I311+J312</f>
        <v>0</v>
      </c>
      <c r="J312" s="8">
        <f>IF($D312="ACC",$C312,0)</f>
        <v>0</v>
      </c>
      <c r="K312" s="8">
        <f>K311+L312</f>
        <v>0</v>
      </c>
      <c r="L312" s="8">
        <f>IF($D312="CBB",$C312,0)</f>
        <v>0</v>
      </c>
    </row>
    <row r="313" spans="1:12" x14ac:dyDescent="0.25">
      <c r="A313" s="6">
        <v>41536</v>
      </c>
      <c r="B313" t="s">
        <v>45</v>
      </c>
      <c r="C313" s="7">
        <v>-180</v>
      </c>
      <c r="D313" t="s">
        <v>6</v>
      </c>
      <c r="E313" s="8">
        <f>E312+F313</f>
        <v>15206</v>
      </c>
      <c r="F313" s="8">
        <f>IF($D313="CR01",$C313,0)</f>
        <v>-180</v>
      </c>
      <c r="G313" s="8">
        <f>G312+H313</f>
        <v>0</v>
      </c>
      <c r="H313" s="8">
        <f>IF($D313="VISA",$C313,0)</f>
        <v>0</v>
      </c>
      <c r="I313" s="8">
        <f>I312+J313</f>
        <v>0</v>
      </c>
      <c r="J313" s="8">
        <f>IF($D313="ACC",$C313,0)</f>
        <v>0</v>
      </c>
      <c r="K313" s="8">
        <f>K312+L313</f>
        <v>0</v>
      </c>
      <c r="L313" s="8">
        <f>IF($D313="CBB",$C313,0)</f>
        <v>0</v>
      </c>
    </row>
    <row r="314" spans="1:12" x14ac:dyDescent="0.25">
      <c r="A314" s="6">
        <v>41536</v>
      </c>
      <c r="B314" t="s">
        <v>46</v>
      </c>
      <c r="C314" s="7">
        <v>-300</v>
      </c>
      <c r="D314" t="s">
        <v>6</v>
      </c>
      <c r="E314" s="8">
        <f>E313+F314</f>
        <v>14906</v>
      </c>
      <c r="F314" s="8">
        <f>IF($D314="CR01",$C314,0)</f>
        <v>-300</v>
      </c>
      <c r="G314" s="8">
        <f>G313+H314</f>
        <v>0</v>
      </c>
      <c r="H314" s="8">
        <f>IF($D314="VISA",$C314,0)</f>
        <v>0</v>
      </c>
      <c r="I314" s="8">
        <f>I313+J314</f>
        <v>0</v>
      </c>
      <c r="J314" s="8">
        <f>IF($D314="ACC",$C314,0)</f>
        <v>0</v>
      </c>
      <c r="K314" s="8">
        <f>K313+L314</f>
        <v>0</v>
      </c>
      <c r="L314" s="8">
        <f>IF($D314="CBB",$C314,0)</f>
        <v>0</v>
      </c>
    </row>
    <row r="315" spans="1:12" x14ac:dyDescent="0.25">
      <c r="A315" s="6">
        <v>41538</v>
      </c>
      <c r="B315" t="s">
        <v>67</v>
      </c>
      <c r="C315" s="7">
        <v>3600</v>
      </c>
      <c r="D315" t="s">
        <v>6</v>
      </c>
      <c r="E315" s="8">
        <f>E314+F315</f>
        <v>18506</v>
      </c>
      <c r="F315" s="8">
        <f>IF($D315="CR01",$C315,0)</f>
        <v>3600</v>
      </c>
      <c r="G315" s="8">
        <f>G314+H315</f>
        <v>0</v>
      </c>
      <c r="H315" s="8">
        <f>IF($D315="VISA",$C315,0)</f>
        <v>0</v>
      </c>
      <c r="I315" s="8">
        <f>I314+J315</f>
        <v>0</v>
      </c>
      <c r="J315" s="8">
        <f>IF($D315="ACC",$C315,0)</f>
        <v>0</v>
      </c>
      <c r="K315" s="8">
        <f>K314+L315</f>
        <v>0</v>
      </c>
      <c r="L315" s="8">
        <f>IF($D315="CBB",$C315,0)</f>
        <v>0</v>
      </c>
    </row>
    <row r="316" spans="1:12" x14ac:dyDescent="0.25">
      <c r="A316" s="6">
        <v>41541</v>
      </c>
      <c r="B316" t="s">
        <v>42</v>
      </c>
      <c r="C316" s="7">
        <v>-2806</v>
      </c>
      <c r="D316" t="s">
        <v>6</v>
      </c>
      <c r="E316" s="8">
        <f>E315+F316</f>
        <v>15700</v>
      </c>
      <c r="F316" s="8">
        <f>IF($D316="CR01",$C316,0)</f>
        <v>-2806</v>
      </c>
      <c r="G316" s="8">
        <f>G315+H316</f>
        <v>0</v>
      </c>
      <c r="H316" s="8">
        <f>IF($D316="VISA",$C316,0)</f>
        <v>0</v>
      </c>
      <c r="I316" s="8">
        <f>I315+J316</f>
        <v>0</v>
      </c>
      <c r="J316" s="8">
        <f>IF($D316="ACC",$C316,0)</f>
        <v>0</v>
      </c>
      <c r="K316" s="8">
        <f>K315+L316</f>
        <v>0</v>
      </c>
      <c r="L316" s="8">
        <f>IF($D316="CBB",$C316,0)</f>
        <v>0</v>
      </c>
    </row>
    <row r="317" spans="1:12" x14ac:dyDescent="0.25">
      <c r="A317" s="6">
        <v>41541</v>
      </c>
      <c r="B317" t="s">
        <v>48</v>
      </c>
      <c r="C317" s="7">
        <v>-100</v>
      </c>
      <c r="D317" t="s">
        <v>6</v>
      </c>
      <c r="E317" s="8">
        <f>E316+F317</f>
        <v>15600</v>
      </c>
      <c r="F317" s="8">
        <f>IF($D317="CR01",$C317,0)</f>
        <v>-100</v>
      </c>
      <c r="G317" s="8">
        <f>G316+H317</f>
        <v>0</v>
      </c>
      <c r="H317" s="8">
        <f>IF($D317="VISA",$C317,0)</f>
        <v>0</v>
      </c>
      <c r="I317" s="8">
        <f>I316+J317</f>
        <v>0</v>
      </c>
      <c r="J317" s="8">
        <f>IF($D317="ACC",$C317,0)</f>
        <v>0</v>
      </c>
      <c r="K317" s="8">
        <f>K316+L317</f>
        <v>0</v>
      </c>
      <c r="L317" s="8">
        <f>IF($D317="CBB",$C317,0)</f>
        <v>0</v>
      </c>
    </row>
    <row r="318" spans="1:12" x14ac:dyDescent="0.25">
      <c r="A318" s="6">
        <v>41542</v>
      </c>
      <c r="B318" t="s">
        <v>47</v>
      </c>
      <c r="C318" s="7">
        <v>-120</v>
      </c>
      <c r="D318" t="s">
        <v>6</v>
      </c>
      <c r="E318" s="8">
        <f>E317+F318</f>
        <v>15480</v>
      </c>
      <c r="F318" s="8">
        <f>IF($D318="CR01",$C318,0)</f>
        <v>-120</v>
      </c>
      <c r="G318" s="8">
        <f>G317+H318</f>
        <v>0</v>
      </c>
      <c r="H318" s="8">
        <f>IF($D318="VISA",$C318,0)</f>
        <v>0</v>
      </c>
      <c r="I318" s="8">
        <f>I317+J318</f>
        <v>0</v>
      </c>
      <c r="J318" s="8">
        <f>IF($D318="ACC",$C318,0)</f>
        <v>0</v>
      </c>
      <c r="K318" s="8">
        <f>K317+L318</f>
        <v>0</v>
      </c>
      <c r="L318" s="8">
        <f>IF($D318="CBB",$C318,0)</f>
        <v>0</v>
      </c>
    </row>
    <row r="319" spans="1:12" x14ac:dyDescent="0.25">
      <c r="A319" s="6">
        <v>41543</v>
      </c>
      <c r="B319" t="s">
        <v>44</v>
      </c>
      <c r="C319" s="7">
        <v>-400</v>
      </c>
      <c r="D319" t="s">
        <v>6</v>
      </c>
      <c r="E319" s="8">
        <f>E318+F319</f>
        <v>15080</v>
      </c>
      <c r="F319" s="8">
        <f>IF($D319="CR01",$C319,0)</f>
        <v>-400</v>
      </c>
      <c r="G319" s="8">
        <f>G318+H319</f>
        <v>0</v>
      </c>
      <c r="H319" s="8">
        <f>IF($D319="VISA",$C319,0)</f>
        <v>0</v>
      </c>
      <c r="I319" s="8">
        <f>I318+J319</f>
        <v>0</v>
      </c>
      <c r="J319" s="8">
        <f>IF($D319="ACC",$C319,0)</f>
        <v>0</v>
      </c>
      <c r="K319" s="8">
        <f>K318+L319</f>
        <v>0</v>
      </c>
      <c r="L319" s="8">
        <f>IF($D319="CBB",$C319,0)</f>
        <v>0</v>
      </c>
    </row>
    <row r="320" spans="1:12" x14ac:dyDescent="0.25">
      <c r="A320" s="6">
        <v>41543</v>
      </c>
      <c r="B320" t="s">
        <v>45</v>
      </c>
      <c r="C320" s="7">
        <v>-180</v>
      </c>
      <c r="D320" t="s">
        <v>6</v>
      </c>
      <c r="E320" s="8">
        <f>E319+F320</f>
        <v>14900</v>
      </c>
      <c r="F320" s="8">
        <f>IF($D320="CR01",$C320,0)</f>
        <v>-180</v>
      </c>
      <c r="G320" s="8">
        <f>G319+H320</f>
        <v>0</v>
      </c>
      <c r="H320" s="8">
        <f>IF($D320="VISA",$C320,0)</f>
        <v>0</v>
      </c>
      <c r="I320" s="8">
        <f>I319+J320</f>
        <v>0</v>
      </c>
      <c r="J320" s="8">
        <f>IF($D320="ACC",$C320,0)</f>
        <v>0</v>
      </c>
      <c r="K320" s="8">
        <f>K319+L320</f>
        <v>0</v>
      </c>
      <c r="L320" s="8">
        <f>IF($D320="CBB",$C320,0)</f>
        <v>0</v>
      </c>
    </row>
    <row r="321" spans="1:12" x14ac:dyDescent="0.25">
      <c r="A321" s="6">
        <v>41543</v>
      </c>
      <c r="B321" t="s">
        <v>46</v>
      </c>
      <c r="C321" s="7">
        <v>-300</v>
      </c>
      <c r="D321" t="s">
        <v>6</v>
      </c>
      <c r="E321" s="8">
        <f>E320+F321</f>
        <v>14600</v>
      </c>
      <c r="F321" s="8">
        <f>IF($D321="CR01",$C321,0)</f>
        <v>-300</v>
      </c>
      <c r="G321" s="8">
        <f>G320+H321</f>
        <v>0</v>
      </c>
      <c r="H321" s="8">
        <f>IF($D321="VISA",$C321,0)</f>
        <v>0</v>
      </c>
      <c r="I321" s="8">
        <f>I320+J321</f>
        <v>0</v>
      </c>
      <c r="J321" s="8">
        <f>IF($D321="ACC",$C321,0)</f>
        <v>0</v>
      </c>
      <c r="K321" s="8">
        <f>K320+L321</f>
        <v>0</v>
      </c>
      <c r="L321" s="8">
        <f>IF($D321="CBB",$C321,0)</f>
        <v>0</v>
      </c>
    </row>
    <row r="322" spans="1:12" x14ac:dyDescent="0.25">
      <c r="A322" s="6">
        <v>41544</v>
      </c>
      <c r="B322" t="s">
        <v>43</v>
      </c>
      <c r="C322" s="7">
        <v>3226</v>
      </c>
      <c r="D322" t="s">
        <v>6</v>
      </c>
      <c r="E322" s="8">
        <f>E321+F322</f>
        <v>17826</v>
      </c>
      <c r="F322" s="8">
        <f>IF($D322="CR01",$C322,0)</f>
        <v>3226</v>
      </c>
      <c r="G322" s="8">
        <f>G321+H322</f>
        <v>0</v>
      </c>
      <c r="H322" s="8">
        <f>IF($D322="VISA",$C322,0)</f>
        <v>0</v>
      </c>
      <c r="I322" s="8">
        <f>I321+J322</f>
        <v>0</v>
      </c>
      <c r="J322" s="8">
        <f>IF($D322="ACC",$C322,0)</f>
        <v>0</v>
      </c>
      <c r="K322" s="8">
        <f>K321+L322</f>
        <v>0</v>
      </c>
      <c r="L322" s="8">
        <f>IF($D322="CBB",$C322,0)</f>
        <v>0</v>
      </c>
    </row>
    <row r="323" spans="1:12" x14ac:dyDescent="0.25">
      <c r="A323" s="6">
        <v>41548</v>
      </c>
      <c r="B323" t="s">
        <v>48</v>
      </c>
      <c r="C323" s="7">
        <v>-100</v>
      </c>
      <c r="D323" t="s">
        <v>6</v>
      </c>
      <c r="E323" s="8">
        <f>E322+F323</f>
        <v>17726</v>
      </c>
      <c r="F323" s="8">
        <f>IF($D323="CR01",$C323,0)</f>
        <v>-100</v>
      </c>
      <c r="G323" s="8">
        <f>G322+H323</f>
        <v>0</v>
      </c>
      <c r="H323" s="8">
        <f>IF($D323="VISA",$C323,0)</f>
        <v>0</v>
      </c>
      <c r="I323" s="8">
        <f>I322+J323</f>
        <v>0</v>
      </c>
      <c r="J323" s="8">
        <f>IF($D323="ACC",$C323,0)</f>
        <v>0</v>
      </c>
      <c r="K323" s="8">
        <f>K322+L323</f>
        <v>0</v>
      </c>
      <c r="L323" s="8">
        <f>IF($D323="CBB",$C323,0)</f>
        <v>0</v>
      </c>
    </row>
    <row r="324" spans="1:12" x14ac:dyDescent="0.25">
      <c r="A324" s="6">
        <v>41548</v>
      </c>
      <c r="B324" t="s">
        <v>58</v>
      </c>
      <c r="C324" s="7">
        <v>-200</v>
      </c>
      <c r="D324" t="s">
        <v>6</v>
      </c>
      <c r="E324" s="8">
        <f>E323+F324</f>
        <v>17526</v>
      </c>
      <c r="F324" s="8">
        <f>IF($D324="CR01",$C324,0)</f>
        <v>-200</v>
      </c>
      <c r="G324" s="8">
        <f>G323+H324</f>
        <v>0</v>
      </c>
      <c r="H324" s="8">
        <f>IF($D324="VISA",$C324,0)</f>
        <v>0</v>
      </c>
      <c r="I324" s="8">
        <f>I323+J324</f>
        <v>0</v>
      </c>
      <c r="J324" s="8">
        <f>IF($D324="ACC",$C324,0)</f>
        <v>0</v>
      </c>
      <c r="K324" s="8">
        <f>K323+L324</f>
        <v>0</v>
      </c>
      <c r="L324" s="8">
        <f>IF($D324="CBB",$C324,0)</f>
        <v>0</v>
      </c>
    </row>
    <row r="325" spans="1:12" x14ac:dyDescent="0.25">
      <c r="A325" s="6">
        <v>41548</v>
      </c>
      <c r="B325" t="s">
        <v>60</v>
      </c>
      <c r="C325" s="7">
        <v>-400</v>
      </c>
      <c r="D325" t="s">
        <v>6</v>
      </c>
      <c r="E325" s="8">
        <f>E324+F325</f>
        <v>17126</v>
      </c>
      <c r="F325" s="8">
        <f>IF($D325="CR01",$C325,0)</f>
        <v>-400</v>
      </c>
      <c r="G325" s="8">
        <f>G324+H325</f>
        <v>0</v>
      </c>
      <c r="H325" s="8">
        <f>IF($D325="VISA",$C325,0)</f>
        <v>0</v>
      </c>
      <c r="I325" s="8">
        <f>I324+J325</f>
        <v>0</v>
      </c>
      <c r="J325" s="8">
        <f>IF($D325="ACC",$C325,0)</f>
        <v>0</v>
      </c>
      <c r="K325" s="8">
        <f>K324+L325</f>
        <v>0</v>
      </c>
      <c r="L325" s="8">
        <f>IF($D325="CBB",$C325,0)</f>
        <v>0</v>
      </c>
    </row>
    <row r="326" spans="1:12" x14ac:dyDescent="0.25">
      <c r="A326" s="6">
        <v>41548</v>
      </c>
      <c r="B326" t="s">
        <v>61</v>
      </c>
      <c r="C326" s="7">
        <v>-300</v>
      </c>
      <c r="D326" t="s">
        <v>6</v>
      </c>
      <c r="E326" s="8">
        <f>E325+F326</f>
        <v>16826</v>
      </c>
      <c r="F326" s="8">
        <f>IF($D326="CR01",$C326,0)</f>
        <v>-300</v>
      </c>
      <c r="G326" s="8">
        <f>G325+H326</f>
        <v>0</v>
      </c>
      <c r="H326" s="8">
        <f>IF($D326="VISA",$C326,0)</f>
        <v>0</v>
      </c>
      <c r="I326" s="8">
        <f>I325+J326</f>
        <v>0</v>
      </c>
      <c r="J326" s="8">
        <f>IF($D326="ACC",$C326,0)</f>
        <v>0</v>
      </c>
      <c r="K326" s="8">
        <f>K325+L326</f>
        <v>0</v>
      </c>
      <c r="L326" s="8">
        <f>IF($D326="CBB",$C326,0)</f>
        <v>0</v>
      </c>
    </row>
    <row r="327" spans="1:12" x14ac:dyDescent="0.25">
      <c r="A327" s="6">
        <v>41548</v>
      </c>
      <c r="B327" t="s">
        <v>64</v>
      </c>
      <c r="C327" s="7">
        <v>-26</v>
      </c>
      <c r="D327" t="s">
        <v>6</v>
      </c>
      <c r="E327" s="8">
        <f>E326+F327</f>
        <v>16800</v>
      </c>
      <c r="F327" s="8">
        <f>IF($D327="CR01",$C327,0)</f>
        <v>-26</v>
      </c>
      <c r="G327" s="8">
        <f>G326+H327</f>
        <v>0</v>
      </c>
      <c r="H327" s="8">
        <f>IF($D327="VISA",$C327,0)</f>
        <v>0</v>
      </c>
      <c r="I327" s="8">
        <f>I326+J327</f>
        <v>0</v>
      </c>
      <c r="J327" s="8">
        <f>IF($D327="ACC",$C327,0)</f>
        <v>0</v>
      </c>
      <c r="K327" s="8">
        <f>K326+L327</f>
        <v>0</v>
      </c>
      <c r="L327" s="8">
        <f>IF($D327="CBB",$C327,0)</f>
        <v>0</v>
      </c>
    </row>
    <row r="328" spans="1:12" x14ac:dyDescent="0.25">
      <c r="A328" s="6">
        <v>41548</v>
      </c>
      <c r="B328" t="s">
        <v>65</v>
      </c>
      <c r="C328" s="7">
        <v>-240</v>
      </c>
      <c r="D328" t="s">
        <v>6</v>
      </c>
      <c r="E328" s="8">
        <f>E327+F328</f>
        <v>16560</v>
      </c>
      <c r="F328" s="8">
        <f>IF($D328="CR01",$C328,0)</f>
        <v>-240</v>
      </c>
      <c r="G328" s="8">
        <f>G327+H328</f>
        <v>0</v>
      </c>
      <c r="H328" s="8">
        <f>IF($D328="VISA",$C328,0)</f>
        <v>0</v>
      </c>
      <c r="I328" s="8">
        <f>I327+J328</f>
        <v>0</v>
      </c>
      <c r="J328" s="8">
        <f>IF($D328="ACC",$C328,0)</f>
        <v>0</v>
      </c>
      <c r="K328" s="8">
        <f>K327+L328</f>
        <v>0</v>
      </c>
      <c r="L328" s="8">
        <f>IF($D328="CBB",$C328,0)</f>
        <v>0</v>
      </c>
    </row>
    <row r="329" spans="1:12" x14ac:dyDescent="0.25">
      <c r="A329" s="6">
        <v>41548</v>
      </c>
      <c r="B329" t="s">
        <v>66</v>
      </c>
      <c r="C329" s="7">
        <v>-120</v>
      </c>
      <c r="D329" t="s">
        <v>6</v>
      </c>
      <c r="E329" s="8">
        <f>E328+F329</f>
        <v>16440</v>
      </c>
      <c r="F329" s="8">
        <f>IF($D329="CR01",$C329,0)</f>
        <v>-120</v>
      </c>
      <c r="G329" s="8">
        <f>G328+H329</f>
        <v>0</v>
      </c>
      <c r="H329" s="8">
        <f>IF($D329="VISA",$C329,0)</f>
        <v>0</v>
      </c>
      <c r="I329" s="8">
        <f>I328+J329</f>
        <v>0</v>
      </c>
      <c r="J329" s="8">
        <f>IF($D329="ACC",$C329,0)</f>
        <v>0</v>
      </c>
      <c r="K329" s="8">
        <f>K328+L329</f>
        <v>0</v>
      </c>
      <c r="L329" s="8">
        <f>IF($D329="CBB",$C329,0)</f>
        <v>0</v>
      </c>
    </row>
    <row r="330" spans="1:12" x14ac:dyDescent="0.25">
      <c r="A330" s="6">
        <v>41549</v>
      </c>
      <c r="B330" t="s">
        <v>47</v>
      </c>
      <c r="C330" s="7">
        <v>-120</v>
      </c>
      <c r="D330" t="s">
        <v>6</v>
      </c>
      <c r="E330" s="8">
        <f>E329+F330</f>
        <v>16320</v>
      </c>
      <c r="F330" s="8">
        <f>IF($D330="CR01",$C330,0)</f>
        <v>-120</v>
      </c>
      <c r="G330" s="8">
        <f>G329+H330</f>
        <v>0</v>
      </c>
      <c r="H330" s="8">
        <f>IF($D330="VISA",$C330,0)</f>
        <v>0</v>
      </c>
      <c r="I330" s="8">
        <f>I329+J330</f>
        <v>0</v>
      </c>
      <c r="J330" s="8">
        <f>IF($D330="ACC",$C330,0)</f>
        <v>0</v>
      </c>
      <c r="K330" s="8">
        <f>K329+L330</f>
        <v>0</v>
      </c>
      <c r="L330" s="8">
        <f>IF($D330="CBB",$C330,0)</f>
        <v>0</v>
      </c>
    </row>
    <row r="331" spans="1:12" x14ac:dyDescent="0.25">
      <c r="A331" s="6">
        <v>41549</v>
      </c>
      <c r="B331" t="s">
        <v>59</v>
      </c>
      <c r="C331" s="7">
        <v>-900</v>
      </c>
      <c r="D331" t="s">
        <v>6</v>
      </c>
      <c r="E331" s="8">
        <f>E330+F331</f>
        <v>15420</v>
      </c>
      <c r="F331" s="8">
        <f>IF($D331="CR01",$C331,0)</f>
        <v>-900</v>
      </c>
      <c r="G331" s="8">
        <f>G330+H331</f>
        <v>0</v>
      </c>
      <c r="H331" s="8">
        <f>IF($D331="VISA",$C331,0)</f>
        <v>0</v>
      </c>
      <c r="I331" s="8">
        <f>I330+J331</f>
        <v>0</v>
      </c>
      <c r="J331" s="8">
        <f>IF($D331="ACC",$C331,0)</f>
        <v>0</v>
      </c>
      <c r="K331" s="8">
        <f>K330+L331</f>
        <v>0</v>
      </c>
      <c r="L331" s="8">
        <f>IF($D331="CBB",$C331,0)</f>
        <v>0</v>
      </c>
    </row>
    <row r="332" spans="1:12" x14ac:dyDescent="0.25">
      <c r="A332" s="6">
        <v>41550</v>
      </c>
      <c r="B332" t="s">
        <v>44</v>
      </c>
      <c r="C332" s="7">
        <v>-400</v>
      </c>
      <c r="D332" t="s">
        <v>6</v>
      </c>
      <c r="E332" s="8">
        <f>E331+F332</f>
        <v>15020</v>
      </c>
      <c r="F332" s="8">
        <f>IF($D332="CR01",$C332,0)</f>
        <v>-400</v>
      </c>
      <c r="G332" s="8">
        <f>G331+H332</f>
        <v>0</v>
      </c>
      <c r="H332" s="8">
        <f>IF($D332="VISA",$C332,0)</f>
        <v>0</v>
      </c>
      <c r="I332" s="8">
        <f>I331+J332</f>
        <v>0</v>
      </c>
      <c r="J332" s="8">
        <f>IF($D332="ACC",$C332,0)</f>
        <v>0</v>
      </c>
      <c r="K332" s="8">
        <f>K331+L332</f>
        <v>0</v>
      </c>
      <c r="L332" s="8">
        <f>IF($D332="CBB",$C332,0)</f>
        <v>0</v>
      </c>
    </row>
    <row r="333" spans="1:12" x14ac:dyDescent="0.25">
      <c r="A333" s="6">
        <v>41550</v>
      </c>
      <c r="B333" t="s">
        <v>45</v>
      </c>
      <c r="C333" s="7">
        <v>-180</v>
      </c>
      <c r="D333" t="s">
        <v>6</v>
      </c>
      <c r="E333" s="8">
        <f>E332+F333</f>
        <v>14840</v>
      </c>
      <c r="F333" s="8">
        <f>IF($D333="CR01",$C333,0)</f>
        <v>-180</v>
      </c>
      <c r="G333" s="8">
        <f>G332+H333</f>
        <v>0</v>
      </c>
      <c r="H333" s="8">
        <f>IF($D333="VISA",$C333,0)</f>
        <v>0</v>
      </c>
      <c r="I333" s="8">
        <f>I332+J333</f>
        <v>0</v>
      </c>
      <c r="J333" s="8">
        <f>IF($D333="ACC",$C333,0)</f>
        <v>0</v>
      </c>
      <c r="K333" s="8">
        <f>K332+L333</f>
        <v>0</v>
      </c>
      <c r="L333" s="8">
        <f>IF($D333="CBB",$C333,0)</f>
        <v>0</v>
      </c>
    </row>
    <row r="334" spans="1:12" x14ac:dyDescent="0.25">
      <c r="A334" s="6">
        <v>41550</v>
      </c>
      <c r="B334" t="s">
        <v>46</v>
      </c>
      <c r="C334" s="7">
        <v>-300</v>
      </c>
      <c r="D334" t="s">
        <v>6</v>
      </c>
      <c r="E334" s="8">
        <f>E333+F334</f>
        <v>14540</v>
      </c>
      <c r="F334" s="8">
        <f>IF($D334="CR01",$C334,0)</f>
        <v>-300</v>
      </c>
      <c r="G334" s="8">
        <f>G333+H334</f>
        <v>0</v>
      </c>
      <c r="H334" s="8">
        <f>IF($D334="VISA",$C334,0)</f>
        <v>0</v>
      </c>
      <c r="I334" s="8">
        <f>I333+J334</f>
        <v>0</v>
      </c>
      <c r="J334" s="8">
        <f>IF($D334="ACC",$C334,0)</f>
        <v>0</v>
      </c>
      <c r="K334" s="8">
        <f>K333+L334</f>
        <v>0</v>
      </c>
      <c r="L334" s="8">
        <f>IF($D334="CBB",$C334,0)</f>
        <v>0</v>
      </c>
    </row>
    <row r="335" spans="1:12" x14ac:dyDescent="0.25">
      <c r="A335" s="6">
        <v>41552</v>
      </c>
      <c r="B335" t="s">
        <v>67</v>
      </c>
      <c r="C335" s="7">
        <v>3600</v>
      </c>
      <c r="D335" t="s">
        <v>6</v>
      </c>
      <c r="E335" s="8">
        <f>E334+F335</f>
        <v>18140</v>
      </c>
      <c r="F335" s="8">
        <f>IF($D335="CR01",$C335,0)</f>
        <v>3600</v>
      </c>
      <c r="G335" s="8">
        <f>G334+H335</f>
        <v>0</v>
      </c>
      <c r="H335" s="8">
        <f>IF($D335="VISA",$C335,0)</f>
        <v>0</v>
      </c>
      <c r="I335" s="8">
        <f>I334+J335</f>
        <v>0</v>
      </c>
      <c r="J335" s="8">
        <f>IF($D335="ACC",$C335,0)</f>
        <v>0</v>
      </c>
      <c r="K335" s="8">
        <f>K334+L335</f>
        <v>0</v>
      </c>
      <c r="L335" s="8">
        <f>IF($D335="CBB",$C335,0)</f>
        <v>0</v>
      </c>
    </row>
    <row r="336" spans="1:12" x14ac:dyDescent="0.25">
      <c r="A336" s="6">
        <v>41555</v>
      </c>
      <c r="B336" t="s">
        <v>42</v>
      </c>
      <c r="C336" s="7">
        <v>-2806</v>
      </c>
      <c r="D336" t="s">
        <v>6</v>
      </c>
      <c r="E336" s="8">
        <f>E335+F336</f>
        <v>15334</v>
      </c>
      <c r="F336" s="8">
        <f>IF($D336="CR01",$C336,0)</f>
        <v>-2806</v>
      </c>
      <c r="G336" s="8">
        <f>G335+H336</f>
        <v>0</v>
      </c>
      <c r="H336" s="8">
        <f>IF($D336="VISA",$C336,0)</f>
        <v>0</v>
      </c>
      <c r="I336" s="8">
        <f>I335+J336</f>
        <v>0</v>
      </c>
      <c r="J336" s="8">
        <f>IF($D336="ACC",$C336,0)</f>
        <v>0</v>
      </c>
      <c r="K336" s="8">
        <f>K335+L336</f>
        <v>0</v>
      </c>
      <c r="L336" s="8">
        <f>IF($D336="CBB",$C336,0)</f>
        <v>0</v>
      </c>
    </row>
    <row r="337" spans="1:12" x14ac:dyDescent="0.25">
      <c r="A337" s="6">
        <v>41555</v>
      </c>
      <c r="B337" t="s">
        <v>48</v>
      </c>
      <c r="C337" s="7">
        <v>-100</v>
      </c>
      <c r="D337" t="s">
        <v>6</v>
      </c>
      <c r="E337" s="8">
        <f>E336+F337</f>
        <v>15234</v>
      </c>
      <c r="F337" s="8">
        <f>IF($D337="CR01",$C337,0)</f>
        <v>-100</v>
      </c>
      <c r="G337" s="8">
        <f>G336+H337</f>
        <v>0</v>
      </c>
      <c r="H337" s="8">
        <f>IF($D337="VISA",$C337,0)</f>
        <v>0</v>
      </c>
      <c r="I337" s="8">
        <f>I336+J337</f>
        <v>0</v>
      </c>
      <c r="J337" s="8">
        <f>IF($D337="ACC",$C337,0)</f>
        <v>0</v>
      </c>
      <c r="K337" s="8">
        <f>K336+L337</f>
        <v>0</v>
      </c>
      <c r="L337" s="8">
        <f>IF($D337="CBB",$C337,0)</f>
        <v>0</v>
      </c>
    </row>
    <row r="338" spans="1:12" x14ac:dyDescent="0.25">
      <c r="A338" s="6">
        <v>41556</v>
      </c>
      <c r="B338" t="s">
        <v>47</v>
      </c>
      <c r="C338" s="7">
        <v>-120</v>
      </c>
      <c r="D338" t="s">
        <v>6</v>
      </c>
      <c r="E338" s="8">
        <f>E337+F338</f>
        <v>15114</v>
      </c>
      <c r="F338" s="8">
        <f>IF($D338="CR01",$C338,0)</f>
        <v>-120</v>
      </c>
      <c r="G338" s="8">
        <f>G337+H338</f>
        <v>0</v>
      </c>
      <c r="H338" s="8">
        <f>IF($D338="VISA",$C338,0)</f>
        <v>0</v>
      </c>
      <c r="I338" s="8">
        <f>I337+J338</f>
        <v>0</v>
      </c>
      <c r="J338" s="8">
        <f>IF($D338="ACC",$C338,0)</f>
        <v>0</v>
      </c>
      <c r="K338" s="8">
        <f>K337+L338</f>
        <v>0</v>
      </c>
      <c r="L338" s="8">
        <f>IF($D338="CBB",$C338,0)</f>
        <v>0</v>
      </c>
    </row>
    <row r="339" spans="1:12" x14ac:dyDescent="0.25">
      <c r="A339" s="6">
        <v>41557</v>
      </c>
      <c r="B339" t="s">
        <v>44</v>
      </c>
      <c r="C339" s="7">
        <v>-400</v>
      </c>
      <c r="D339" t="s">
        <v>6</v>
      </c>
      <c r="E339" s="8">
        <f>E338+F339</f>
        <v>14714</v>
      </c>
      <c r="F339" s="8">
        <f>IF($D339="CR01",$C339,0)</f>
        <v>-400</v>
      </c>
      <c r="G339" s="8">
        <f>G338+H339</f>
        <v>0</v>
      </c>
      <c r="H339" s="8">
        <f>IF($D339="VISA",$C339,0)</f>
        <v>0</v>
      </c>
      <c r="I339" s="8">
        <f>I338+J339</f>
        <v>0</v>
      </c>
      <c r="J339" s="8">
        <f>IF($D339="ACC",$C339,0)</f>
        <v>0</v>
      </c>
      <c r="K339" s="8">
        <f>K338+L339</f>
        <v>0</v>
      </c>
      <c r="L339" s="8">
        <f>IF($D339="CBB",$C339,0)</f>
        <v>0</v>
      </c>
    </row>
    <row r="340" spans="1:12" x14ac:dyDescent="0.25">
      <c r="A340" s="6">
        <v>41557</v>
      </c>
      <c r="B340" t="s">
        <v>45</v>
      </c>
      <c r="C340" s="7">
        <v>-180</v>
      </c>
      <c r="D340" t="s">
        <v>6</v>
      </c>
      <c r="E340" s="8">
        <f>E339+F340</f>
        <v>14534</v>
      </c>
      <c r="F340" s="8">
        <f>IF($D340="CR01",$C340,0)</f>
        <v>-180</v>
      </c>
      <c r="G340" s="8">
        <f>G339+H340</f>
        <v>0</v>
      </c>
      <c r="H340" s="8">
        <f>IF($D340="VISA",$C340,0)</f>
        <v>0</v>
      </c>
      <c r="I340" s="8">
        <f>I339+J340</f>
        <v>0</v>
      </c>
      <c r="J340" s="8">
        <f>IF($D340="ACC",$C340,0)</f>
        <v>0</v>
      </c>
      <c r="K340" s="8">
        <f>K339+L340</f>
        <v>0</v>
      </c>
      <c r="L340" s="8">
        <f>IF($D340="CBB",$C340,0)</f>
        <v>0</v>
      </c>
    </row>
    <row r="341" spans="1:12" x14ac:dyDescent="0.25">
      <c r="A341" s="6">
        <v>41557</v>
      </c>
      <c r="B341" t="s">
        <v>46</v>
      </c>
      <c r="C341" s="7">
        <v>-300</v>
      </c>
      <c r="D341" t="s">
        <v>6</v>
      </c>
      <c r="E341" s="8">
        <f>E340+F341</f>
        <v>14234</v>
      </c>
      <c r="F341" s="8">
        <f>IF($D341="CR01",$C341,0)</f>
        <v>-300</v>
      </c>
      <c r="G341" s="8">
        <f>G340+H341</f>
        <v>0</v>
      </c>
      <c r="H341" s="8">
        <f>IF($D341="VISA",$C341,0)</f>
        <v>0</v>
      </c>
      <c r="I341" s="8">
        <f>I340+J341</f>
        <v>0</v>
      </c>
      <c r="J341" s="8">
        <f>IF($D341="ACC",$C341,0)</f>
        <v>0</v>
      </c>
      <c r="K341" s="8">
        <f>K340+L341</f>
        <v>0</v>
      </c>
      <c r="L341" s="8">
        <f>IF($D341="CBB",$C341,0)</f>
        <v>0</v>
      </c>
    </row>
    <row r="342" spans="1:12" x14ac:dyDescent="0.25">
      <c r="A342" s="6">
        <v>41558</v>
      </c>
      <c r="B342" t="s">
        <v>43</v>
      </c>
      <c r="C342" s="7">
        <v>3226</v>
      </c>
      <c r="D342" t="s">
        <v>6</v>
      </c>
      <c r="E342" s="8">
        <f>E341+F342</f>
        <v>17460</v>
      </c>
      <c r="F342" s="8">
        <f>IF($D342="CR01",$C342,0)</f>
        <v>3226</v>
      </c>
      <c r="G342" s="8">
        <f>G341+H342</f>
        <v>0</v>
      </c>
      <c r="H342" s="8">
        <f>IF($D342="VISA",$C342,0)</f>
        <v>0</v>
      </c>
      <c r="I342" s="8">
        <f>I341+J342</f>
        <v>0</v>
      </c>
      <c r="J342" s="8">
        <f>IF($D342="ACC",$C342,0)</f>
        <v>0</v>
      </c>
      <c r="K342" s="8">
        <f>K341+L342</f>
        <v>0</v>
      </c>
      <c r="L342" s="8">
        <f>IF($D342="CBB",$C342,0)</f>
        <v>0</v>
      </c>
    </row>
    <row r="343" spans="1:12" x14ac:dyDescent="0.25">
      <c r="A343" s="6">
        <v>41562</v>
      </c>
      <c r="B343" t="s">
        <v>48</v>
      </c>
      <c r="C343" s="7">
        <v>-100</v>
      </c>
      <c r="D343" t="s">
        <v>6</v>
      </c>
      <c r="E343" s="8">
        <f>E342+F343</f>
        <v>17360</v>
      </c>
      <c r="F343" s="8">
        <f>IF($D343="CR01",$C343,0)</f>
        <v>-100</v>
      </c>
      <c r="G343" s="8">
        <f>G342+H343</f>
        <v>0</v>
      </c>
      <c r="H343" s="8">
        <f>IF($D343="VISA",$C343,0)</f>
        <v>0</v>
      </c>
      <c r="I343" s="8">
        <f>I342+J343</f>
        <v>0</v>
      </c>
      <c r="J343" s="8">
        <f>IF($D343="ACC",$C343,0)</f>
        <v>0</v>
      </c>
      <c r="K343" s="8">
        <f>K342+L343</f>
        <v>0</v>
      </c>
      <c r="L343" s="8">
        <f>IF($D343="CBB",$C343,0)</f>
        <v>0</v>
      </c>
    </row>
    <row r="344" spans="1:12" x14ac:dyDescent="0.25">
      <c r="A344" s="6">
        <v>41563</v>
      </c>
      <c r="B344" t="s">
        <v>47</v>
      </c>
      <c r="C344" s="7">
        <v>-120</v>
      </c>
      <c r="D344" t="s">
        <v>6</v>
      </c>
      <c r="E344" s="8">
        <f>E343+F344</f>
        <v>17240</v>
      </c>
      <c r="F344" s="8">
        <f>IF($D344="CR01",$C344,0)</f>
        <v>-120</v>
      </c>
      <c r="G344" s="8">
        <f>G343+H344</f>
        <v>0</v>
      </c>
      <c r="H344" s="8">
        <f>IF($D344="VISA",$C344,0)</f>
        <v>0</v>
      </c>
      <c r="I344" s="8">
        <f>I343+J344</f>
        <v>0</v>
      </c>
      <c r="J344" s="8">
        <f>IF($D344="ACC",$C344,0)</f>
        <v>0</v>
      </c>
      <c r="K344" s="8">
        <f>K343+L344</f>
        <v>0</v>
      </c>
      <c r="L344" s="8">
        <f>IF($D344="CBB",$C344,0)</f>
        <v>0</v>
      </c>
    </row>
    <row r="345" spans="1:12" x14ac:dyDescent="0.25">
      <c r="A345" s="6">
        <v>41564</v>
      </c>
      <c r="B345" t="s">
        <v>44</v>
      </c>
      <c r="C345" s="7">
        <v>-400</v>
      </c>
      <c r="D345" t="s">
        <v>6</v>
      </c>
      <c r="E345" s="8">
        <f>E344+F345</f>
        <v>16840</v>
      </c>
      <c r="F345" s="8">
        <f>IF($D345="CR01",$C345,0)</f>
        <v>-400</v>
      </c>
      <c r="G345" s="8">
        <f>G344+H345</f>
        <v>0</v>
      </c>
      <c r="H345" s="8">
        <f>IF($D345="VISA",$C345,0)</f>
        <v>0</v>
      </c>
      <c r="I345" s="8">
        <f>I344+J345</f>
        <v>0</v>
      </c>
      <c r="J345" s="8">
        <f>IF($D345="ACC",$C345,0)</f>
        <v>0</v>
      </c>
      <c r="K345" s="8">
        <f>K344+L345</f>
        <v>0</v>
      </c>
      <c r="L345" s="8">
        <f>IF($D345="CBB",$C345,0)</f>
        <v>0</v>
      </c>
    </row>
    <row r="346" spans="1:12" x14ac:dyDescent="0.25">
      <c r="A346" s="6">
        <v>41564</v>
      </c>
      <c r="B346" t="s">
        <v>45</v>
      </c>
      <c r="C346" s="7">
        <v>-180</v>
      </c>
      <c r="D346" t="s">
        <v>6</v>
      </c>
      <c r="E346" s="8">
        <f>E345+F346</f>
        <v>16660</v>
      </c>
      <c r="F346" s="8">
        <f>IF($D346="CR01",$C346,0)</f>
        <v>-180</v>
      </c>
      <c r="G346" s="8">
        <f>G345+H346</f>
        <v>0</v>
      </c>
      <c r="H346" s="8">
        <f>IF($D346="VISA",$C346,0)</f>
        <v>0</v>
      </c>
      <c r="I346" s="8">
        <f>I345+J346</f>
        <v>0</v>
      </c>
      <c r="J346" s="8">
        <f>IF($D346="ACC",$C346,0)</f>
        <v>0</v>
      </c>
      <c r="K346" s="8">
        <f>K345+L346</f>
        <v>0</v>
      </c>
      <c r="L346" s="8">
        <f>IF($D346="CBB",$C346,0)</f>
        <v>0</v>
      </c>
    </row>
    <row r="347" spans="1:12" x14ac:dyDescent="0.25">
      <c r="A347" s="6">
        <v>41564</v>
      </c>
      <c r="B347" t="s">
        <v>46</v>
      </c>
      <c r="C347" s="7">
        <v>-300</v>
      </c>
      <c r="D347" t="s">
        <v>6</v>
      </c>
      <c r="E347" s="8">
        <f>E346+F347</f>
        <v>16360</v>
      </c>
      <c r="F347" s="8">
        <f>IF($D347="CR01",$C347,0)</f>
        <v>-300</v>
      </c>
      <c r="G347" s="8">
        <f>G346+H347</f>
        <v>0</v>
      </c>
      <c r="H347" s="8">
        <f>IF($D347="VISA",$C347,0)</f>
        <v>0</v>
      </c>
      <c r="I347" s="8">
        <f>I346+J347</f>
        <v>0</v>
      </c>
      <c r="J347" s="8">
        <f>IF($D347="ACC",$C347,0)</f>
        <v>0</v>
      </c>
      <c r="K347" s="8">
        <f>K346+L347</f>
        <v>0</v>
      </c>
      <c r="L347" s="8">
        <f>IF($D347="CBB",$C347,0)</f>
        <v>0</v>
      </c>
    </row>
    <row r="348" spans="1:12" x14ac:dyDescent="0.25">
      <c r="A348" s="6">
        <v>41566</v>
      </c>
      <c r="B348" t="s">
        <v>67</v>
      </c>
      <c r="C348" s="7">
        <v>3600</v>
      </c>
      <c r="D348" t="s">
        <v>6</v>
      </c>
      <c r="E348" s="8">
        <f>E347+F348</f>
        <v>19960</v>
      </c>
      <c r="F348" s="8">
        <f>IF($D348="CR01",$C348,0)</f>
        <v>3600</v>
      </c>
      <c r="G348" s="8">
        <f>G347+H348</f>
        <v>0</v>
      </c>
      <c r="H348" s="8">
        <f>IF($D348="VISA",$C348,0)</f>
        <v>0</v>
      </c>
      <c r="I348" s="8">
        <f>I347+J348</f>
        <v>0</v>
      </c>
      <c r="J348" s="8">
        <f>IF($D348="ACC",$C348,0)</f>
        <v>0</v>
      </c>
      <c r="K348" s="8">
        <f>K347+L348</f>
        <v>0</v>
      </c>
      <c r="L348" s="8">
        <f>IF($D348="CBB",$C348,0)</f>
        <v>0</v>
      </c>
    </row>
    <row r="349" spans="1:12" x14ac:dyDescent="0.25">
      <c r="A349" s="6">
        <v>41569</v>
      </c>
      <c r="B349" t="s">
        <v>42</v>
      </c>
      <c r="C349" s="7">
        <v>-2806</v>
      </c>
      <c r="D349" t="s">
        <v>6</v>
      </c>
      <c r="E349" s="8">
        <f>E348+F349</f>
        <v>17154</v>
      </c>
      <c r="F349" s="8">
        <f>IF($D349="CR01",$C349,0)</f>
        <v>-2806</v>
      </c>
      <c r="G349" s="8">
        <f>G348+H349</f>
        <v>0</v>
      </c>
      <c r="H349" s="8">
        <f>IF($D349="VISA",$C349,0)</f>
        <v>0</v>
      </c>
      <c r="I349" s="8">
        <f>I348+J349</f>
        <v>0</v>
      </c>
      <c r="J349" s="8">
        <f>IF($D349="ACC",$C349,0)</f>
        <v>0</v>
      </c>
      <c r="K349" s="8">
        <f>K348+L349</f>
        <v>0</v>
      </c>
      <c r="L349" s="8">
        <f>IF($D349="CBB",$C349,0)</f>
        <v>0</v>
      </c>
    </row>
    <row r="350" spans="1:12" x14ac:dyDescent="0.25">
      <c r="A350" s="6">
        <v>41569</v>
      </c>
      <c r="B350" t="s">
        <v>48</v>
      </c>
      <c r="C350" s="7">
        <v>-100</v>
      </c>
      <c r="D350" t="s">
        <v>6</v>
      </c>
      <c r="E350" s="8">
        <f>E349+F350</f>
        <v>17054</v>
      </c>
      <c r="F350" s="8">
        <f>IF($D350="CR01",$C350,0)</f>
        <v>-100</v>
      </c>
      <c r="G350" s="8">
        <f>G349+H350</f>
        <v>0</v>
      </c>
      <c r="H350" s="8">
        <f>IF($D350="VISA",$C350,0)</f>
        <v>0</v>
      </c>
      <c r="I350" s="8">
        <f>I349+J350</f>
        <v>0</v>
      </c>
      <c r="J350" s="8">
        <f>IF($D350="ACC",$C350,0)</f>
        <v>0</v>
      </c>
      <c r="K350" s="8">
        <f>K349+L350</f>
        <v>0</v>
      </c>
      <c r="L350" s="8">
        <f>IF($D350="CBB",$C350,0)</f>
        <v>0</v>
      </c>
    </row>
    <row r="351" spans="1:12" x14ac:dyDescent="0.25">
      <c r="A351" s="6">
        <v>41570</v>
      </c>
      <c r="B351" t="s">
        <v>47</v>
      </c>
      <c r="C351" s="7">
        <v>-120</v>
      </c>
      <c r="D351" t="s">
        <v>6</v>
      </c>
      <c r="E351" s="8">
        <f>E350+F351</f>
        <v>16934</v>
      </c>
      <c r="F351" s="8">
        <f>IF($D351="CR01",$C351,0)</f>
        <v>-120</v>
      </c>
      <c r="G351" s="8">
        <f>G350+H351</f>
        <v>0</v>
      </c>
      <c r="H351" s="8">
        <f>IF($D351="VISA",$C351,0)</f>
        <v>0</v>
      </c>
      <c r="I351" s="8">
        <f>I350+J351</f>
        <v>0</v>
      </c>
      <c r="J351" s="8">
        <f>IF($D351="ACC",$C351,0)</f>
        <v>0</v>
      </c>
      <c r="K351" s="8">
        <f>K350+L351</f>
        <v>0</v>
      </c>
      <c r="L351" s="8">
        <f>IF($D351="CBB",$C351,0)</f>
        <v>0</v>
      </c>
    </row>
    <row r="352" spans="1:12" x14ac:dyDescent="0.25">
      <c r="A352" s="6">
        <v>41571</v>
      </c>
      <c r="B352" t="s">
        <v>44</v>
      </c>
      <c r="C352" s="7">
        <v>-400</v>
      </c>
      <c r="D352" t="s">
        <v>6</v>
      </c>
      <c r="E352" s="8">
        <f>E351+F352</f>
        <v>16534</v>
      </c>
      <c r="F352" s="8">
        <f>IF($D352="CR01",$C352,0)</f>
        <v>-400</v>
      </c>
      <c r="G352" s="8">
        <f>G351+H352</f>
        <v>0</v>
      </c>
      <c r="H352" s="8">
        <f>IF($D352="VISA",$C352,0)</f>
        <v>0</v>
      </c>
      <c r="I352" s="8">
        <f>I351+J352</f>
        <v>0</v>
      </c>
      <c r="J352" s="8">
        <f>IF($D352="ACC",$C352,0)</f>
        <v>0</v>
      </c>
      <c r="K352" s="8">
        <f>K351+L352</f>
        <v>0</v>
      </c>
      <c r="L352" s="8">
        <f>IF($D352="CBB",$C352,0)</f>
        <v>0</v>
      </c>
    </row>
    <row r="353" spans="1:12" x14ac:dyDescent="0.25">
      <c r="A353" s="6">
        <v>41571</v>
      </c>
      <c r="B353" t="s">
        <v>45</v>
      </c>
      <c r="C353" s="7">
        <v>-180</v>
      </c>
      <c r="D353" t="s">
        <v>6</v>
      </c>
      <c r="E353" s="8">
        <f>E352+F353</f>
        <v>16354</v>
      </c>
      <c r="F353" s="8">
        <f>IF($D353="CR01",$C353,0)</f>
        <v>-180</v>
      </c>
      <c r="G353" s="8">
        <f>G352+H353</f>
        <v>0</v>
      </c>
      <c r="H353" s="8">
        <f>IF($D353="VISA",$C353,0)</f>
        <v>0</v>
      </c>
      <c r="I353" s="8">
        <f>I352+J353</f>
        <v>0</v>
      </c>
      <c r="J353" s="8">
        <f>IF($D353="ACC",$C353,0)</f>
        <v>0</v>
      </c>
      <c r="K353" s="8">
        <f>K352+L353</f>
        <v>0</v>
      </c>
      <c r="L353" s="8">
        <f>IF($D353="CBB",$C353,0)</f>
        <v>0</v>
      </c>
    </row>
    <row r="354" spans="1:12" x14ac:dyDescent="0.25">
      <c r="A354" s="6">
        <v>41571</v>
      </c>
      <c r="B354" t="s">
        <v>46</v>
      </c>
      <c r="C354" s="7">
        <v>-300</v>
      </c>
      <c r="D354" t="s">
        <v>6</v>
      </c>
      <c r="E354" s="8">
        <f>E353+F354</f>
        <v>16054</v>
      </c>
      <c r="F354" s="8">
        <f>IF($D354="CR01",$C354,0)</f>
        <v>-300</v>
      </c>
      <c r="G354" s="8">
        <f>G353+H354</f>
        <v>0</v>
      </c>
      <c r="H354" s="8">
        <f>IF($D354="VISA",$C354,0)</f>
        <v>0</v>
      </c>
      <c r="I354" s="8">
        <f>I353+J354</f>
        <v>0</v>
      </c>
      <c r="J354" s="8">
        <f>IF($D354="ACC",$C354,0)</f>
        <v>0</v>
      </c>
      <c r="K354" s="8">
        <f>K353+L354</f>
        <v>0</v>
      </c>
      <c r="L354" s="8">
        <f>IF($D354="CBB",$C354,0)</f>
        <v>0</v>
      </c>
    </row>
    <row r="355" spans="1:12" x14ac:dyDescent="0.25">
      <c r="A355" s="6">
        <v>41572</v>
      </c>
      <c r="B355" t="s">
        <v>43</v>
      </c>
      <c r="C355" s="7">
        <v>3226</v>
      </c>
      <c r="D355" t="s">
        <v>6</v>
      </c>
      <c r="E355" s="8">
        <f>E354+F355</f>
        <v>19280</v>
      </c>
      <c r="F355" s="8">
        <f>IF($D355="CR01",$C355,0)</f>
        <v>3226</v>
      </c>
      <c r="G355" s="8">
        <f>G354+H355</f>
        <v>0</v>
      </c>
      <c r="H355" s="8">
        <f>IF($D355="VISA",$C355,0)</f>
        <v>0</v>
      </c>
      <c r="I355" s="8">
        <f>I354+J355</f>
        <v>0</v>
      </c>
      <c r="J355" s="8">
        <f>IF($D355="ACC",$C355,0)</f>
        <v>0</v>
      </c>
      <c r="K355" s="8">
        <f>K354+L355</f>
        <v>0</v>
      </c>
      <c r="L355" s="8">
        <f>IF($D355="CBB",$C355,0)</f>
        <v>0</v>
      </c>
    </row>
    <row r="356" spans="1:12" x14ac:dyDescent="0.25">
      <c r="A356" s="6">
        <v>41576</v>
      </c>
      <c r="B356" t="s">
        <v>48</v>
      </c>
      <c r="C356" s="7">
        <v>-100</v>
      </c>
      <c r="D356" t="s">
        <v>6</v>
      </c>
      <c r="E356" s="8">
        <f>E355+F356</f>
        <v>19180</v>
      </c>
      <c r="F356" s="8">
        <f>IF($D356="CR01",$C356,0)</f>
        <v>-100</v>
      </c>
      <c r="G356" s="8">
        <f>G355+H356</f>
        <v>0</v>
      </c>
      <c r="H356" s="8">
        <f>IF($D356="VISA",$C356,0)</f>
        <v>0</v>
      </c>
      <c r="I356" s="8">
        <f>I355+J356</f>
        <v>0</v>
      </c>
      <c r="J356" s="8">
        <f>IF($D356="ACC",$C356,0)</f>
        <v>0</v>
      </c>
      <c r="K356" s="8">
        <f>K355+L356</f>
        <v>0</v>
      </c>
      <c r="L356" s="8">
        <f>IF($D356="CBB",$C356,0)</f>
        <v>0</v>
      </c>
    </row>
    <row r="357" spans="1:12" x14ac:dyDescent="0.25">
      <c r="A357" s="6">
        <v>41577</v>
      </c>
      <c r="B357" t="s">
        <v>47</v>
      </c>
      <c r="C357" s="7">
        <v>-120</v>
      </c>
      <c r="D357" t="s">
        <v>6</v>
      </c>
      <c r="E357" s="8">
        <f>E356+F357</f>
        <v>19060</v>
      </c>
      <c r="F357" s="8">
        <f>IF($D357="CR01",$C357,0)</f>
        <v>-120</v>
      </c>
      <c r="G357" s="8">
        <f>G356+H357</f>
        <v>0</v>
      </c>
      <c r="H357" s="8">
        <f>IF($D357="VISA",$C357,0)</f>
        <v>0</v>
      </c>
      <c r="I357" s="8">
        <f>I356+J357</f>
        <v>0</v>
      </c>
      <c r="J357" s="8">
        <f>IF($D357="ACC",$C357,0)</f>
        <v>0</v>
      </c>
      <c r="K357" s="8">
        <f>K356+L357</f>
        <v>0</v>
      </c>
      <c r="L357" s="8">
        <f>IF($D357="CBB",$C357,0)</f>
        <v>0</v>
      </c>
    </row>
    <row r="358" spans="1:12" x14ac:dyDescent="0.25">
      <c r="A358" s="6">
        <v>41578</v>
      </c>
      <c r="B358" t="s">
        <v>44</v>
      </c>
      <c r="C358" s="7">
        <v>-400</v>
      </c>
      <c r="D358" t="s">
        <v>6</v>
      </c>
      <c r="E358" s="8">
        <f>E357+F358</f>
        <v>18660</v>
      </c>
      <c r="F358" s="8">
        <f>IF($D358="CR01",$C358,0)</f>
        <v>-400</v>
      </c>
      <c r="G358" s="8">
        <f>G357+H358</f>
        <v>0</v>
      </c>
      <c r="H358" s="8">
        <f>IF($D358="VISA",$C358,0)</f>
        <v>0</v>
      </c>
      <c r="I358" s="8">
        <f>I357+J358</f>
        <v>0</v>
      </c>
      <c r="J358" s="8">
        <f>IF($D358="ACC",$C358,0)</f>
        <v>0</v>
      </c>
      <c r="K358" s="8">
        <f>K357+L358</f>
        <v>0</v>
      </c>
      <c r="L358" s="8">
        <f>IF($D358="CBB",$C358,0)</f>
        <v>0</v>
      </c>
    </row>
    <row r="359" spans="1:12" x14ac:dyDescent="0.25">
      <c r="A359" s="6">
        <v>41578</v>
      </c>
      <c r="B359" t="s">
        <v>45</v>
      </c>
      <c r="C359" s="7">
        <v>-180</v>
      </c>
      <c r="D359" t="s">
        <v>6</v>
      </c>
      <c r="E359" s="8">
        <f>E358+F359</f>
        <v>18480</v>
      </c>
      <c r="F359" s="8">
        <f>IF($D359="CR01",$C359,0)</f>
        <v>-180</v>
      </c>
      <c r="G359" s="8">
        <f>G358+H359</f>
        <v>0</v>
      </c>
      <c r="H359" s="8">
        <f>IF($D359="VISA",$C359,0)</f>
        <v>0</v>
      </c>
      <c r="I359" s="8">
        <f>I358+J359</f>
        <v>0</v>
      </c>
      <c r="J359" s="8">
        <f>IF($D359="ACC",$C359,0)</f>
        <v>0</v>
      </c>
      <c r="K359" s="8">
        <f>K358+L359</f>
        <v>0</v>
      </c>
      <c r="L359" s="8">
        <f>IF($D359="CBB",$C359,0)</f>
        <v>0</v>
      </c>
    </row>
    <row r="360" spans="1:12" x14ac:dyDescent="0.25">
      <c r="A360" s="6">
        <v>41578</v>
      </c>
      <c r="B360" t="s">
        <v>46</v>
      </c>
      <c r="C360" s="7">
        <v>-300</v>
      </c>
      <c r="D360" t="s">
        <v>6</v>
      </c>
      <c r="E360" s="8">
        <f>E359+F360</f>
        <v>18180</v>
      </c>
      <c r="F360" s="8">
        <f>IF($D360="CR01",$C360,0)</f>
        <v>-300</v>
      </c>
      <c r="G360" s="8">
        <f>G359+H360</f>
        <v>0</v>
      </c>
      <c r="H360" s="8">
        <f>IF($D360="VISA",$C360,0)</f>
        <v>0</v>
      </c>
      <c r="I360" s="8">
        <f>I359+J360</f>
        <v>0</v>
      </c>
      <c r="J360" s="8">
        <f>IF($D360="ACC",$C360,0)</f>
        <v>0</v>
      </c>
      <c r="K360" s="8">
        <f>K359+L360</f>
        <v>0</v>
      </c>
      <c r="L360" s="8">
        <f>IF($D360="CBB",$C360,0)</f>
        <v>0</v>
      </c>
    </row>
    <row r="361" spans="1:12" x14ac:dyDescent="0.25">
      <c r="A361" s="6">
        <v>41579</v>
      </c>
      <c r="B361" t="s">
        <v>58</v>
      </c>
      <c r="C361" s="7">
        <v>-200</v>
      </c>
      <c r="D361" t="s">
        <v>6</v>
      </c>
      <c r="E361" s="8">
        <f>E360+F361</f>
        <v>17980</v>
      </c>
      <c r="F361" s="8">
        <f>IF($D361="CR01",$C361,0)</f>
        <v>-200</v>
      </c>
      <c r="G361" s="8">
        <f>G360+H361</f>
        <v>0</v>
      </c>
      <c r="H361" s="8">
        <f>IF($D361="VISA",$C361,0)</f>
        <v>0</v>
      </c>
      <c r="I361" s="8">
        <f>I360+J361</f>
        <v>0</v>
      </c>
      <c r="J361" s="8">
        <f>IF($D361="ACC",$C361,0)</f>
        <v>0</v>
      </c>
      <c r="K361" s="8">
        <f>K360+L361</f>
        <v>0</v>
      </c>
      <c r="L361" s="8">
        <f>IF($D361="CBB",$C361,0)</f>
        <v>0</v>
      </c>
    </row>
    <row r="362" spans="1:12" x14ac:dyDescent="0.25">
      <c r="A362" s="6">
        <v>41579</v>
      </c>
      <c r="B362" t="s">
        <v>60</v>
      </c>
      <c r="C362" s="7">
        <v>-400</v>
      </c>
      <c r="D362" t="s">
        <v>6</v>
      </c>
      <c r="E362" s="8">
        <f>E361+F362</f>
        <v>17580</v>
      </c>
      <c r="F362" s="8">
        <f>IF($D362="CR01",$C362,0)</f>
        <v>-400</v>
      </c>
      <c r="G362" s="8">
        <f>G361+H362</f>
        <v>0</v>
      </c>
      <c r="H362" s="8">
        <f>IF($D362="VISA",$C362,0)</f>
        <v>0</v>
      </c>
      <c r="I362" s="8">
        <f>I361+J362</f>
        <v>0</v>
      </c>
      <c r="J362" s="8">
        <f>IF($D362="ACC",$C362,0)</f>
        <v>0</v>
      </c>
      <c r="K362" s="8">
        <f>K361+L362</f>
        <v>0</v>
      </c>
      <c r="L362" s="8">
        <f>IF($D362="CBB",$C362,0)</f>
        <v>0</v>
      </c>
    </row>
    <row r="363" spans="1:12" x14ac:dyDescent="0.25">
      <c r="A363" s="6">
        <v>41579</v>
      </c>
      <c r="B363" t="s">
        <v>62</v>
      </c>
      <c r="C363" s="7">
        <v>-300</v>
      </c>
      <c r="D363" t="s">
        <v>6</v>
      </c>
      <c r="E363" s="8">
        <f>E362+F363</f>
        <v>17280</v>
      </c>
      <c r="F363" s="8">
        <f>IF($D363="CR01",$C363,0)</f>
        <v>-300</v>
      </c>
      <c r="G363" s="8">
        <f>G362+H363</f>
        <v>0</v>
      </c>
      <c r="H363" s="8">
        <f>IF($D363="VISA",$C363,0)</f>
        <v>0</v>
      </c>
      <c r="I363" s="8">
        <f>I362+J363</f>
        <v>0</v>
      </c>
      <c r="J363" s="8">
        <f>IF($D363="ACC",$C363,0)</f>
        <v>0</v>
      </c>
      <c r="K363" s="8">
        <f>K362+L363</f>
        <v>0</v>
      </c>
      <c r="L363" s="8">
        <f>IF($D363="CBB",$C363,0)</f>
        <v>0</v>
      </c>
    </row>
    <row r="364" spans="1:12" x14ac:dyDescent="0.25">
      <c r="A364" s="6">
        <v>41579</v>
      </c>
      <c r="B364" t="s">
        <v>63</v>
      </c>
      <c r="C364" s="7">
        <v>-300</v>
      </c>
      <c r="D364" t="s">
        <v>6</v>
      </c>
      <c r="E364" s="8">
        <f>E363+F364</f>
        <v>16980</v>
      </c>
      <c r="F364" s="8">
        <f>IF($D364="CR01",$C364,0)</f>
        <v>-300</v>
      </c>
      <c r="G364" s="8">
        <f>G363+H364</f>
        <v>0</v>
      </c>
      <c r="H364" s="8">
        <f>IF($D364="VISA",$C364,0)</f>
        <v>0</v>
      </c>
      <c r="I364" s="8">
        <f>I363+J364</f>
        <v>0</v>
      </c>
      <c r="J364" s="8">
        <f>IF($D364="ACC",$C364,0)</f>
        <v>0</v>
      </c>
      <c r="K364" s="8">
        <f>K363+L364</f>
        <v>0</v>
      </c>
      <c r="L364" s="8">
        <f>IF($D364="CBB",$C364,0)</f>
        <v>0</v>
      </c>
    </row>
    <row r="365" spans="1:12" x14ac:dyDescent="0.25">
      <c r="A365" s="6">
        <v>41579</v>
      </c>
      <c r="B365" t="s">
        <v>64</v>
      </c>
      <c r="C365" s="7">
        <v>-26</v>
      </c>
      <c r="D365" t="s">
        <v>6</v>
      </c>
      <c r="E365" s="8">
        <f>E364+F365</f>
        <v>16954</v>
      </c>
      <c r="F365" s="8">
        <f>IF($D365="CR01",$C365,0)</f>
        <v>-26</v>
      </c>
      <c r="G365" s="8">
        <f>G364+H365</f>
        <v>0</v>
      </c>
      <c r="H365" s="8">
        <f>IF($D365="VISA",$C365,0)</f>
        <v>0</v>
      </c>
      <c r="I365" s="8">
        <f>I364+J365</f>
        <v>0</v>
      </c>
      <c r="J365" s="8">
        <f>IF($D365="ACC",$C365,0)</f>
        <v>0</v>
      </c>
      <c r="K365" s="8">
        <f>K364+L365</f>
        <v>0</v>
      </c>
      <c r="L365" s="8">
        <f>IF($D365="CBB",$C365,0)</f>
        <v>0</v>
      </c>
    </row>
    <row r="366" spans="1:12" x14ac:dyDescent="0.25">
      <c r="A366" s="6">
        <v>41579</v>
      </c>
      <c r="B366" t="s">
        <v>65</v>
      </c>
      <c r="C366" s="7">
        <v>-240</v>
      </c>
      <c r="D366" t="s">
        <v>6</v>
      </c>
      <c r="E366" s="8">
        <f>E365+F366</f>
        <v>16714</v>
      </c>
      <c r="F366" s="8">
        <f>IF($D366="CR01",$C366,0)</f>
        <v>-240</v>
      </c>
      <c r="G366" s="8">
        <f>G365+H366</f>
        <v>0</v>
      </c>
      <c r="H366" s="8">
        <f>IF($D366="VISA",$C366,0)</f>
        <v>0</v>
      </c>
      <c r="I366" s="8">
        <f>I365+J366</f>
        <v>0</v>
      </c>
      <c r="J366" s="8">
        <f>IF($D366="ACC",$C366,0)</f>
        <v>0</v>
      </c>
      <c r="K366" s="8">
        <f>K365+L366</f>
        <v>0</v>
      </c>
      <c r="L366" s="8">
        <f>IF($D366="CBB",$C366,0)</f>
        <v>0</v>
      </c>
    </row>
    <row r="367" spans="1:12" x14ac:dyDescent="0.25">
      <c r="A367" s="6">
        <v>41579</v>
      </c>
      <c r="B367" t="s">
        <v>66</v>
      </c>
      <c r="C367" s="7">
        <v>-120</v>
      </c>
      <c r="D367" t="s">
        <v>6</v>
      </c>
      <c r="E367" s="8">
        <f>E366+F367</f>
        <v>16594</v>
      </c>
      <c r="F367" s="8">
        <f>IF($D367="CR01",$C367,0)</f>
        <v>-120</v>
      </c>
      <c r="G367" s="8">
        <f>G366+H367</f>
        <v>0</v>
      </c>
      <c r="H367" s="8">
        <f>IF($D367="VISA",$C367,0)</f>
        <v>0</v>
      </c>
      <c r="I367" s="8">
        <f>I366+J367</f>
        <v>0</v>
      </c>
      <c r="J367" s="8">
        <f>IF($D367="ACC",$C367,0)</f>
        <v>0</v>
      </c>
      <c r="K367" s="8">
        <f>K366+L367</f>
        <v>0</v>
      </c>
      <c r="L367" s="8">
        <f>IF($D367="CBB",$C367,0)</f>
        <v>0</v>
      </c>
    </row>
    <row r="368" spans="1:12" x14ac:dyDescent="0.25">
      <c r="A368" s="6">
        <v>41580</v>
      </c>
      <c r="B368" t="s">
        <v>67</v>
      </c>
      <c r="C368" s="7">
        <v>3600</v>
      </c>
      <c r="D368" t="s">
        <v>6</v>
      </c>
      <c r="E368" s="8">
        <f>E367+F368</f>
        <v>20194</v>
      </c>
      <c r="F368" s="8">
        <f>IF($D368="CR01",$C368,0)</f>
        <v>3600</v>
      </c>
      <c r="G368" s="8">
        <f>G367+H368</f>
        <v>0</v>
      </c>
      <c r="H368" s="8">
        <f>IF($D368="VISA",$C368,0)</f>
        <v>0</v>
      </c>
      <c r="I368" s="8">
        <f>I367+J368</f>
        <v>0</v>
      </c>
      <c r="J368" s="8">
        <f>IF($D368="ACC",$C368,0)</f>
        <v>0</v>
      </c>
      <c r="K368" s="8">
        <f>K367+L368</f>
        <v>0</v>
      </c>
      <c r="L368" s="8">
        <f>IF($D368="CBB",$C368,0)</f>
        <v>0</v>
      </c>
    </row>
    <row r="369" spans="1:12" x14ac:dyDescent="0.25">
      <c r="A369" s="6">
        <v>41580</v>
      </c>
      <c r="B369" t="s">
        <v>59</v>
      </c>
      <c r="C369" s="7">
        <v>-900</v>
      </c>
      <c r="D369" t="s">
        <v>6</v>
      </c>
      <c r="E369" s="8">
        <f>E368+F369</f>
        <v>19294</v>
      </c>
      <c r="F369" s="8">
        <f>IF($D369="CR01",$C369,0)</f>
        <v>-900</v>
      </c>
      <c r="G369" s="8">
        <f>G368+H369</f>
        <v>0</v>
      </c>
      <c r="H369" s="8">
        <f>IF($D369="VISA",$C369,0)</f>
        <v>0</v>
      </c>
      <c r="I369" s="8">
        <f>I368+J369</f>
        <v>0</v>
      </c>
      <c r="J369" s="8">
        <f>IF($D369="ACC",$C369,0)</f>
        <v>0</v>
      </c>
      <c r="K369" s="8">
        <f>K368+L369</f>
        <v>0</v>
      </c>
      <c r="L369" s="8">
        <f>IF($D369="CBB",$C369,0)</f>
        <v>0</v>
      </c>
    </row>
    <row r="370" spans="1:12" x14ac:dyDescent="0.25">
      <c r="A370" s="6">
        <v>41583</v>
      </c>
      <c r="B370" t="s">
        <v>42</v>
      </c>
      <c r="C370" s="7">
        <v>-2806</v>
      </c>
      <c r="D370" t="s">
        <v>6</v>
      </c>
      <c r="E370" s="8">
        <f>E369+F370</f>
        <v>16488</v>
      </c>
      <c r="F370" s="8">
        <f>IF($D370="CR01",$C370,0)</f>
        <v>-2806</v>
      </c>
      <c r="G370" s="8">
        <f>G369+H370</f>
        <v>0</v>
      </c>
      <c r="H370" s="8">
        <f>IF($D370="VISA",$C370,0)</f>
        <v>0</v>
      </c>
      <c r="I370" s="8">
        <f>I369+J370</f>
        <v>0</v>
      </c>
      <c r="J370" s="8">
        <f>IF($D370="ACC",$C370,0)</f>
        <v>0</v>
      </c>
      <c r="K370" s="8">
        <f>K369+L370</f>
        <v>0</v>
      </c>
      <c r="L370" s="8">
        <f>IF($D370="CBB",$C370,0)</f>
        <v>0</v>
      </c>
    </row>
    <row r="371" spans="1:12" x14ac:dyDescent="0.25">
      <c r="A371" s="6">
        <v>41583</v>
      </c>
      <c r="B371" t="s">
        <v>48</v>
      </c>
      <c r="C371" s="7">
        <v>-100</v>
      </c>
      <c r="D371" t="s">
        <v>6</v>
      </c>
      <c r="E371" s="8">
        <f>E370+F371</f>
        <v>16388</v>
      </c>
      <c r="F371" s="8">
        <f>IF($D371="CR01",$C371,0)</f>
        <v>-100</v>
      </c>
      <c r="G371" s="8">
        <f>G370+H371</f>
        <v>0</v>
      </c>
      <c r="H371" s="8">
        <f>IF($D371="VISA",$C371,0)</f>
        <v>0</v>
      </c>
      <c r="I371" s="8">
        <f>I370+J371</f>
        <v>0</v>
      </c>
      <c r="J371" s="8">
        <f>IF($D371="ACC",$C371,0)</f>
        <v>0</v>
      </c>
      <c r="K371" s="8">
        <f>K370+L371</f>
        <v>0</v>
      </c>
      <c r="L371" s="8">
        <f>IF($D371="CBB",$C371,0)</f>
        <v>0</v>
      </c>
    </row>
    <row r="372" spans="1:12" x14ac:dyDescent="0.25">
      <c r="A372" s="6">
        <v>41584</v>
      </c>
      <c r="B372" t="s">
        <v>47</v>
      </c>
      <c r="C372" s="7">
        <v>-120</v>
      </c>
      <c r="D372" t="s">
        <v>6</v>
      </c>
      <c r="E372" s="8">
        <f>E371+F372</f>
        <v>16268</v>
      </c>
      <c r="F372" s="8">
        <f>IF($D372="CR01",$C372,0)</f>
        <v>-120</v>
      </c>
      <c r="G372" s="8">
        <f>G371+H372</f>
        <v>0</v>
      </c>
      <c r="H372" s="8">
        <f>IF($D372="VISA",$C372,0)</f>
        <v>0</v>
      </c>
      <c r="I372" s="8">
        <f>I371+J372</f>
        <v>0</v>
      </c>
      <c r="J372" s="8">
        <f>IF($D372="ACC",$C372,0)</f>
        <v>0</v>
      </c>
      <c r="K372" s="8">
        <f>K371+L372</f>
        <v>0</v>
      </c>
      <c r="L372" s="8">
        <f>IF($D372="CBB",$C372,0)</f>
        <v>0</v>
      </c>
    </row>
    <row r="373" spans="1:12" x14ac:dyDescent="0.25">
      <c r="A373" s="6">
        <v>41585</v>
      </c>
      <c r="B373" t="s">
        <v>44</v>
      </c>
      <c r="C373" s="7">
        <v>-400</v>
      </c>
      <c r="D373" t="s">
        <v>6</v>
      </c>
      <c r="E373" s="8">
        <f>E372+F373</f>
        <v>15868</v>
      </c>
      <c r="F373" s="8">
        <f>IF($D373="CR01",$C373,0)</f>
        <v>-400</v>
      </c>
      <c r="G373" s="8">
        <f>G372+H373</f>
        <v>0</v>
      </c>
      <c r="H373" s="8">
        <f>IF($D373="VISA",$C373,0)</f>
        <v>0</v>
      </c>
      <c r="I373" s="8">
        <f>I372+J373</f>
        <v>0</v>
      </c>
      <c r="J373" s="8">
        <f>IF($D373="ACC",$C373,0)</f>
        <v>0</v>
      </c>
      <c r="K373" s="8">
        <f>K372+L373</f>
        <v>0</v>
      </c>
      <c r="L373" s="8">
        <f>IF($D373="CBB",$C373,0)</f>
        <v>0</v>
      </c>
    </row>
    <row r="374" spans="1:12" x14ac:dyDescent="0.25">
      <c r="A374" s="6">
        <v>41585</v>
      </c>
      <c r="B374" t="s">
        <v>45</v>
      </c>
      <c r="C374" s="7">
        <v>-180</v>
      </c>
      <c r="D374" t="s">
        <v>6</v>
      </c>
      <c r="E374" s="8">
        <f>E373+F374</f>
        <v>15688</v>
      </c>
      <c r="F374" s="8">
        <f>IF($D374="CR01",$C374,0)</f>
        <v>-180</v>
      </c>
      <c r="G374" s="8">
        <f>G373+H374</f>
        <v>0</v>
      </c>
      <c r="H374" s="8">
        <f>IF($D374="VISA",$C374,0)</f>
        <v>0</v>
      </c>
      <c r="I374" s="8">
        <f>I373+J374</f>
        <v>0</v>
      </c>
      <c r="J374" s="8">
        <f>IF($D374="ACC",$C374,0)</f>
        <v>0</v>
      </c>
      <c r="K374" s="8">
        <f>K373+L374</f>
        <v>0</v>
      </c>
      <c r="L374" s="8">
        <f>IF($D374="CBB",$C374,0)</f>
        <v>0</v>
      </c>
    </row>
    <row r="375" spans="1:12" x14ac:dyDescent="0.25">
      <c r="A375" s="6">
        <v>41585</v>
      </c>
      <c r="B375" t="s">
        <v>46</v>
      </c>
      <c r="C375" s="7">
        <v>-300</v>
      </c>
      <c r="D375" t="s">
        <v>6</v>
      </c>
      <c r="E375" s="8">
        <f>E374+F375</f>
        <v>15388</v>
      </c>
      <c r="F375" s="8">
        <f>IF($D375="CR01",$C375,0)</f>
        <v>-300</v>
      </c>
      <c r="G375" s="8">
        <f>G374+H375</f>
        <v>0</v>
      </c>
      <c r="H375" s="8">
        <f>IF($D375="VISA",$C375,0)</f>
        <v>0</v>
      </c>
      <c r="I375" s="8">
        <f>I374+J375</f>
        <v>0</v>
      </c>
      <c r="J375" s="8">
        <f>IF($D375="ACC",$C375,0)</f>
        <v>0</v>
      </c>
      <c r="K375" s="8">
        <f>K374+L375</f>
        <v>0</v>
      </c>
      <c r="L375" s="8">
        <f>IF($D375="CBB",$C375,0)</f>
        <v>0</v>
      </c>
    </row>
    <row r="376" spans="1:12" x14ac:dyDescent="0.25">
      <c r="A376" s="6">
        <v>41586</v>
      </c>
      <c r="B376" t="s">
        <v>43</v>
      </c>
      <c r="C376" s="7">
        <v>3226</v>
      </c>
      <c r="D376" t="s">
        <v>6</v>
      </c>
      <c r="E376" s="8">
        <f>E375+F376</f>
        <v>18614</v>
      </c>
      <c r="F376" s="8">
        <f>IF($D376="CR01",$C376,0)</f>
        <v>3226</v>
      </c>
      <c r="G376" s="8">
        <f>G375+H376</f>
        <v>0</v>
      </c>
      <c r="H376" s="8">
        <f>IF($D376="VISA",$C376,0)</f>
        <v>0</v>
      </c>
      <c r="I376" s="8">
        <f>I375+J376</f>
        <v>0</v>
      </c>
      <c r="J376" s="8">
        <f>IF($D376="ACC",$C376,0)</f>
        <v>0</v>
      </c>
      <c r="K376" s="8">
        <f>K375+L376</f>
        <v>0</v>
      </c>
      <c r="L376" s="8">
        <f>IF($D376="CBB",$C376,0)</f>
        <v>0</v>
      </c>
    </row>
    <row r="377" spans="1:12" x14ac:dyDescent="0.25">
      <c r="A377" s="6">
        <v>41590</v>
      </c>
      <c r="B377" t="s">
        <v>48</v>
      </c>
      <c r="C377" s="7">
        <v>-100</v>
      </c>
      <c r="D377" t="s">
        <v>6</v>
      </c>
      <c r="E377" s="8">
        <f>E376+F377</f>
        <v>18514</v>
      </c>
      <c r="F377" s="8">
        <f>IF($D377="CR01",$C377,0)</f>
        <v>-100</v>
      </c>
      <c r="G377" s="8">
        <f>G376+H377</f>
        <v>0</v>
      </c>
      <c r="H377" s="8">
        <f>IF($D377="VISA",$C377,0)</f>
        <v>0</v>
      </c>
      <c r="I377" s="8">
        <f>I376+J377</f>
        <v>0</v>
      </c>
      <c r="J377" s="8">
        <f>IF($D377="ACC",$C377,0)</f>
        <v>0</v>
      </c>
      <c r="K377" s="8">
        <f>K376+L377</f>
        <v>0</v>
      </c>
      <c r="L377" s="8">
        <f>IF($D377="CBB",$C377,0)</f>
        <v>0</v>
      </c>
    </row>
    <row r="378" spans="1:12" x14ac:dyDescent="0.25">
      <c r="A378" s="6">
        <v>41591</v>
      </c>
      <c r="B378" t="s">
        <v>47</v>
      </c>
      <c r="C378" s="7">
        <v>-120</v>
      </c>
      <c r="D378" t="s">
        <v>6</v>
      </c>
      <c r="E378" s="8">
        <f>E377+F378</f>
        <v>18394</v>
      </c>
      <c r="F378" s="8">
        <f>IF($D378="CR01",$C378,0)</f>
        <v>-120</v>
      </c>
      <c r="G378" s="8">
        <f>G377+H378</f>
        <v>0</v>
      </c>
      <c r="H378" s="8">
        <f>IF($D378="VISA",$C378,0)</f>
        <v>0</v>
      </c>
      <c r="I378" s="8">
        <f>I377+J378</f>
        <v>0</v>
      </c>
      <c r="J378" s="8">
        <f>IF($D378="ACC",$C378,0)</f>
        <v>0</v>
      </c>
      <c r="K378" s="8">
        <f>K377+L378</f>
        <v>0</v>
      </c>
      <c r="L378" s="8">
        <f>IF($D378="CBB",$C378,0)</f>
        <v>0</v>
      </c>
    </row>
    <row r="379" spans="1:12" x14ac:dyDescent="0.25">
      <c r="A379" s="6">
        <v>41592</v>
      </c>
      <c r="B379" t="s">
        <v>44</v>
      </c>
      <c r="C379" s="7">
        <v>-400</v>
      </c>
      <c r="D379" t="s">
        <v>6</v>
      </c>
      <c r="E379" s="8">
        <f>E378+F379</f>
        <v>17994</v>
      </c>
      <c r="F379" s="8">
        <f>IF($D379="CR01",$C379,0)</f>
        <v>-400</v>
      </c>
      <c r="G379" s="8">
        <f>G378+H379</f>
        <v>0</v>
      </c>
      <c r="H379" s="8">
        <f>IF($D379="VISA",$C379,0)</f>
        <v>0</v>
      </c>
      <c r="I379" s="8">
        <f>I378+J379</f>
        <v>0</v>
      </c>
      <c r="J379" s="8">
        <f>IF($D379="ACC",$C379,0)</f>
        <v>0</v>
      </c>
      <c r="K379" s="8">
        <f>K378+L379</f>
        <v>0</v>
      </c>
      <c r="L379" s="8">
        <f>IF($D379="CBB",$C379,0)</f>
        <v>0</v>
      </c>
    </row>
    <row r="380" spans="1:12" x14ac:dyDescent="0.25">
      <c r="A380" s="6">
        <v>41592</v>
      </c>
      <c r="B380" t="s">
        <v>45</v>
      </c>
      <c r="C380" s="7">
        <v>-180</v>
      </c>
      <c r="D380" t="s">
        <v>6</v>
      </c>
      <c r="E380" s="8">
        <f>E379+F380</f>
        <v>17814</v>
      </c>
      <c r="F380" s="8">
        <f>IF($D380="CR01",$C380,0)</f>
        <v>-180</v>
      </c>
      <c r="G380" s="8">
        <f>G379+H380</f>
        <v>0</v>
      </c>
      <c r="H380" s="8">
        <f>IF($D380="VISA",$C380,0)</f>
        <v>0</v>
      </c>
      <c r="I380" s="8">
        <f>I379+J380</f>
        <v>0</v>
      </c>
      <c r="J380" s="8">
        <f>IF($D380="ACC",$C380,0)</f>
        <v>0</v>
      </c>
      <c r="K380" s="8">
        <f>K379+L380</f>
        <v>0</v>
      </c>
      <c r="L380" s="8">
        <f>IF($D380="CBB",$C380,0)</f>
        <v>0</v>
      </c>
    </row>
    <row r="381" spans="1:12" x14ac:dyDescent="0.25">
      <c r="A381" s="6">
        <v>41592</v>
      </c>
      <c r="B381" t="s">
        <v>46</v>
      </c>
      <c r="C381" s="7">
        <v>-300</v>
      </c>
      <c r="D381" t="s">
        <v>6</v>
      </c>
      <c r="E381" s="8">
        <f>E380+F381</f>
        <v>17514</v>
      </c>
      <c r="F381" s="8">
        <f>IF($D381="CR01",$C381,0)</f>
        <v>-300</v>
      </c>
      <c r="G381" s="8">
        <f>G380+H381</f>
        <v>0</v>
      </c>
      <c r="H381" s="8">
        <f>IF($D381="VISA",$C381,0)</f>
        <v>0</v>
      </c>
      <c r="I381" s="8">
        <f>I380+J381</f>
        <v>0</v>
      </c>
      <c r="J381" s="8">
        <f>IF($D381="ACC",$C381,0)</f>
        <v>0</v>
      </c>
      <c r="K381" s="8">
        <f>K380+L381</f>
        <v>0</v>
      </c>
      <c r="L381" s="8">
        <f>IF($D381="CBB",$C381,0)</f>
        <v>0</v>
      </c>
    </row>
    <row r="382" spans="1:12" x14ac:dyDescent="0.25">
      <c r="A382" s="6">
        <v>41594</v>
      </c>
      <c r="B382" t="s">
        <v>67</v>
      </c>
      <c r="C382" s="7">
        <v>3600</v>
      </c>
      <c r="D382" t="s">
        <v>6</v>
      </c>
      <c r="E382" s="8">
        <f>E381+F382</f>
        <v>21114</v>
      </c>
      <c r="F382" s="8">
        <f>IF($D382="CR01",$C382,0)</f>
        <v>3600</v>
      </c>
      <c r="G382" s="8">
        <f>G381+H382</f>
        <v>0</v>
      </c>
      <c r="H382" s="8">
        <f>IF($D382="VISA",$C382,0)</f>
        <v>0</v>
      </c>
      <c r="I382" s="8">
        <f>I381+J382</f>
        <v>0</v>
      </c>
      <c r="J382" s="8">
        <f>IF($D382="ACC",$C382,0)</f>
        <v>0</v>
      </c>
      <c r="K382" s="8">
        <f>K381+L382</f>
        <v>0</v>
      </c>
      <c r="L382" s="8">
        <f>IF($D382="CBB",$C382,0)</f>
        <v>0</v>
      </c>
    </row>
    <row r="383" spans="1:12" x14ac:dyDescent="0.25">
      <c r="A383" s="6">
        <v>41597</v>
      </c>
      <c r="B383" t="s">
        <v>42</v>
      </c>
      <c r="C383" s="7">
        <v>-2806</v>
      </c>
      <c r="D383" t="s">
        <v>6</v>
      </c>
      <c r="E383" s="8">
        <f>E382+F383</f>
        <v>18308</v>
      </c>
      <c r="F383" s="8">
        <f>IF($D383="CR01",$C383,0)</f>
        <v>-2806</v>
      </c>
      <c r="G383" s="8">
        <f>G382+H383</f>
        <v>0</v>
      </c>
      <c r="H383" s="8">
        <f>IF($D383="VISA",$C383,0)</f>
        <v>0</v>
      </c>
      <c r="I383" s="8">
        <f>I382+J383</f>
        <v>0</v>
      </c>
      <c r="J383" s="8">
        <f>IF($D383="ACC",$C383,0)</f>
        <v>0</v>
      </c>
      <c r="K383" s="8">
        <f>K382+L383</f>
        <v>0</v>
      </c>
      <c r="L383" s="8">
        <f>IF($D383="CBB",$C383,0)</f>
        <v>0</v>
      </c>
    </row>
    <row r="384" spans="1:12" x14ac:dyDescent="0.25">
      <c r="A384" s="6">
        <v>41597</v>
      </c>
      <c r="B384" t="s">
        <v>48</v>
      </c>
      <c r="C384" s="7">
        <v>-100</v>
      </c>
      <c r="D384" t="s">
        <v>6</v>
      </c>
      <c r="E384" s="8">
        <f>E383+F384</f>
        <v>18208</v>
      </c>
      <c r="F384" s="8">
        <f>IF($D384="CR01",$C384,0)</f>
        <v>-100</v>
      </c>
      <c r="G384" s="8">
        <f>G383+H384</f>
        <v>0</v>
      </c>
      <c r="H384" s="8">
        <f>IF($D384="VISA",$C384,0)</f>
        <v>0</v>
      </c>
      <c r="I384" s="8">
        <f>I383+J384</f>
        <v>0</v>
      </c>
      <c r="J384" s="8">
        <f>IF($D384="ACC",$C384,0)</f>
        <v>0</v>
      </c>
      <c r="K384" s="8">
        <f>K383+L384</f>
        <v>0</v>
      </c>
      <c r="L384" s="8">
        <f>IF($D384="CBB",$C384,0)</f>
        <v>0</v>
      </c>
    </row>
    <row r="385" spans="1:12" x14ac:dyDescent="0.25">
      <c r="A385" s="6">
        <v>41598</v>
      </c>
      <c r="B385" t="s">
        <v>47</v>
      </c>
      <c r="C385" s="7">
        <v>-120</v>
      </c>
      <c r="D385" t="s">
        <v>6</v>
      </c>
      <c r="E385" s="8">
        <f>E384+F385</f>
        <v>18088</v>
      </c>
      <c r="F385" s="8">
        <f>IF($D385="CR01",$C385,0)</f>
        <v>-120</v>
      </c>
      <c r="G385" s="8">
        <f>G384+H385</f>
        <v>0</v>
      </c>
      <c r="H385" s="8">
        <f>IF($D385="VISA",$C385,0)</f>
        <v>0</v>
      </c>
      <c r="I385" s="8">
        <f>I384+J385</f>
        <v>0</v>
      </c>
      <c r="J385" s="8">
        <f>IF($D385="ACC",$C385,0)</f>
        <v>0</v>
      </c>
      <c r="K385" s="8">
        <f>K384+L385</f>
        <v>0</v>
      </c>
      <c r="L385" s="8">
        <f>IF($D385="CBB",$C385,0)</f>
        <v>0</v>
      </c>
    </row>
    <row r="386" spans="1:12" x14ac:dyDescent="0.25">
      <c r="A386" s="6">
        <v>41599</v>
      </c>
      <c r="B386" t="s">
        <v>44</v>
      </c>
      <c r="C386" s="7">
        <v>-400</v>
      </c>
      <c r="D386" t="s">
        <v>6</v>
      </c>
      <c r="E386" s="8">
        <f>E385+F386</f>
        <v>17688</v>
      </c>
      <c r="F386" s="8">
        <f>IF($D386="CR01",$C386,0)</f>
        <v>-400</v>
      </c>
      <c r="G386" s="8">
        <f>G385+H386</f>
        <v>0</v>
      </c>
      <c r="H386" s="8">
        <f>IF($D386="VISA",$C386,0)</f>
        <v>0</v>
      </c>
      <c r="I386" s="8">
        <f>I385+J386</f>
        <v>0</v>
      </c>
      <c r="J386" s="8">
        <f>IF($D386="ACC",$C386,0)</f>
        <v>0</v>
      </c>
      <c r="K386" s="8">
        <f>K385+L386</f>
        <v>0</v>
      </c>
      <c r="L386" s="8">
        <f>IF($D386="CBB",$C386,0)</f>
        <v>0</v>
      </c>
    </row>
    <row r="387" spans="1:12" x14ac:dyDescent="0.25">
      <c r="A387" s="6">
        <v>41599</v>
      </c>
      <c r="B387" t="s">
        <v>45</v>
      </c>
      <c r="C387" s="7">
        <v>-180</v>
      </c>
      <c r="D387" t="s">
        <v>6</v>
      </c>
      <c r="E387" s="8">
        <f>E386+F387</f>
        <v>17508</v>
      </c>
      <c r="F387" s="8">
        <f>IF($D387="CR01",$C387,0)</f>
        <v>-180</v>
      </c>
      <c r="G387" s="8">
        <f>G386+H387</f>
        <v>0</v>
      </c>
      <c r="H387" s="8">
        <f>IF($D387="VISA",$C387,0)</f>
        <v>0</v>
      </c>
      <c r="I387" s="8">
        <f>I386+J387</f>
        <v>0</v>
      </c>
      <c r="J387" s="8">
        <f>IF($D387="ACC",$C387,0)</f>
        <v>0</v>
      </c>
      <c r="K387" s="8">
        <f>K386+L387</f>
        <v>0</v>
      </c>
      <c r="L387" s="8">
        <f>IF($D387="CBB",$C387,0)</f>
        <v>0</v>
      </c>
    </row>
    <row r="388" spans="1:12" x14ac:dyDescent="0.25">
      <c r="A388" s="6">
        <v>41599</v>
      </c>
      <c r="B388" t="s">
        <v>46</v>
      </c>
      <c r="C388" s="7">
        <v>-300</v>
      </c>
      <c r="D388" t="s">
        <v>6</v>
      </c>
      <c r="E388" s="8">
        <f>E387+F388</f>
        <v>17208</v>
      </c>
      <c r="F388" s="8">
        <f>IF($D388="CR01",$C388,0)</f>
        <v>-300</v>
      </c>
      <c r="G388" s="8">
        <f>G387+H388</f>
        <v>0</v>
      </c>
      <c r="H388" s="8">
        <f>IF($D388="VISA",$C388,0)</f>
        <v>0</v>
      </c>
      <c r="I388" s="8">
        <f>I387+J388</f>
        <v>0</v>
      </c>
      <c r="J388" s="8">
        <f>IF($D388="ACC",$C388,0)</f>
        <v>0</v>
      </c>
      <c r="K388" s="8">
        <f>K387+L388</f>
        <v>0</v>
      </c>
      <c r="L388" s="8">
        <f>IF($D388="CBB",$C388,0)</f>
        <v>0</v>
      </c>
    </row>
    <row r="389" spans="1:12" x14ac:dyDescent="0.25">
      <c r="A389" s="6">
        <v>41600</v>
      </c>
      <c r="B389" t="s">
        <v>43</v>
      </c>
      <c r="C389" s="7">
        <v>3226</v>
      </c>
      <c r="D389" t="s">
        <v>6</v>
      </c>
      <c r="E389" s="8">
        <f>E388+F389</f>
        <v>20434</v>
      </c>
      <c r="F389" s="8">
        <f>IF($D389="CR01",$C389,0)</f>
        <v>3226</v>
      </c>
      <c r="G389" s="8">
        <f>G388+H389</f>
        <v>0</v>
      </c>
      <c r="H389" s="8">
        <f>IF($D389="VISA",$C389,0)</f>
        <v>0</v>
      </c>
      <c r="I389" s="8">
        <f>I388+J389</f>
        <v>0</v>
      </c>
      <c r="J389" s="8">
        <f>IF($D389="ACC",$C389,0)</f>
        <v>0</v>
      </c>
      <c r="K389" s="8">
        <f>K388+L389</f>
        <v>0</v>
      </c>
      <c r="L389" s="8">
        <f>IF($D389="CBB",$C389,0)</f>
        <v>0</v>
      </c>
    </row>
    <row r="390" spans="1:12" x14ac:dyDescent="0.25">
      <c r="A390" s="6">
        <v>41604</v>
      </c>
      <c r="B390" t="s">
        <v>48</v>
      </c>
      <c r="C390" s="7">
        <v>-100</v>
      </c>
      <c r="D390" t="s">
        <v>6</v>
      </c>
      <c r="E390" s="8">
        <f>E389+F390</f>
        <v>20334</v>
      </c>
      <c r="F390" s="8">
        <f>IF($D390="CR01",$C390,0)</f>
        <v>-100</v>
      </c>
      <c r="G390" s="8">
        <f>G389+H390</f>
        <v>0</v>
      </c>
      <c r="H390" s="8">
        <f>IF($D390="VISA",$C390,0)</f>
        <v>0</v>
      </c>
      <c r="I390" s="8">
        <f>I389+J390</f>
        <v>0</v>
      </c>
      <c r="J390" s="8">
        <f>IF($D390="ACC",$C390,0)</f>
        <v>0</v>
      </c>
      <c r="K390" s="8">
        <f>K389+L390</f>
        <v>0</v>
      </c>
      <c r="L390" s="8">
        <f>IF($D390="CBB",$C390,0)</f>
        <v>0</v>
      </c>
    </row>
    <row r="391" spans="1:12" x14ac:dyDescent="0.25">
      <c r="A391" s="6">
        <v>41605</v>
      </c>
      <c r="B391" t="s">
        <v>47</v>
      </c>
      <c r="C391" s="7">
        <v>-120</v>
      </c>
      <c r="D391" t="s">
        <v>6</v>
      </c>
      <c r="E391" s="8">
        <f>E390+F391</f>
        <v>20214</v>
      </c>
      <c r="F391" s="8">
        <f>IF($D391="CR01",$C391,0)</f>
        <v>-120</v>
      </c>
      <c r="G391" s="8">
        <f>G390+H391</f>
        <v>0</v>
      </c>
      <c r="H391" s="8">
        <f>IF($D391="VISA",$C391,0)</f>
        <v>0</v>
      </c>
      <c r="I391" s="8">
        <f>I390+J391</f>
        <v>0</v>
      </c>
      <c r="J391" s="8">
        <f>IF($D391="ACC",$C391,0)</f>
        <v>0</v>
      </c>
      <c r="K391" s="8">
        <f>K390+L391</f>
        <v>0</v>
      </c>
      <c r="L391" s="8">
        <f>IF($D391="CBB",$C391,0)</f>
        <v>0</v>
      </c>
    </row>
    <row r="392" spans="1:12" x14ac:dyDescent="0.25">
      <c r="A392" s="6">
        <v>41606</v>
      </c>
      <c r="B392" t="s">
        <v>44</v>
      </c>
      <c r="C392" s="7">
        <v>-400</v>
      </c>
      <c r="D392" t="s">
        <v>6</v>
      </c>
      <c r="E392" s="8">
        <f>E391+F392</f>
        <v>19814</v>
      </c>
      <c r="F392" s="8">
        <f>IF($D392="CR01",$C392,0)</f>
        <v>-400</v>
      </c>
      <c r="G392" s="8">
        <f>G391+H392</f>
        <v>0</v>
      </c>
      <c r="H392" s="8">
        <f>IF($D392="VISA",$C392,0)</f>
        <v>0</v>
      </c>
      <c r="I392" s="8">
        <f>I391+J392</f>
        <v>0</v>
      </c>
      <c r="J392" s="8">
        <f>IF($D392="ACC",$C392,0)</f>
        <v>0</v>
      </c>
      <c r="K392" s="8">
        <f>K391+L392</f>
        <v>0</v>
      </c>
      <c r="L392" s="8">
        <f>IF($D392="CBB",$C392,0)</f>
        <v>0</v>
      </c>
    </row>
    <row r="393" spans="1:12" x14ac:dyDescent="0.25">
      <c r="A393" s="6">
        <v>41606</v>
      </c>
      <c r="B393" t="s">
        <v>45</v>
      </c>
      <c r="C393" s="7">
        <v>-180</v>
      </c>
      <c r="D393" t="s">
        <v>6</v>
      </c>
      <c r="E393" s="8">
        <f>E392+F393</f>
        <v>19634</v>
      </c>
      <c r="F393" s="8">
        <f>IF($D393="CR01",$C393,0)</f>
        <v>-180</v>
      </c>
      <c r="G393" s="8">
        <f>G392+H393</f>
        <v>0</v>
      </c>
      <c r="H393" s="8">
        <f>IF($D393="VISA",$C393,0)</f>
        <v>0</v>
      </c>
      <c r="I393" s="8">
        <f>I392+J393</f>
        <v>0</v>
      </c>
      <c r="J393" s="8">
        <f>IF($D393="ACC",$C393,0)</f>
        <v>0</v>
      </c>
      <c r="K393" s="8">
        <f>K392+L393</f>
        <v>0</v>
      </c>
      <c r="L393" s="8">
        <f>IF($D393="CBB",$C393,0)</f>
        <v>0</v>
      </c>
    </row>
    <row r="394" spans="1:12" x14ac:dyDescent="0.25">
      <c r="A394" s="6">
        <v>41606</v>
      </c>
      <c r="B394" t="s">
        <v>46</v>
      </c>
      <c r="C394" s="7">
        <v>-300</v>
      </c>
      <c r="D394" t="s">
        <v>6</v>
      </c>
      <c r="E394" s="8">
        <f>E393+F394</f>
        <v>19334</v>
      </c>
      <c r="F394" s="8">
        <f>IF($D394="CR01",$C394,0)</f>
        <v>-300</v>
      </c>
      <c r="G394" s="8">
        <f>G393+H394</f>
        <v>0</v>
      </c>
      <c r="H394" s="8">
        <f>IF($D394="VISA",$C394,0)</f>
        <v>0</v>
      </c>
      <c r="I394" s="8">
        <f>I393+J394</f>
        <v>0</v>
      </c>
      <c r="J394" s="8">
        <f>IF($D394="ACC",$C394,0)</f>
        <v>0</v>
      </c>
      <c r="K394" s="8">
        <f>K393+L394</f>
        <v>0</v>
      </c>
      <c r="L394" s="8">
        <f>IF($D394="CBB",$C394,0)</f>
        <v>0</v>
      </c>
    </row>
    <row r="395" spans="1:12" x14ac:dyDescent="0.25">
      <c r="A395" s="6">
        <v>41608</v>
      </c>
      <c r="B395" t="s">
        <v>67</v>
      </c>
      <c r="C395" s="7">
        <v>3600</v>
      </c>
      <c r="D395" t="s">
        <v>6</v>
      </c>
      <c r="E395" s="8">
        <f>E394+F395</f>
        <v>22934</v>
      </c>
      <c r="F395" s="8">
        <f>IF($D395="CR01",$C395,0)</f>
        <v>3600</v>
      </c>
      <c r="G395" s="8">
        <f>G394+H395</f>
        <v>0</v>
      </c>
      <c r="H395" s="8">
        <f>IF($D395="VISA",$C395,0)</f>
        <v>0</v>
      </c>
      <c r="I395" s="8">
        <f>I394+J395</f>
        <v>0</v>
      </c>
      <c r="J395" s="8">
        <f>IF($D395="ACC",$C395,0)</f>
        <v>0</v>
      </c>
      <c r="K395" s="8">
        <f>K394+L395</f>
        <v>0</v>
      </c>
      <c r="L395" s="8">
        <f>IF($D395="CBB",$C395,0)</f>
        <v>0</v>
      </c>
    </row>
    <row r="396" spans="1:12" x14ac:dyDescent="0.25">
      <c r="A396" s="6">
        <v>41609</v>
      </c>
      <c r="B396" t="s">
        <v>58</v>
      </c>
      <c r="C396" s="7">
        <v>-200</v>
      </c>
      <c r="D396" t="s">
        <v>6</v>
      </c>
      <c r="E396" s="8">
        <f>E395+F396</f>
        <v>22734</v>
      </c>
      <c r="F396" s="8">
        <f>IF($D396="CR01",$C396,0)</f>
        <v>-200</v>
      </c>
      <c r="G396" s="8">
        <f>G395+H396</f>
        <v>0</v>
      </c>
      <c r="H396" s="8">
        <f>IF($D396="VISA",$C396,0)</f>
        <v>0</v>
      </c>
      <c r="I396" s="8">
        <f>I395+J396</f>
        <v>0</v>
      </c>
      <c r="J396" s="8">
        <f>IF($D396="ACC",$C396,0)</f>
        <v>0</v>
      </c>
      <c r="K396" s="8">
        <f>K395+L396</f>
        <v>0</v>
      </c>
      <c r="L396" s="8">
        <f>IF($D396="CBB",$C396,0)</f>
        <v>0</v>
      </c>
    </row>
    <row r="397" spans="1:12" x14ac:dyDescent="0.25">
      <c r="A397" s="6">
        <v>41609</v>
      </c>
      <c r="B397" t="s">
        <v>60</v>
      </c>
      <c r="C397" s="7">
        <v>-400</v>
      </c>
      <c r="D397" t="s">
        <v>6</v>
      </c>
      <c r="E397" s="8">
        <f>E396+F397</f>
        <v>22334</v>
      </c>
      <c r="F397" s="8">
        <f>IF($D397="CR01",$C397,0)</f>
        <v>-400</v>
      </c>
      <c r="G397" s="8">
        <f>G396+H397</f>
        <v>0</v>
      </c>
      <c r="H397" s="8">
        <f>IF($D397="VISA",$C397,0)</f>
        <v>0</v>
      </c>
      <c r="I397" s="8">
        <f>I396+J397</f>
        <v>0</v>
      </c>
      <c r="J397" s="8">
        <f>IF($D397="ACC",$C397,0)</f>
        <v>0</v>
      </c>
      <c r="K397" s="8">
        <f>K396+L397</f>
        <v>0</v>
      </c>
      <c r="L397" s="8">
        <f>IF($D397="CBB",$C397,0)</f>
        <v>0</v>
      </c>
    </row>
    <row r="398" spans="1:12" x14ac:dyDescent="0.25">
      <c r="A398" s="6">
        <v>41609</v>
      </c>
      <c r="B398" t="s">
        <v>64</v>
      </c>
      <c r="C398" s="7">
        <v>-26</v>
      </c>
      <c r="D398" t="s">
        <v>6</v>
      </c>
      <c r="E398" s="8">
        <f>E397+F398</f>
        <v>22308</v>
      </c>
      <c r="F398" s="8">
        <f>IF($D398="CR01",$C398,0)</f>
        <v>-26</v>
      </c>
      <c r="G398" s="8">
        <f>G397+H398</f>
        <v>0</v>
      </c>
      <c r="H398" s="8">
        <f>IF($D398="VISA",$C398,0)</f>
        <v>0</v>
      </c>
      <c r="I398" s="8">
        <f>I397+J398</f>
        <v>0</v>
      </c>
      <c r="J398" s="8">
        <f>IF($D398="ACC",$C398,0)</f>
        <v>0</v>
      </c>
      <c r="K398" s="8">
        <f>K397+L398</f>
        <v>0</v>
      </c>
      <c r="L398" s="8">
        <f>IF($D398="CBB",$C398,0)</f>
        <v>0</v>
      </c>
    </row>
    <row r="399" spans="1:12" x14ac:dyDescent="0.25">
      <c r="A399" s="6">
        <v>41609</v>
      </c>
      <c r="B399" t="s">
        <v>65</v>
      </c>
      <c r="C399" s="7">
        <v>-240</v>
      </c>
      <c r="D399" t="s">
        <v>6</v>
      </c>
      <c r="E399" s="8">
        <f>E398+F399</f>
        <v>22068</v>
      </c>
      <c r="F399" s="8">
        <f>IF($D399="CR01",$C399,0)</f>
        <v>-240</v>
      </c>
      <c r="G399" s="8">
        <f>G398+H399</f>
        <v>0</v>
      </c>
      <c r="H399" s="8">
        <f>IF($D399="VISA",$C399,0)</f>
        <v>0</v>
      </c>
      <c r="I399" s="8">
        <f>I398+J399</f>
        <v>0</v>
      </c>
      <c r="J399" s="8">
        <f>IF($D399="ACC",$C399,0)</f>
        <v>0</v>
      </c>
      <c r="K399" s="8">
        <f>K398+L399</f>
        <v>0</v>
      </c>
      <c r="L399" s="8">
        <f>IF($D399="CBB",$C399,0)</f>
        <v>0</v>
      </c>
    </row>
    <row r="400" spans="1:12" x14ac:dyDescent="0.25">
      <c r="A400" s="6">
        <v>41609</v>
      </c>
      <c r="B400" t="s">
        <v>66</v>
      </c>
      <c r="C400" s="7">
        <v>-120</v>
      </c>
      <c r="D400" t="s">
        <v>6</v>
      </c>
      <c r="E400" s="8">
        <f>E399+F400</f>
        <v>21948</v>
      </c>
      <c r="F400" s="8">
        <f>IF($D400="CR01",$C400,0)</f>
        <v>-120</v>
      </c>
      <c r="G400" s="8">
        <f>G399+H400</f>
        <v>0</v>
      </c>
      <c r="H400" s="8">
        <f>IF($D400="VISA",$C400,0)</f>
        <v>0</v>
      </c>
      <c r="I400" s="8">
        <f>I399+J400</f>
        <v>0</v>
      </c>
      <c r="J400" s="8">
        <f>IF($D400="ACC",$C400,0)</f>
        <v>0</v>
      </c>
      <c r="K400" s="8">
        <f>K399+L400</f>
        <v>0</v>
      </c>
      <c r="L400" s="8">
        <f>IF($D400="CBB",$C400,0)</f>
        <v>0</v>
      </c>
    </row>
    <row r="401" spans="1:12" x14ac:dyDescent="0.25">
      <c r="A401" s="6">
        <v>41610</v>
      </c>
      <c r="B401" t="s">
        <v>59</v>
      </c>
      <c r="C401" s="7">
        <v>-900</v>
      </c>
      <c r="D401" t="s">
        <v>6</v>
      </c>
      <c r="E401" s="8">
        <f>E400+F401</f>
        <v>21048</v>
      </c>
      <c r="F401" s="8">
        <f>IF($D401="CR01",$C401,0)</f>
        <v>-900</v>
      </c>
      <c r="G401" s="8">
        <f>G400+H401</f>
        <v>0</v>
      </c>
      <c r="H401" s="8">
        <f>IF($D401="VISA",$C401,0)</f>
        <v>0</v>
      </c>
      <c r="I401" s="8">
        <f>I400+J401</f>
        <v>0</v>
      </c>
      <c r="J401" s="8">
        <f>IF($D401="ACC",$C401,0)</f>
        <v>0</v>
      </c>
      <c r="K401" s="8">
        <f>K400+L401</f>
        <v>0</v>
      </c>
      <c r="L401" s="8">
        <f>IF($D401="CBB",$C401,0)</f>
        <v>0</v>
      </c>
    </row>
    <row r="402" spans="1:12" x14ac:dyDescent="0.25">
      <c r="A402" s="6">
        <v>41611</v>
      </c>
      <c r="B402" t="s">
        <v>42</v>
      </c>
      <c r="C402" s="7">
        <v>-2806</v>
      </c>
      <c r="D402" t="s">
        <v>6</v>
      </c>
      <c r="E402" s="8">
        <f>E401+F402</f>
        <v>18242</v>
      </c>
      <c r="F402" s="8">
        <f>IF($D402="CR01",$C402,0)</f>
        <v>-2806</v>
      </c>
      <c r="G402" s="8">
        <f>G401+H402</f>
        <v>0</v>
      </c>
      <c r="H402" s="8">
        <f>IF($D402="VISA",$C402,0)</f>
        <v>0</v>
      </c>
      <c r="I402" s="8">
        <f>I401+J402</f>
        <v>0</v>
      </c>
      <c r="J402" s="8">
        <f>IF($D402="ACC",$C402,0)</f>
        <v>0</v>
      </c>
      <c r="K402" s="8">
        <f>K401+L402</f>
        <v>0</v>
      </c>
      <c r="L402" s="8">
        <f>IF($D402="CBB",$C402,0)</f>
        <v>0</v>
      </c>
    </row>
    <row r="403" spans="1:12" x14ac:dyDescent="0.25">
      <c r="A403" s="6">
        <v>41611</v>
      </c>
      <c r="B403" t="s">
        <v>48</v>
      </c>
      <c r="C403" s="7">
        <v>-100</v>
      </c>
      <c r="D403" t="s">
        <v>6</v>
      </c>
      <c r="E403" s="8">
        <f>E402+F403</f>
        <v>18142</v>
      </c>
      <c r="F403" s="8">
        <f>IF($D403="CR01",$C403,0)</f>
        <v>-100</v>
      </c>
      <c r="G403" s="8">
        <f>G402+H403</f>
        <v>0</v>
      </c>
      <c r="H403" s="8">
        <f>IF($D403="VISA",$C403,0)</f>
        <v>0</v>
      </c>
      <c r="I403" s="8">
        <f>I402+J403</f>
        <v>0</v>
      </c>
      <c r="J403" s="8">
        <f>IF($D403="ACC",$C403,0)</f>
        <v>0</v>
      </c>
      <c r="K403" s="8">
        <f>K402+L403</f>
        <v>0</v>
      </c>
      <c r="L403" s="8">
        <f>IF($D403="CBB",$C403,0)</f>
        <v>0</v>
      </c>
    </row>
    <row r="404" spans="1:12" x14ac:dyDescent="0.25">
      <c r="A404" s="6">
        <v>41612</v>
      </c>
      <c r="B404" t="s">
        <v>47</v>
      </c>
      <c r="C404" s="7">
        <v>-120</v>
      </c>
      <c r="D404" t="s">
        <v>6</v>
      </c>
      <c r="E404" s="8">
        <f>E403+F404</f>
        <v>18022</v>
      </c>
      <c r="F404" s="8">
        <f>IF($D404="CR01",$C404,0)</f>
        <v>-120</v>
      </c>
      <c r="G404" s="8">
        <f>G403+H404</f>
        <v>0</v>
      </c>
      <c r="H404" s="8">
        <f>IF($D404="VISA",$C404,0)</f>
        <v>0</v>
      </c>
      <c r="I404" s="8">
        <f>I403+J404</f>
        <v>0</v>
      </c>
      <c r="J404" s="8">
        <f>IF($D404="ACC",$C404,0)</f>
        <v>0</v>
      </c>
      <c r="K404" s="8">
        <f>K403+L404</f>
        <v>0</v>
      </c>
      <c r="L404" s="8">
        <f>IF($D404="CBB",$C404,0)</f>
        <v>0</v>
      </c>
    </row>
    <row r="405" spans="1:12" x14ac:dyDescent="0.25">
      <c r="A405" s="6">
        <v>41613</v>
      </c>
      <c r="B405" t="s">
        <v>44</v>
      </c>
      <c r="C405" s="7">
        <v>-400</v>
      </c>
      <c r="D405" t="s">
        <v>6</v>
      </c>
      <c r="E405" s="8">
        <f>E404+F405</f>
        <v>17622</v>
      </c>
      <c r="F405" s="8">
        <f>IF($D405="CR01",$C405,0)</f>
        <v>-400</v>
      </c>
      <c r="G405" s="8">
        <f>G404+H405</f>
        <v>0</v>
      </c>
      <c r="H405" s="8">
        <f>IF($D405="VISA",$C405,0)</f>
        <v>0</v>
      </c>
      <c r="I405" s="8">
        <f>I404+J405</f>
        <v>0</v>
      </c>
      <c r="J405" s="8">
        <f>IF($D405="ACC",$C405,0)</f>
        <v>0</v>
      </c>
      <c r="K405" s="8">
        <f>K404+L405</f>
        <v>0</v>
      </c>
      <c r="L405" s="8">
        <f>IF($D405="CBB",$C405,0)</f>
        <v>0</v>
      </c>
    </row>
    <row r="406" spans="1:12" x14ac:dyDescent="0.25">
      <c r="A406" s="6">
        <v>41613</v>
      </c>
      <c r="B406" t="s">
        <v>45</v>
      </c>
      <c r="C406" s="7">
        <v>-180</v>
      </c>
      <c r="D406" t="s">
        <v>6</v>
      </c>
      <c r="E406" s="8">
        <f>E405+F406</f>
        <v>17442</v>
      </c>
      <c r="F406" s="8">
        <f>IF($D406="CR01",$C406,0)</f>
        <v>-180</v>
      </c>
      <c r="G406" s="8">
        <f>G405+H406</f>
        <v>0</v>
      </c>
      <c r="H406" s="8">
        <f>IF($D406="VISA",$C406,0)</f>
        <v>0</v>
      </c>
      <c r="I406" s="8">
        <f>I405+J406</f>
        <v>0</v>
      </c>
      <c r="J406" s="8">
        <f>IF($D406="ACC",$C406,0)</f>
        <v>0</v>
      </c>
      <c r="K406" s="8">
        <f>K405+L406</f>
        <v>0</v>
      </c>
      <c r="L406" s="8">
        <f>IF($D406="CBB",$C406,0)</f>
        <v>0</v>
      </c>
    </row>
    <row r="407" spans="1:12" x14ac:dyDescent="0.25">
      <c r="A407" s="6">
        <v>41613</v>
      </c>
      <c r="B407" t="s">
        <v>46</v>
      </c>
      <c r="C407" s="7">
        <v>-300</v>
      </c>
      <c r="D407" t="s">
        <v>6</v>
      </c>
      <c r="E407" s="8">
        <f>E406+F407</f>
        <v>17142</v>
      </c>
      <c r="F407" s="8">
        <f>IF($D407="CR01",$C407,0)</f>
        <v>-300</v>
      </c>
      <c r="G407" s="8">
        <f>G406+H407</f>
        <v>0</v>
      </c>
      <c r="H407" s="8">
        <f>IF($D407="VISA",$C407,0)</f>
        <v>0</v>
      </c>
      <c r="I407" s="8">
        <f>I406+J407</f>
        <v>0</v>
      </c>
      <c r="J407" s="8">
        <f>IF($D407="ACC",$C407,0)</f>
        <v>0</v>
      </c>
      <c r="K407" s="8">
        <f>K406+L407</f>
        <v>0</v>
      </c>
      <c r="L407" s="8">
        <f>IF($D407="CBB",$C407,0)</f>
        <v>0</v>
      </c>
    </row>
    <row r="408" spans="1:12" x14ac:dyDescent="0.25">
      <c r="A408" s="6">
        <v>41614</v>
      </c>
      <c r="B408" t="s">
        <v>43</v>
      </c>
      <c r="C408" s="7">
        <v>3226</v>
      </c>
      <c r="D408" t="s">
        <v>6</v>
      </c>
      <c r="E408" s="8">
        <f>E407+F408</f>
        <v>20368</v>
      </c>
      <c r="F408" s="8">
        <f>IF($D408="CR01",$C408,0)</f>
        <v>3226</v>
      </c>
      <c r="G408" s="8">
        <f>G407+H408</f>
        <v>0</v>
      </c>
      <c r="H408" s="8">
        <f>IF($D408="VISA",$C408,0)</f>
        <v>0</v>
      </c>
      <c r="I408" s="8">
        <f>I407+J408</f>
        <v>0</v>
      </c>
      <c r="J408" s="8">
        <f>IF($D408="ACC",$C408,0)</f>
        <v>0</v>
      </c>
      <c r="K408" s="8">
        <f>K407+L408</f>
        <v>0</v>
      </c>
      <c r="L408" s="8">
        <f>IF($D408="CBB",$C408,0)</f>
        <v>0</v>
      </c>
    </row>
    <row r="409" spans="1:12" x14ac:dyDescent="0.25">
      <c r="A409" s="6">
        <v>41618</v>
      </c>
      <c r="B409" t="s">
        <v>48</v>
      </c>
      <c r="C409" s="7">
        <v>-100</v>
      </c>
      <c r="D409" t="s">
        <v>6</v>
      </c>
      <c r="E409" s="8">
        <f>E408+F409</f>
        <v>20268</v>
      </c>
      <c r="F409" s="8">
        <f>IF($D409="CR01",$C409,0)</f>
        <v>-100</v>
      </c>
      <c r="G409" s="8">
        <f>G408+H409</f>
        <v>0</v>
      </c>
      <c r="H409" s="8">
        <f>IF($D409="VISA",$C409,0)</f>
        <v>0</v>
      </c>
      <c r="I409" s="8">
        <f>I408+J409</f>
        <v>0</v>
      </c>
      <c r="J409" s="8">
        <f>IF($D409="ACC",$C409,0)</f>
        <v>0</v>
      </c>
      <c r="K409" s="8">
        <f>K408+L409</f>
        <v>0</v>
      </c>
      <c r="L409" s="8">
        <f>IF($D409="CBB",$C409,0)</f>
        <v>0</v>
      </c>
    </row>
    <row r="410" spans="1:12" x14ac:dyDescent="0.25">
      <c r="A410" s="6">
        <v>41619</v>
      </c>
      <c r="B410" t="s">
        <v>47</v>
      </c>
      <c r="C410" s="7">
        <v>-120</v>
      </c>
      <c r="D410" t="s">
        <v>6</v>
      </c>
      <c r="E410" s="8">
        <f>E409+F410</f>
        <v>20148</v>
      </c>
      <c r="F410" s="8">
        <f>IF($D410="CR01",$C410,0)</f>
        <v>-120</v>
      </c>
      <c r="G410" s="8">
        <f>G409+H410</f>
        <v>0</v>
      </c>
      <c r="H410" s="8">
        <f>IF($D410="VISA",$C410,0)</f>
        <v>0</v>
      </c>
      <c r="I410" s="8">
        <f>I409+J410</f>
        <v>0</v>
      </c>
      <c r="J410" s="8">
        <f>IF($D410="ACC",$C410,0)</f>
        <v>0</v>
      </c>
      <c r="K410" s="8">
        <f>K409+L410</f>
        <v>0</v>
      </c>
      <c r="L410" s="8">
        <f>IF($D410="CBB",$C410,0)</f>
        <v>0</v>
      </c>
    </row>
    <row r="411" spans="1:12" x14ac:dyDescent="0.25">
      <c r="A411" s="6">
        <v>41620</v>
      </c>
      <c r="B411" t="s">
        <v>44</v>
      </c>
      <c r="C411" s="7">
        <v>-400</v>
      </c>
      <c r="D411" t="s">
        <v>6</v>
      </c>
      <c r="E411" s="8">
        <f>E410+F411</f>
        <v>19748</v>
      </c>
      <c r="F411" s="8">
        <f>IF($D411="CR01",$C411,0)</f>
        <v>-400</v>
      </c>
      <c r="G411" s="8">
        <f>G410+H411</f>
        <v>0</v>
      </c>
      <c r="H411" s="8">
        <f>IF($D411="VISA",$C411,0)</f>
        <v>0</v>
      </c>
      <c r="I411" s="8">
        <f>I410+J411</f>
        <v>0</v>
      </c>
      <c r="J411" s="8">
        <f>IF($D411="ACC",$C411,0)</f>
        <v>0</v>
      </c>
      <c r="K411" s="8">
        <f>K410+L411</f>
        <v>0</v>
      </c>
      <c r="L411" s="8">
        <f>IF($D411="CBB",$C411,0)</f>
        <v>0</v>
      </c>
    </row>
    <row r="412" spans="1:12" x14ac:dyDescent="0.25">
      <c r="A412" s="6">
        <v>41620</v>
      </c>
      <c r="B412" t="s">
        <v>45</v>
      </c>
      <c r="C412" s="7">
        <v>-180</v>
      </c>
      <c r="D412" t="s">
        <v>6</v>
      </c>
      <c r="E412" s="8">
        <f>E411+F412</f>
        <v>19568</v>
      </c>
      <c r="F412" s="8">
        <f>IF($D412="CR01",$C412,0)</f>
        <v>-180</v>
      </c>
      <c r="G412" s="8">
        <f>G411+H412</f>
        <v>0</v>
      </c>
      <c r="H412" s="8">
        <f>IF($D412="VISA",$C412,0)</f>
        <v>0</v>
      </c>
      <c r="I412" s="8">
        <f>I411+J412</f>
        <v>0</v>
      </c>
      <c r="J412" s="8">
        <f>IF($D412="ACC",$C412,0)</f>
        <v>0</v>
      </c>
      <c r="K412" s="8">
        <f>K411+L412</f>
        <v>0</v>
      </c>
      <c r="L412" s="8">
        <f>IF($D412="CBB",$C412,0)</f>
        <v>0</v>
      </c>
    </row>
    <row r="413" spans="1:12" x14ac:dyDescent="0.25">
      <c r="A413" s="6">
        <v>41620</v>
      </c>
      <c r="B413" t="s">
        <v>46</v>
      </c>
      <c r="C413" s="7">
        <v>-300</v>
      </c>
      <c r="D413" t="s">
        <v>6</v>
      </c>
      <c r="E413" s="8">
        <f>E412+F413</f>
        <v>19268</v>
      </c>
      <c r="F413" s="8">
        <f>IF($D413="CR01",$C413,0)</f>
        <v>-300</v>
      </c>
      <c r="G413" s="8">
        <f>G412+H413</f>
        <v>0</v>
      </c>
      <c r="H413" s="8">
        <f>IF($D413="VISA",$C413,0)</f>
        <v>0</v>
      </c>
      <c r="I413" s="8">
        <f>I412+J413</f>
        <v>0</v>
      </c>
      <c r="J413" s="8">
        <f>IF($D413="ACC",$C413,0)</f>
        <v>0</v>
      </c>
      <c r="K413" s="8">
        <f>K412+L413</f>
        <v>0</v>
      </c>
      <c r="L413" s="8">
        <f>IF($D413="CBB",$C413,0)</f>
        <v>0</v>
      </c>
    </row>
    <row r="414" spans="1:12" x14ac:dyDescent="0.25">
      <c r="A414" s="6">
        <v>41622</v>
      </c>
      <c r="B414" t="s">
        <v>67</v>
      </c>
      <c r="C414" s="7">
        <v>3600</v>
      </c>
      <c r="D414" t="s">
        <v>6</v>
      </c>
      <c r="E414" s="8">
        <f>E413+F414</f>
        <v>22868</v>
      </c>
      <c r="F414" s="8">
        <f>IF($D414="CR01",$C414,0)</f>
        <v>3600</v>
      </c>
      <c r="G414" s="8">
        <f>G413+H414</f>
        <v>0</v>
      </c>
      <c r="H414" s="8">
        <f>IF($D414="VISA",$C414,0)</f>
        <v>0</v>
      </c>
      <c r="I414" s="8">
        <f>I413+J414</f>
        <v>0</v>
      </c>
      <c r="J414" s="8">
        <f>IF($D414="ACC",$C414,0)</f>
        <v>0</v>
      </c>
      <c r="K414" s="8">
        <f>K413+L414</f>
        <v>0</v>
      </c>
      <c r="L414" s="8">
        <f>IF($D414="CBB",$C414,0)</f>
        <v>0</v>
      </c>
    </row>
    <row r="415" spans="1:12" x14ac:dyDescent="0.25">
      <c r="A415" s="6">
        <v>41625</v>
      </c>
      <c r="B415" t="s">
        <v>42</v>
      </c>
      <c r="C415" s="7">
        <v>-2806</v>
      </c>
      <c r="D415" t="s">
        <v>6</v>
      </c>
      <c r="E415" s="8">
        <f>E414+F415</f>
        <v>20062</v>
      </c>
      <c r="F415" s="8">
        <f>IF($D415="CR01",$C415,0)</f>
        <v>-2806</v>
      </c>
      <c r="G415" s="8">
        <f>G414+H415</f>
        <v>0</v>
      </c>
      <c r="H415" s="8">
        <f>IF($D415="VISA",$C415,0)</f>
        <v>0</v>
      </c>
      <c r="I415" s="8">
        <f>I414+J415</f>
        <v>0</v>
      </c>
      <c r="J415" s="8">
        <f>IF($D415="ACC",$C415,0)</f>
        <v>0</v>
      </c>
      <c r="K415" s="8">
        <f>K414+L415</f>
        <v>0</v>
      </c>
      <c r="L415" s="8">
        <f>IF($D415="CBB",$C415,0)</f>
        <v>0</v>
      </c>
    </row>
    <row r="416" spans="1:12" x14ac:dyDescent="0.25">
      <c r="A416" s="6">
        <v>41625</v>
      </c>
      <c r="B416" t="s">
        <v>48</v>
      </c>
      <c r="C416" s="7">
        <v>-100</v>
      </c>
      <c r="D416" t="s">
        <v>6</v>
      </c>
      <c r="E416" s="8">
        <f>E415+F416</f>
        <v>19962</v>
      </c>
      <c r="F416" s="8">
        <f>IF($D416="CR01",$C416,0)</f>
        <v>-100</v>
      </c>
      <c r="G416" s="8">
        <f>G415+H416</f>
        <v>0</v>
      </c>
      <c r="H416" s="8">
        <f>IF($D416="VISA",$C416,0)</f>
        <v>0</v>
      </c>
      <c r="I416" s="8">
        <f>I415+J416</f>
        <v>0</v>
      </c>
      <c r="J416" s="8">
        <f>IF($D416="ACC",$C416,0)</f>
        <v>0</v>
      </c>
      <c r="K416" s="8">
        <f>K415+L416</f>
        <v>0</v>
      </c>
      <c r="L416" s="8">
        <f>IF($D416="CBB",$C416,0)</f>
        <v>0</v>
      </c>
    </row>
    <row r="417" spans="1:12" x14ac:dyDescent="0.25">
      <c r="A417" s="6">
        <v>41626</v>
      </c>
      <c r="B417" t="s">
        <v>47</v>
      </c>
      <c r="C417" s="7">
        <v>-120</v>
      </c>
      <c r="D417" t="s">
        <v>6</v>
      </c>
      <c r="E417" s="8">
        <f>E416+F417</f>
        <v>19842</v>
      </c>
      <c r="F417" s="8">
        <f>IF($D417="CR01",$C417,0)</f>
        <v>-120</v>
      </c>
      <c r="G417" s="8">
        <f>G416+H417</f>
        <v>0</v>
      </c>
      <c r="H417" s="8">
        <f>IF($D417="VISA",$C417,0)</f>
        <v>0</v>
      </c>
      <c r="I417" s="8">
        <f>I416+J417</f>
        <v>0</v>
      </c>
      <c r="J417" s="8">
        <f>IF($D417="ACC",$C417,0)</f>
        <v>0</v>
      </c>
      <c r="K417" s="8">
        <f>K416+L417</f>
        <v>0</v>
      </c>
      <c r="L417" s="8">
        <f>IF($D417="CBB",$C417,0)</f>
        <v>0</v>
      </c>
    </row>
    <row r="418" spans="1:12" x14ac:dyDescent="0.25">
      <c r="A418" s="6">
        <v>41627</v>
      </c>
      <c r="B418" t="s">
        <v>44</v>
      </c>
      <c r="C418" s="7">
        <v>-400</v>
      </c>
      <c r="D418" t="s">
        <v>6</v>
      </c>
      <c r="E418" s="8">
        <f>E417+F418</f>
        <v>19442</v>
      </c>
      <c r="F418" s="8">
        <f>IF($D418="CR01",$C418,0)</f>
        <v>-400</v>
      </c>
      <c r="G418" s="8">
        <f>G417+H418</f>
        <v>0</v>
      </c>
      <c r="H418" s="8">
        <f>IF($D418="VISA",$C418,0)</f>
        <v>0</v>
      </c>
      <c r="I418" s="8">
        <f>I417+J418</f>
        <v>0</v>
      </c>
      <c r="J418" s="8">
        <f>IF($D418="ACC",$C418,0)</f>
        <v>0</v>
      </c>
      <c r="K418" s="8">
        <f>K417+L418</f>
        <v>0</v>
      </c>
      <c r="L418" s="8">
        <f>IF($D418="CBB",$C418,0)</f>
        <v>0</v>
      </c>
    </row>
    <row r="419" spans="1:12" x14ac:dyDescent="0.25">
      <c r="A419" s="6">
        <v>41627</v>
      </c>
      <c r="B419" t="s">
        <v>45</v>
      </c>
      <c r="C419" s="7">
        <v>-180</v>
      </c>
      <c r="D419" t="s">
        <v>6</v>
      </c>
      <c r="E419" s="8">
        <f>E418+F419</f>
        <v>19262</v>
      </c>
      <c r="F419" s="8">
        <f>IF($D419="CR01",$C419,0)</f>
        <v>-180</v>
      </c>
      <c r="G419" s="8">
        <f>G418+H419</f>
        <v>0</v>
      </c>
      <c r="H419" s="8">
        <f>IF($D419="VISA",$C419,0)</f>
        <v>0</v>
      </c>
      <c r="I419" s="8">
        <f>I418+J419</f>
        <v>0</v>
      </c>
      <c r="J419" s="8">
        <f>IF($D419="ACC",$C419,0)</f>
        <v>0</v>
      </c>
      <c r="K419" s="8">
        <f>K418+L419</f>
        <v>0</v>
      </c>
      <c r="L419" s="8">
        <f>IF($D419="CBB",$C419,0)</f>
        <v>0</v>
      </c>
    </row>
    <row r="420" spans="1:12" x14ac:dyDescent="0.25">
      <c r="A420" s="6">
        <v>41627</v>
      </c>
      <c r="B420" t="s">
        <v>46</v>
      </c>
      <c r="C420" s="7">
        <v>-300</v>
      </c>
      <c r="D420" t="s">
        <v>6</v>
      </c>
      <c r="E420" s="8">
        <f>E419+F420</f>
        <v>18962</v>
      </c>
      <c r="F420" s="8">
        <f>IF($D420="CR01",$C420,0)</f>
        <v>-300</v>
      </c>
      <c r="G420" s="8">
        <f>G419+H420</f>
        <v>0</v>
      </c>
      <c r="H420" s="8">
        <f>IF($D420="VISA",$C420,0)</f>
        <v>0</v>
      </c>
      <c r="I420" s="8">
        <f>I419+J420</f>
        <v>0</v>
      </c>
      <c r="J420" s="8">
        <f>IF($D420="ACC",$C420,0)</f>
        <v>0</v>
      </c>
      <c r="K420" s="8">
        <f>K419+L420</f>
        <v>0</v>
      </c>
      <c r="L420" s="8">
        <f>IF($D420="CBB",$C420,0)</f>
        <v>0</v>
      </c>
    </row>
    <row r="421" spans="1:12" x14ac:dyDescent="0.25">
      <c r="A421" s="6">
        <v>41628</v>
      </c>
      <c r="B421" t="s">
        <v>43</v>
      </c>
      <c r="C421" s="7">
        <v>3226</v>
      </c>
      <c r="D421" t="s">
        <v>6</v>
      </c>
      <c r="E421" s="8">
        <f>E420+F421</f>
        <v>22188</v>
      </c>
      <c r="F421" s="8">
        <f>IF($D421="CR01",$C421,0)</f>
        <v>3226</v>
      </c>
      <c r="G421" s="8">
        <f>G420+H421</f>
        <v>0</v>
      </c>
      <c r="H421" s="8">
        <f>IF($D421="VISA",$C421,0)</f>
        <v>0</v>
      </c>
      <c r="I421" s="8">
        <f>I420+J421</f>
        <v>0</v>
      </c>
      <c r="J421" s="8">
        <f>IF($D421="ACC",$C421,0)</f>
        <v>0</v>
      </c>
      <c r="K421" s="8">
        <f>K420+L421</f>
        <v>0</v>
      </c>
      <c r="L421" s="8">
        <f>IF($D421="CBB",$C421,0)</f>
        <v>0</v>
      </c>
    </row>
    <row r="422" spans="1:12" x14ac:dyDescent="0.25">
      <c r="A422" s="6">
        <v>41632</v>
      </c>
      <c r="B422" t="s">
        <v>48</v>
      </c>
      <c r="C422" s="7">
        <v>-100</v>
      </c>
      <c r="D422" t="s">
        <v>6</v>
      </c>
      <c r="E422" s="8">
        <f>E421+F422</f>
        <v>22088</v>
      </c>
      <c r="F422" s="8">
        <f>IF($D422="CR01",$C422,0)</f>
        <v>-100</v>
      </c>
      <c r="G422" s="8">
        <f>G421+H422</f>
        <v>0</v>
      </c>
      <c r="H422" s="8">
        <f>IF($D422="VISA",$C422,0)</f>
        <v>0</v>
      </c>
      <c r="I422" s="8">
        <f>I421+J422</f>
        <v>0</v>
      </c>
      <c r="J422" s="8">
        <f>IF($D422="ACC",$C422,0)</f>
        <v>0</v>
      </c>
      <c r="K422" s="8">
        <f>K421+L422</f>
        <v>0</v>
      </c>
      <c r="L422" s="8">
        <f>IF($D422="CBB",$C422,0)</f>
        <v>0</v>
      </c>
    </row>
    <row r="423" spans="1:12" x14ac:dyDescent="0.25">
      <c r="A423" s="6">
        <v>41633</v>
      </c>
      <c r="B423" t="s">
        <v>47</v>
      </c>
      <c r="C423" s="7">
        <v>-120</v>
      </c>
      <c r="D423" t="s">
        <v>6</v>
      </c>
      <c r="E423" s="8">
        <f>E422+F423</f>
        <v>21968</v>
      </c>
      <c r="F423" s="8">
        <f>IF($D423="CR01",$C423,0)</f>
        <v>-120</v>
      </c>
      <c r="G423" s="8">
        <f>G422+H423</f>
        <v>0</v>
      </c>
      <c r="H423" s="8">
        <f>IF($D423="VISA",$C423,0)</f>
        <v>0</v>
      </c>
      <c r="I423" s="8">
        <f>I422+J423</f>
        <v>0</v>
      </c>
      <c r="J423" s="8">
        <f>IF($D423="ACC",$C423,0)</f>
        <v>0</v>
      </c>
      <c r="K423" s="8">
        <f>K422+L423</f>
        <v>0</v>
      </c>
      <c r="L423" s="8">
        <f>IF($D423="CBB",$C423,0)</f>
        <v>0</v>
      </c>
    </row>
    <row r="424" spans="1:12" x14ac:dyDescent="0.25">
      <c r="A424" s="6">
        <v>41634</v>
      </c>
      <c r="B424" t="s">
        <v>44</v>
      </c>
      <c r="C424" s="7">
        <v>-400</v>
      </c>
      <c r="D424" t="s">
        <v>6</v>
      </c>
      <c r="E424" s="8">
        <f>E423+F424</f>
        <v>21568</v>
      </c>
      <c r="F424" s="8">
        <f>IF($D424="CR01",$C424,0)</f>
        <v>-400</v>
      </c>
      <c r="G424" s="8">
        <f>G423+H424</f>
        <v>0</v>
      </c>
      <c r="H424" s="8">
        <f>IF($D424="VISA",$C424,0)</f>
        <v>0</v>
      </c>
      <c r="I424" s="8">
        <f>I423+J424</f>
        <v>0</v>
      </c>
      <c r="J424" s="8">
        <f>IF($D424="ACC",$C424,0)</f>
        <v>0</v>
      </c>
      <c r="K424" s="8">
        <f>K423+L424</f>
        <v>0</v>
      </c>
      <c r="L424" s="8">
        <f>IF($D424="CBB",$C424,0)</f>
        <v>0</v>
      </c>
    </row>
    <row r="425" spans="1:12" x14ac:dyDescent="0.25">
      <c r="A425" s="6">
        <v>41634</v>
      </c>
      <c r="B425" t="s">
        <v>45</v>
      </c>
      <c r="C425" s="7">
        <v>-180</v>
      </c>
      <c r="D425" t="s">
        <v>6</v>
      </c>
      <c r="E425" s="8">
        <f>E424+F425</f>
        <v>21388</v>
      </c>
      <c r="F425" s="8">
        <f>IF($D425="CR01",$C425,0)</f>
        <v>-180</v>
      </c>
      <c r="G425" s="8">
        <f>G424+H425</f>
        <v>0</v>
      </c>
      <c r="H425" s="8">
        <f>IF($D425="VISA",$C425,0)</f>
        <v>0</v>
      </c>
      <c r="I425" s="8">
        <f>I424+J425</f>
        <v>0</v>
      </c>
      <c r="J425" s="8">
        <f>IF($D425="ACC",$C425,0)</f>
        <v>0</v>
      </c>
      <c r="K425" s="8">
        <f>K424+L425</f>
        <v>0</v>
      </c>
      <c r="L425" s="8">
        <f>IF($D425="CBB",$C425,0)</f>
        <v>0</v>
      </c>
    </row>
    <row r="426" spans="1:12" x14ac:dyDescent="0.25">
      <c r="A426" s="6">
        <v>41634</v>
      </c>
      <c r="B426" t="s">
        <v>46</v>
      </c>
      <c r="C426" s="7">
        <v>-300</v>
      </c>
      <c r="D426" t="s">
        <v>6</v>
      </c>
      <c r="E426" s="8">
        <f>E425+F426</f>
        <v>21088</v>
      </c>
      <c r="F426" s="8">
        <f>IF($D426="CR01",$C426,0)</f>
        <v>-300</v>
      </c>
      <c r="G426" s="8">
        <f>G425+H426</f>
        <v>0</v>
      </c>
      <c r="H426" s="8">
        <f>IF($D426="VISA",$C426,0)</f>
        <v>0</v>
      </c>
      <c r="I426" s="8">
        <f>I425+J426</f>
        <v>0</v>
      </c>
      <c r="J426" s="8">
        <f>IF($D426="ACC",$C426,0)</f>
        <v>0</v>
      </c>
      <c r="K426" s="8">
        <f>K425+L426</f>
        <v>0</v>
      </c>
      <c r="L426" s="8">
        <f>IF($D426="CBB",$C426,0)</f>
        <v>0</v>
      </c>
    </row>
    <row r="427" spans="1:12" x14ac:dyDescent="0.25">
      <c r="A427" s="6">
        <v>41636</v>
      </c>
      <c r="B427" t="s">
        <v>67</v>
      </c>
      <c r="C427" s="7">
        <v>3600</v>
      </c>
      <c r="D427" t="s">
        <v>6</v>
      </c>
      <c r="E427" s="8">
        <f>E426+F427</f>
        <v>24688</v>
      </c>
      <c r="F427" s="8">
        <f>IF($D427="CR01",$C427,0)</f>
        <v>3600</v>
      </c>
      <c r="G427" s="8">
        <f>G426+H427</f>
        <v>0</v>
      </c>
      <c r="H427" s="8">
        <f>IF($D427="VISA",$C427,0)</f>
        <v>0</v>
      </c>
      <c r="I427" s="8">
        <f>I426+J427</f>
        <v>0</v>
      </c>
      <c r="J427" s="8">
        <f>IF($D427="ACC",$C427,0)</f>
        <v>0</v>
      </c>
      <c r="K427" s="8">
        <f>K426+L427</f>
        <v>0</v>
      </c>
      <c r="L427" s="8">
        <f>IF($D427="CBB",$C427,0)</f>
        <v>0</v>
      </c>
    </row>
    <row r="428" spans="1:12" x14ac:dyDescent="0.25">
      <c r="A428" s="6">
        <v>41639</v>
      </c>
      <c r="B428" t="s">
        <v>42</v>
      </c>
      <c r="C428" s="7">
        <v>-2806</v>
      </c>
      <c r="D428" t="s">
        <v>6</v>
      </c>
      <c r="E428" s="8">
        <f>E427+F428</f>
        <v>21882</v>
      </c>
      <c r="F428" s="8">
        <f>IF($D428="CR01",$C428,0)</f>
        <v>-2806</v>
      </c>
      <c r="G428" s="8">
        <f>G427+H428</f>
        <v>0</v>
      </c>
      <c r="H428" s="8">
        <f>IF($D428="VISA",$C428,0)</f>
        <v>0</v>
      </c>
      <c r="I428" s="8">
        <f>I427+J428</f>
        <v>0</v>
      </c>
      <c r="J428" s="8">
        <f>IF($D428="ACC",$C428,0)</f>
        <v>0</v>
      </c>
      <c r="K428" s="8">
        <f>K427+L428</f>
        <v>0</v>
      </c>
      <c r="L428" s="8">
        <f>IF($D428="CBB",$C428,0)</f>
        <v>0</v>
      </c>
    </row>
    <row r="429" spans="1:12" x14ac:dyDescent="0.25">
      <c r="A429" s="6">
        <v>41639</v>
      </c>
      <c r="B429" t="s">
        <v>48</v>
      </c>
      <c r="C429" s="7">
        <v>-100</v>
      </c>
      <c r="D429" t="s">
        <v>6</v>
      </c>
      <c r="E429" s="8">
        <f>E428+F429</f>
        <v>21782</v>
      </c>
      <c r="F429" s="8">
        <f>IF($D429="CR01",$C429,0)</f>
        <v>-100</v>
      </c>
      <c r="G429" s="8">
        <f>G428+H429</f>
        <v>0</v>
      </c>
      <c r="H429" s="8">
        <f>IF($D429="VISA",$C429,0)</f>
        <v>0</v>
      </c>
      <c r="I429" s="8">
        <f>I428+J429</f>
        <v>0</v>
      </c>
      <c r="J429" s="8">
        <f>IF($D429="ACC",$C429,0)</f>
        <v>0</v>
      </c>
      <c r="K429" s="8">
        <f>K428+L429</f>
        <v>0</v>
      </c>
      <c r="L429" s="8">
        <f>IF($D429="CBB",$C429,0)</f>
        <v>0</v>
      </c>
    </row>
    <row r="430" spans="1:12" x14ac:dyDescent="0.25">
      <c r="A430" s="6">
        <v>41640</v>
      </c>
      <c r="B430" t="s">
        <v>47</v>
      </c>
      <c r="C430" s="7">
        <v>-120</v>
      </c>
      <c r="D430" t="s">
        <v>6</v>
      </c>
      <c r="E430" s="8">
        <f>E429+F430</f>
        <v>21662</v>
      </c>
      <c r="F430" s="8">
        <f>IF($D430="CR01",$C430,0)</f>
        <v>-120</v>
      </c>
      <c r="G430" s="8">
        <f>G429+H430</f>
        <v>0</v>
      </c>
      <c r="H430" s="8">
        <f>IF($D430="VISA",$C430,0)</f>
        <v>0</v>
      </c>
      <c r="I430" s="8">
        <f>I429+J430</f>
        <v>0</v>
      </c>
      <c r="J430" s="8">
        <f>IF($D430="ACC",$C430,0)</f>
        <v>0</v>
      </c>
      <c r="K430" s="8">
        <f>K429+L430</f>
        <v>0</v>
      </c>
      <c r="L430" s="8">
        <f>IF($D430="CBB",$C430,0)</f>
        <v>0</v>
      </c>
    </row>
    <row r="431" spans="1:12" x14ac:dyDescent="0.25">
      <c r="A431" s="6">
        <v>41640</v>
      </c>
      <c r="B431" t="s">
        <v>58</v>
      </c>
      <c r="C431" s="7">
        <v>-200</v>
      </c>
      <c r="D431" t="s">
        <v>6</v>
      </c>
      <c r="E431" s="8">
        <f>E430+F431</f>
        <v>21462</v>
      </c>
      <c r="F431" s="8">
        <f>IF($D431="CR01",$C431,0)</f>
        <v>-200</v>
      </c>
      <c r="G431" s="8">
        <f>G430+H431</f>
        <v>0</v>
      </c>
      <c r="H431" s="8">
        <f>IF($D431="VISA",$C431,0)</f>
        <v>0</v>
      </c>
      <c r="I431" s="8">
        <f>I430+J431</f>
        <v>0</v>
      </c>
      <c r="J431" s="8">
        <f>IF($D431="ACC",$C431,0)</f>
        <v>0</v>
      </c>
      <c r="K431" s="8">
        <f>K430+L431</f>
        <v>0</v>
      </c>
      <c r="L431" s="8">
        <f>IF($D431="CBB",$C431,0)</f>
        <v>0</v>
      </c>
    </row>
    <row r="432" spans="1:12" x14ac:dyDescent="0.25">
      <c r="A432" s="6">
        <v>41640</v>
      </c>
      <c r="B432" t="s">
        <v>60</v>
      </c>
      <c r="C432" s="7">
        <v>-400</v>
      </c>
      <c r="D432" t="s">
        <v>6</v>
      </c>
      <c r="E432" s="8">
        <f>E431+F432</f>
        <v>21062</v>
      </c>
      <c r="F432" s="8">
        <f>IF($D432="CR01",$C432,0)</f>
        <v>-400</v>
      </c>
      <c r="G432" s="8">
        <f>G431+H432</f>
        <v>0</v>
      </c>
      <c r="H432" s="8">
        <f>IF($D432="VISA",$C432,0)</f>
        <v>0</v>
      </c>
      <c r="I432" s="8">
        <f>I431+J432</f>
        <v>0</v>
      </c>
      <c r="J432" s="8">
        <f>IF($D432="ACC",$C432,0)</f>
        <v>0</v>
      </c>
      <c r="K432" s="8">
        <f>K431+L432</f>
        <v>0</v>
      </c>
      <c r="L432" s="8">
        <f>IF($D432="CBB",$C432,0)</f>
        <v>0</v>
      </c>
    </row>
    <row r="433" spans="1:12" x14ac:dyDescent="0.25">
      <c r="A433" s="6">
        <v>41640</v>
      </c>
      <c r="B433" t="s">
        <v>61</v>
      </c>
      <c r="C433" s="7">
        <v>-300</v>
      </c>
      <c r="D433" t="s">
        <v>6</v>
      </c>
      <c r="E433" s="8">
        <f>E432+F433</f>
        <v>20762</v>
      </c>
      <c r="F433" s="8">
        <f>IF($D433="CR01",$C433,0)</f>
        <v>-300</v>
      </c>
      <c r="G433" s="8">
        <f>G432+H433</f>
        <v>0</v>
      </c>
      <c r="H433" s="8">
        <f>IF($D433="VISA",$C433,0)</f>
        <v>0</v>
      </c>
      <c r="I433" s="8">
        <f>I432+J433</f>
        <v>0</v>
      </c>
      <c r="J433" s="8">
        <f>IF($D433="ACC",$C433,0)</f>
        <v>0</v>
      </c>
      <c r="K433" s="8">
        <f>K432+L433</f>
        <v>0</v>
      </c>
      <c r="L433" s="8">
        <f>IF($D433="CBB",$C433,0)</f>
        <v>0</v>
      </c>
    </row>
    <row r="434" spans="1:12" x14ac:dyDescent="0.25">
      <c r="A434" s="6">
        <v>41640</v>
      </c>
      <c r="B434" t="s">
        <v>64</v>
      </c>
      <c r="C434" s="7">
        <v>-26</v>
      </c>
      <c r="D434" t="s">
        <v>6</v>
      </c>
      <c r="E434" s="8">
        <f>E433+F434</f>
        <v>20736</v>
      </c>
      <c r="F434" s="8">
        <f>IF($D434="CR01",$C434,0)</f>
        <v>-26</v>
      </c>
      <c r="G434" s="8">
        <f>G433+H434</f>
        <v>0</v>
      </c>
      <c r="H434" s="8">
        <f>IF($D434="VISA",$C434,0)</f>
        <v>0</v>
      </c>
      <c r="I434" s="8">
        <f>I433+J434</f>
        <v>0</v>
      </c>
      <c r="J434" s="8">
        <f>IF($D434="ACC",$C434,0)</f>
        <v>0</v>
      </c>
      <c r="K434" s="8">
        <f>K433+L434</f>
        <v>0</v>
      </c>
      <c r="L434" s="8">
        <f>IF($D434="CBB",$C434,0)</f>
        <v>0</v>
      </c>
    </row>
    <row r="435" spans="1:12" x14ac:dyDescent="0.25">
      <c r="A435" s="6">
        <v>41640</v>
      </c>
      <c r="B435" t="s">
        <v>65</v>
      </c>
      <c r="C435" s="7">
        <v>-240</v>
      </c>
      <c r="D435" t="s">
        <v>6</v>
      </c>
      <c r="E435" s="8">
        <f>E434+F435</f>
        <v>20496</v>
      </c>
      <c r="F435" s="8">
        <f>IF($D435="CR01",$C435,0)</f>
        <v>-240</v>
      </c>
      <c r="G435" s="8">
        <f>G434+H435</f>
        <v>0</v>
      </c>
      <c r="H435" s="8">
        <f>IF($D435="VISA",$C435,0)</f>
        <v>0</v>
      </c>
      <c r="I435" s="8">
        <f>I434+J435</f>
        <v>0</v>
      </c>
      <c r="J435" s="8">
        <f>IF($D435="ACC",$C435,0)</f>
        <v>0</v>
      </c>
      <c r="K435" s="8">
        <f>K434+L435</f>
        <v>0</v>
      </c>
      <c r="L435" s="8">
        <f>IF($D435="CBB",$C435,0)</f>
        <v>0</v>
      </c>
    </row>
    <row r="436" spans="1:12" x14ac:dyDescent="0.25">
      <c r="A436" s="6">
        <v>41640</v>
      </c>
      <c r="B436" t="s">
        <v>66</v>
      </c>
      <c r="C436" s="7">
        <v>-120</v>
      </c>
      <c r="D436" t="s">
        <v>6</v>
      </c>
      <c r="E436" s="8">
        <f>E435+F436</f>
        <v>20376</v>
      </c>
      <c r="F436" s="8">
        <f>IF($D436="CR01",$C436,0)</f>
        <v>-120</v>
      </c>
      <c r="G436" s="8">
        <f>G435+H436</f>
        <v>0</v>
      </c>
      <c r="H436" s="8">
        <f>IF($D436="VISA",$C436,0)</f>
        <v>0</v>
      </c>
      <c r="I436" s="8">
        <f>I435+J436</f>
        <v>0</v>
      </c>
      <c r="J436" s="8">
        <f>IF($D436="ACC",$C436,0)</f>
        <v>0</v>
      </c>
      <c r="K436" s="8">
        <f>K435+L436</f>
        <v>0</v>
      </c>
      <c r="L436" s="8">
        <f>IF($D436="CBB",$C436,0)</f>
        <v>0</v>
      </c>
    </row>
    <row r="437" spans="1:12" x14ac:dyDescent="0.25">
      <c r="A437" s="6">
        <v>41641</v>
      </c>
      <c r="B437" t="s">
        <v>44</v>
      </c>
      <c r="C437" s="7">
        <v>-400</v>
      </c>
      <c r="D437" t="s">
        <v>6</v>
      </c>
      <c r="E437" s="8">
        <f>E436+F437</f>
        <v>19976</v>
      </c>
      <c r="F437" s="8">
        <f>IF($D437="CR01",$C437,0)</f>
        <v>-400</v>
      </c>
      <c r="G437" s="8">
        <f>G436+H437</f>
        <v>0</v>
      </c>
      <c r="H437" s="8">
        <f>IF($D437="VISA",$C437,0)</f>
        <v>0</v>
      </c>
      <c r="I437" s="8">
        <f>I436+J437</f>
        <v>0</v>
      </c>
      <c r="J437" s="8">
        <f>IF($D437="ACC",$C437,0)</f>
        <v>0</v>
      </c>
      <c r="K437" s="8">
        <f>K436+L437</f>
        <v>0</v>
      </c>
      <c r="L437" s="8">
        <f>IF($D437="CBB",$C437,0)</f>
        <v>0</v>
      </c>
    </row>
    <row r="438" spans="1:12" x14ac:dyDescent="0.25">
      <c r="A438" s="6">
        <v>41641</v>
      </c>
      <c r="B438" t="s">
        <v>45</v>
      </c>
      <c r="C438" s="7">
        <v>-180</v>
      </c>
      <c r="D438" t="s">
        <v>6</v>
      </c>
      <c r="E438" s="8">
        <f>E437+F438</f>
        <v>19796</v>
      </c>
      <c r="F438" s="8">
        <f>IF($D438="CR01",$C438,0)</f>
        <v>-180</v>
      </c>
      <c r="G438" s="8">
        <f>G437+H438</f>
        <v>0</v>
      </c>
      <c r="H438" s="8">
        <f>IF($D438="VISA",$C438,0)</f>
        <v>0</v>
      </c>
      <c r="I438" s="8">
        <f>I437+J438</f>
        <v>0</v>
      </c>
      <c r="J438" s="8">
        <f>IF($D438="ACC",$C438,0)</f>
        <v>0</v>
      </c>
      <c r="K438" s="8">
        <f>K437+L438</f>
        <v>0</v>
      </c>
      <c r="L438" s="8">
        <f>IF($D438="CBB",$C438,0)</f>
        <v>0</v>
      </c>
    </row>
    <row r="439" spans="1:12" x14ac:dyDescent="0.25">
      <c r="A439" s="6">
        <v>41641</v>
      </c>
      <c r="B439" t="s">
        <v>46</v>
      </c>
      <c r="C439" s="7">
        <v>-300</v>
      </c>
      <c r="D439" t="s">
        <v>6</v>
      </c>
      <c r="E439" s="8">
        <f>E438+F439</f>
        <v>19496</v>
      </c>
      <c r="F439" s="8">
        <f>IF($D439="CR01",$C439,0)</f>
        <v>-300</v>
      </c>
      <c r="G439" s="8">
        <f>G438+H439</f>
        <v>0</v>
      </c>
      <c r="H439" s="8">
        <f>IF($D439="VISA",$C439,0)</f>
        <v>0</v>
      </c>
      <c r="I439" s="8">
        <f>I438+J439</f>
        <v>0</v>
      </c>
      <c r="J439" s="8">
        <f>IF($D439="ACC",$C439,0)</f>
        <v>0</v>
      </c>
      <c r="K439" s="8">
        <f>K438+L439</f>
        <v>0</v>
      </c>
      <c r="L439" s="8">
        <f>IF($D439="CBB",$C439,0)</f>
        <v>0</v>
      </c>
    </row>
    <row r="440" spans="1:12" x14ac:dyDescent="0.25">
      <c r="A440" s="6">
        <v>41641</v>
      </c>
      <c r="B440" t="s">
        <v>59</v>
      </c>
      <c r="C440" s="7">
        <v>-900</v>
      </c>
      <c r="D440" t="s">
        <v>6</v>
      </c>
      <c r="E440" s="8">
        <f>E439+F440</f>
        <v>18596</v>
      </c>
      <c r="F440" s="8">
        <f>IF($D440="CR01",$C440,0)</f>
        <v>-900</v>
      </c>
      <c r="G440" s="8">
        <f>G439+H440</f>
        <v>0</v>
      </c>
      <c r="H440" s="8">
        <f>IF($D440="VISA",$C440,0)</f>
        <v>0</v>
      </c>
      <c r="I440" s="8">
        <f>I439+J440</f>
        <v>0</v>
      </c>
      <c r="J440" s="8">
        <f>IF($D440="ACC",$C440,0)</f>
        <v>0</v>
      </c>
      <c r="K440" s="8">
        <f>K439+L440</f>
        <v>0</v>
      </c>
      <c r="L440" s="8">
        <f>IF($D440="CBB",$C440,0)</f>
        <v>0</v>
      </c>
    </row>
    <row r="441" spans="1:12" x14ac:dyDescent="0.25">
      <c r="A441" s="6">
        <v>41642</v>
      </c>
      <c r="B441" t="s">
        <v>43</v>
      </c>
      <c r="C441" s="7">
        <v>3226</v>
      </c>
      <c r="D441" t="s">
        <v>6</v>
      </c>
      <c r="E441" s="8">
        <f>E440+F441</f>
        <v>21822</v>
      </c>
      <c r="F441" s="8">
        <f>IF($D441="CR01",$C441,0)</f>
        <v>3226</v>
      </c>
      <c r="G441" s="8">
        <f>G440+H441</f>
        <v>0</v>
      </c>
      <c r="H441" s="8">
        <f>IF($D441="VISA",$C441,0)</f>
        <v>0</v>
      </c>
      <c r="I441" s="8">
        <f>I440+J441</f>
        <v>0</v>
      </c>
      <c r="J441" s="8">
        <f>IF($D441="ACC",$C441,0)</f>
        <v>0</v>
      </c>
      <c r="K441" s="8">
        <f>K440+L441</f>
        <v>0</v>
      </c>
      <c r="L441" s="8">
        <f>IF($D441="CBB",$C441,0)</f>
        <v>0</v>
      </c>
    </row>
    <row r="442" spans="1:12" x14ac:dyDescent="0.25">
      <c r="A442" s="6">
        <v>41646</v>
      </c>
      <c r="B442" t="s">
        <v>48</v>
      </c>
      <c r="C442" s="7">
        <v>-100</v>
      </c>
      <c r="D442" t="s">
        <v>6</v>
      </c>
      <c r="E442" s="8">
        <f>E441+F442</f>
        <v>21722</v>
      </c>
      <c r="F442" s="8">
        <f>IF($D442="CR01",$C442,0)</f>
        <v>-100</v>
      </c>
      <c r="G442" s="8">
        <f>G441+H442</f>
        <v>0</v>
      </c>
      <c r="H442" s="8">
        <f>IF($D442="VISA",$C442,0)</f>
        <v>0</v>
      </c>
      <c r="I442" s="8">
        <f>I441+J442</f>
        <v>0</v>
      </c>
      <c r="J442" s="8">
        <f>IF($D442="ACC",$C442,0)</f>
        <v>0</v>
      </c>
      <c r="K442" s="8">
        <f>K441+L442</f>
        <v>0</v>
      </c>
      <c r="L442" s="8">
        <f>IF($D442="CBB",$C442,0)</f>
        <v>0</v>
      </c>
    </row>
    <row r="443" spans="1:12" x14ac:dyDescent="0.25">
      <c r="A443" s="6">
        <v>41647</v>
      </c>
      <c r="B443" t="s">
        <v>47</v>
      </c>
      <c r="C443" s="7">
        <v>-120</v>
      </c>
      <c r="D443" t="s">
        <v>6</v>
      </c>
      <c r="E443" s="8">
        <f>E442+F443</f>
        <v>21602</v>
      </c>
      <c r="F443" s="8">
        <f>IF($D443="CR01",$C443,0)</f>
        <v>-120</v>
      </c>
      <c r="G443" s="8">
        <f>G442+H443</f>
        <v>0</v>
      </c>
      <c r="H443" s="8">
        <f>IF($D443="VISA",$C443,0)</f>
        <v>0</v>
      </c>
      <c r="I443" s="8">
        <f>I442+J443</f>
        <v>0</v>
      </c>
      <c r="J443" s="8">
        <f>IF($D443="ACC",$C443,0)</f>
        <v>0</v>
      </c>
      <c r="K443" s="8">
        <f>K442+L443</f>
        <v>0</v>
      </c>
      <c r="L443" s="8">
        <f>IF($D443="CBB",$C443,0)</f>
        <v>0</v>
      </c>
    </row>
    <row r="444" spans="1:12" x14ac:dyDescent="0.25">
      <c r="A444" s="6">
        <v>41648</v>
      </c>
      <c r="B444" t="s">
        <v>44</v>
      </c>
      <c r="C444" s="7">
        <v>-400</v>
      </c>
      <c r="D444" t="s">
        <v>6</v>
      </c>
      <c r="E444" s="8">
        <f>E443+F444</f>
        <v>21202</v>
      </c>
      <c r="F444" s="8">
        <f>IF($D444="CR01",$C444,0)</f>
        <v>-400</v>
      </c>
      <c r="G444" s="8">
        <f>G443+H444</f>
        <v>0</v>
      </c>
      <c r="H444" s="8">
        <f>IF($D444="VISA",$C444,0)</f>
        <v>0</v>
      </c>
      <c r="I444" s="8">
        <f>I443+J444</f>
        <v>0</v>
      </c>
      <c r="J444" s="8">
        <f>IF($D444="ACC",$C444,0)</f>
        <v>0</v>
      </c>
      <c r="K444" s="8">
        <f>K443+L444</f>
        <v>0</v>
      </c>
      <c r="L444" s="8">
        <f>IF($D444="CBB",$C444,0)</f>
        <v>0</v>
      </c>
    </row>
    <row r="445" spans="1:12" x14ac:dyDescent="0.25">
      <c r="A445" s="6">
        <v>41648</v>
      </c>
      <c r="B445" t="s">
        <v>45</v>
      </c>
      <c r="C445" s="7">
        <v>-180</v>
      </c>
      <c r="D445" t="s">
        <v>6</v>
      </c>
      <c r="E445" s="8">
        <f>E444+F445</f>
        <v>21022</v>
      </c>
      <c r="F445" s="8">
        <f>IF($D445="CR01",$C445,0)</f>
        <v>-180</v>
      </c>
      <c r="G445" s="8">
        <f>G444+H445</f>
        <v>0</v>
      </c>
      <c r="H445" s="8">
        <f>IF($D445="VISA",$C445,0)</f>
        <v>0</v>
      </c>
      <c r="I445" s="8">
        <f>I444+J445</f>
        <v>0</v>
      </c>
      <c r="J445" s="8">
        <f>IF($D445="ACC",$C445,0)</f>
        <v>0</v>
      </c>
      <c r="K445" s="8">
        <f>K444+L445</f>
        <v>0</v>
      </c>
      <c r="L445" s="8">
        <f>IF($D445="CBB",$C445,0)</f>
        <v>0</v>
      </c>
    </row>
    <row r="446" spans="1:12" x14ac:dyDescent="0.25">
      <c r="A446" s="6">
        <v>41648</v>
      </c>
      <c r="B446" t="s">
        <v>46</v>
      </c>
      <c r="C446" s="7">
        <v>-300</v>
      </c>
      <c r="D446" t="s">
        <v>6</v>
      </c>
      <c r="E446" s="8">
        <f>E445+F446</f>
        <v>20722</v>
      </c>
      <c r="F446" s="8">
        <f>IF($D446="CR01",$C446,0)</f>
        <v>-300</v>
      </c>
      <c r="G446" s="8">
        <f>G445+H446</f>
        <v>0</v>
      </c>
      <c r="H446" s="8">
        <f>IF($D446="VISA",$C446,0)</f>
        <v>0</v>
      </c>
      <c r="I446" s="8">
        <f>I445+J446</f>
        <v>0</v>
      </c>
      <c r="J446" s="8">
        <f>IF($D446="ACC",$C446,0)</f>
        <v>0</v>
      </c>
      <c r="K446" s="8">
        <f>K445+L446</f>
        <v>0</v>
      </c>
      <c r="L446" s="8">
        <f>IF($D446="CBB",$C446,0)</f>
        <v>0</v>
      </c>
    </row>
    <row r="447" spans="1:12" x14ac:dyDescent="0.25">
      <c r="A447" s="6">
        <v>41650</v>
      </c>
      <c r="B447" t="s">
        <v>67</v>
      </c>
      <c r="C447" s="7">
        <v>3600</v>
      </c>
      <c r="D447" t="s">
        <v>6</v>
      </c>
      <c r="E447" s="8">
        <f>E446+F447</f>
        <v>24322</v>
      </c>
      <c r="F447" s="8">
        <f>IF($D447="CR01",$C447,0)</f>
        <v>3600</v>
      </c>
      <c r="G447" s="8">
        <f>G446+H447</f>
        <v>0</v>
      </c>
      <c r="H447" s="8">
        <f>IF($D447="VISA",$C447,0)</f>
        <v>0</v>
      </c>
      <c r="I447" s="8">
        <f>I446+J447</f>
        <v>0</v>
      </c>
      <c r="J447" s="8">
        <f>IF($D447="ACC",$C447,0)</f>
        <v>0</v>
      </c>
      <c r="K447" s="8">
        <f>K446+L447</f>
        <v>0</v>
      </c>
      <c r="L447" s="8">
        <f>IF($D447="CBB",$C447,0)</f>
        <v>0</v>
      </c>
    </row>
    <row r="448" spans="1:12" x14ac:dyDescent="0.25">
      <c r="A448" s="6">
        <v>41653</v>
      </c>
      <c r="B448" t="s">
        <v>42</v>
      </c>
      <c r="C448" s="7">
        <v>-2806</v>
      </c>
      <c r="D448" t="s">
        <v>6</v>
      </c>
      <c r="E448" s="8">
        <f>E447+F448</f>
        <v>21516</v>
      </c>
      <c r="F448" s="8">
        <f>IF($D448="CR01",$C448,0)</f>
        <v>-2806</v>
      </c>
      <c r="G448" s="8">
        <f>G447+H448</f>
        <v>0</v>
      </c>
      <c r="H448" s="8">
        <f>IF($D448="VISA",$C448,0)</f>
        <v>0</v>
      </c>
      <c r="I448" s="8">
        <f>I447+J448</f>
        <v>0</v>
      </c>
      <c r="J448" s="8">
        <f>IF($D448="ACC",$C448,0)</f>
        <v>0</v>
      </c>
      <c r="K448" s="8">
        <f>K447+L448</f>
        <v>0</v>
      </c>
      <c r="L448" s="8">
        <f>IF($D448="CBB",$C448,0)</f>
        <v>0</v>
      </c>
    </row>
    <row r="449" spans="1:12" x14ac:dyDescent="0.25">
      <c r="A449" s="6">
        <v>41653</v>
      </c>
      <c r="B449" t="s">
        <v>48</v>
      </c>
      <c r="C449" s="7">
        <v>-100</v>
      </c>
      <c r="D449" t="s">
        <v>6</v>
      </c>
      <c r="E449" s="8">
        <f>E448+F449</f>
        <v>21416</v>
      </c>
      <c r="F449" s="8">
        <f>IF($D449="CR01",$C449,0)</f>
        <v>-100</v>
      </c>
      <c r="G449" s="8">
        <f>G448+H449</f>
        <v>0</v>
      </c>
      <c r="H449" s="8">
        <f>IF($D449="VISA",$C449,0)</f>
        <v>0</v>
      </c>
      <c r="I449" s="8">
        <f>I448+J449</f>
        <v>0</v>
      </c>
      <c r="J449" s="8">
        <f>IF($D449="ACC",$C449,0)</f>
        <v>0</v>
      </c>
      <c r="K449" s="8">
        <f>K448+L449</f>
        <v>0</v>
      </c>
      <c r="L449" s="8">
        <f>IF($D449="CBB",$C449,0)</f>
        <v>0</v>
      </c>
    </row>
    <row r="450" spans="1:12" x14ac:dyDescent="0.25">
      <c r="A450" s="6">
        <v>41654</v>
      </c>
      <c r="B450" t="s">
        <v>47</v>
      </c>
      <c r="C450" s="7">
        <v>-120</v>
      </c>
      <c r="D450" t="s">
        <v>6</v>
      </c>
      <c r="E450" s="8">
        <f>E449+F450</f>
        <v>21296</v>
      </c>
      <c r="F450" s="8">
        <f>IF($D450="CR01",$C450,0)</f>
        <v>-120</v>
      </c>
      <c r="G450" s="8">
        <f>G449+H450</f>
        <v>0</v>
      </c>
      <c r="H450" s="8">
        <f>IF($D450="VISA",$C450,0)</f>
        <v>0</v>
      </c>
      <c r="I450" s="8">
        <f>I449+J450</f>
        <v>0</v>
      </c>
      <c r="J450" s="8">
        <f>IF($D450="ACC",$C450,0)</f>
        <v>0</v>
      </c>
      <c r="K450" s="8">
        <f>K449+L450</f>
        <v>0</v>
      </c>
      <c r="L450" s="8">
        <f>IF($D450="CBB",$C450,0)</f>
        <v>0</v>
      </c>
    </row>
    <row r="451" spans="1:12" x14ac:dyDescent="0.25">
      <c r="A451" s="6">
        <v>41655</v>
      </c>
      <c r="B451" t="s">
        <v>44</v>
      </c>
      <c r="C451" s="7">
        <v>-400</v>
      </c>
      <c r="D451" t="s">
        <v>6</v>
      </c>
      <c r="E451" s="8">
        <f>E450+F451</f>
        <v>20896</v>
      </c>
      <c r="F451" s="8">
        <f>IF($D451="CR01",$C451,0)</f>
        <v>-400</v>
      </c>
      <c r="G451" s="8">
        <f>G450+H451</f>
        <v>0</v>
      </c>
      <c r="H451" s="8">
        <f>IF($D451="VISA",$C451,0)</f>
        <v>0</v>
      </c>
      <c r="I451" s="8">
        <f>I450+J451</f>
        <v>0</v>
      </c>
      <c r="J451" s="8">
        <f>IF($D451="ACC",$C451,0)</f>
        <v>0</v>
      </c>
      <c r="K451" s="8">
        <f>K450+L451</f>
        <v>0</v>
      </c>
      <c r="L451" s="8">
        <f>IF($D451="CBB",$C451,0)</f>
        <v>0</v>
      </c>
    </row>
    <row r="452" spans="1:12" x14ac:dyDescent="0.25">
      <c r="A452" s="6">
        <v>41655</v>
      </c>
      <c r="B452" t="s">
        <v>45</v>
      </c>
      <c r="C452" s="7">
        <v>-180</v>
      </c>
      <c r="D452" t="s">
        <v>6</v>
      </c>
      <c r="E452" s="8">
        <f>E451+F452</f>
        <v>20716</v>
      </c>
      <c r="F452" s="8">
        <f>IF($D452="CR01",$C452,0)</f>
        <v>-180</v>
      </c>
      <c r="G452" s="8">
        <f>G451+H452</f>
        <v>0</v>
      </c>
      <c r="H452" s="8">
        <f>IF($D452="VISA",$C452,0)</f>
        <v>0</v>
      </c>
      <c r="I452" s="8">
        <f>I451+J452</f>
        <v>0</v>
      </c>
      <c r="J452" s="8">
        <f>IF($D452="ACC",$C452,0)</f>
        <v>0</v>
      </c>
      <c r="K452" s="8">
        <f>K451+L452</f>
        <v>0</v>
      </c>
      <c r="L452" s="8">
        <f>IF($D452="CBB",$C452,0)</f>
        <v>0</v>
      </c>
    </row>
    <row r="453" spans="1:12" x14ac:dyDescent="0.25">
      <c r="A453" s="6">
        <v>41655</v>
      </c>
      <c r="B453" t="s">
        <v>46</v>
      </c>
      <c r="C453" s="7">
        <v>-300</v>
      </c>
      <c r="D453" t="s">
        <v>6</v>
      </c>
      <c r="E453" s="8">
        <f>E452+F453</f>
        <v>20416</v>
      </c>
      <c r="F453" s="8">
        <f>IF($D453="CR01",$C453,0)</f>
        <v>-300</v>
      </c>
      <c r="G453" s="8">
        <f>G452+H453</f>
        <v>0</v>
      </c>
      <c r="H453" s="8">
        <f>IF($D453="VISA",$C453,0)</f>
        <v>0</v>
      </c>
      <c r="I453" s="8">
        <f>I452+J453</f>
        <v>0</v>
      </c>
      <c r="J453" s="8">
        <f>IF($D453="ACC",$C453,0)</f>
        <v>0</v>
      </c>
      <c r="K453" s="8">
        <f>K452+L453</f>
        <v>0</v>
      </c>
      <c r="L453" s="8">
        <f>IF($D453="CBB",$C453,0)</f>
        <v>0</v>
      </c>
    </row>
    <row r="454" spans="1:12" x14ac:dyDescent="0.25">
      <c r="A454" s="6">
        <v>41656</v>
      </c>
      <c r="B454" t="s">
        <v>43</v>
      </c>
      <c r="C454" s="7">
        <v>3226</v>
      </c>
      <c r="D454" t="s">
        <v>6</v>
      </c>
      <c r="E454" s="8">
        <f>E453+F454</f>
        <v>23642</v>
      </c>
      <c r="F454" s="8">
        <f>IF($D454="CR01",$C454,0)</f>
        <v>3226</v>
      </c>
      <c r="G454" s="8">
        <f>G453+H454</f>
        <v>0</v>
      </c>
      <c r="H454" s="8">
        <f>IF($D454="VISA",$C454,0)</f>
        <v>0</v>
      </c>
      <c r="I454" s="8">
        <f>I453+J454</f>
        <v>0</v>
      </c>
      <c r="J454" s="8">
        <f>IF($D454="ACC",$C454,0)</f>
        <v>0</v>
      </c>
      <c r="K454" s="8">
        <f>K453+L454</f>
        <v>0</v>
      </c>
      <c r="L454" s="8">
        <f>IF($D454="CBB",$C454,0)</f>
        <v>0</v>
      </c>
    </row>
    <row r="455" spans="1:12" x14ac:dyDescent="0.25">
      <c r="A455" s="6">
        <v>41660</v>
      </c>
      <c r="B455" t="s">
        <v>48</v>
      </c>
      <c r="C455" s="7">
        <v>-100</v>
      </c>
      <c r="D455" t="s">
        <v>6</v>
      </c>
      <c r="E455" s="8">
        <f>E454+F455</f>
        <v>23542</v>
      </c>
      <c r="F455" s="8">
        <f>IF($D455="CR01",$C455,0)</f>
        <v>-100</v>
      </c>
      <c r="G455" s="8">
        <f>G454+H455</f>
        <v>0</v>
      </c>
      <c r="H455" s="8">
        <f>IF($D455="VISA",$C455,0)</f>
        <v>0</v>
      </c>
      <c r="I455" s="8">
        <f>I454+J455</f>
        <v>0</v>
      </c>
      <c r="J455" s="8">
        <f>IF($D455="ACC",$C455,0)</f>
        <v>0</v>
      </c>
      <c r="K455" s="8">
        <f>K454+L455</f>
        <v>0</v>
      </c>
      <c r="L455" s="8">
        <f>IF($D455="CBB",$C455,0)</f>
        <v>0</v>
      </c>
    </row>
    <row r="456" spans="1:12" x14ac:dyDescent="0.25">
      <c r="A456" s="6">
        <v>41661</v>
      </c>
      <c r="B456" t="s">
        <v>47</v>
      </c>
      <c r="C456" s="7">
        <v>-120</v>
      </c>
      <c r="D456" t="s">
        <v>6</v>
      </c>
      <c r="E456" s="8">
        <f>E455+F456</f>
        <v>23422</v>
      </c>
      <c r="F456" s="8">
        <f>IF($D456="CR01",$C456,0)</f>
        <v>-120</v>
      </c>
      <c r="G456" s="8">
        <f>G455+H456</f>
        <v>0</v>
      </c>
      <c r="H456" s="8">
        <f>IF($D456="VISA",$C456,0)</f>
        <v>0</v>
      </c>
      <c r="I456" s="8">
        <f>I455+J456</f>
        <v>0</v>
      </c>
      <c r="J456" s="8">
        <f>IF($D456="ACC",$C456,0)</f>
        <v>0</v>
      </c>
      <c r="K456" s="8">
        <f>K455+L456</f>
        <v>0</v>
      </c>
      <c r="L456" s="8">
        <f>IF($D456="CBB",$C456,0)</f>
        <v>0</v>
      </c>
    </row>
    <row r="457" spans="1:12" x14ac:dyDescent="0.25">
      <c r="A457" s="6">
        <v>41662</v>
      </c>
      <c r="B457" t="s">
        <v>44</v>
      </c>
      <c r="C457" s="7">
        <v>-400</v>
      </c>
      <c r="D457" t="s">
        <v>6</v>
      </c>
      <c r="E457" s="8">
        <f>E456+F457</f>
        <v>23022</v>
      </c>
      <c r="F457" s="8">
        <f>IF($D457="CR01",$C457,0)</f>
        <v>-400</v>
      </c>
      <c r="G457" s="8">
        <f>G456+H457</f>
        <v>0</v>
      </c>
      <c r="H457" s="8">
        <f>IF($D457="VISA",$C457,0)</f>
        <v>0</v>
      </c>
      <c r="I457" s="8">
        <f>I456+J457</f>
        <v>0</v>
      </c>
      <c r="J457" s="8">
        <f>IF($D457="ACC",$C457,0)</f>
        <v>0</v>
      </c>
      <c r="K457" s="8">
        <f>K456+L457</f>
        <v>0</v>
      </c>
      <c r="L457" s="8">
        <f>IF($D457="CBB",$C457,0)</f>
        <v>0</v>
      </c>
    </row>
    <row r="458" spans="1:12" x14ac:dyDescent="0.25">
      <c r="A458" s="6">
        <v>41662</v>
      </c>
      <c r="B458" t="s">
        <v>45</v>
      </c>
      <c r="C458" s="7">
        <v>-180</v>
      </c>
      <c r="D458" t="s">
        <v>6</v>
      </c>
      <c r="E458" s="8">
        <f>E457+F458</f>
        <v>22842</v>
      </c>
      <c r="F458" s="8">
        <f>IF($D458="CR01",$C458,0)</f>
        <v>-180</v>
      </c>
      <c r="G458" s="8">
        <f>G457+H458</f>
        <v>0</v>
      </c>
      <c r="H458" s="8">
        <f>IF($D458="VISA",$C458,0)</f>
        <v>0</v>
      </c>
      <c r="I458" s="8">
        <f>I457+J458</f>
        <v>0</v>
      </c>
      <c r="J458" s="8">
        <f>IF($D458="ACC",$C458,0)</f>
        <v>0</v>
      </c>
      <c r="K458" s="8">
        <f>K457+L458</f>
        <v>0</v>
      </c>
      <c r="L458" s="8">
        <f>IF($D458="CBB",$C458,0)</f>
        <v>0</v>
      </c>
    </row>
    <row r="459" spans="1:12" x14ac:dyDescent="0.25">
      <c r="A459" s="6">
        <v>41662</v>
      </c>
      <c r="B459" t="s">
        <v>46</v>
      </c>
      <c r="C459" s="7">
        <v>-300</v>
      </c>
      <c r="D459" t="s">
        <v>6</v>
      </c>
      <c r="E459" s="8">
        <f>E458+F459</f>
        <v>22542</v>
      </c>
      <c r="F459" s="8">
        <f>IF($D459="CR01",$C459,0)</f>
        <v>-300</v>
      </c>
      <c r="G459" s="8">
        <f>G458+H459</f>
        <v>0</v>
      </c>
      <c r="H459" s="8">
        <f>IF($D459="VISA",$C459,0)</f>
        <v>0</v>
      </c>
      <c r="I459" s="8">
        <f>I458+J459</f>
        <v>0</v>
      </c>
      <c r="J459" s="8">
        <f>IF($D459="ACC",$C459,0)</f>
        <v>0</v>
      </c>
      <c r="K459" s="8">
        <f>K458+L459</f>
        <v>0</v>
      </c>
      <c r="L459" s="8">
        <f>IF($D459="CBB",$C459,0)</f>
        <v>0</v>
      </c>
    </row>
    <row r="460" spans="1:12" x14ac:dyDescent="0.25">
      <c r="A460" s="6">
        <v>41664</v>
      </c>
      <c r="B460" t="s">
        <v>67</v>
      </c>
      <c r="C460" s="7">
        <v>3600</v>
      </c>
      <c r="D460" t="s">
        <v>6</v>
      </c>
      <c r="E460" s="8">
        <f>E459+F460</f>
        <v>26142</v>
      </c>
      <c r="F460" s="8">
        <f>IF($D460="CR01",$C460,0)</f>
        <v>3600</v>
      </c>
      <c r="G460" s="8">
        <f>G459+H460</f>
        <v>0</v>
      </c>
      <c r="H460" s="8">
        <f>IF($D460="VISA",$C460,0)</f>
        <v>0</v>
      </c>
      <c r="I460" s="8">
        <f>I459+J460</f>
        <v>0</v>
      </c>
      <c r="J460" s="8">
        <f>IF($D460="ACC",$C460,0)</f>
        <v>0</v>
      </c>
      <c r="K460" s="8">
        <f>K459+L460</f>
        <v>0</v>
      </c>
      <c r="L460" s="8">
        <f>IF($D460="CBB",$C460,0)</f>
        <v>0</v>
      </c>
    </row>
    <row r="461" spans="1:12" x14ac:dyDescent="0.25">
      <c r="A461" s="6">
        <v>41667</v>
      </c>
      <c r="B461" t="s">
        <v>42</v>
      </c>
      <c r="C461" s="7">
        <v>-2806</v>
      </c>
      <c r="D461" t="s">
        <v>6</v>
      </c>
      <c r="E461" s="8">
        <f>E460+F461</f>
        <v>23336</v>
      </c>
      <c r="F461" s="8">
        <f>IF($D461="CR01",$C461,0)</f>
        <v>-2806</v>
      </c>
      <c r="G461" s="8">
        <f>G460+H461</f>
        <v>0</v>
      </c>
      <c r="H461" s="8">
        <f>IF($D461="VISA",$C461,0)</f>
        <v>0</v>
      </c>
      <c r="I461" s="8">
        <f>I460+J461</f>
        <v>0</v>
      </c>
      <c r="J461" s="8">
        <f>IF($D461="ACC",$C461,0)</f>
        <v>0</v>
      </c>
      <c r="K461" s="8">
        <f>K460+L461</f>
        <v>0</v>
      </c>
      <c r="L461" s="8">
        <f>IF($D461="CBB",$C461,0)</f>
        <v>0</v>
      </c>
    </row>
    <row r="462" spans="1:12" x14ac:dyDescent="0.25">
      <c r="A462" s="6">
        <v>41667</v>
      </c>
      <c r="B462" t="s">
        <v>48</v>
      </c>
      <c r="C462" s="7">
        <v>-100</v>
      </c>
      <c r="D462" t="s">
        <v>6</v>
      </c>
      <c r="E462" s="8">
        <f>E461+F462</f>
        <v>23236</v>
      </c>
      <c r="F462" s="8">
        <f>IF($D462="CR01",$C462,0)</f>
        <v>-100</v>
      </c>
      <c r="G462" s="8">
        <f>G461+H462</f>
        <v>0</v>
      </c>
      <c r="H462" s="8">
        <f>IF($D462="VISA",$C462,0)</f>
        <v>0</v>
      </c>
      <c r="I462" s="8">
        <f>I461+J462</f>
        <v>0</v>
      </c>
      <c r="J462" s="8">
        <f>IF($D462="ACC",$C462,0)</f>
        <v>0</v>
      </c>
      <c r="K462" s="8">
        <f>K461+L462</f>
        <v>0</v>
      </c>
      <c r="L462" s="8">
        <f>IF($D462="CBB",$C462,0)</f>
        <v>0</v>
      </c>
    </row>
    <row r="463" spans="1:12" x14ac:dyDescent="0.25">
      <c r="A463" s="6">
        <v>41668</v>
      </c>
      <c r="B463" t="s">
        <v>47</v>
      </c>
      <c r="C463" s="7">
        <v>-120</v>
      </c>
      <c r="D463" t="s">
        <v>6</v>
      </c>
      <c r="E463" s="8">
        <f>E462+F463</f>
        <v>23116</v>
      </c>
      <c r="F463" s="8">
        <f>IF($D463="CR01",$C463,0)</f>
        <v>-120</v>
      </c>
      <c r="G463" s="8">
        <f>G462+H463</f>
        <v>0</v>
      </c>
      <c r="H463" s="8">
        <f>IF($D463="VISA",$C463,0)</f>
        <v>0</v>
      </c>
      <c r="I463" s="8">
        <f>I462+J463</f>
        <v>0</v>
      </c>
      <c r="J463" s="8">
        <f>IF($D463="ACC",$C463,0)</f>
        <v>0</v>
      </c>
      <c r="K463" s="8">
        <f>K462+L463</f>
        <v>0</v>
      </c>
      <c r="L463" s="8">
        <f>IF($D463="CBB",$C463,0)</f>
        <v>0</v>
      </c>
    </row>
    <row r="464" spans="1:12" x14ac:dyDescent="0.25">
      <c r="A464" s="6">
        <v>41669</v>
      </c>
      <c r="B464" t="s">
        <v>44</v>
      </c>
      <c r="C464" s="7">
        <v>-400</v>
      </c>
      <c r="D464" t="s">
        <v>6</v>
      </c>
      <c r="E464" s="8">
        <f>E463+F464</f>
        <v>22716</v>
      </c>
      <c r="F464" s="8">
        <f>IF($D464="CR01",$C464,0)</f>
        <v>-400</v>
      </c>
      <c r="G464" s="8">
        <f>G463+H464</f>
        <v>0</v>
      </c>
      <c r="H464" s="8">
        <f>IF($D464="VISA",$C464,0)</f>
        <v>0</v>
      </c>
      <c r="I464" s="8">
        <f>I463+J464</f>
        <v>0</v>
      </c>
      <c r="J464" s="8">
        <f>IF($D464="ACC",$C464,0)</f>
        <v>0</v>
      </c>
      <c r="K464" s="8">
        <f>K463+L464</f>
        <v>0</v>
      </c>
      <c r="L464" s="8">
        <f>IF($D464="CBB",$C464,0)</f>
        <v>0</v>
      </c>
    </row>
    <row r="465" spans="1:12" x14ac:dyDescent="0.25">
      <c r="A465" s="6">
        <v>41669</v>
      </c>
      <c r="B465" t="s">
        <v>45</v>
      </c>
      <c r="C465" s="7">
        <v>-180</v>
      </c>
      <c r="D465" t="s">
        <v>6</v>
      </c>
      <c r="E465" s="8">
        <f>E464+F465</f>
        <v>22536</v>
      </c>
      <c r="F465" s="8">
        <f>IF($D465="CR01",$C465,0)</f>
        <v>-180</v>
      </c>
      <c r="G465" s="8">
        <f>G464+H465</f>
        <v>0</v>
      </c>
      <c r="H465" s="8">
        <f>IF($D465="VISA",$C465,0)</f>
        <v>0</v>
      </c>
      <c r="I465" s="8">
        <f>I464+J465</f>
        <v>0</v>
      </c>
      <c r="J465" s="8">
        <f>IF($D465="ACC",$C465,0)</f>
        <v>0</v>
      </c>
      <c r="K465" s="8">
        <f>K464+L465</f>
        <v>0</v>
      </c>
      <c r="L465" s="8">
        <f>IF($D465="CBB",$C465,0)</f>
        <v>0</v>
      </c>
    </row>
    <row r="466" spans="1:12" x14ac:dyDescent="0.25">
      <c r="A466" s="6">
        <v>41669</v>
      </c>
      <c r="B466" t="s">
        <v>46</v>
      </c>
      <c r="C466" s="7">
        <v>-300</v>
      </c>
      <c r="D466" t="s">
        <v>6</v>
      </c>
      <c r="E466" s="8">
        <f>E465+F466</f>
        <v>22236</v>
      </c>
      <c r="F466" s="8">
        <f>IF($D466="CR01",$C466,0)</f>
        <v>-300</v>
      </c>
      <c r="G466" s="8">
        <f>G465+H466</f>
        <v>0</v>
      </c>
      <c r="H466" s="8">
        <f>IF($D466="VISA",$C466,0)</f>
        <v>0</v>
      </c>
      <c r="I466" s="8">
        <f>I465+J466</f>
        <v>0</v>
      </c>
      <c r="J466" s="8">
        <f>IF($D466="ACC",$C466,0)</f>
        <v>0</v>
      </c>
      <c r="K466" s="8">
        <f>K465+L466</f>
        <v>0</v>
      </c>
      <c r="L466" s="8">
        <f>IF($D466="CBB",$C466,0)</f>
        <v>0</v>
      </c>
    </row>
    <row r="467" spans="1:12" x14ac:dyDescent="0.25">
      <c r="A467" s="6">
        <v>41670</v>
      </c>
      <c r="B467" t="s">
        <v>43</v>
      </c>
      <c r="C467" s="7">
        <v>3226</v>
      </c>
      <c r="D467" t="s">
        <v>6</v>
      </c>
      <c r="E467" s="8">
        <f>E466+F467</f>
        <v>25462</v>
      </c>
      <c r="F467" s="8">
        <f>IF($D467="CR01",$C467,0)</f>
        <v>3226</v>
      </c>
      <c r="G467" s="8">
        <f>G466+H467</f>
        <v>0</v>
      </c>
      <c r="H467" s="8">
        <f>IF($D467="VISA",$C467,0)</f>
        <v>0</v>
      </c>
      <c r="I467" s="8">
        <f>I466+J467</f>
        <v>0</v>
      </c>
      <c r="J467" s="8">
        <f>IF($D467="ACC",$C467,0)</f>
        <v>0</v>
      </c>
      <c r="K467" s="8">
        <f>K466+L467</f>
        <v>0</v>
      </c>
      <c r="L467" s="8">
        <f>IF($D467="CBB",$C467,0)</f>
        <v>0</v>
      </c>
    </row>
    <row r="468" spans="1:12" x14ac:dyDescent="0.25">
      <c r="A468" s="6">
        <v>41671</v>
      </c>
      <c r="B468" t="s">
        <v>58</v>
      </c>
      <c r="C468" s="7">
        <v>-200</v>
      </c>
      <c r="D468" t="s">
        <v>6</v>
      </c>
      <c r="E468" s="8">
        <f>E467+F468</f>
        <v>25262</v>
      </c>
      <c r="F468" s="8">
        <f>IF($D468="CR01",$C468,0)</f>
        <v>-200</v>
      </c>
      <c r="G468" s="8">
        <f>G467+H468</f>
        <v>0</v>
      </c>
      <c r="H468" s="8">
        <f>IF($D468="VISA",$C468,0)</f>
        <v>0</v>
      </c>
      <c r="I468" s="8">
        <f>I467+J468</f>
        <v>0</v>
      </c>
      <c r="J468" s="8">
        <f>IF($D468="ACC",$C468,0)</f>
        <v>0</v>
      </c>
      <c r="K468" s="8">
        <f>K467+L468</f>
        <v>0</v>
      </c>
      <c r="L468" s="8">
        <f>IF($D468="CBB",$C468,0)</f>
        <v>0</v>
      </c>
    </row>
    <row r="469" spans="1:12" x14ac:dyDescent="0.25">
      <c r="A469" s="6">
        <v>41671</v>
      </c>
      <c r="B469" t="s">
        <v>60</v>
      </c>
      <c r="C469" s="7">
        <v>-400</v>
      </c>
      <c r="D469" t="s">
        <v>6</v>
      </c>
      <c r="E469" s="8">
        <f>E468+F469</f>
        <v>24862</v>
      </c>
      <c r="F469" s="8">
        <f>IF($D469="CR01",$C469,0)</f>
        <v>-400</v>
      </c>
      <c r="G469" s="8">
        <f>G468+H469</f>
        <v>0</v>
      </c>
      <c r="H469" s="8">
        <f>IF($D469="VISA",$C469,0)</f>
        <v>0</v>
      </c>
      <c r="I469" s="8">
        <f>I468+J469</f>
        <v>0</v>
      </c>
      <c r="J469" s="8">
        <f>IF($D469="ACC",$C469,0)</f>
        <v>0</v>
      </c>
      <c r="K469" s="8">
        <f>K468+L469</f>
        <v>0</v>
      </c>
      <c r="L469" s="8">
        <f>IF($D469="CBB",$C469,0)</f>
        <v>0</v>
      </c>
    </row>
    <row r="470" spans="1:12" x14ac:dyDescent="0.25">
      <c r="A470" s="6">
        <v>41671</v>
      </c>
      <c r="B470" t="s">
        <v>62</v>
      </c>
      <c r="C470" s="7">
        <v>-300</v>
      </c>
      <c r="D470" t="s">
        <v>6</v>
      </c>
      <c r="E470" s="8">
        <f>E469+F470</f>
        <v>24562</v>
      </c>
      <c r="F470" s="8">
        <f>IF($D470="CR01",$C470,0)</f>
        <v>-300</v>
      </c>
      <c r="G470" s="8">
        <f>G469+H470</f>
        <v>0</v>
      </c>
      <c r="H470" s="8">
        <f>IF($D470="VISA",$C470,0)</f>
        <v>0</v>
      </c>
      <c r="I470" s="8">
        <f>I469+J470</f>
        <v>0</v>
      </c>
      <c r="J470" s="8">
        <f>IF($D470="ACC",$C470,0)</f>
        <v>0</v>
      </c>
      <c r="K470" s="8">
        <f>K469+L470</f>
        <v>0</v>
      </c>
      <c r="L470" s="8">
        <f>IF($D470="CBB",$C470,0)</f>
        <v>0</v>
      </c>
    </row>
    <row r="471" spans="1:12" x14ac:dyDescent="0.25">
      <c r="A471" s="6">
        <v>41671</v>
      </c>
      <c r="B471" t="s">
        <v>63</v>
      </c>
      <c r="C471" s="7">
        <v>-300</v>
      </c>
      <c r="D471" t="s">
        <v>6</v>
      </c>
      <c r="E471" s="8">
        <f>E470+F471</f>
        <v>24262</v>
      </c>
      <c r="F471" s="8">
        <f>IF($D471="CR01",$C471,0)</f>
        <v>-300</v>
      </c>
      <c r="G471" s="8">
        <f>G470+H471</f>
        <v>0</v>
      </c>
      <c r="H471" s="8">
        <f>IF($D471="VISA",$C471,0)</f>
        <v>0</v>
      </c>
      <c r="I471" s="8">
        <f>I470+J471</f>
        <v>0</v>
      </c>
      <c r="J471" s="8">
        <f>IF($D471="ACC",$C471,0)</f>
        <v>0</v>
      </c>
      <c r="K471" s="8">
        <f>K470+L471</f>
        <v>0</v>
      </c>
      <c r="L471" s="8">
        <f>IF($D471="CBB",$C471,0)</f>
        <v>0</v>
      </c>
    </row>
    <row r="472" spans="1:12" x14ac:dyDescent="0.25">
      <c r="A472" s="6">
        <v>41671</v>
      </c>
      <c r="B472" t="s">
        <v>64</v>
      </c>
      <c r="C472" s="7">
        <v>-26</v>
      </c>
      <c r="D472" t="s">
        <v>6</v>
      </c>
      <c r="E472" s="8">
        <f>E471+F472</f>
        <v>24236</v>
      </c>
      <c r="F472" s="8">
        <f>IF($D472="CR01",$C472,0)</f>
        <v>-26</v>
      </c>
      <c r="G472" s="8">
        <f>G471+H472</f>
        <v>0</v>
      </c>
      <c r="H472" s="8">
        <f>IF($D472="VISA",$C472,0)</f>
        <v>0</v>
      </c>
      <c r="I472" s="8">
        <f>I471+J472</f>
        <v>0</v>
      </c>
      <c r="J472" s="8">
        <f>IF($D472="ACC",$C472,0)</f>
        <v>0</v>
      </c>
      <c r="K472" s="8">
        <f>K471+L472</f>
        <v>0</v>
      </c>
      <c r="L472" s="8">
        <f>IF($D472="CBB",$C472,0)</f>
        <v>0</v>
      </c>
    </row>
    <row r="473" spans="1:12" x14ac:dyDescent="0.25">
      <c r="A473" s="6">
        <v>41671</v>
      </c>
      <c r="B473" t="s">
        <v>65</v>
      </c>
      <c r="C473" s="7">
        <v>-240</v>
      </c>
      <c r="D473" t="s">
        <v>6</v>
      </c>
      <c r="E473" s="8">
        <f>E472+F473</f>
        <v>23996</v>
      </c>
      <c r="F473" s="8">
        <f>IF($D473="CR01",$C473,0)</f>
        <v>-240</v>
      </c>
      <c r="G473" s="8">
        <f>G472+H473</f>
        <v>0</v>
      </c>
      <c r="H473" s="8">
        <f>IF($D473="VISA",$C473,0)</f>
        <v>0</v>
      </c>
      <c r="I473" s="8">
        <f>I472+J473</f>
        <v>0</v>
      </c>
      <c r="J473" s="8">
        <f>IF($D473="ACC",$C473,0)</f>
        <v>0</v>
      </c>
      <c r="K473" s="8">
        <f>K472+L473</f>
        <v>0</v>
      </c>
      <c r="L473" s="8">
        <f>IF($D473="CBB",$C473,0)</f>
        <v>0</v>
      </c>
    </row>
    <row r="474" spans="1:12" x14ac:dyDescent="0.25">
      <c r="A474" s="6">
        <v>41671</v>
      </c>
      <c r="B474" t="s">
        <v>66</v>
      </c>
      <c r="C474" s="7">
        <v>-120</v>
      </c>
      <c r="D474" t="s">
        <v>6</v>
      </c>
      <c r="E474" s="8">
        <f>E473+F474</f>
        <v>23876</v>
      </c>
      <c r="F474" s="8">
        <f>IF($D474="CR01",$C474,0)</f>
        <v>-120</v>
      </c>
      <c r="G474" s="8">
        <f>G473+H474</f>
        <v>0</v>
      </c>
      <c r="H474" s="8">
        <f>IF($D474="VISA",$C474,0)</f>
        <v>0</v>
      </c>
      <c r="I474" s="8">
        <f>I473+J474</f>
        <v>0</v>
      </c>
      <c r="J474" s="8">
        <f>IF($D474="ACC",$C474,0)</f>
        <v>0</v>
      </c>
      <c r="K474" s="8">
        <f>K473+L474</f>
        <v>0</v>
      </c>
      <c r="L474" s="8">
        <f>IF($D474="CBB",$C474,0)</f>
        <v>0</v>
      </c>
    </row>
    <row r="475" spans="1:12" x14ac:dyDescent="0.25">
      <c r="A475" s="6">
        <v>41672</v>
      </c>
      <c r="B475" t="s">
        <v>59</v>
      </c>
      <c r="C475" s="7">
        <v>-900</v>
      </c>
      <c r="D475" t="s">
        <v>6</v>
      </c>
      <c r="E475" s="8">
        <f>E474+F475</f>
        <v>22976</v>
      </c>
      <c r="F475" s="8">
        <f>IF($D475="CR01",$C475,0)</f>
        <v>-900</v>
      </c>
      <c r="G475" s="8">
        <f>G474+H475</f>
        <v>0</v>
      </c>
      <c r="H475" s="8">
        <f>IF($D475="VISA",$C475,0)</f>
        <v>0</v>
      </c>
      <c r="I475" s="8">
        <f>I474+J475</f>
        <v>0</v>
      </c>
      <c r="J475" s="8">
        <f>IF($D475="ACC",$C475,0)</f>
        <v>0</v>
      </c>
      <c r="K475" s="8">
        <f>K474+L475</f>
        <v>0</v>
      </c>
      <c r="L475" s="8">
        <f>IF($D475="CBB",$C475,0)</f>
        <v>0</v>
      </c>
    </row>
    <row r="476" spans="1:12" x14ac:dyDescent="0.25">
      <c r="A476" s="6">
        <v>41674</v>
      </c>
      <c r="B476" t="s">
        <v>48</v>
      </c>
      <c r="C476" s="7">
        <v>-100</v>
      </c>
      <c r="D476" t="s">
        <v>6</v>
      </c>
      <c r="E476" s="8">
        <f>E475+F476</f>
        <v>22876</v>
      </c>
      <c r="F476" s="8">
        <f>IF($D476="CR01",$C476,0)</f>
        <v>-100</v>
      </c>
      <c r="G476" s="8">
        <f>G475+H476</f>
        <v>0</v>
      </c>
      <c r="H476" s="8">
        <f>IF($D476="VISA",$C476,0)</f>
        <v>0</v>
      </c>
      <c r="I476" s="8">
        <f>I475+J476</f>
        <v>0</v>
      </c>
      <c r="J476" s="8">
        <f>IF($D476="ACC",$C476,0)</f>
        <v>0</v>
      </c>
      <c r="K476" s="8">
        <f>K475+L476</f>
        <v>0</v>
      </c>
      <c r="L476" s="8">
        <f>IF($D476="CBB",$C476,0)</f>
        <v>0</v>
      </c>
    </row>
    <row r="477" spans="1:12" x14ac:dyDescent="0.25">
      <c r="A477" s="6">
        <v>41675</v>
      </c>
      <c r="B477" t="s">
        <v>47</v>
      </c>
      <c r="C477" s="7">
        <v>-120</v>
      </c>
      <c r="D477" t="s">
        <v>6</v>
      </c>
      <c r="E477" s="8">
        <f>E476+F477</f>
        <v>22756</v>
      </c>
      <c r="F477" s="8">
        <f>IF($D477="CR01",$C477,0)</f>
        <v>-120</v>
      </c>
      <c r="G477" s="8">
        <f>G476+H477</f>
        <v>0</v>
      </c>
      <c r="H477" s="8">
        <f>IF($D477="VISA",$C477,0)</f>
        <v>0</v>
      </c>
      <c r="I477" s="8">
        <f>I476+J477</f>
        <v>0</v>
      </c>
      <c r="J477" s="8">
        <f>IF($D477="ACC",$C477,0)</f>
        <v>0</v>
      </c>
      <c r="K477" s="8">
        <f>K476+L477</f>
        <v>0</v>
      </c>
      <c r="L477" s="8">
        <f>IF($D477="CBB",$C477,0)</f>
        <v>0</v>
      </c>
    </row>
    <row r="478" spans="1:12" x14ac:dyDescent="0.25">
      <c r="A478" s="6">
        <v>41676</v>
      </c>
      <c r="B478" t="s">
        <v>44</v>
      </c>
      <c r="C478" s="7">
        <v>-400</v>
      </c>
      <c r="D478" t="s">
        <v>6</v>
      </c>
      <c r="E478" s="8">
        <f>E477+F478</f>
        <v>22356</v>
      </c>
      <c r="F478" s="8">
        <f>IF($D478="CR01",$C478,0)</f>
        <v>-400</v>
      </c>
      <c r="G478" s="8">
        <f>G477+H478</f>
        <v>0</v>
      </c>
      <c r="H478" s="8">
        <f>IF($D478="VISA",$C478,0)</f>
        <v>0</v>
      </c>
      <c r="I478" s="8">
        <f>I477+J478</f>
        <v>0</v>
      </c>
      <c r="J478" s="8">
        <f>IF($D478="ACC",$C478,0)</f>
        <v>0</v>
      </c>
      <c r="K478" s="8">
        <f>K477+L478</f>
        <v>0</v>
      </c>
      <c r="L478" s="8">
        <f>IF($D478="CBB",$C478,0)</f>
        <v>0</v>
      </c>
    </row>
    <row r="479" spans="1:12" x14ac:dyDescent="0.25">
      <c r="A479" s="6">
        <v>41676</v>
      </c>
      <c r="B479" t="s">
        <v>45</v>
      </c>
      <c r="C479" s="7">
        <v>-180</v>
      </c>
      <c r="D479" t="s">
        <v>6</v>
      </c>
      <c r="E479" s="8">
        <f>E478+F479</f>
        <v>22176</v>
      </c>
      <c r="F479" s="8">
        <f>IF($D479="CR01",$C479,0)</f>
        <v>-180</v>
      </c>
      <c r="G479" s="8">
        <f>G478+H479</f>
        <v>0</v>
      </c>
      <c r="H479" s="8">
        <f>IF($D479="VISA",$C479,0)</f>
        <v>0</v>
      </c>
      <c r="I479" s="8">
        <f>I478+J479</f>
        <v>0</v>
      </c>
      <c r="J479" s="8">
        <f>IF($D479="ACC",$C479,0)</f>
        <v>0</v>
      </c>
      <c r="K479" s="8">
        <f>K478+L479</f>
        <v>0</v>
      </c>
      <c r="L479" s="8">
        <f>IF($D479="CBB",$C479,0)</f>
        <v>0</v>
      </c>
    </row>
    <row r="480" spans="1:12" x14ac:dyDescent="0.25">
      <c r="A480" s="6">
        <v>41676</v>
      </c>
      <c r="B480" t="s">
        <v>46</v>
      </c>
      <c r="C480" s="7">
        <v>-300</v>
      </c>
      <c r="D480" t="s">
        <v>6</v>
      </c>
      <c r="E480" s="8">
        <f>E479+F480</f>
        <v>21876</v>
      </c>
      <c r="F480" s="8">
        <f>IF($D480="CR01",$C480,0)</f>
        <v>-300</v>
      </c>
      <c r="G480" s="8">
        <f>G479+H480</f>
        <v>0</v>
      </c>
      <c r="H480" s="8">
        <f>IF($D480="VISA",$C480,0)</f>
        <v>0</v>
      </c>
      <c r="I480" s="8">
        <f>I479+J480</f>
        <v>0</v>
      </c>
      <c r="J480" s="8">
        <f>IF($D480="ACC",$C480,0)</f>
        <v>0</v>
      </c>
      <c r="K480" s="8">
        <f>K479+L480</f>
        <v>0</v>
      </c>
      <c r="L480" s="8">
        <f>IF($D480="CBB",$C480,0)</f>
        <v>0</v>
      </c>
    </row>
    <row r="481" spans="1:12" x14ac:dyDescent="0.25">
      <c r="A481" s="6">
        <v>41678</v>
      </c>
      <c r="B481" t="s">
        <v>67</v>
      </c>
      <c r="C481" s="7">
        <v>3600</v>
      </c>
      <c r="D481" t="s">
        <v>6</v>
      </c>
      <c r="E481" s="8">
        <f>E480+F481</f>
        <v>25476</v>
      </c>
      <c r="F481" s="8">
        <f>IF($D481="CR01",$C481,0)</f>
        <v>3600</v>
      </c>
      <c r="G481" s="8">
        <f>G480+H481</f>
        <v>0</v>
      </c>
      <c r="H481" s="8">
        <f>IF($D481="VISA",$C481,0)</f>
        <v>0</v>
      </c>
      <c r="I481" s="8">
        <f>I480+J481</f>
        <v>0</v>
      </c>
      <c r="J481" s="8">
        <f>IF($D481="ACC",$C481,0)</f>
        <v>0</v>
      </c>
      <c r="K481" s="8">
        <f>K480+L481</f>
        <v>0</v>
      </c>
      <c r="L481" s="8">
        <f>IF($D481="CBB",$C481,0)</f>
        <v>0</v>
      </c>
    </row>
    <row r="482" spans="1:12" x14ac:dyDescent="0.25">
      <c r="A482" s="6">
        <v>41681</v>
      </c>
      <c r="B482" t="s">
        <v>42</v>
      </c>
      <c r="C482" s="7">
        <v>-2806</v>
      </c>
      <c r="D482" t="s">
        <v>6</v>
      </c>
      <c r="E482" s="8">
        <f>E481+F482</f>
        <v>22670</v>
      </c>
      <c r="F482" s="8">
        <f>IF($D482="CR01",$C482,0)</f>
        <v>-2806</v>
      </c>
      <c r="G482" s="8">
        <f>G481+H482</f>
        <v>0</v>
      </c>
      <c r="H482" s="8">
        <f>IF($D482="VISA",$C482,0)</f>
        <v>0</v>
      </c>
      <c r="I482" s="8">
        <f>I481+J482</f>
        <v>0</v>
      </c>
      <c r="J482" s="8">
        <f>IF($D482="ACC",$C482,0)</f>
        <v>0</v>
      </c>
      <c r="K482" s="8">
        <f>K481+L482</f>
        <v>0</v>
      </c>
      <c r="L482" s="8">
        <f>IF($D482="CBB",$C482,0)</f>
        <v>0</v>
      </c>
    </row>
    <row r="483" spans="1:12" x14ac:dyDescent="0.25">
      <c r="A483" s="6">
        <v>41681</v>
      </c>
      <c r="B483" t="s">
        <v>48</v>
      </c>
      <c r="C483" s="7">
        <v>-100</v>
      </c>
      <c r="D483" t="s">
        <v>6</v>
      </c>
      <c r="E483" s="8">
        <f>E482+F483</f>
        <v>22570</v>
      </c>
      <c r="F483" s="8">
        <f>IF($D483="CR01",$C483,0)</f>
        <v>-100</v>
      </c>
      <c r="G483" s="8">
        <f>G482+H483</f>
        <v>0</v>
      </c>
      <c r="H483" s="8">
        <f>IF($D483="VISA",$C483,0)</f>
        <v>0</v>
      </c>
      <c r="I483" s="8">
        <f>I482+J483</f>
        <v>0</v>
      </c>
      <c r="J483" s="8">
        <f>IF($D483="ACC",$C483,0)</f>
        <v>0</v>
      </c>
      <c r="K483" s="8">
        <f>K482+L483</f>
        <v>0</v>
      </c>
      <c r="L483" s="8">
        <f>IF($D483="CBB",$C483,0)</f>
        <v>0</v>
      </c>
    </row>
    <row r="484" spans="1:12" x14ac:dyDescent="0.25">
      <c r="A484" s="6">
        <v>41682</v>
      </c>
      <c r="B484" t="s">
        <v>47</v>
      </c>
      <c r="C484" s="7">
        <v>-120</v>
      </c>
      <c r="D484" t="s">
        <v>6</v>
      </c>
      <c r="E484" s="8">
        <f>E483+F484</f>
        <v>22450</v>
      </c>
      <c r="F484" s="8">
        <f>IF($D484="CR01",$C484,0)</f>
        <v>-120</v>
      </c>
      <c r="G484" s="8">
        <f>G483+H484</f>
        <v>0</v>
      </c>
      <c r="H484" s="8">
        <f>IF($D484="VISA",$C484,0)</f>
        <v>0</v>
      </c>
      <c r="I484" s="8">
        <f>I483+J484</f>
        <v>0</v>
      </c>
      <c r="J484" s="8">
        <f>IF($D484="ACC",$C484,0)</f>
        <v>0</v>
      </c>
      <c r="K484" s="8">
        <f>K483+L484</f>
        <v>0</v>
      </c>
      <c r="L484" s="8">
        <f>IF($D484="CBB",$C484,0)</f>
        <v>0</v>
      </c>
    </row>
    <row r="485" spans="1:12" x14ac:dyDescent="0.25">
      <c r="A485" s="6">
        <v>41683</v>
      </c>
      <c r="B485" t="s">
        <v>44</v>
      </c>
      <c r="C485" s="7">
        <v>-400</v>
      </c>
      <c r="D485" t="s">
        <v>6</v>
      </c>
      <c r="E485" s="8">
        <f>E484+F485</f>
        <v>22050</v>
      </c>
      <c r="F485" s="8">
        <f>IF($D485="CR01",$C485,0)</f>
        <v>-400</v>
      </c>
      <c r="G485" s="8">
        <f>G484+H485</f>
        <v>0</v>
      </c>
      <c r="H485" s="8">
        <f>IF($D485="VISA",$C485,0)</f>
        <v>0</v>
      </c>
      <c r="I485" s="8">
        <f>I484+J485</f>
        <v>0</v>
      </c>
      <c r="J485" s="8">
        <f>IF($D485="ACC",$C485,0)</f>
        <v>0</v>
      </c>
      <c r="K485" s="8">
        <f>K484+L485</f>
        <v>0</v>
      </c>
      <c r="L485" s="8">
        <f>IF($D485="CBB",$C485,0)</f>
        <v>0</v>
      </c>
    </row>
    <row r="486" spans="1:12" x14ac:dyDescent="0.25">
      <c r="A486" s="6">
        <v>41683</v>
      </c>
      <c r="B486" t="s">
        <v>45</v>
      </c>
      <c r="C486" s="7">
        <v>-180</v>
      </c>
      <c r="D486" t="s">
        <v>6</v>
      </c>
      <c r="E486" s="8">
        <f>E485+F486</f>
        <v>21870</v>
      </c>
      <c r="F486" s="8">
        <f>IF($D486="CR01",$C486,0)</f>
        <v>-180</v>
      </c>
      <c r="G486" s="8">
        <f>G485+H486</f>
        <v>0</v>
      </c>
      <c r="H486" s="8">
        <f>IF($D486="VISA",$C486,0)</f>
        <v>0</v>
      </c>
      <c r="I486" s="8">
        <f>I485+J486</f>
        <v>0</v>
      </c>
      <c r="J486" s="8">
        <f>IF($D486="ACC",$C486,0)</f>
        <v>0</v>
      </c>
      <c r="K486" s="8">
        <f>K485+L486</f>
        <v>0</v>
      </c>
      <c r="L486" s="8">
        <f>IF($D486="CBB",$C486,0)</f>
        <v>0</v>
      </c>
    </row>
    <row r="487" spans="1:12" x14ac:dyDescent="0.25">
      <c r="A487" s="6">
        <v>41683</v>
      </c>
      <c r="B487" t="s">
        <v>46</v>
      </c>
      <c r="C487" s="7">
        <v>-300</v>
      </c>
      <c r="D487" t="s">
        <v>6</v>
      </c>
      <c r="E487" s="8">
        <f>E486+F487</f>
        <v>21570</v>
      </c>
      <c r="F487" s="8">
        <f>IF($D487="CR01",$C487,0)</f>
        <v>-300</v>
      </c>
      <c r="G487" s="8">
        <f>G486+H487</f>
        <v>0</v>
      </c>
      <c r="H487" s="8">
        <f>IF($D487="VISA",$C487,0)</f>
        <v>0</v>
      </c>
      <c r="I487" s="8">
        <f>I486+J487</f>
        <v>0</v>
      </c>
      <c r="J487" s="8">
        <f>IF($D487="ACC",$C487,0)</f>
        <v>0</v>
      </c>
      <c r="K487" s="8">
        <f>K486+L487</f>
        <v>0</v>
      </c>
      <c r="L487" s="8">
        <f>IF($D487="CBB",$C487,0)</f>
        <v>0</v>
      </c>
    </row>
    <row r="488" spans="1:12" x14ac:dyDescent="0.25">
      <c r="A488" s="6">
        <v>41684</v>
      </c>
      <c r="B488" t="s">
        <v>43</v>
      </c>
      <c r="C488" s="7">
        <v>3226</v>
      </c>
      <c r="D488" t="s">
        <v>6</v>
      </c>
      <c r="E488" s="8">
        <f>E487+F488</f>
        <v>24796</v>
      </c>
      <c r="F488" s="8">
        <f>IF($D488="CR01",$C488,0)</f>
        <v>3226</v>
      </c>
      <c r="G488" s="8">
        <f>G487+H488</f>
        <v>0</v>
      </c>
      <c r="H488" s="8">
        <f>IF($D488="VISA",$C488,0)</f>
        <v>0</v>
      </c>
      <c r="I488" s="8">
        <f>I487+J488</f>
        <v>0</v>
      </c>
      <c r="J488" s="8">
        <f>IF($D488="ACC",$C488,0)</f>
        <v>0</v>
      </c>
      <c r="K488" s="8">
        <f>K487+L488</f>
        <v>0</v>
      </c>
      <c r="L488" s="8">
        <f>IF($D488="CBB",$C488,0)</f>
        <v>0</v>
      </c>
    </row>
    <row r="489" spans="1:12" x14ac:dyDescent="0.25">
      <c r="A489" s="6">
        <v>41688</v>
      </c>
      <c r="B489" t="s">
        <v>48</v>
      </c>
      <c r="C489" s="7">
        <v>-100</v>
      </c>
      <c r="D489" t="s">
        <v>6</v>
      </c>
      <c r="E489" s="8">
        <f>E488+F489</f>
        <v>24696</v>
      </c>
      <c r="F489" s="8">
        <f>IF($D489="CR01",$C489,0)</f>
        <v>-100</v>
      </c>
      <c r="G489" s="8">
        <f>G488+H489</f>
        <v>0</v>
      </c>
      <c r="H489" s="8">
        <f>IF($D489="VISA",$C489,0)</f>
        <v>0</v>
      </c>
      <c r="I489" s="8">
        <f>I488+J489</f>
        <v>0</v>
      </c>
      <c r="J489" s="8">
        <f>IF($D489="ACC",$C489,0)</f>
        <v>0</v>
      </c>
      <c r="K489" s="8">
        <f>K488+L489</f>
        <v>0</v>
      </c>
      <c r="L489" s="8">
        <f>IF($D489="CBB",$C489,0)</f>
        <v>0</v>
      </c>
    </row>
    <row r="490" spans="1:12" x14ac:dyDescent="0.25">
      <c r="A490" s="6">
        <v>41689</v>
      </c>
      <c r="B490" t="s">
        <v>47</v>
      </c>
      <c r="C490" s="7">
        <v>-120</v>
      </c>
      <c r="D490" t="s">
        <v>6</v>
      </c>
      <c r="E490" s="8">
        <f>E489+F490</f>
        <v>24576</v>
      </c>
      <c r="F490" s="8">
        <f>IF($D490="CR01",$C490,0)</f>
        <v>-120</v>
      </c>
      <c r="G490" s="8">
        <f>G489+H490</f>
        <v>0</v>
      </c>
      <c r="H490" s="8">
        <f>IF($D490="VISA",$C490,0)</f>
        <v>0</v>
      </c>
      <c r="I490" s="8">
        <f>I489+J490</f>
        <v>0</v>
      </c>
      <c r="J490" s="8">
        <f>IF($D490="ACC",$C490,0)</f>
        <v>0</v>
      </c>
      <c r="K490" s="8">
        <f>K489+L490</f>
        <v>0</v>
      </c>
      <c r="L490" s="8">
        <f>IF($D490="CBB",$C490,0)</f>
        <v>0</v>
      </c>
    </row>
    <row r="491" spans="1:12" x14ac:dyDescent="0.25">
      <c r="A491" s="6">
        <v>41690</v>
      </c>
      <c r="B491" t="s">
        <v>44</v>
      </c>
      <c r="C491" s="7">
        <v>-400</v>
      </c>
      <c r="D491" t="s">
        <v>6</v>
      </c>
      <c r="E491" s="8">
        <f>E490+F491</f>
        <v>24176</v>
      </c>
      <c r="F491" s="8">
        <f>IF($D491="CR01",$C491,0)</f>
        <v>-400</v>
      </c>
      <c r="G491" s="8">
        <f>G490+H491</f>
        <v>0</v>
      </c>
      <c r="H491" s="8">
        <f>IF($D491="VISA",$C491,0)</f>
        <v>0</v>
      </c>
      <c r="I491" s="8">
        <f>I490+J491</f>
        <v>0</v>
      </c>
      <c r="J491" s="8">
        <f>IF($D491="ACC",$C491,0)</f>
        <v>0</v>
      </c>
      <c r="K491" s="8">
        <f>K490+L491</f>
        <v>0</v>
      </c>
      <c r="L491" s="8">
        <f>IF($D491="CBB",$C491,0)</f>
        <v>0</v>
      </c>
    </row>
    <row r="492" spans="1:12" x14ac:dyDescent="0.25">
      <c r="A492" s="6">
        <v>41690</v>
      </c>
      <c r="B492" t="s">
        <v>45</v>
      </c>
      <c r="C492" s="7">
        <v>-180</v>
      </c>
      <c r="D492" t="s">
        <v>6</v>
      </c>
      <c r="E492" s="8">
        <f>E491+F492</f>
        <v>23996</v>
      </c>
      <c r="F492" s="8">
        <f>IF($D492="CR01",$C492,0)</f>
        <v>-180</v>
      </c>
      <c r="G492" s="8">
        <f>G491+H492</f>
        <v>0</v>
      </c>
      <c r="H492" s="8">
        <f>IF($D492="VISA",$C492,0)</f>
        <v>0</v>
      </c>
      <c r="I492" s="8">
        <f>I491+J492</f>
        <v>0</v>
      </c>
      <c r="J492" s="8">
        <f>IF($D492="ACC",$C492,0)</f>
        <v>0</v>
      </c>
      <c r="K492" s="8">
        <f>K491+L492</f>
        <v>0</v>
      </c>
      <c r="L492" s="8">
        <f>IF($D492="CBB",$C492,0)</f>
        <v>0</v>
      </c>
    </row>
    <row r="493" spans="1:12" x14ac:dyDescent="0.25">
      <c r="A493" s="6">
        <v>41690</v>
      </c>
      <c r="B493" t="s">
        <v>46</v>
      </c>
      <c r="C493" s="7">
        <v>-300</v>
      </c>
      <c r="D493" t="s">
        <v>6</v>
      </c>
      <c r="E493" s="8">
        <f>E492+F493</f>
        <v>23696</v>
      </c>
      <c r="F493" s="8">
        <f>IF($D493="CR01",$C493,0)</f>
        <v>-300</v>
      </c>
      <c r="G493" s="8">
        <f>G492+H493</f>
        <v>0</v>
      </c>
      <c r="H493" s="8">
        <f>IF($D493="VISA",$C493,0)</f>
        <v>0</v>
      </c>
      <c r="I493" s="8">
        <f>I492+J493</f>
        <v>0</v>
      </c>
      <c r="J493" s="8">
        <f>IF($D493="ACC",$C493,0)</f>
        <v>0</v>
      </c>
      <c r="K493" s="8">
        <f>K492+L493</f>
        <v>0</v>
      </c>
      <c r="L493" s="8">
        <f>IF($D493="CBB",$C493,0)</f>
        <v>0</v>
      </c>
    </row>
    <row r="494" spans="1:12" x14ac:dyDescent="0.25">
      <c r="A494" s="6">
        <v>41692</v>
      </c>
      <c r="B494" t="s">
        <v>67</v>
      </c>
      <c r="C494" s="7">
        <v>3600</v>
      </c>
      <c r="D494" t="s">
        <v>6</v>
      </c>
      <c r="E494" s="8">
        <f>E493+F494</f>
        <v>27296</v>
      </c>
      <c r="F494" s="8">
        <f>IF($D494="CR01",$C494,0)</f>
        <v>3600</v>
      </c>
      <c r="G494" s="8">
        <f>G493+H494</f>
        <v>0</v>
      </c>
      <c r="H494" s="8">
        <f>IF($D494="VISA",$C494,0)</f>
        <v>0</v>
      </c>
      <c r="I494" s="8">
        <f>I493+J494</f>
        <v>0</v>
      </c>
      <c r="J494" s="8">
        <f>IF($D494="ACC",$C494,0)</f>
        <v>0</v>
      </c>
      <c r="K494" s="8">
        <f>K493+L494</f>
        <v>0</v>
      </c>
      <c r="L494" s="8">
        <f>IF($D494="CBB",$C494,0)</f>
        <v>0</v>
      </c>
    </row>
    <row r="495" spans="1:12" x14ac:dyDescent="0.25">
      <c r="A495" s="6">
        <v>41695</v>
      </c>
      <c r="B495" t="s">
        <v>42</v>
      </c>
      <c r="C495" s="7">
        <v>-2806</v>
      </c>
      <c r="D495" t="s">
        <v>6</v>
      </c>
      <c r="E495" s="8">
        <f>E494+F495</f>
        <v>24490</v>
      </c>
      <c r="F495" s="8">
        <f>IF($D495="CR01",$C495,0)</f>
        <v>-2806</v>
      </c>
      <c r="G495" s="8">
        <f>G494+H495</f>
        <v>0</v>
      </c>
      <c r="H495" s="8">
        <f>IF($D495="VISA",$C495,0)</f>
        <v>0</v>
      </c>
      <c r="I495" s="8">
        <f>I494+J495</f>
        <v>0</v>
      </c>
      <c r="J495" s="8">
        <f>IF($D495="ACC",$C495,0)</f>
        <v>0</v>
      </c>
      <c r="K495" s="8">
        <f>K494+L495</f>
        <v>0</v>
      </c>
      <c r="L495" s="8">
        <f>IF($D495="CBB",$C495,0)</f>
        <v>0</v>
      </c>
    </row>
    <row r="496" spans="1:12" x14ac:dyDescent="0.25">
      <c r="A496" s="6">
        <v>41695</v>
      </c>
      <c r="B496" t="s">
        <v>48</v>
      </c>
      <c r="C496" s="7">
        <v>-100</v>
      </c>
      <c r="D496" t="s">
        <v>6</v>
      </c>
      <c r="E496" s="8">
        <f>E495+F496</f>
        <v>24390</v>
      </c>
      <c r="F496" s="8">
        <f>IF($D496="CR01",$C496,0)</f>
        <v>-100</v>
      </c>
      <c r="G496" s="8">
        <f>G495+H496</f>
        <v>0</v>
      </c>
      <c r="H496" s="8">
        <f>IF($D496="VISA",$C496,0)</f>
        <v>0</v>
      </c>
      <c r="I496" s="8">
        <f>I495+J496</f>
        <v>0</v>
      </c>
      <c r="J496" s="8">
        <f>IF($D496="ACC",$C496,0)</f>
        <v>0</v>
      </c>
      <c r="K496" s="8">
        <f>K495+L496</f>
        <v>0</v>
      </c>
      <c r="L496" s="8">
        <f>IF($D496="CBB",$C496,0)</f>
        <v>0</v>
      </c>
    </row>
    <row r="497" spans="1:12" x14ac:dyDescent="0.25">
      <c r="A497" s="6">
        <v>41696</v>
      </c>
      <c r="B497" t="s">
        <v>47</v>
      </c>
      <c r="C497" s="7">
        <v>-120</v>
      </c>
      <c r="D497" t="s">
        <v>6</v>
      </c>
      <c r="E497" s="8">
        <f>E496+F497</f>
        <v>24270</v>
      </c>
      <c r="F497" s="8">
        <f>IF($D497="CR01",$C497,0)</f>
        <v>-120</v>
      </c>
      <c r="G497" s="8">
        <f>G496+H497</f>
        <v>0</v>
      </c>
      <c r="H497" s="8">
        <f>IF($D497="VISA",$C497,0)</f>
        <v>0</v>
      </c>
      <c r="I497" s="8">
        <f>I496+J497</f>
        <v>0</v>
      </c>
      <c r="J497" s="8">
        <f>IF($D497="ACC",$C497,0)</f>
        <v>0</v>
      </c>
      <c r="K497" s="8">
        <f>K496+L497</f>
        <v>0</v>
      </c>
      <c r="L497" s="8">
        <f>IF($D497="CBB",$C497,0)</f>
        <v>0</v>
      </c>
    </row>
    <row r="498" spans="1:12" x14ac:dyDescent="0.25">
      <c r="A498" s="6">
        <v>41697</v>
      </c>
      <c r="B498" t="s">
        <v>44</v>
      </c>
      <c r="C498" s="7">
        <v>-400</v>
      </c>
      <c r="D498" t="s">
        <v>6</v>
      </c>
      <c r="E498" s="8">
        <f>E497+F498</f>
        <v>23870</v>
      </c>
      <c r="F498" s="8">
        <f>IF($D498="CR01",$C498,0)</f>
        <v>-400</v>
      </c>
      <c r="G498" s="8">
        <f>G497+H498</f>
        <v>0</v>
      </c>
      <c r="H498" s="8">
        <f>IF($D498="VISA",$C498,0)</f>
        <v>0</v>
      </c>
      <c r="I498" s="8">
        <f>I497+J498</f>
        <v>0</v>
      </c>
      <c r="J498" s="8">
        <f>IF($D498="ACC",$C498,0)</f>
        <v>0</v>
      </c>
      <c r="K498" s="8">
        <f>K497+L498</f>
        <v>0</v>
      </c>
      <c r="L498" s="8">
        <f>IF($D498="CBB",$C498,0)</f>
        <v>0</v>
      </c>
    </row>
    <row r="499" spans="1:12" x14ac:dyDescent="0.25">
      <c r="A499" s="6">
        <v>41697</v>
      </c>
      <c r="B499" t="s">
        <v>45</v>
      </c>
      <c r="C499" s="7">
        <v>-180</v>
      </c>
      <c r="D499" t="s">
        <v>6</v>
      </c>
      <c r="E499" s="8">
        <f>E498+F499</f>
        <v>23690</v>
      </c>
      <c r="F499" s="8">
        <f>IF($D499="CR01",$C499,0)</f>
        <v>-180</v>
      </c>
      <c r="G499" s="8">
        <f>G498+H499</f>
        <v>0</v>
      </c>
      <c r="H499" s="8">
        <f>IF($D499="VISA",$C499,0)</f>
        <v>0</v>
      </c>
      <c r="I499" s="8">
        <f>I498+J499</f>
        <v>0</v>
      </c>
      <c r="J499" s="8">
        <f>IF($D499="ACC",$C499,0)</f>
        <v>0</v>
      </c>
      <c r="K499" s="8">
        <f>K498+L499</f>
        <v>0</v>
      </c>
      <c r="L499" s="8">
        <f>IF($D499="CBB",$C499,0)</f>
        <v>0</v>
      </c>
    </row>
    <row r="500" spans="1:12" x14ac:dyDescent="0.25">
      <c r="A500" s="6">
        <v>41697</v>
      </c>
      <c r="B500" t="s">
        <v>46</v>
      </c>
      <c r="C500" s="7">
        <v>-300</v>
      </c>
      <c r="D500" t="s">
        <v>6</v>
      </c>
      <c r="E500" s="8">
        <f>E499+F500</f>
        <v>23390</v>
      </c>
      <c r="F500" s="8">
        <f>IF($D500="CR01",$C500,0)</f>
        <v>-300</v>
      </c>
      <c r="G500" s="8">
        <f>G499+H500</f>
        <v>0</v>
      </c>
      <c r="H500" s="8">
        <f>IF($D500="VISA",$C500,0)</f>
        <v>0</v>
      </c>
      <c r="I500" s="8">
        <f>I499+J500</f>
        <v>0</v>
      </c>
      <c r="J500" s="8">
        <f>IF($D500="ACC",$C500,0)</f>
        <v>0</v>
      </c>
      <c r="K500" s="8">
        <f>K499+L500</f>
        <v>0</v>
      </c>
      <c r="L500" s="8">
        <f>IF($D500="CBB",$C500,0)</f>
        <v>0</v>
      </c>
    </row>
    <row r="501" spans="1:12" x14ac:dyDescent="0.25">
      <c r="A501" s="6">
        <v>41698</v>
      </c>
      <c r="B501" t="s">
        <v>43</v>
      </c>
      <c r="C501" s="7">
        <v>3226</v>
      </c>
      <c r="D501" t="s">
        <v>6</v>
      </c>
      <c r="E501" s="8">
        <f>E500+F501</f>
        <v>26616</v>
      </c>
      <c r="F501" s="8">
        <f>IF($D501="CR01",$C501,0)</f>
        <v>3226</v>
      </c>
      <c r="G501" s="8">
        <f>G500+H501</f>
        <v>0</v>
      </c>
      <c r="H501" s="8">
        <f>IF($D501="VISA",$C501,0)</f>
        <v>0</v>
      </c>
      <c r="I501" s="8">
        <f>I500+J501</f>
        <v>0</v>
      </c>
      <c r="J501" s="8">
        <f>IF($D501="ACC",$C501,0)</f>
        <v>0</v>
      </c>
      <c r="K501" s="8">
        <f>K500+L501</f>
        <v>0</v>
      </c>
      <c r="L501" s="8">
        <f>IF($D501="CBB",$C501,0)</f>
        <v>0</v>
      </c>
    </row>
    <row r="502" spans="1:12" x14ac:dyDescent="0.25">
      <c r="A502" s="6">
        <v>41699</v>
      </c>
      <c r="B502" t="s">
        <v>58</v>
      </c>
      <c r="C502" s="7">
        <v>-200</v>
      </c>
      <c r="D502" t="s">
        <v>6</v>
      </c>
      <c r="E502" s="8">
        <f>E501+F502</f>
        <v>26416</v>
      </c>
      <c r="F502" s="8">
        <f>IF($D502="CR01",$C502,0)</f>
        <v>-200</v>
      </c>
      <c r="G502" s="8">
        <f>G501+H502</f>
        <v>0</v>
      </c>
      <c r="H502" s="8">
        <f>IF($D502="VISA",$C502,0)</f>
        <v>0</v>
      </c>
      <c r="I502" s="8">
        <f>I501+J502</f>
        <v>0</v>
      </c>
      <c r="J502" s="8">
        <f>IF($D502="ACC",$C502,0)</f>
        <v>0</v>
      </c>
      <c r="K502" s="8">
        <f>K501+L502</f>
        <v>0</v>
      </c>
      <c r="L502" s="8">
        <f>IF($D502="CBB",$C502,0)</f>
        <v>0</v>
      </c>
    </row>
    <row r="503" spans="1:12" x14ac:dyDescent="0.25">
      <c r="A503" s="6">
        <v>41699</v>
      </c>
      <c r="B503" t="s">
        <v>60</v>
      </c>
      <c r="C503" s="7">
        <v>-400</v>
      </c>
      <c r="D503" t="s">
        <v>6</v>
      </c>
      <c r="E503" s="8">
        <f>E502+F503</f>
        <v>26016</v>
      </c>
      <c r="F503" s="8">
        <f>IF($D503="CR01",$C503,0)</f>
        <v>-400</v>
      </c>
      <c r="G503" s="8">
        <f>G502+H503</f>
        <v>0</v>
      </c>
      <c r="H503" s="8">
        <f>IF($D503="VISA",$C503,0)</f>
        <v>0</v>
      </c>
      <c r="I503" s="8">
        <f>I502+J503</f>
        <v>0</v>
      </c>
      <c r="J503" s="8">
        <f>IF($D503="ACC",$C503,0)</f>
        <v>0</v>
      </c>
      <c r="K503" s="8">
        <f>K502+L503</f>
        <v>0</v>
      </c>
      <c r="L503" s="8">
        <f>IF($D503="CBB",$C503,0)</f>
        <v>0</v>
      </c>
    </row>
    <row r="504" spans="1:12" x14ac:dyDescent="0.25">
      <c r="A504" s="6">
        <v>41699</v>
      </c>
      <c r="B504" t="s">
        <v>64</v>
      </c>
      <c r="C504" s="7">
        <v>-26</v>
      </c>
      <c r="D504" t="s">
        <v>6</v>
      </c>
      <c r="E504" s="8">
        <f>E503+F504</f>
        <v>25990</v>
      </c>
      <c r="F504" s="8">
        <f>IF($D504="CR01",$C504,0)</f>
        <v>-26</v>
      </c>
      <c r="G504" s="8">
        <f>G503+H504</f>
        <v>0</v>
      </c>
      <c r="H504" s="8">
        <f>IF($D504="VISA",$C504,0)</f>
        <v>0</v>
      </c>
      <c r="I504" s="8">
        <f>I503+J504</f>
        <v>0</v>
      </c>
      <c r="J504" s="8">
        <f>IF($D504="ACC",$C504,0)</f>
        <v>0</v>
      </c>
      <c r="K504" s="8">
        <f>K503+L504</f>
        <v>0</v>
      </c>
      <c r="L504" s="8">
        <f>IF($D504="CBB",$C504,0)</f>
        <v>0</v>
      </c>
    </row>
    <row r="505" spans="1:12" x14ac:dyDescent="0.25">
      <c r="A505" s="6">
        <v>41699</v>
      </c>
      <c r="B505" t="s">
        <v>65</v>
      </c>
      <c r="C505" s="7">
        <v>-240</v>
      </c>
      <c r="D505" t="s">
        <v>6</v>
      </c>
      <c r="E505" s="8">
        <f>E504+F505</f>
        <v>25750</v>
      </c>
      <c r="F505" s="8">
        <f>IF($D505="CR01",$C505,0)</f>
        <v>-240</v>
      </c>
      <c r="G505" s="8">
        <f>G504+H505</f>
        <v>0</v>
      </c>
      <c r="H505" s="8">
        <f>IF($D505="VISA",$C505,0)</f>
        <v>0</v>
      </c>
      <c r="I505" s="8">
        <f>I504+J505</f>
        <v>0</v>
      </c>
      <c r="J505" s="8">
        <f>IF($D505="ACC",$C505,0)</f>
        <v>0</v>
      </c>
      <c r="K505" s="8">
        <f>K504+L505</f>
        <v>0</v>
      </c>
      <c r="L505" s="8">
        <f>IF($D505="CBB",$C505,0)</f>
        <v>0</v>
      </c>
    </row>
    <row r="506" spans="1:12" x14ac:dyDescent="0.25">
      <c r="A506" s="6">
        <v>41699</v>
      </c>
      <c r="B506" t="s">
        <v>66</v>
      </c>
      <c r="C506" s="7">
        <v>-120</v>
      </c>
      <c r="D506" t="s">
        <v>6</v>
      </c>
      <c r="E506" s="8">
        <f>E505+F506</f>
        <v>25630</v>
      </c>
      <c r="F506" s="8">
        <f>IF($D506="CR01",$C506,0)</f>
        <v>-120</v>
      </c>
      <c r="G506" s="8">
        <f>G505+H506</f>
        <v>0</v>
      </c>
      <c r="H506" s="8">
        <f>IF($D506="VISA",$C506,0)</f>
        <v>0</v>
      </c>
      <c r="I506" s="8">
        <f>I505+J506</f>
        <v>0</v>
      </c>
      <c r="J506" s="8">
        <f>IF($D506="ACC",$C506,0)</f>
        <v>0</v>
      </c>
      <c r="K506" s="8">
        <f>K505+L506</f>
        <v>0</v>
      </c>
      <c r="L506" s="8">
        <f>IF($D506="CBB",$C506,0)</f>
        <v>0</v>
      </c>
    </row>
    <row r="507" spans="1:12" x14ac:dyDescent="0.25">
      <c r="A507" s="6">
        <v>41700</v>
      </c>
      <c r="B507" t="s">
        <v>59</v>
      </c>
      <c r="C507" s="7">
        <v>-900</v>
      </c>
      <c r="D507" t="s">
        <v>6</v>
      </c>
      <c r="E507" s="8">
        <f>E506+F507</f>
        <v>24730</v>
      </c>
      <c r="F507" s="8">
        <f>IF($D507="CR01",$C507,0)</f>
        <v>-900</v>
      </c>
      <c r="G507" s="8">
        <f>G506+H507</f>
        <v>0</v>
      </c>
      <c r="H507" s="8">
        <f>IF($D507="VISA",$C507,0)</f>
        <v>0</v>
      </c>
      <c r="I507" s="8">
        <f>I506+J507</f>
        <v>0</v>
      </c>
      <c r="J507" s="8">
        <f>IF($D507="ACC",$C507,0)</f>
        <v>0</v>
      </c>
      <c r="K507" s="8">
        <f>K506+L507</f>
        <v>0</v>
      </c>
      <c r="L507" s="8">
        <f>IF($D507="CBB",$C507,0)</f>
        <v>0</v>
      </c>
    </row>
    <row r="508" spans="1:12" x14ac:dyDescent="0.25">
      <c r="A508" s="6">
        <v>41702</v>
      </c>
      <c r="B508" t="s">
        <v>48</v>
      </c>
      <c r="C508" s="7">
        <v>-100</v>
      </c>
      <c r="D508" t="s">
        <v>6</v>
      </c>
      <c r="E508" s="8">
        <f>E507+F508</f>
        <v>24630</v>
      </c>
      <c r="F508" s="8">
        <f>IF($D508="CR01",$C508,0)</f>
        <v>-100</v>
      </c>
      <c r="G508" s="8">
        <f>G507+H508</f>
        <v>0</v>
      </c>
      <c r="H508" s="8">
        <f>IF($D508="VISA",$C508,0)</f>
        <v>0</v>
      </c>
      <c r="I508" s="8">
        <f>I507+J508</f>
        <v>0</v>
      </c>
      <c r="J508" s="8">
        <f>IF($D508="ACC",$C508,0)</f>
        <v>0</v>
      </c>
      <c r="K508" s="8">
        <f>K507+L508</f>
        <v>0</v>
      </c>
      <c r="L508" s="8">
        <f>IF($D508="CBB",$C508,0)</f>
        <v>0</v>
      </c>
    </row>
    <row r="509" spans="1:12" x14ac:dyDescent="0.25">
      <c r="A509" s="6">
        <v>41703</v>
      </c>
      <c r="B509" t="s">
        <v>47</v>
      </c>
      <c r="C509" s="7">
        <v>-120</v>
      </c>
      <c r="D509" t="s">
        <v>6</v>
      </c>
      <c r="E509" s="8">
        <f>E508+F509</f>
        <v>24510</v>
      </c>
      <c r="F509" s="8">
        <f>IF($D509="CR01",$C509,0)</f>
        <v>-120</v>
      </c>
      <c r="G509" s="8">
        <f>G508+H509</f>
        <v>0</v>
      </c>
      <c r="H509" s="8">
        <f>IF($D509="VISA",$C509,0)</f>
        <v>0</v>
      </c>
      <c r="I509" s="8">
        <f>I508+J509</f>
        <v>0</v>
      </c>
      <c r="J509" s="8">
        <f>IF($D509="ACC",$C509,0)</f>
        <v>0</v>
      </c>
      <c r="K509" s="8">
        <f>K508+L509</f>
        <v>0</v>
      </c>
      <c r="L509" s="8">
        <f>IF($D509="CBB",$C509,0)</f>
        <v>0</v>
      </c>
    </row>
    <row r="510" spans="1:12" x14ac:dyDescent="0.25">
      <c r="A510" s="6">
        <v>41704</v>
      </c>
      <c r="B510" t="s">
        <v>44</v>
      </c>
      <c r="C510" s="7">
        <v>-400</v>
      </c>
      <c r="D510" t="s">
        <v>6</v>
      </c>
      <c r="E510" s="8">
        <f>E509+F510</f>
        <v>24110</v>
      </c>
      <c r="F510" s="8">
        <f>IF($D510="CR01",$C510,0)</f>
        <v>-400</v>
      </c>
      <c r="G510" s="8">
        <f>G509+H510</f>
        <v>0</v>
      </c>
      <c r="H510" s="8">
        <f>IF($D510="VISA",$C510,0)</f>
        <v>0</v>
      </c>
      <c r="I510" s="8">
        <f>I509+J510</f>
        <v>0</v>
      </c>
      <c r="J510" s="8">
        <f>IF($D510="ACC",$C510,0)</f>
        <v>0</v>
      </c>
      <c r="K510" s="8">
        <f>K509+L510</f>
        <v>0</v>
      </c>
      <c r="L510" s="8">
        <f>IF($D510="CBB",$C510,0)</f>
        <v>0</v>
      </c>
    </row>
    <row r="511" spans="1:12" x14ac:dyDescent="0.25">
      <c r="A511" s="6">
        <v>41704</v>
      </c>
      <c r="B511" t="s">
        <v>45</v>
      </c>
      <c r="C511" s="7">
        <v>-180</v>
      </c>
      <c r="D511" t="s">
        <v>6</v>
      </c>
      <c r="E511" s="8">
        <f>E510+F511</f>
        <v>23930</v>
      </c>
      <c r="F511" s="8">
        <f>IF($D511="CR01",$C511,0)</f>
        <v>-180</v>
      </c>
      <c r="G511" s="8">
        <f>G510+H511</f>
        <v>0</v>
      </c>
      <c r="H511" s="8">
        <f>IF($D511="VISA",$C511,0)</f>
        <v>0</v>
      </c>
      <c r="I511" s="8">
        <f>I510+J511</f>
        <v>0</v>
      </c>
      <c r="J511" s="8">
        <f>IF($D511="ACC",$C511,0)</f>
        <v>0</v>
      </c>
      <c r="K511" s="8">
        <f>K510+L511</f>
        <v>0</v>
      </c>
      <c r="L511" s="8">
        <f>IF($D511="CBB",$C511,0)</f>
        <v>0</v>
      </c>
    </row>
    <row r="512" spans="1:12" x14ac:dyDescent="0.25">
      <c r="A512" s="6">
        <v>41704</v>
      </c>
      <c r="B512" t="s">
        <v>46</v>
      </c>
      <c r="C512" s="7">
        <v>-300</v>
      </c>
      <c r="D512" t="s">
        <v>6</v>
      </c>
      <c r="E512" s="8">
        <f>E511+F512</f>
        <v>23630</v>
      </c>
      <c r="F512" s="8">
        <f>IF($D512="CR01",$C512,0)</f>
        <v>-300</v>
      </c>
      <c r="G512" s="8">
        <f>G511+H512</f>
        <v>0</v>
      </c>
      <c r="H512" s="8">
        <f>IF($D512="VISA",$C512,0)</f>
        <v>0</v>
      </c>
      <c r="I512" s="8">
        <f>I511+J512</f>
        <v>0</v>
      </c>
      <c r="J512" s="8">
        <f>IF($D512="ACC",$C512,0)</f>
        <v>0</v>
      </c>
      <c r="K512" s="8">
        <f>K511+L512</f>
        <v>0</v>
      </c>
      <c r="L512" s="8">
        <f>IF($D512="CBB",$C512,0)</f>
        <v>0</v>
      </c>
    </row>
    <row r="513" spans="1:12" x14ac:dyDescent="0.25">
      <c r="A513" s="6">
        <v>41706</v>
      </c>
      <c r="B513" t="s">
        <v>67</v>
      </c>
      <c r="C513" s="7">
        <v>3600</v>
      </c>
      <c r="D513" t="s">
        <v>6</v>
      </c>
      <c r="E513" s="8">
        <f>E512+F513</f>
        <v>27230</v>
      </c>
      <c r="F513" s="8">
        <f>IF($D513="CR01",$C513,0)</f>
        <v>3600</v>
      </c>
      <c r="G513" s="8">
        <f>G512+H513</f>
        <v>0</v>
      </c>
      <c r="H513" s="8">
        <f>IF($D513="VISA",$C513,0)</f>
        <v>0</v>
      </c>
      <c r="I513" s="8">
        <f>I512+J513</f>
        <v>0</v>
      </c>
      <c r="J513" s="8">
        <f>IF($D513="ACC",$C513,0)</f>
        <v>0</v>
      </c>
      <c r="K513" s="8">
        <f>K512+L513</f>
        <v>0</v>
      </c>
      <c r="L513" s="8">
        <f>IF($D513="CBB",$C513,0)</f>
        <v>0</v>
      </c>
    </row>
    <row r="514" spans="1:12" x14ac:dyDescent="0.25">
      <c r="A514" s="6">
        <v>41709</v>
      </c>
      <c r="B514" t="s">
        <v>42</v>
      </c>
      <c r="C514" s="7">
        <v>-2806</v>
      </c>
      <c r="D514" t="s">
        <v>6</v>
      </c>
      <c r="E514" s="8">
        <f>E513+F514</f>
        <v>24424</v>
      </c>
      <c r="F514" s="8">
        <f>IF($D514="CR01",$C514,0)</f>
        <v>-2806</v>
      </c>
      <c r="G514" s="8">
        <f>G513+H514</f>
        <v>0</v>
      </c>
      <c r="H514" s="8">
        <f>IF($D514="VISA",$C514,0)</f>
        <v>0</v>
      </c>
      <c r="I514" s="8">
        <f>I513+J514</f>
        <v>0</v>
      </c>
      <c r="J514" s="8">
        <f>IF($D514="ACC",$C514,0)</f>
        <v>0</v>
      </c>
      <c r="K514" s="8">
        <f>K513+L514</f>
        <v>0</v>
      </c>
      <c r="L514" s="8">
        <f>IF($D514="CBB",$C514,0)</f>
        <v>0</v>
      </c>
    </row>
    <row r="515" spans="1:12" x14ac:dyDescent="0.25">
      <c r="A515" s="6">
        <v>41709</v>
      </c>
      <c r="B515" t="s">
        <v>48</v>
      </c>
      <c r="C515" s="7">
        <v>-100</v>
      </c>
      <c r="D515" t="s">
        <v>6</v>
      </c>
      <c r="E515" s="8">
        <f>E514+F515</f>
        <v>24324</v>
      </c>
      <c r="F515" s="8">
        <f>IF($D515="CR01",$C515,0)</f>
        <v>-100</v>
      </c>
      <c r="G515" s="8">
        <f>G514+H515</f>
        <v>0</v>
      </c>
      <c r="H515" s="8">
        <f>IF($D515="VISA",$C515,0)</f>
        <v>0</v>
      </c>
      <c r="I515" s="8">
        <f>I514+J515</f>
        <v>0</v>
      </c>
      <c r="J515" s="8">
        <f>IF($D515="ACC",$C515,0)</f>
        <v>0</v>
      </c>
      <c r="K515" s="8">
        <f>K514+L515</f>
        <v>0</v>
      </c>
      <c r="L515" s="8">
        <f>IF($D515="CBB",$C515,0)</f>
        <v>0</v>
      </c>
    </row>
    <row r="516" spans="1:12" x14ac:dyDescent="0.25">
      <c r="A516" s="6">
        <v>41710</v>
      </c>
      <c r="B516" t="s">
        <v>47</v>
      </c>
      <c r="C516" s="7">
        <v>-120</v>
      </c>
      <c r="D516" t="s">
        <v>6</v>
      </c>
      <c r="E516" s="8">
        <f>E515+F516</f>
        <v>24204</v>
      </c>
      <c r="F516" s="8">
        <f>IF($D516="CR01",$C516,0)</f>
        <v>-120</v>
      </c>
      <c r="G516" s="8">
        <f>G515+H516</f>
        <v>0</v>
      </c>
      <c r="H516" s="8">
        <f>IF($D516="VISA",$C516,0)</f>
        <v>0</v>
      </c>
      <c r="I516" s="8">
        <f>I515+J516</f>
        <v>0</v>
      </c>
      <c r="J516" s="8">
        <f>IF($D516="ACC",$C516,0)</f>
        <v>0</v>
      </c>
      <c r="K516" s="8">
        <f>K515+L516</f>
        <v>0</v>
      </c>
      <c r="L516" s="8">
        <f>IF($D516="CBB",$C516,0)</f>
        <v>0</v>
      </c>
    </row>
    <row r="517" spans="1:12" x14ac:dyDescent="0.25">
      <c r="A517" s="6">
        <v>41711</v>
      </c>
      <c r="B517" t="s">
        <v>44</v>
      </c>
      <c r="C517" s="7">
        <v>-400</v>
      </c>
      <c r="D517" t="s">
        <v>6</v>
      </c>
      <c r="E517" s="8">
        <f>E516+F517</f>
        <v>23804</v>
      </c>
      <c r="F517" s="8">
        <f>IF($D517="CR01",$C517,0)</f>
        <v>-400</v>
      </c>
      <c r="G517" s="8">
        <f>G516+H517</f>
        <v>0</v>
      </c>
      <c r="H517" s="8">
        <f>IF($D517="VISA",$C517,0)</f>
        <v>0</v>
      </c>
      <c r="I517" s="8">
        <f>I516+J517</f>
        <v>0</v>
      </c>
      <c r="J517" s="8">
        <f>IF($D517="ACC",$C517,0)</f>
        <v>0</v>
      </c>
      <c r="K517" s="8">
        <f>K516+L517</f>
        <v>0</v>
      </c>
      <c r="L517" s="8">
        <f>IF($D517="CBB",$C517,0)</f>
        <v>0</v>
      </c>
    </row>
    <row r="518" spans="1:12" x14ac:dyDescent="0.25">
      <c r="A518" s="6">
        <v>41711</v>
      </c>
      <c r="B518" t="s">
        <v>45</v>
      </c>
      <c r="C518" s="7">
        <v>-180</v>
      </c>
      <c r="D518" t="s">
        <v>6</v>
      </c>
      <c r="E518" s="8">
        <f>E517+F518</f>
        <v>23624</v>
      </c>
      <c r="F518" s="8">
        <f>IF($D518="CR01",$C518,0)</f>
        <v>-180</v>
      </c>
      <c r="G518" s="8">
        <f>G517+H518</f>
        <v>0</v>
      </c>
      <c r="H518" s="8">
        <f>IF($D518="VISA",$C518,0)</f>
        <v>0</v>
      </c>
      <c r="I518" s="8">
        <f>I517+J518</f>
        <v>0</v>
      </c>
      <c r="J518" s="8">
        <f>IF($D518="ACC",$C518,0)</f>
        <v>0</v>
      </c>
      <c r="K518" s="8">
        <f>K517+L518</f>
        <v>0</v>
      </c>
      <c r="L518" s="8">
        <f>IF($D518="CBB",$C518,0)</f>
        <v>0</v>
      </c>
    </row>
    <row r="519" spans="1:12" x14ac:dyDescent="0.25">
      <c r="A519" s="6">
        <v>41711</v>
      </c>
      <c r="B519" t="s">
        <v>46</v>
      </c>
      <c r="C519" s="7">
        <v>-300</v>
      </c>
      <c r="D519" t="s">
        <v>6</v>
      </c>
      <c r="E519" s="8">
        <f>E518+F519</f>
        <v>23324</v>
      </c>
      <c r="F519" s="8">
        <f>IF($D519="CR01",$C519,0)</f>
        <v>-300</v>
      </c>
      <c r="G519" s="8">
        <f>G518+H519</f>
        <v>0</v>
      </c>
      <c r="H519" s="8">
        <f>IF($D519="VISA",$C519,0)</f>
        <v>0</v>
      </c>
      <c r="I519" s="8">
        <f>I518+J519</f>
        <v>0</v>
      </c>
      <c r="J519" s="8">
        <f>IF($D519="ACC",$C519,0)</f>
        <v>0</v>
      </c>
      <c r="K519" s="8">
        <f>K518+L519</f>
        <v>0</v>
      </c>
      <c r="L519" s="8">
        <f>IF($D519="CBB",$C519,0)</f>
        <v>0</v>
      </c>
    </row>
    <row r="520" spans="1:12" x14ac:dyDescent="0.25">
      <c r="A520" s="6">
        <v>41712</v>
      </c>
      <c r="B520" t="s">
        <v>43</v>
      </c>
      <c r="C520" s="7">
        <v>3226</v>
      </c>
      <c r="D520" t="s">
        <v>6</v>
      </c>
      <c r="E520" s="8">
        <f>E519+F520</f>
        <v>26550</v>
      </c>
      <c r="F520" s="8">
        <f>IF($D520="CR01",$C520,0)</f>
        <v>3226</v>
      </c>
      <c r="G520" s="8">
        <f>G519+H520</f>
        <v>0</v>
      </c>
      <c r="H520" s="8">
        <f>IF($D520="VISA",$C520,0)</f>
        <v>0</v>
      </c>
      <c r="I520" s="8">
        <f>I519+J520</f>
        <v>0</v>
      </c>
      <c r="J520" s="8">
        <f>IF($D520="ACC",$C520,0)</f>
        <v>0</v>
      </c>
      <c r="K520" s="8">
        <f>K519+L520</f>
        <v>0</v>
      </c>
      <c r="L520" s="8">
        <f>IF($D520="CBB",$C520,0)</f>
        <v>0</v>
      </c>
    </row>
    <row r="521" spans="1:12" x14ac:dyDescent="0.25">
      <c r="A521" s="6">
        <v>41716</v>
      </c>
      <c r="B521" t="s">
        <v>48</v>
      </c>
      <c r="C521" s="7">
        <v>-100</v>
      </c>
      <c r="D521" t="s">
        <v>6</v>
      </c>
      <c r="E521" s="8">
        <f>E520+F521</f>
        <v>26450</v>
      </c>
      <c r="F521" s="8">
        <f>IF($D521="CR01",$C521,0)</f>
        <v>-100</v>
      </c>
      <c r="G521" s="8">
        <f>G520+H521</f>
        <v>0</v>
      </c>
      <c r="H521" s="8">
        <f>IF($D521="VISA",$C521,0)</f>
        <v>0</v>
      </c>
      <c r="I521" s="8">
        <f>I520+J521</f>
        <v>0</v>
      </c>
      <c r="J521" s="8">
        <f>IF($D521="ACC",$C521,0)</f>
        <v>0</v>
      </c>
      <c r="K521" s="8">
        <f>K520+L521</f>
        <v>0</v>
      </c>
      <c r="L521" s="8">
        <f>IF($D521="CBB",$C521,0)</f>
        <v>0</v>
      </c>
    </row>
    <row r="522" spans="1:12" x14ac:dyDescent="0.25">
      <c r="A522" s="6">
        <v>41717</v>
      </c>
      <c r="B522" t="s">
        <v>47</v>
      </c>
      <c r="C522" s="7">
        <v>-120</v>
      </c>
      <c r="D522" t="s">
        <v>6</v>
      </c>
      <c r="E522" s="8">
        <f>E521+F522</f>
        <v>26330</v>
      </c>
      <c r="F522" s="8">
        <f>IF($D522="CR01",$C522,0)</f>
        <v>-120</v>
      </c>
      <c r="G522" s="8">
        <f>G521+H522</f>
        <v>0</v>
      </c>
      <c r="H522" s="8">
        <f>IF($D522="VISA",$C522,0)</f>
        <v>0</v>
      </c>
      <c r="I522" s="8">
        <f>I521+J522</f>
        <v>0</v>
      </c>
      <c r="J522" s="8">
        <f>IF($D522="ACC",$C522,0)</f>
        <v>0</v>
      </c>
      <c r="K522" s="8">
        <f>K521+L522</f>
        <v>0</v>
      </c>
      <c r="L522" s="8">
        <f>IF($D522="CBB",$C522,0)</f>
        <v>0</v>
      </c>
    </row>
    <row r="523" spans="1:12" x14ac:dyDescent="0.25">
      <c r="A523" s="6">
        <v>41718</v>
      </c>
      <c r="B523" t="s">
        <v>44</v>
      </c>
      <c r="C523" s="7">
        <v>-400</v>
      </c>
      <c r="D523" t="s">
        <v>6</v>
      </c>
      <c r="E523" s="8">
        <f>E522+F523</f>
        <v>25930</v>
      </c>
      <c r="F523" s="8">
        <f>IF($D523="CR01",$C523,0)</f>
        <v>-400</v>
      </c>
      <c r="G523" s="8">
        <f>G522+H523</f>
        <v>0</v>
      </c>
      <c r="H523" s="8">
        <f>IF($D523="VISA",$C523,0)</f>
        <v>0</v>
      </c>
      <c r="I523" s="8">
        <f>I522+J523</f>
        <v>0</v>
      </c>
      <c r="J523" s="8">
        <f>IF($D523="ACC",$C523,0)</f>
        <v>0</v>
      </c>
      <c r="K523" s="8">
        <f>K522+L523</f>
        <v>0</v>
      </c>
      <c r="L523" s="8">
        <f>IF($D523="CBB",$C523,0)</f>
        <v>0</v>
      </c>
    </row>
    <row r="524" spans="1:12" x14ac:dyDescent="0.25">
      <c r="A524" s="6">
        <v>41718</v>
      </c>
      <c r="B524" t="s">
        <v>45</v>
      </c>
      <c r="C524" s="7">
        <v>-180</v>
      </c>
      <c r="D524" t="s">
        <v>6</v>
      </c>
      <c r="E524" s="8">
        <f>E523+F524</f>
        <v>25750</v>
      </c>
      <c r="F524" s="8">
        <f>IF($D524="CR01",$C524,0)</f>
        <v>-180</v>
      </c>
      <c r="G524" s="8">
        <f>G523+H524</f>
        <v>0</v>
      </c>
      <c r="H524" s="8">
        <f>IF($D524="VISA",$C524,0)</f>
        <v>0</v>
      </c>
      <c r="I524" s="8">
        <f>I523+J524</f>
        <v>0</v>
      </c>
      <c r="J524" s="8">
        <f>IF($D524="ACC",$C524,0)</f>
        <v>0</v>
      </c>
      <c r="K524" s="8">
        <f>K523+L524</f>
        <v>0</v>
      </c>
      <c r="L524" s="8">
        <f>IF($D524="CBB",$C524,0)</f>
        <v>0</v>
      </c>
    </row>
    <row r="525" spans="1:12" x14ac:dyDescent="0.25">
      <c r="A525" s="6">
        <v>41718</v>
      </c>
      <c r="B525" t="s">
        <v>46</v>
      </c>
      <c r="C525" s="7">
        <v>-300</v>
      </c>
      <c r="D525" t="s">
        <v>6</v>
      </c>
      <c r="E525" s="8">
        <f>E524+F525</f>
        <v>25450</v>
      </c>
      <c r="F525" s="8">
        <f>IF($D525="CR01",$C525,0)</f>
        <v>-300</v>
      </c>
      <c r="G525" s="8">
        <f>G524+H525</f>
        <v>0</v>
      </c>
      <c r="H525" s="8">
        <f>IF($D525="VISA",$C525,0)</f>
        <v>0</v>
      </c>
      <c r="I525" s="8">
        <f>I524+J525</f>
        <v>0</v>
      </c>
      <c r="J525" s="8">
        <f>IF($D525="ACC",$C525,0)</f>
        <v>0</v>
      </c>
      <c r="K525" s="8">
        <f>K524+L525</f>
        <v>0</v>
      </c>
      <c r="L525" s="8">
        <f>IF($D525="CBB",$C525,0)</f>
        <v>0</v>
      </c>
    </row>
    <row r="526" spans="1:12" x14ac:dyDescent="0.25">
      <c r="A526" s="6">
        <v>41720</v>
      </c>
      <c r="B526" t="s">
        <v>67</v>
      </c>
      <c r="C526" s="7">
        <v>3600</v>
      </c>
      <c r="D526" t="s">
        <v>6</v>
      </c>
      <c r="E526" s="8">
        <f>E525+F526</f>
        <v>29050</v>
      </c>
      <c r="F526" s="8">
        <f>IF($D526="CR01",$C526,0)</f>
        <v>3600</v>
      </c>
      <c r="G526" s="8">
        <f>G525+H526</f>
        <v>0</v>
      </c>
      <c r="H526" s="8">
        <f>IF($D526="VISA",$C526,0)</f>
        <v>0</v>
      </c>
      <c r="I526" s="8">
        <f>I525+J526</f>
        <v>0</v>
      </c>
      <c r="J526" s="8">
        <f>IF($D526="ACC",$C526,0)</f>
        <v>0</v>
      </c>
      <c r="K526" s="8">
        <f>K525+L526</f>
        <v>0</v>
      </c>
      <c r="L526" s="8">
        <f>IF($D526="CBB",$C526,0)</f>
        <v>0</v>
      </c>
    </row>
    <row r="527" spans="1:12" x14ac:dyDescent="0.25">
      <c r="A527" s="6">
        <v>41723</v>
      </c>
      <c r="B527" t="s">
        <v>42</v>
      </c>
      <c r="C527" s="7">
        <v>-2806</v>
      </c>
      <c r="D527" t="s">
        <v>6</v>
      </c>
      <c r="E527" s="8">
        <f>E526+F527</f>
        <v>26244</v>
      </c>
      <c r="F527" s="8">
        <f>IF($D527="CR01",$C527,0)</f>
        <v>-2806</v>
      </c>
      <c r="G527" s="8">
        <f>G526+H527</f>
        <v>0</v>
      </c>
      <c r="H527" s="8">
        <f>IF($D527="VISA",$C527,0)</f>
        <v>0</v>
      </c>
      <c r="I527" s="8">
        <f>I526+J527</f>
        <v>0</v>
      </c>
      <c r="J527" s="8">
        <f>IF($D527="ACC",$C527,0)</f>
        <v>0</v>
      </c>
      <c r="K527" s="8">
        <f>K526+L527</f>
        <v>0</v>
      </c>
      <c r="L527" s="8">
        <f>IF($D527="CBB",$C527,0)</f>
        <v>0</v>
      </c>
    </row>
    <row r="528" spans="1:12" x14ac:dyDescent="0.25">
      <c r="A528" s="6">
        <v>41723</v>
      </c>
      <c r="B528" t="s">
        <v>48</v>
      </c>
      <c r="C528" s="7">
        <v>-100</v>
      </c>
      <c r="D528" t="s">
        <v>6</v>
      </c>
      <c r="E528" s="8">
        <f>E527+F528</f>
        <v>26144</v>
      </c>
      <c r="F528" s="8">
        <f>IF($D528="CR01",$C528,0)</f>
        <v>-100</v>
      </c>
      <c r="G528" s="8">
        <f>G527+H528</f>
        <v>0</v>
      </c>
      <c r="H528" s="8">
        <f>IF($D528="VISA",$C528,0)</f>
        <v>0</v>
      </c>
      <c r="I528" s="8">
        <f>I527+J528</f>
        <v>0</v>
      </c>
      <c r="J528" s="8">
        <f>IF($D528="ACC",$C528,0)</f>
        <v>0</v>
      </c>
      <c r="K528" s="8">
        <f>K527+L528</f>
        <v>0</v>
      </c>
      <c r="L528" s="8">
        <f>IF($D528="CBB",$C528,0)</f>
        <v>0</v>
      </c>
    </row>
    <row r="529" spans="1:12" x14ac:dyDescent="0.25">
      <c r="A529" s="6">
        <v>41724</v>
      </c>
      <c r="B529" t="s">
        <v>47</v>
      </c>
      <c r="C529" s="7">
        <v>-120</v>
      </c>
      <c r="D529" t="s">
        <v>6</v>
      </c>
      <c r="E529" s="8">
        <f>E528+F529</f>
        <v>26024</v>
      </c>
      <c r="F529" s="8">
        <f>IF($D529="CR01",$C529,0)</f>
        <v>-120</v>
      </c>
      <c r="G529" s="8">
        <f>G528+H529</f>
        <v>0</v>
      </c>
      <c r="H529" s="8">
        <f>IF($D529="VISA",$C529,0)</f>
        <v>0</v>
      </c>
      <c r="I529" s="8">
        <f>I528+J529</f>
        <v>0</v>
      </c>
      <c r="J529" s="8">
        <f>IF($D529="ACC",$C529,0)</f>
        <v>0</v>
      </c>
      <c r="K529" s="8">
        <f>K528+L529</f>
        <v>0</v>
      </c>
      <c r="L529" s="8">
        <f>IF($D529="CBB",$C529,0)</f>
        <v>0</v>
      </c>
    </row>
    <row r="530" spans="1:12" x14ac:dyDescent="0.25">
      <c r="A530" s="6">
        <v>41725</v>
      </c>
      <c r="B530" t="s">
        <v>44</v>
      </c>
      <c r="C530" s="7">
        <v>-400</v>
      </c>
      <c r="D530" t="s">
        <v>6</v>
      </c>
      <c r="E530" s="8">
        <f>E529+F530</f>
        <v>25624</v>
      </c>
      <c r="F530" s="8">
        <f>IF($D530="CR01",$C530,0)</f>
        <v>-400</v>
      </c>
      <c r="G530" s="8">
        <f>G529+H530</f>
        <v>0</v>
      </c>
      <c r="H530" s="8">
        <f>IF($D530="VISA",$C530,0)</f>
        <v>0</v>
      </c>
      <c r="I530" s="8">
        <f>I529+J530</f>
        <v>0</v>
      </c>
      <c r="J530" s="8">
        <f>IF($D530="ACC",$C530,0)</f>
        <v>0</v>
      </c>
      <c r="K530" s="8">
        <f>K529+L530</f>
        <v>0</v>
      </c>
      <c r="L530" s="8">
        <f>IF($D530="CBB",$C530,0)</f>
        <v>0</v>
      </c>
    </row>
    <row r="531" spans="1:12" x14ac:dyDescent="0.25">
      <c r="A531" s="6">
        <v>41725</v>
      </c>
      <c r="B531" t="s">
        <v>45</v>
      </c>
      <c r="C531" s="7">
        <v>-180</v>
      </c>
      <c r="D531" t="s">
        <v>6</v>
      </c>
      <c r="E531" s="8">
        <f>E530+F531</f>
        <v>25444</v>
      </c>
      <c r="F531" s="8">
        <f>IF($D531="CR01",$C531,0)</f>
        <v>-180</v>
      </c>
      <c r="G531" s="8">
        <f>G530+H531</f>
        <v>0</v>
      </c>
      <c r="H531" s="8">
        <f>IF($D531="VISA",$C531,0)</f>
        <v>0</v>
      </c>
      <c r="I531" s="8">
        <f>I530+J531</f>
        <v>0</v>
      </c>
      <c r="J531" s="8">
        <f>IF($D531="ACC",$C531,0)</f>
        <v>0</v>
      </c>
      <c r="K531" s="8">
        <f>K530+L531</f>
        <v>0</v>
      </c>
      <c r="L531" s="8">
        <f>IF($D531="CBB",$C531,0)</f>
        <v>0</v>
      </c>
    </row>
    <row r="532" spans="1:12" x14ac:dyDescent="0.25">
      <c r="A532" s="6">
        <v>41725</v>
      </c>
      <c r="B532" t="s">
        <v>46</v>
      </c>
      <c r="C532" s="7">
        <v>-300</v>
      </c>
      <c r="D532" t="s">
        <v>6</v>
      </c>
      <c r="E532" s="8">
        <f>E531+F532</f>
        <v>25144</v>
      </c>
      <c r="F532" s="8">
        <f>IF($D532="CR01",$C532,0)</f>
        <v>-300</v>
      </c>
      <c r="G532" s="8">
        <f>G531+H532</f>
        <v>0</v>
      </c>
      <c r="H532" s="8">
        <f>IF($D532="VISA",$C532,0)</f>
        <v>0</v>
      </c>
      <c r="I532" s="8">
        <f>I531+J532</f>
        <v>0</v>
      </c>
      <c r="J532" s="8">
        <f>IF($D532="ACC",$C532,0)</f>
        <v>0</v>
      </c>
      <c r="K532" s="8">
        <f>K531+L532</f>
        <v>0</v>
      </c>
      <c r="L532" s="8">
        <f>IF($D532="CBB",$C532,0)</f>
        <v>0</v>
      </c>
    </row>
    <row r="533" spans="1:12" x14ac:dyDescent="0.25">
      <c r="A533" s="6">
        <v>41726</v>
      </c>
      <c r="B533" t="s">
        <v>43</v>
      </c>
      <c r="C533" s="7">
        <v>3226</v>
      </c>
      <c r="D533" t="s">
        <v>6</v>
      </c>
      <c r="E533" s="8">
        <f>E532+F533</f>
        <v>28370</v>
      </c>
      <c r="F533" s="8">
        <f>IF($D533="CR01",$C533,0)</f>
        <v>3226</v>
      </c>
      <c r="G533" s="8">
        <f>G532+H533</f>
        <v>0</v>
      </c>
      <c r="H533" s="8">
        <f>IF($D533="VISA",$C533,0)</f>
        <v>0</v>
      </c>
      <c r="I533" s="8">
        <f>I532+J533</f>
        <v>0</v>
      </c>
      <c r="J533" s="8">
        <f>IF($D533="ACC",$C533,0)</f>
        <v>0</v>
      </c>
      <c r="K533" s="8">
        <f>K532+L533</f>
        <v>0</v>
      </c>
      <c r="L533" s="8">
        <f>IF($D533="CBB",$C533,0)</f>
        <v>0</v>
      </c>
    </row>
    <row r="534" spans="1:12" x14ac:dyDescent="0.25">
      <c r="A534" s="6">
        <v>41730</v>
      </c>
      <c r="B534" t="s">
        <v>48</v>
      </c>
      <c r="C534" s="7">
        <v>-100</v>
      </c>
      <c r="D534" t="s">
        <v>6</v>
      </c>
      <c r="E534" s="8">
        <f>E533+F534</f>
        <v>28270</v>
      </c>
      <c r="F534" s="8">
        <f>IF($D534="CR01",$C534,0)</f>
        <v>-100</v>
      </c>
      <c r="G534" s="8">
        <f>G533+H534</f>
        <v>0</v>
      </c>
      <c r="H534" s="8">
        <f>IF($D534="VISA",$C534,0)</f>
        <v>0</v>
      </c>
      <c r="I534" s="8">
        <f>I533+J534</f>
        <v>0</v>
      </c>
      <c r="J534" s="8">
        <f>IF($D534="ACC",$C534,0)</f>
        <v>0</v>
      </c>
      <c r="K534" s="8">
        <f>K533+L534</f>
        <v>0</v>
      </c>
      <c r="L534" s="8">
        <f>IF($D534="CBB",$C534,0)</f>
        <v>0</v>
      </c>
    </row>
    <row r="535" spans="1:12" x14ac:dyDescent="0.25">
      <c r="A535" s="6">
        <v>41730</v>
      </c>
      <c r="B535" t="s">
        <v>58</v>
      </c>
      <c r="C535" s="7">
        <v>-200</v>
      </c>
      <c r="D535" t="s">
        <v>6</v>
      </c>
      <c r="E535" s="8">
        <f>E534+F535</f>
        <v>28070</v>
      </c>
      <c r="F535" s="8">
        <f>IF($D535="CR01",$C535,0)</f>
        <v>-200</v>
      </c>
      <c r="G535" s="8">
        <f>G534+H535</f>
        <v>0</v>
      </c>
      <c r="H535" s="8">
        <f>IF($D535="VISA",$C535,0)</f>
        <v>0</v>
      </c>
      <c r="I535" s="8">
        <f>I534+J535</f>
        <v>0</v>
      </c>
      <c r="J535" s="8">
        <f>IF($D535="ACC",$C535,0)</f>
        <v>0</v>
      </c>
      <c r="K535" s="8">
        <f>K534+L535</f>
        <v>0</v>
      </c>
      <c r="L535" s="8">
        <f>IF($D535="CBB",$C535,0)</f>
        <v>0</v>
      </c>
    </row>
    <row r="536" spans="1:12" x14ac:dyDescent="0.25">
      <c r="A536" s="6">
        <v>41730</v>
      </c>
      <c r="B536" t="s">
        <v>60</v>
      </c>
      <c r="C536" s="7">
        <v>-400</v>
      </c>
      <c r="D536" t="s">
        <v>6</v>
      </c>
      <c r="E536" s="8">
        <f>E535+F536</f>
        <v>27670</v>
      </c>
      <c r="F536" s="8">
        <f>IF($D536="CR01",$C536,0)</f>
        <v>-400</v>
      </c>
      <c r="G536" s="8">
        <f>G535+H536</f>
        <v>0</v>
      </c>
      <c r="H536" s="8">
        <f>IF($D536="VISA",$C536,0)</f>
        <v>0</v>
      </c>
      <c r="I536" s="8">
        <f>I535+J536</f>
        <v>0</v>
      </c>
      <c r="J536" s="8">
        <f>IF($D536="ACC",$C536,0)</f>
        <v>0</v>
      </c>
      <c r="K536" s="8">
        <f>K535+L536</f>
        <v>0</v>
      </c>
      <c r="L536" s="8">
        <f>IF($D536="CBB",$C536,0)</f>
        <v>0</v>
      </c>
    </row>
    <row r="537" spans="1:12" x14ac:dyDescent="0.25">
      <c r="A537" s="6">
        <v>41730</v>
      </c>
      <c r="B537" t="s">
        <v>61</v>
      </c>
      <c r="C537" s="7">
        <v>-300</v>
      </c>
      <c r="D537" t="s">
        <v>6</v>
      </c>
      <c r="E537" s="8">
        <f>E536+F537</f>
        <v>27370</v>
      </c>
      <c r="F537" s="8">
        <f>IF($D537="CR01",$C537,0)</f>
        <v>-300</v>
      </c>
      <c r="G537" s="8">
        <f>G536+H537</f>
        <v>0</v>
      </c>
      <c r="H537" s="8">
        <f>IF($D537="VISA",$C537,0)</f>
        <v>0</v>
      </c>
      <c r="I537" s="8">
        <f>I536+J537</f>
        <v>0</v>
      </c>
      <c r="J537" s="8">
        <f>IF($D537="ACC",$C537,0)</f>
        <v>0</v>
      </c>
      <c r="K537" s="8">
        <f>K536+L537</f>
        <v>0</v>
      </c>
      <c r="L537" s="8">
        <f>IF($D537="CBB",$C537,0)</f>
        <v>0</v>
      </c>
    </row>
    <row r="538" spans="1:12" x14ac:dyDescent="0.25">
      <c r="A538" s="6">
        <v>41730</v>
      </c>
      <c r="B538" t="s">
        <v>64</v>
      </c>
      <c r="C538" s="7">
        <v>-26</v>
      </c>
      <c r="D538" t="s">
        <v>6</v>
      </c>
      <c r="E538" s="8">
        <f>E537+F538</f>
        <v>27344</v>
      </c>
      <c r="F538" s="8">
        <f>IF($D538="CR01",$C538,0)</f>
        <v>-26</v>
      </c>
      <c r="G538" s="8">
        <f>G537+H538</f>
        <v>0</v>
      </c>
      <c r="H538" s="8">
        <f>IF($D538="VISA",$C538,0)</f>
        <v>0</v>
      </c>
      <c r="I538" s="8">
        <f>I537+J538</f>
        <v>0</v>
      </c>
      <c r="J538" s="8">
        <f>IF($D538="ACC",$C538,0)</f>
        <v>0</v>
      </c>
      <c r="K538" s="8">
        <f>K537+L538</f>
        <v>0</v>
      </c>
      <c r="L538" s="8">
        <f>IF($D538="CBB",$C538,0)</f>
        <v>0</v>
      </c>
    </row>
    <row r="539" spans="1:12" x14ac:dyDescent="0.25">
      <c r="A539" s="6">
        <v>41730</v>
      </c>
      <c r="B539" t="s">
        <v>65</v>
      </c>
      <c r="C539" s="7">
        <v>-240</v>
      </c>
      <c r="D539" t="s">
        <v>6</v>
      </c>
      <c r="E539" s="8">
        <f>E538+F539</f>
        <v>27104</v>
      </c>
      <c r="F539" s="8">
        <f>IF($D539="CR01",$C539,0)</f>
        <v>-240</v>
      </c>
      <c r="G539" s="8">
        <f>G538+H539</f>
        <v>0</v>
      </c>
      <c r="H539" s="8">
        <f>IF($D539="VISA",$C539,0)</f>
        <v>0</v>
      </c>
      <c r="I539" s="8">
        <f>I538+J539</f>
        <v>0</v>
      </c>
      <c r="J539" s="8">
        <f>IF($D539="ACC",$C539,0)</f>
        <v>0</v>
      </c>
      <c r="K539" s="8">
        <f>K538+L539</f>
        <v>0</v>
      </c>
      <c r="L539" s="8">
        <f>IF($D539="CBB",$C539,0)</f>
        <v>0</v>
      </c>
    </row>
    <row r="540" spans="1:12" x14ac:dyDescent="0.25">
      <c r="A540" s="6">
        <v>41730</v>
      </c>
      <c r="B540" t="s">
        <v>66</v>
      </c>
      <c r="C540" s="7">
        <v>-120</v>
      </c>
      <c r="D540" t="s">
        <v>6</v>
      </c>
      <c r="E540" s="8">
        <f>E539+F540</f>
        <v>26984</v>
      </c>
      <c r="F540" s="8">
        <f>IF($D540="CR01",$C540,0)</f>
        <v>-120</v>
      </c>
      <c r="G540" s="8">
        <f>G539+H540</f>
        <v>0</v>
      </c>
      <c r="H540" s="8">
        <f>IF($D540="VISA",$C540,0)</f>
        <v>0</v>
      </c>
      <c r="I540" s="8">
        <f>I539+J540</f>
        <v>0</v>
      </c>
      <c r="J540" s="8">
        <f>IF($D540="ACC",$C540,0)</f>
        <v>0</v>
      </c>
      <c r="K540" s="8">
        <f>K539+L540</f>
        <v>0</v>
      </c>
      <c r="L540" s="8">
        <f>IF($D540="CBB",$C540,0)</f>
        <v>0</v>
      </c>
    </row>
    <row r="541" spans="1:12" x14ac:dyDescent="0.25">
      <c r="A541" s="6">
        <v>41731</v>
      </c>
      <c r="B541" t="s">
        <v>47</v>
      </c>
      <c r="C541" s="7">
        <v>-120</v>
      </c>
      <c r="D541" t="s">
        <v>6</v>
      </c>
      <c r="E541" s="8">
        <f>E540+F541</f>
        <v>26864</v>
      </c>
      <c r="F541" s="8">
        <f>IF($D541="CR01",$C541,0)</f>
        <v>-120</v>
      </c>
      <c r="G541" s="8">
        <f>G540+H541</f>
        <v>0</v>
      </c>
      <c r="H541" s="8">
        <f>IF($D541="VISA",$C541,0)</f>
        <v>0</v>
      </c>
      <c r="I541" s="8">
        <f>I540+J541</f>
        <v>0</v>
      </c>
      <c r="J541" s="8">
        <f>IF($D541="ACC",$C541,0)</f>
        <v>0</v>
      </c>
      <c r="K541" s="8">
        <f>K540+L541</f>
        <v>0</v>
      </c>
      <c r="L541" s="8">
        <f>IF($D541="CBB",$C541,0)</f>
        <v>0</v>
      </c>
    </row>
    <row r="542" spans="1:12" x14ac:dyDescent="0.25">
      <c r="A542" s="6">
        <v>41731</v>
      </c>
      <c r="B542" t="s">
        <v>59</v>
      </c>
      <c r="C542" s="7">
        <v>-900</v>
      </c>
      <c r="D542" t="s">
        <v>6</v>
      </c>
      <c r="E542" s="8">
        <f>E541+F542</f>
        <v>25964</v>
      </c>
      <c r="F542" s="8">
        <f>IF($D542="CR01",$C542,0)</f>
        <v>-900</v>
      </c>
      <c r="G542" s="8">
        <f>G541+H542</f>
        <v>0</v>
      </c>
      <c r="H542" s="8">
        <f>IF($D542="VISA",$C542,0)</f>
        <v>0</v>
      </c>
      <c r="I542" s="8">
        <f>I541+J542</f>
        <v>0</v>
      </c>
      <c r="J542" s="8">
        <f>IF($D542="ACC",$C542,0)</f>
        <v>0</v>
      </c>
      <c r="K542" s="8">
        <f>K541+L542</f>
        <v>0</v>
      </c>
      <c r="L542" s="8">
        <f>IF($D542="CBB",$C542,0)</f>
        <v>0</v>
      </c>
    </row>
    <row r="543" spans="1:12" x14ac:dyDescent="0.25">
      <c r="A543" s="6">
        <v>41732</v>
      </c>
      <c r="B543" t="s">
        <v>44</v>
      </c>
      <c r="C543" s="7">
        <v>-400</v>
      </c>
      <c r="D543" t="s">
        <v>6</v>
      </c>
      <c r="E543" s="8">
        <f>E542+F543</f>
        <v>25564</v>
      </c>
      <c r="F543" s="8">
        <f>IF($D543="CR01",$C543,0)</f>
        <v>-400</v>
      </c>
      <c r="G543" s="8">
        <f>G542+H543</f>
        <v>0</v>
      </c>
      <c r="H543" s="8">
        <f>IF($D543="VISA",$C543,0)</f>
        <v>0</v>
      </c>
      <c r="I543" s="8">
        <f>I542+J543</f>
        <v>0</v>
      </c>
      <c r="J543" s="8">
        <f>IF($D543="ACC",$C543,0)</f>
        <v>0</v>
      </c>
      <c r="K543" s="8">
        <f>K542+L543</f>
        <v>0</v>
      </c>
      <c r="L543" s="8">
        <f>IF($D543="CBB",$C543,0)</f>
        <v>0</v>
      </c>
    </row>
    <row r="544" spans="1:12" x14ac:dyDescent="0.25">
      <c r="A544" s="6">
        <v>41732</v>
      </c>
      <c r="B544" t="s">
        <v>45</v>
      </c>
      <c r="C544" s="7">
        <v>-180</v>
      </c>
      <c r="D544" t="s">
        <v>6</v>
      </c>
      <c r="E544" s="8">
        <f>E543+F544</f>
        <v>25384</v>
      </c>
      <c r="F544" s="8">
        <f>IF($D544="CR01",$C544,0)</f>
        <v>-180</v>
      </c>
      <c r="G544" s="8">
        <f>G543+H544</f>
        <v>0</v>
      </c>
      <c r="H544" s="8">
        <f>IF($D544="VISA",$C544,0)</f>
        <v>0</v>
      </c>
      <c r="I544" s="8">
        <f>I543+J544</f>
        <v>0</v>
      </c>
      <c r="J544" s="8">
        <f>IF($D544="ACC",$C544,0)</f>
        <v>0</v>
      </c>
      <c r="K544" s="8">
        <f>K543+L544</f>
        <v>0</v>
      </c>
      <c r="L544" s="8">
        <f>IF($D544="CBB",$C544,0)</f>
        <v>0</v>
      </c>
    </row>
    <row r="545" spans="1:12" x14ac:dyDescent="0.25">
      <c r="A545" s="6">
        <v>41732</v>
      </c>
      <c r="B545" t="s">
        <v>46</v>
      </c>
      <c r="C545" s="7">
        <v>-300</v>
      </c>
      <c r="D545" t="s">
        <v>6</v>
      </c>
      <c r="E545" s="8">
        <f>E544+F545</f>
        <v>25084</v>
      </c>
      <c r="F545" s="8">
        <f>IF($D545="CR01",$C545,0)</f>
        <v>-300</v>
      </c>
      <c r="G545" s="8">
        <f>G544+H545</f>
        <v>0</v>
      </c>
      <c r="H545" s="8">
        <f>IF($D545="VISA",$C545,0)</f>
        <v>0</v>
      </c>
      <c r="I545" s="8">
        <f>I544+J545</f>
        <v>0</v>
      </c>
      <c r="J545" s="8">
        <f>IF($D545="ACC",$C545,0)</f>
        <v>0</v>
      </c>
      <c r="K545" s="8">
        <f>K544+L545</f>
        <v>0</v>
      </c>
      <c r="L545" s="8">
        <f>IF($D545="CBB",$C545,0)</f>
        <v>0</v>
      </c>
    </row>
    <row r="546" spans="1:12" x14ac:dyDescent="0.25">
      <c r="A546" s="6">
        <v>41734</v>
      </c>
      <c r="B546" t="s">
        <v>67</v>
      </c>
      <c r="C546" s="7">
        <v>3600</v>
      </c>
      <c r="D546" t="s">
        <v>6</v>
      </c>
      <c r="E546" s="8">
        <f>E545+F546</f>
        <v>28684</v>
      </c>
      <c r="F546" s="8">
        <f>IF($D546="CR01",$C546,0)</f>
        <v>3600</v>
      </c>
      <c r="G546" s="8">
        <f>G545+H546</f>
        <v>0</v>
      </c>
      <c r="H546" s="8">
        <f>IF($D546="VISA",$C546,0)</f>
        <v>0</v>
      </c>
      <c r="I546" s="8">
        <f>I545+J546</f>
        <v>0</v>
      </c>
      <c r="J546" s="8">
        <f>IF($D546="ACC",$C546,0)</f>
        <v>0</v>
      </c>
      <c r="K546" s="8">
        <f>K545+L546</f>
        <v>0</v>
      </c>
      <c r="L546" s="8">
        <f>IF($D546="CBB",$C546,0)</f>
        <v>0</v>
      </c>
    </row>
    <row r="547" spans="1:12" x14ac:dyDescent="0.25">
      <c r="A547" s="6">
        <v>41737</v>
      </c>
      <c r="B547" t="s">
        <v>42</v>
      </c>
      <c r="C547" s="7">
        <v>-2806</v>
      </c>
      <c r="D547" t="s">
        <v>6</v>
      </c>
      <c r="E547" s="8">
        <f>E546+F547</f>
        <v>25878</v>
      </c>
      <c r="F547" s="8">
        <f>IF($D547="CR01",$C547,0)</f>
        <v>-2806</v>
      </c>
      <c r="G547" s="8">
        <f>G546+H547</f>
        <v>0</v>
      </c>
      <c r="H547" s="8">
        <f>IF($D547="VISA",$C547,0)</f>
        <v>0</v>
      </c>
      <c r="I547" s="8">
        <f>I546+J547</f>
        <v>0</v>
      </c>
      <c r="J547" s="8">
        <f>IF($D547="ACC",$C547,0)</f>
        <v>0</v>
      </c>
      <c r="K547" s="8">
        <f>K546+L547</f>
        <v>0</v>
      </c>
      <c r="L547" s="8">
        <f>IF($D547="CBB",$C547,0)</f>
        <v>0</v>
      </c>
    </row>
    <row r="548" spans="1:12" x14ac:dyDescent="0.25">
      <c r="A548" s="6">
        <v>41737</v>
      </c>
      <c r="B548" t="s">
        <v>48</v>
      </c>
      <c r="C548" s="7">
        <v>-100</v>
      </c>
      <c r="D548" t="s">
        <v>6</v>
      </c>
      <c r="E548" s="8">
        <f>E547+F548</f>
        <v>25778</v>
      </c>
      <c r="F548" s="8">
        <f>IF($D548="CR01",$C548,0)</f>
        <v>-100</v>
      </c>
      <c r="G548" s="8">
        <f>G547+H548</f>
        <v>0</v>
      </c>
      <c r="H548" s="8">
        <f>IF($D548="VISA",$C548,0)</f>
        <v>0</v>
      </c>
      <c r="I548" s="8">
        <f>I547+J548</f>
        <v>0</v>
      </c>
      <c r="J548" s="8">
        <f>IF($D548="ACC",$C548,0)</f>
        <v>0</v>
      </c>
      <c r="K548" s="8">
        <f>K547+L548</f>
        <v>0</v>
      </c>
      <c r="L548" s="8">
        <f>IF($D548="CBB",$C548,0)</f>
        <v>0</v>
      </c>
    </row>
    <row r="549" spans="1:12" x14ac:dyDescent="0.25">
      <c r="A549" s="6">
        <v>41738</v>
      </c>
      <c r="B549" t="s">
        <v>47</v>
      </c>
      <c r="C549" s="7">
        <v>-120</v>
      </c>
      <c r="D549" t="s">
        <v>6</v>
      </c>
      <c r="E549" s="8">
        <f>E548+F549</f>
        <v>25658</v>
      </c>
      <c r="F549" s="8">
        <f>IF($D549="CR01",$C549,0)</f>
        <v>-120</v>
      </c>
      <c r="G549" s="8">
        <f>G548+H549</f>
        <v>0</v>
      </c>
      <c r="H549" s="8">
        <f>IF($D549="VISA",$C549,0)</f>
        <v>0</v>
      </c>
      <c r="I549" s="8">
        <f>I548+J549</f>
        <v>0</v>
      </c>
      <c r="J549" s="8">
        <f>IF($D549="ACC",$C549,0)</f>
        <v>0</v>
      </c>
      <c r="K549" s="8">
        <f>K548+L549</f>
        <v>0</v>
      </c>
      <c r="L549" s="8">
        <f>IF($D549="CBB",$C549,0)</f>
        <v>0</v>
      </c>
    </row>
    <row r="550" spans="1:12" x14ac:dyDescent="0.25">
      <c r="A550" s="6">
        <v>41739</v>
      </c>
      <c r="B550" t="s">
        <v>44</v>
      </c>
      <c r="C550" s="7">
        <v>-400</v>
      </c>
      <c r="D550" t="s">
        <v>6</v>
      </c>
      <c r="E550" s="8">
        <f>E549+F550</f>
        <v>25258</v>
      </c>
      <c r="F550" s="8">
        <f>IF($D550="CR01",$C550,0)</f>
        <v>-400</v>
      </c>
      <c r="G550" s="8">
        <f>G549+H550</f>
        <v>0</v>
      </c>
      <c r="H550" s="8">
        <f>IF($D550="VISA",$C550,0)</f>
        <v>0</v>
      </c>
      <c r="I550" s="8">
        <f>I549+J550</f>
        <v>0</v>
      </c>
      <c r="J550" s="8">
        <f>IF($D550="ACC",$C550,0)</f>
        <v>0</v>
      </c>
      <c r="K550" s="8">
        <f>K549+L550</f>
        <v>0</v>
      </c>
      <c r="L550" s="8">
        <f>IF($D550="CBB",$C550,0)</f>
        <v>0</v>
      </c>
    </row>
    <row r="551" spans="1:12" x14ac:dyDescent="0.25">
      <c r="A551" s="6">
        <v>41739</v>
      </c>
      <c r="B551" t="s">
        <v>45</v>
      </c>
      <c r="C551" s="7">
        <v>-180</v>
      </c>
      <c r="D551" t="s">
        <v>6</v>
      </c>
      <c r="E551" s="8">
        <f>E550+F551</f>
        <v>25078</v>
      </c>
      <c r="F551" s="8">
        <f>IF($D551="CR01",$C551,0)</f>
        <v>-180</v>
      </c>
      <c r="G551" s="8">
        <f>G550+H551</f>
        <v>0</v>
      </c>
      <c r="H551" s="8">
        <f>IF($D551="VISA",$C551,0)</f>
        <v>0</v>
      </c>
      <c r="I551" s="8">
        <f>I550+J551</f>
        <v>0</v>
      </c>
      <c r="J551" s="8">
        <f>IF($D551="ACC",$C551,0)</f>
        <v>0</v>
      </c>
      <c r="K551" s="8">
        <f>K550+L551</f>
        <v>0</v>
      </c>
      <c r="L551" s="8">
        <f>IF($D551="CBB",$C551,0)</f>
        <v>0</v>
      </c>
    </row>
    <row r="552" spans="1:12" x14ac:dyDescent="0.25">
      <c r="A552" s="6">
        <v>41739</v>
      </c>
      <c r="B552" t="s">
        <v>46</v>
      </c>
      <c r="C552" s="7">
        <v>-300</v>
      </c>
      <c r="D552" t="s">
        <v>6</v>
      </c>
      <c r="E552" s="8">
        <f>E551+F552</f>
        <v>24778</v>
      </c>
      <c r="F552" s="8">
        <f>IF($D552="CR01",$C552,0)</f>
        <v>-300</v>
      </c>
      <c r="G552" s="8">
        <f>G551+H552</f>
        <v>0</v>
      </c>
      <c r="H552" s="8">
        <f>IF($D552="VISA",$C552,0)</f>
        <v>0</v>
      </c>
      <c r="I552" s="8">
        <f>I551+J552</f>
        <v>0</v>
      </c>
      <c r="J552" s="8">
        <f>IF($D552="ACC",$C552,0)</f>
        <v>0</v>
      </c>
      <c r="K552" s="8">
        <f>K551+L552</f>
        <v>0</v>
      </c>
      <c r="L552" s="8">
        <f>IF($D552="CBB",$C552,0)</f>
        <v>0</v>
      </c>
    </row>
    <row r="553" spans="1:12" x14ac:dyDescent="0.25">
      <c r="A553" s="6">
        <v>41740</v>
      </c>
      <c r="B553" t="s">
        <v>43</v>
      </c>
      <c r="C553" s="7">
        <v>3226</v>
      </c>
      <c r="D553" t="s">
        <v>6</v>
      </c>
      <c r="E553" s="8">
        <f>E552+F553</f>
        <v>28004</v>
      </c>
      <c r="F553" s="8">
        <f>IF($D553="CR01",$C553,0)</f>
        <v>3226</v>
      </c>
      <c r="G553" s="8">
        <f>G552+H553</f>
        <v>0</v>
      </c>
      <c r="H553" s="8">
        <f>IF($D553="VISA",$C553,0)</f>
        <v>0</v>
      </c>
      <c r="I553" s="8">
        <f>I552+J553</f>
        <v>0</v>
      </c>
      <c r="J553" s="8">
        <f>IF($D553="ACC",$C553,0)</f>
        <v>0</v>
      </c>
      <c r="K553" s="8">
        <f>K552+L553</f>
        <v>0</v>
      </c>
      <c r="L553" s="8">
        <f>IF($D553="CBB",$C553,0)</f>
        <v>0</v>
      </c>
    </row>
    <row r="554" spans="1:12" x14ac:dyDescent="0.25">
      <c r="A554" s="6">
        <v>41744</v>
      </c>
      <c r="B554" t="s">
        <v>48</v>
      </c>
      <c r="C554" s="7">
        <v>-100</v>
      </c>
      <c r="D554" t="s">
        <v>6</v>
      </c>
      <c r="E554" s="8">
        <f>E553+F554</f>
        <v>27904</v>
      </c>
      <c r="F554" s="8">
        <f>IF($D554="CR01",$C554,0)</f>
        <v>-100</v>
      </c>
      <c r="G554" s="8">
        <f>G553+H554</f>
        <v>0</v>
      </c>
      <c r="H554" s="8">
        <f>IF($D554="VISA",$C554,0)</f>
        <v>0</v>
      </c>
      <c r="I554" s="8">
        <f>I553+J554</f>
        <v>0</v>
      </c>
      <c r="J554" s="8">
        <f>IF($D554="ACC",$C554,0)</f>
        <v>0</v>
      </c>
      <c r="K554" s="8">
        <f>K553+L554</f>
        <v>0</v>
      </c>
      <c r="L554" s="8">
        <f>IF($D554="CBB",$C554,0)</f>
        <v>0</v>
      </c>
    </row>
    <row r="555" spans="1:12" x14ac:dyDescent="0.25">
      <c r="A555" s="6">
        <v>41745</v>
      </c>
      <c r="B555" t="s">
        <v>47</v>
      </c>
      <c r="C555" s="7">
        <v>-120</v>
      </c>
      <c r="D555" t="s">
        <v>6</v>
      </c>
      <c r="E555" s="8">
        <f>E554+F555</f>
        <v>27784</v>
      </c>
      <c r="F555" s="8">
        <f>IF($D555="CR01",$C555,0)</f>
        <v>-120</v>
      </c>
      <c r="G555" s="8">
        <f>G554+H555</f>
        <v>0</v>
      </c>
      <c r="H555" s="8">
        <f>IF($D555="VISA",$C555,0)</f>
        <v>0</v>
      </c>
      <c r="I555" s="8">
        <f>I554+J555</f>
        <v>0</v>
      </c>
      <c r="J555" s="8">
        <f>IF($D555="ACC",$C555,0)</f>
        <v>0</v>
      </c>
      <c r="K555" s="8">
        <f>K554+L555</f>
        <v>0</v>
      </c>
      <c r="L555" s="8">
        <f>IF($D555="CBB",$C555,0)</f>
        <v>0</v>
      </c>
    </row>
    <row r="556" spans="1:12" x14ac:dyDescent="0.25">
      <c r="A556" s="6">
        <v>41746</v>
      </c>
      <c r="B556" t="s">
        <v>44</v>
      </c>
      <c r="C556" s="7">
        <v>-400</v>
      </c>
      <c r="D556" t="s">
        <v>6</v>
      </c>
      <c r="E556" s="8">
        <f>E555+F556</f>
        <v>27384</v>
      </c>
      <c r="F556" s="8">
        <f>IF($D556="CR01",$C556,0)</f>
        <v>-400</v>
      </c>
      <c r="G556" s="8">
        <f>G555+H556</f>
        <v>0</v>
      </c>
      <c r="H556" s="8">
        <f>IF($D556="VISA",$C556,0)</f>
        <v>0</v>
      </c>
      <c r="I556" s="8">
        <f>I555+J556</f>
        <v>0</v>
      </c>
      <c r="J556" s="8">
        <f>IF($D556="ACC",$C556,0)</f>
        <v>0</v>
      </c>
      <c r="K556" s="8">
        <f>K555+L556</f>
        <v>0</v>
      </c>
      <c r="L556" s="8">
        <f>IF($D556="CBB",$C556,0)</f>
        <v>0</v>
      </c>
    </row>
    <row r="557" spans="1:12" x14ac:dyDescent="0.25">
      <c r="A557" s="6">
        <v>41746</v>
      </c>
      <c r="B557" t="s">
        <v>45</v>
      </c>
      <c r="C557" s="7">
        <v>-180</v>
      </c>
      <c r="D557" t="s">
        <v>6</v>
      </c>
      <c r="E557" s="8">
        <f>E556+F557</f>
        <v>27204</v>
      </c>
      <c r="F557" s="8">
        <f>IF($D557="CR01",$C557,0)</f>
        <v>-180</v>
      </c>
      <c r="G557" s="8">
        <f>G556+H557</f>
        <v>0</v>
      </c>
      <c r="H557" s="8">
        <f>IF($D557="VISA",$C557,0)</f>
        <v>0</v>
      </c>
      <c r="I557" s="8">
        <f>I556+J557</f>
        <v>0</v>
      </c>
      <c r="J557" s="8">
        <f>IF($D557="ACC",$C557,0)</f>
        <v>0</v>
      </c>
      <c r="K557" s="8">
        <f>K556+L557</f>
        <v>0</v>
      </c>
      <c r="L557" s="8">
        <f>IF($D557="CBB",$C557,0)</f>
        <v>0</v>
      </c>
    </row>
    <row r="558" spans="1:12" x14ac:dyDescent="0.25">
      <c r="A558" s="6">
        <v>41746</v>
      </c>
      <c r="B558" t="s">
        <v>46</v>
      </c>
      <c r="C558" s="7">
        <v>-300</v>
      </c>
      <c r="D558" t="s">
        <v>6</v>
      </c>
      <c r="E558" s="8">
        <f>E557+F558</f>
        <v>26904</v>
      </c>
      <c r="F558" s="8">
        <f>IF($D558="CR01",$C558,0)</f>
        <v>-300</v>
      </c>
      <c r="G558" s="8">
        <f>G557+H558</f>
        <v>0</v>
      </c>
      <c r="H558" s="8">
        <f>IF($D558="VISA",$C558,0)</f>
        <v>0</v>
      </c>
      <c r="I558" s="8">
        <f>I557+J558</f>
        <v>0</v>
      </c>
      <c r="J558" s="8">
        <f>IF($D558="ACC",$C558,0)</f>
        <v>0</v>
      </c>
      <c r="K558" s="8">
        <f>K557+L558</f>
        <v>0</v>
      </c>
      <c r="L558" s="8">
        <f>IF($D558="CBB",$C558,0)</f>
        <v>0</v>
      </c>
    </row>
    <row r="559" spans="1:12" x14ac:dyDescent="0.25">
      <c r="A559" s="6">
        <v>41748</v>
      </c>
      <c r="B559" t="s">
        <v>67</v>
      </c>
      <c r="C559" s="7">
        <v>3600</v>
      </c>
      <c r="D559" t="s">
        <v>6</v>
      </c>
      <c r="E559" s="8">
        <f>E558+F559</f>
        <v>30504</v>
      </c>
      <c r="F559" s="8">
        <f>IF($D559="CR01",$C559,0)</f>
        <v>3600</v>
      </c>
      <c r="G559" s="8">
        <f>G558+H559</f>
        <v>0</v>
      </c>
      <c r="H559" s="8">
        <f>IF($D559="VISA",$C559,0)</f>
        <v>0</v>
      </c>
      <c r="I559" s="8">
        <f>I558+J559</f>
        <v>0</v>
      </c>
      <c r="J559" s="8">
        <f>IF($D559="ACC",$C559,0)</f>
        <v>0</v>
      </c>
      <c r="K559" s="8">
        <f>K558+L559</f>
        <v>0</v>
      </c>
      <c r="L559" s="8">
        <f>IF($D559="CBB",$C559,0)</f>
        <v>0</v>
      </c>
    </row>
    <row r="560" spans="1:12" x14ac:dyDescent="0.25">
      <c r="A560" s="6">
        <v>41751</v>
      </c>
      <c r="B560" t="s">
        <v>42</v>
      </c>
      <c r="C560" s="7">
        <v>-2806</v>
      </c>
      <c r="D560" t="s">
        <v>6</v>
      </c>
      <c r="E560" s="8">
        <f>E559+F560</f>
        <v>27698</v>
      </c>
      <c r="F560" s="8">
        <f>IF($D560="CR01",$C560,0)</f>
        <v>-2806</v>
      </c>
      <c r="G560" s="8">
        <f>G559+H560</f>
        <v>0</v>
      </c>
      <c r="H560" s="8">
        <f>IF($D560="VISA",$C560,0)</f>
        <v>0</v>
      </c>
      <c r="I560" s="8">
        <f>I559+J560</f>
        <v>0</v>
      </c>
      <c r="J560" s="8">
        <f>IF($D560="ACC",$C560,0)</f>
        <v>0</v>
      </c>
      <c r="K560" s="8">
        <f>K559+L560</f>
        <v>0</v>
      </c>
      <c r="L560" s="8">
        <f>IF($D560="CBB",$C560,0)</f>
        <v>0</v>
      </c>
    </row>
    <row r="561" spans="1:12" x14ac:dyDescent="0.25">
      <c r="A561" s="6">
        <v>41751</v>
      </c>
      <c r="B561" t="s">
        <v>48</v>
      </c>
      <c r="C561" s="7">
        <v>-100</v>
      </c>
      <c r="D561" t="s">
        <v>6</v>
      </c>
      <c r="E561" s="8">
        <f>E560+F561</f>
        <v>27598</v>
      </c>
      <c r="F561" s="8">
        <f>IF($D561="CR01",$C561,0)</f>
        <v>-100</v>
      </c>
      <c r="G561" s="8">
        <f>G560+H561</f>
        <v>0</v>
      </c>
      <c r="H561" s="8">
        <f>IF($D561="VISA",$C561,0)</f>
        <v>0</v>
      </c>
      <c r="I561" s="8">
        <f>I560+J561</f>
        <v>0</v>
      </c>
      <c r="J561" s="8">
        <f>IF($D561="ACC",$C561,0)</f>
        <v>0</v>
      </c>
      <c r="K561" s="8">
        <f>K560+L561</f>
        <v>0</v>
      </c>
      <c r="L561" s="8">
        <f>IF($D561="CBB",$C561,0)</f>
        <v>0</v>
      </c>
    </row>
    <row r="562" spans="1:12" x14ac:dyDescent="0.25">
      <c r="A562" s="6">
        <v>41752</v>
      </c>
      <c r="B562" t="s">
        <v>47</v>
      </c>
      <c r="C562" s="7">
        <v>-120</v>
      </c>
      <c r="D562" t="s">
        <v>6</v>
      </c>
      <c r="E562" s="8">
        <f>E561+F562</f>
        <v>27478</v>
      </c>
      <c r="F562" s="8">
        <f>IF($D562="CR01",$C562,0)</f>
        <v>-120</v>
      </c>
      <c r="G562" s="8">
        <f>G561+H562</f>
        <v>0</v>
      </c>
      <c r="H562" s="8">
        <f>IF($D562="VISA",$C562,0)</f>
        <v>0</v>
      </c>
      <c r="I562" s="8">
        <f>I561+J562</f>
        <v>0</v>
      </c>
      <c r="J562" s="8">
        <f>IF($D562="ACC",$C562,0)</f>
        <v>0</v>
      </c>
      <c r="K562" s="8">
        <f>K561+L562</f>
        <v>0</v>
      </c>
      <c r="L562" s="8">
        <f>IF($D562="CBB",$C562,0)</f>
        <v>0</v>
      </c>
    </row>
    <row r="563" spans="1:12" x14ac:dyDescent="0.25">
      <c r="A563" s="6">
        <v>41753</v>
      </c>
      <c r="B563" t="s">
        <v>44</v>
      </c>
      <c r="C563" s="7">
        <v>-400</v>
      </c>
      <c r="D563" t="s">
        <v>6</v>
      </c>
      <c r="E563" s="8">
        <f>E562+F563</f>
        <v>27078</v>
      </c>
      <c r="F563" s="8">
        <f>IF($D563="CR01",$C563,0)</f>
        <v>-400</v>
      </c>
      <c r="G563" s="8">
        <f>G562+H563</f>
        <v>0</v>
      </c>
      <c r="H563" s="8">
        <f>IF($D563="VISA",$C563,0)</f>
        <v>0</v>
      </c>
      <c r="I563" s="8">
        <f>I562+J563</f>
        <v>0</v>
      </c>
      <c r="J563" s="8">
        <f>IF($D563="ACC",$C563,0)</f>
        <v>0</v>
      </c>
      <c r="K563" s="8">
        <f>K562+L563</f>
        <v>0</v>
      </c>
      <c r="L563" s="8">
        <f>IF($D563="CBB",$C563,0)</f>
        <v>0</v>
      </c>
    </row>
    <row r="564" spans="1:12" x14ac:dyDescent="0.25">
      <c r="A564" s="6">
        <v>41753</v>
      </c>
      <c r="B564" t="s">
        <v>45</v>
      </c>
      <c r="C564" s="7">
        <v>-180</v>
      </c>
      <c r="D564" t="s">
        <v>6</v>
      </c>
      <c r="E564" s="8">
        <f>E563+F564</f>
        <v>26898</v>
      </c>
      <c r="F564" s="8">
        <f>IF($D564="CR01",$C564,0)</f>
        <v>-180</v>
      </c>
      <c r="G564" s="8">
        <f>G563+H564</f>
        <v>0</v>
      </c>
      <c r="H564" s="8">
        <f>IF($D564="VISA",$C564,0)</f>
        <v>0</v>
      </c>
      <c r="I564" s="8">
        <f>I563+J564</f>
        <v>0</v>
      </c>
      <c r="J564" s="8">
        <f>IF($D564="ACC",$C564,0)</f>
        <v>0</v>
      </c>
      <c r="K564" s="8">
        <f>K563+L564</f>
        <v>0</v>
      </c>
      <c r="L564" s="8">
        <f>IF($D564="CBB",$C564,0)</f>
        <v>0</v>
      </c>
    </row>
    <row r="565" spans="1:12" x14ac:dyDescent="0.25">
      <c r="A565" s="6">
        <v>41753</v>
      </c>
      <c r="B565" t="s">
        <v>46</v>
      </c>
      <c r="C565" s="7">
        <v>-300</v>
      </c>
      <c r="D565" t="s">
        <v>6</v>
      </c>
      <c r="E565" s="8">
        <f>E564+F565</f>
        <v>26598</v>
      </c>
      <c r="F565" s="8">
        <f>IF($D565="CR01",$C565,0)</f>
        <v>-300</v>
      </c>
      <c r="G565" s="8">
        <f>G564+H565</f>
        <v>0</v>
      </c>
      <c r="H565" s="8">
        <f>IF($D565="VISA",$C565,0)</f>
        <v>0</v>
      </c>
      <c r="I565" s="8">
        <f>I564+J565</f>
        <v>0</v>
      </c>
      <c r="J565" s="8">
        <f>IF($D565="ACC",$C565,0)</f>
        <v>0</v>
      </c>
      <c r="K565" s="8">
        <f>K564+L565</f>
        <v>0</v>
      </c>
      <c r="L565" s="8">
        <f>IF($D565="CBB",$C565,0)</f>
        <v>0</v>
      </c>
    </row>
    <row r="566" spans="1:12" x14ac:dyDescent="0.25">
      <c r="A566" s="6">
        <v>41754</v>
      </c>
      <c r="B566" t="s">
        <v>43</v>
      </c>
      <c r="C566" s="7">
        <v>3226</v>
      </c>
      <c r="D566" t="s">
        <v>6</v>
      </c>
      <c r="E566" s="8">
        <f>E565+F566</f>
        <v>29824</v>
      </c>
      <c r="F566" s="8">
        <f>IF($D566="CR01",$C566,0)</f>
        <v>3226</v>
      </c>
      <c r="G566" s="8">
        <f>G565+H566</f>
        <v>0</v>
      </c>
      <c r="H566" s="8">
        <f>IF($D566="VISA",$C566,0)</f>
        <v>0</v>
      </c>
      <c r="I566" s="8">
        <f>I565+J566</f>
        <v>0</v>
      </c>
      <c r="J566" s="8">
        <f>IF($D566="ACC",$C566,0)</f>
        <v>0</v>
      </c>
      <c r="K566" s="8">
        <f>K565+L566</f>
        <v>0</v>
      </c>
      <c r="L566" s="8">
        <f>IF($D566="CBB",$C566,0)</f>
        <v>0</v>
      </c>
    </row>
    <row r="567" spans="1:12" x14ac:dyDescent="0.25">
      <c r="A567" s="6">
        <v>41758</v>
      </c>
      <c r="B567" t="s">
        <v>48</v>
      </c>
      <c r="C567" s="7">
        <v>-100</v>
      </c>
      <c r="D567" t="s">
        <v>6</v>
      </c>
      <c r="E567" s="8">
        <f>E566+F567</f>
        <v>29724</v>
      </c>
      <c r="F567" s="8">
        <f>IF($D567="CR01",$C567,0)</f>
        <v>-100</v>
      </c>
      <c r="G567" s="8">
        <f>G566+H567</f>
        <v>0</v>
      </c>
      <c r="H567" s="8">
        <f>IF($D567="VISA",$C567,0)</f>
        <v>0</v>
      </c>
      <c r="I567" s="8">
        <f>I566+J567</f>
        <v>0</v>
      </c>
      <c r="J567" s="8">
        <f>IF($D567="ACC",$C567,0)</f>
        <v>0</v>
      </c>
      <c r="K567" s="8">
        <f>K566+L567</f>
        <v>0</v>
      </c>
      <c r="L567" s="8">
        <f>IF($D567="CBB",$C567,0)</f>
        <v>0</v>
      </c>
    </row>
    <row r="568" spans="1:12" x14ac:dyDescent="0.25">
      <c r="A568" s="6">
        <v>41759</v>
      </c>
      <c r="B568" t="s">
        <v>47</v>
      </c>
      <c r="C568" s="7">
        <v>-120</v>
      </c>
      <c r="D568" t="s">
        <v>6</v>
      </c>
      <c r="E568" s="8">
        <f>E567+F568</f>
        <v>29604</v>
      </c>
      <c r="F568" s="8">
        <f>IF($D568="CR01",$C568,0)</f>
        <v>-120</v>
      </c>
      <c r="G568" s="8">
        <f>G567+H568</f>
        <v>0</v>
      </c>
      <c r="H568" s="8">
        <f>IF($D568="VISA",$C568,0)</f>
        <v>0</v>
      </c>
      <c r="I568" s="8">
        <f>I567+J568</f>
        <v>0</v>
      </c>
      <c r="J568" s="8">
        <f>IF($D568="ACC",$C568,0)</f>
        <v>0</v>
      </c>
      <c r="K568" s="8">
        <f>K567+L568</f>
        <v>0</v>
      </c>
      <c r="L568" s="8">
        <f>IF($D568="CBB",$C568,0)</f>
        <v>0</v>
      </c>
    </row>
    <row r="569" spans="1:12" x14ac:dyDescent="0.25">
      <c r="A569" s="6">
        <v>41760</v>
      </c>
      <c r="B569" t="s">
        <v>44</v>
      </c>
      <c r="C569" s="7">
        <v>-400</v>
      </c>
      <c r="D569" t="s">
        <v>6</v>
      </c>
      <c r="E569" s="8">
        <f>E568+F569</f>
        <v>29204</v>
      </c>
      <c r="F569" s="8">
        <f>IF($D569="CR01",$C569,0)</f>
        <v>-400</v>
      </c>
      <c r="G569" s="8">
        <f>G568+H569</f>
        <v>0</v>
      </c>
      <c r="H569" s="8">
        <f>IF($D569="VISA",$C569,0)</f>
        <v>0</v>
      </c>
      <c r="I569" s="8">
        <f>I568+J569</f>
        <v>0</v>
      </c>
      <c r="J569" s="8">
        <f>IF($D569="ACC",$C569,0)</f>
        <v>0</v>
      </c>
      <c r="K569" s="8">
        <f>K568+L569</f>
        <v>0</v>
      </c>
      <c r="L569" s="8">
        <f>IF($D569="CBB",$C569,0)</f>
        <v>0</v>
      </c>
    </row>
    <row r="570" spans="1:12" x14ac:dyDescent="0.25">
      <c r="A570" s="6">
        <v>41760</v>
      </c>
      <c r="B570" t="s">
        <v>45</v>
      </c>
      <c r="C570" s="7">
        <v>-180</v>
      </c>
      <c r="D570" t="s">
        <v>6</v>
      </c>
      <c r="E570" s="8">
        <f>E569+F570</f>
        <v>29024</v>
      </c>
      <c r="F570" s="8">
        <f>IF($D570="CR01",$C570,0)</f>
        <v>-180</v>
      </c>
      <c r="G570" s="8">
        <f>G569+H570</f>
        <v>0</v>
      </c>
      <c r="H570" s="8">
        <f>IF($D570="VISA",$C570,0)</f>
        <v>0</v>
      </c>
      <c r="I570" s="8">
        <f>I569+J570</f>
        <v>0</v>
      </c>
      <c r="J570" s="8">
        <f>IF($D570="ACC",$C570,0)</f>
        <v>0</v>
      </c>
      <c r="K570" s="8">
        <f>K569+L570</f>
        <v>0</v>
      </c>
      <c r="L570" s="8">
        <f>IF($D570="CBB",$C570,0)</f>
        <v>0</v>
      </c>
    </row>
    <row r="571" spans="1:12" x14ac:dyDescent="0.25">
      <c r="A571" s="6">
        <v>41760</v>
      </c>
      <c r="B571" t="s">
        <v>46</v>
      </c>
      <c r="C571" s="7">
        <v>-300</v>
      </c>
      <c r="D571" t="s">
        <v>6</v>
      </c>
      <c r="E571" s="8">
        <f>E570+F571</f>
        <v>28724</v>
      </c>
      <c r="F571" s="8">
        <f>IF($D571="CR01",$C571,0)</f>
        <v>-300</v>
      </c>
      <c r="G571" s="8">
        <f>G570+H571</f>
        <v>0</v>
      </c>
      <c r="H571" s="8">
        <f>IF($D571="VISA",$C571,0)</f>
        <v>0</v>
      </c>
      <c r="I571" s="8">
        <f>I570+J571</f>
        <v>0</v>
      </c>
      <c r="J571" s="8">
        <f>IF($D571="ACC",$C571,0)</f>
        <v>0</v>
      </c>
      <c r="K571" s="8">
        <f>K570+L571</f>
        <v>0</v>
      </c>
      <c r="L571" s="8">
        <f>IF($D571="CBB",$C571,0)</f>
        <v>0</v>
      </c>
    </row>
    <row r="572" spans="1:12" x14ac:dyDescent="0.25">
      <c r="A572" s="6">
        <v>41760</v>
      </c>
      <c r="B572" t="s">
        <v>58</v>
      </c>
      <c r="C572" s="7">
        <v>-200</v>
      </c>
      <c r="D572" t="s">
        <v>6</v>
      </c>
      <c r="E572" s="8">
        <f>E571+F572</f>
        <v>28524</v>
      </c>
      <c r="F572" s="8">
        <f>IF($D572="CR01",$C572,0)</f>
        <v>-200</v>
      </c>
      <c r="G572" s="8">
        <f>G571+H572</f>
        <v>0</v>
      </c>
      <c r="H572" s="8">
        <f>IF($D572="VISA",$C572,0)</f>
        <v>0</v>
      </c>
      <c r="I572" s="8">
        <f>I571+J572</f>
        <v>0</v>
      </c>
      <c r="J572" s="8">
        <f>IF($D572="ACC",$C572,0)</f>
        <v>0</v>
      </c>
      <c r="K572" s="8">
        <f>K571+L572</f>
        <v>0</v>
      </c>
      <c r="L572" s="8">
        <f>IF($D572="CBB",$C572,0)</f>
        <v>0</v>
      </c>
    </row>
    <row r="573" spans="1:12" x14ac:dyDescent="0.25">
      <c r="A573" s="6">
        <v>41760</v>
      </c>
      <c r="B573" t="s">
        <v>60</v>
      </c>
      <c r="C573" s="7">
        <v>-400</v>
      </c>
      <c r="D573" t="s">
        <v>6</v>
      </c>
      <c r="E573" s="8">
        <f>E572+F573</f>
        <v>28124</v>
      </c>
      <c r="F573" s="8">
        <f>IF($D573="CR01",$C573,0)</f>
        <v>-400</v>
      </c>
      <c r="G573" s="8">
        <f>G572+H573</f>
        <v>0</v>
      </c>
      <c r="H573" s="8">
        <f>IF($D573="VISA",$C573,0)</f>
        <v>0</v>
      </c>
      <c r="I573" s="8">
        <f>I572+J573</f>
        <v>0</v>
      </c>
      <c r="J573" s="8">
        <f>IF($D573="ACC",$C573,0)</f>
        <v>0</v>
      </c>
      <c r="K573" s="8">
        <f>K572+L573</f>
        <v>0</v>
      </c>
      <c r="L573" s="8">
        <f>IF($D573="CBB",$C573,0)</f>
        <v>0</v>
      </c>
    </row>
    <row r="574" spans="1:12" x14ac:dyDescent="0.25">
      <c r="A574" s="6">
        <v>41760</v>
      </c>
      <c r="B574" t="s">
        <v>62</v>
      </c>
      <c r="C574" s="7">
        <v>-300</v>
      </c>
      <c r="D574" t="s">
        <v>6</v>
      </c>
      <c r="E574" s="8">
        <f>E573+F574</f>
        <v>27824</v>
      </c>
      <c r="F574" s="8">
        <f>IF($D574="CR01",$C574,0)</f>
        <v>-300</v>
      </c>
      <c r="G574" s="8">
        <f>G573+H574</f>
        <v>0</v>
      </c>
      <c r="H574" s="8">
        <f>IF($D574="VISA",$C574,0)</f>
        <v>0</v>
      </c>
      <c r="I574" s="8">
        <f>I573+J574</f>
        <v>0</v>
      </c>
      <c r="J574" s="8">
        <f>IF($D574="ACC",$C574,0)</f>
        <v>0</v>
      </c>
      <c r="K574" s="8">
        <f>K573+L574</f>
        <v>0</v>
      </c>
      <c r="L574" s="8">
        <f>IF($D574="CBB",$C574,0)</f>
        <v>0</v>
      </c>
    </row>
    <row r="575" spans="1:12" x14ac:dyDescent="0.25">
      <c r="A575" s="6">
        <v>41760</v>
      </c>
      <c r="B575" t="s">
        <v>63</v>
      </c>
      <c r="C575" s="7">
        <v>-300</v>
      </c>
      <c r="D575" t="s">
        <v>6</v>
      </c>
      <c r="E575" s="8">
        <f>E574+F575</f>
        <v>27524</v>
      </c>
      <c r="F575" s="8">
        <f>IF($D575="CR01",$C575,0)</f>
        <v>-300</v>
      </c>
      <c r="G575" s="8">
        <f>G574+H575</f>
        <v>0</v>
      </c>
      <c r="H575" s="8">
        <f>IF($D575="VISA",$C575,0)</f>
        <v>0</v>
      </c>
      <c r="I575" s="8">
        <f>I574+J575</f>
        <v>0</v>
      </c>
      <c r="J575" s="8">
        <f>IF($D575="ACC",$C575,0)</f>
        <v>0</v>
      </c>
      <c r="K575" s="8">
        <f>K574+L575</f>
        <v>0</v>
      </c>
      <c r="L575" s="8">
        <f>IF($D575="CBB",$C575,0)</f>
        <v>0</v>
      </c>
    </row>
    <row r="576" spans="1:12" x14ac:dyDescent="0.25">
      <c r="A576" s="6">
        <v>41760</v>
      </c>
      <c r="B576" t="s">
        <v>64</v>
      </c>
      <c r="C576" s="7">
        <v>-26</v>
      </c>
      <c r="D576" t="s">
        <v>6</v>
      </c>
      <c r="E576" s="8">
        <f>E575+F576</f>
        <v>27498</v>
      </c>
      <c r="F576" s="8">
        <f>IF($D576="CR01",$C576,0)</f>
        <v>-26</v>
      </c>
      <c r="G576" s="8">
        <f>G575+H576</f>
        <v>0</v>
      </c>
      <c r="H576" s="8">
        <f>IF($D576="VISA",$C576,0)</f>
        <v>0</v>
      </c>
      <c r="I576" s="8">
        <f>I575+J576</f>
        <v>0</v>
      </c>
      <c r="J576" s="8">
        <f>IF($D576="ACC",$C576,0)</f>
        <v>0</v>
      </c>
      <c r="K576" s="8">
        <f>K575+L576</f>
        <v>0</v>
      </c>
      <c r="L576" s="8">
        <f>IF($D576="CBB",$C576,0)</f>
        <v>0</v>
      </c>
    </row>
    <row r="577" spans="1:12" x14ac:dyDescent="0.25">
      <c r="A577" s="6">
        <v>41760</v>
      </c>
      <c r="B577" t="s">
        <v>65</v>
      </c>
      <c r="C577" s="7">
        <v>-240</v>
      </c>
      <c r="D577" t="s">
        <v>6</v>
      </c>
      <c r="E577" s="8">
        <f>E576+F577</f>
        <v>27258</v>
      </c>
      <c r="F577" s="8">
        <f>IF($D577="CR01",$C577,0)</f>
        <v>-240</v>
      </c>
      <c r="G577" s="8">
        <f>G576+H577</f>
        <v>0</v>
      </c>
      <c r="H577" s="8">
        <f>IF($D577="VISA",$C577,0)</f>
        <v>0</v>
      </c>
      <c r="I577" s="8">
        <f>I576+J577</f>
        <v>0</v>
      </c>
      <c r="J577" s="8">
        <f>IF($D577="ACC",$C577,0)</f>
        <v>0</v>
      </c>
      <c r="K577" s="8">
        <f>K576+L577</f>
        <v>0</v>
      </c>
      <c r="L577" s="8">
        <f>IF($D577="CBB",$C577,0)</f>
        <v>0</v>
      </c>
    </row>
    <row r="578" spans="1:12" x14ac:dyDescent="0.25">
      <c r="A578" s="6">
        <v>41760</v>
      </c>
      <c r="B578" t="s">
        <v>66</v>
      </c>
      <c r="C578" s="7">
        <v>-120</v>
      </c>
      <c r="D578" t="s">
        <v>6</v>
      </c>
      <c r="E578" s="8">
        <f>E577+F578</f>
        <v>27138</v>
      </c>
      <c r="F578" s="8">
        <f>IF($D578="CR01",$C578,0)</f>
        <v>-120</v>
      </c>
      <c r="G578" s="8">
        <f>G577+H578</f>
        <v>0</v>
      </c>
      <c r="H578" s="8">
        <f>IF($D578="VISA",$C578,0)</f>
        <v>0</v>
      </c>
      <c r="I578" s="8">
        <f>I577+J578</f>
        <v>0</v>
      </c>
      <c r="J578" s="8">
        <f>IF($D578="ACC",$C578,0)</f>
        <v>0</v>
      </c>
      <c r="K578" s="8">
        <f>K577+L578</f>
        <v>0</v>
      </c>
      <c r="L578" s="8">
        <f>IF($D578="CBB",$C578,0)</f>
        <v>0</v>
      </c>
    </row>
    <row r="579" spans="1:12" x14ac:dyDescent="0.25">
      <c r="A579" s="6">
        <v>41761</v>
      </c>
      <c r="B579" t="s">
        <v>59</v>
      </c>
      <c r="C579" s="7">
        <v>-900</v>
      </c>
      <c r="D579" t="s">
        <v>6</v>
      </c>
      <c r="E579" s="8">
        <f>E578+F579</f>
        <v>26238</v>
      </c>
      <c r="F579" s="8">
        <f>IF($D579="CR01",$C579,0)</f>
        <v>-900</v>
      </c>
      <c r="G579" s="8">
        <f>G578+H579</f>
        <v>0</v>
      </c>
      <c r="H579" s="8">
        <f>IF($D579="VISA",$C579,0)</f>
        <v>0</v>
      </c>
      <c r="I579" s="8">
        <f>I578+J579</f>
        <v>0</v>
      </c>
      <c r="J579" s="8">
        <f>IF($D579="ACC",$C579,0)</f>
        <v>0</v>
      </c>
      <c r="K579" s="8">
        <f>K578+L579</f>
        <v>0</v>
      </c>
      <c r="L579" s="8">
        <f>IF($D579="CBB",$C579,0)</f>
        <v>0</v>
      </c>
    </row>
    <row r="580" spans="1:12" x14ac:dyDescent="0.25">
      <c r="A580" s="6">
        <v>41762</v>
      </c>
      <c r="B580" t="s">
        <v>67</v>
      </c>
      <c r="C580" s="7">
        <v>3600</v>
      </c>
      <c r="D580" t="s">
        <v>6</v>
      </c>
      <c r="E580" s="8">
        <f>E579+F580</f>
        <v>29838</v>
      </c>
      <c r="F580" s="8">
        <f>IF($D580="CR01",$C580,0)</f>
        <v>3600</v>
      </c>
      <c r="G580" s="8">
        <f>G579+H580</f>
        <v>0</v>
      </c>
      <c r="H580" s="8">
        <f>IF($D580="VISA",$C580,0)</f>
        <v>0</v>
      </c>
      <c r="I580" s="8">
        <f>I579+J580</f>
        <v>0</v>
      </c>
      <c r="J580" s="8">
        <f>IF($D580="ACC",$C580,0)</f>
        <v>0</v>
      </c>
      <c r="K580" s="8">
        <f>K579+L580</f>
        <v>0</v>
      </c>
      <c r="L580" s="8">
        <f>IF($D580="CBB",$C580,0)</f>
        <v>0</v>
      </c>
    </row>
    <row r="581" spans="1:12" x14ac:dyDescent="0.25">
      <c r="A581" s="6">
        <v>41765</v>
      </c>
      <c r="B581" t="s">
        <v>42</v>
      </c>
      <c r="C581" s="7">
        <v>-2806</v>
      </c>
      <c r="D581" t="s">
        <v>6</v>
      </c>
      <c r="E581" s="8">
        <f>E580+F581</f>
        <v>27032</v>
      </c>
      <c r="F581" s="8">
        <f>IF($D581="CR01",$C581,0)</f>
        <v>-2806</v>
      </c>
      <c r="G581" s="8">
        <f>G580+H581</f>
        <v>0</v>
      </c>
      <c r="H581" s="8">
        <f>IF($D581="VISA",$C581,0)</f>
        <v>0</v>
      </c>
      <c r="I581" s="8">
        <f>I580+J581</f>
        <v>0</v>
      </c>
      <c r="J581" s="8">
        <f>IF($D581="ACC",$C581,0)</f>
        <v>0</v>
      </c>
      <c r="K581" s="8">
        <f>K580+L581</f>
        <v>0</v>
      </c>
      <c r="L581" s="8">
        <f>IF($D581="CBB",$C581,0)</f>
        <v>0</v>
      </c>
    </row>
    <row r="582" spans="1:12" x14ac:dyDescent="0.25">
      <c r="A582" s="6">
        <v>41765</v>
      </c>
      <c r="B582" t="s">
        <v>48</v>
      </c>
      <c r="C582" s="7">
        <v>-100</v>
      </c>
      <c r="D582" t="s">
        <v>6</v>
      </c>
      <c r="E582" s="8">
        <f>E581+F582</f>
        <v>26932</v>
      </c>
      <c r="F582" s="8">
        <f>IF($D582="CR01",$C582,0)</f>
        <v>-100</v>
      </c>
      <c r="G582" s="8">
        <f>G581+H582</f>
        <v>0</v>
      </c>
      <c r="H582" s="8">
        <f>IF($D582="VISA",$C582,0)</f>
        <v>0</v>
      </c>
      <c r="I582" s="8">
        <f>I581+J582</f>
        <v>0</v>
      </c>
      <c r="J582" s="8">
        <f>IF($D582="ACC",$C582,0)</f>
        <v>0</v>
      </c>
      <c r="K582" s="8">
        <f>K581+L582</f>
        <v>0</v>
      </c>
      <c r="L582" s="8">
        <f>IF($D582="CBB",$C582,0)</f>
        <v>0</v>
      </c>
    </row>
    <row r="583" spans="1:12" x14ac:dyDescent="0.25">
      <c r="A583" s="6">
        <v>41766</v>
      </c>
      <c r="B583" t="s">
        <v>47</v>
      </c>
      <c r="C583" s="7">
        <v>-120</v>
      </c>
      <c r="D583" t="s">
        <v>6</v>
      </c>
      <c r="E583" s="8">
        <f>E582+F583</f>
        <v>26812</v>
      </c>
      <c r="F583" s="8">
        <f>IF($D583="CR01",$C583,0)</f>
        <v>-120</v>
      </c>
      <c r="G583" s="8">
        <f>G582+H583</f>
        <v>0</v>
      </c>
      <c r="H583" s="8">
        <f>IF($D583="VISA",$C583,0)</f>
        <v>0</v>
      </c>
      <c r="I583" s="8">
        <f>I582+J583</f>
        <v>0</v>
      </c>
      <c r="J583" s="8">
        <f>IF($D583="ACC",$C583,0)</f>
        <v>0</v>
      </c>
      <c r="K583" s="8">
        <f>K582+L583</f>
        <v>0</v>
      </c>
      <c r="L583" s="8">
        <f>IF($D583="CBB",$C583,0)</f>
        <v>0</v>
      </c>
    </row>
    <row r="584" spans="1:12" x14ac:dyDescent="0.25">
      <c r="A584" s="6">
        <v>41767</v>
      </c>
      <c r="B584" t="s">
        <v>44</v>
      </c>
      <c r="C584" s="7">
        <v>-400</v>
      </c>
      <c r="D584" t="s">
        <v>6</v>
      </c>
      <c r="E584" s="8">
        <f>E583+F584</f>
        <v>26412</v>
      </c>
      <c r="F584" s="8">
        <f>IF($D584="CR01",$C584,0)</f>
        <v>-400</v>
      </c>
      <c r="G584" s="8">
        <f>G583+H584</f>
        <v>0</v>
      </c>
      <c r="H584" s="8">
        <f>IF($D584="VISA",$C584,0)</f>
        <v>0</v>
      </c>
      <c r="I584" s="8">
        <f>I583+J584</f>
        <v>0</v>
      </c>
      <c r="J584" s="8">
        <f>IF($D584="ACC",$C584,0)</f>
        <v>0</v>
      </c>
      <c r="K584" s="8">
        <f>K583+L584</f>
        <v>0</v>
      </c>
      <c r="L584" s="8">
        <f>IF($D584="CBB",$C584,0)</f>
        <v>0</v>
      </c>
    </row>
    <row r="585" spans="1:12" x14ac:dyDescent="0.25">
      <c r="A585" s="6">
        <v>41767</v>
      </c>
      <c r="B585" t="s">
        <v>45</v>
      </c>
      <c r="C585" s="7">
        <v>-180</v>
      </c>
      <c r="D585" t="s">
        <v>6</v>
      </c>
      <c r="E585" s="8">
        <f>E584+F585</f>
        <v>26232</v>
      </c>
      <c r="F585" s="8">
        <f>IF($D585="CR01",$C585,0)</f>
        <v>-180</v>
      </c>
      <c r="G585" s="8">
        <f>G584+H585</f>
        <v>0</v>
      </c>
      <c r="H585" s="8">
        <f>IF($D585="VISA",$C585,0)</f>
        <v>0</v>
      </c>
      <c r="I585" s="8">
        <f>I584+J585</f>
        <v>0</v>
      </c>
      <c r="J585" s="8">
        <f>IF($D585="ACC",$C585,0)</f>
        <v>0</v>
      </c>
      <c r="K585" s="8">
        <f>K584+L585</f>
        <v>0</v>
      </c>
      <c r="L585" s="8">
        <f>IF($D585="CBB",$C585,0)</f>
        <v>0</v>
      </c>
    </row>
    <row r="586" spans="1:12" x14ac:dyDescent="0.25">
      <c r="A586" s="6">
        <v>41767</v>
      </c>
      <c r="B586" t="s">
        <v>46</v>
      </c>
      <c r="C586" s="7">
        <v>-300</v>
      </c>
      <c r="D586" t="s">
        <v>6</v>
      </c>
      <c r="E586" s="8">
        <f>E585+F586</f>
        <v>25932</v>
      </c>
      <c r="F586" s="8">
        <f>IF($D586="CR01",$C586,0)</f>
        <v>-300</v>
      </c>
      <c r="G586" s="8">
        <f>G585+H586</f>
        <v>0</v>
      </c>
      <c r="H586" s="8">
        <f>IF($D586="VISA",$C586,0)</f>
        <v>0</v>
      </c>
      <c r="I586" s="8">
        <f>I585+J586</f>
        <v>0</v>
      </c>
      <c r="J586" s="8">
        <f>IF($D586="ACC",$C586,0)</f>
        <v>0</v>
      </c>
      <c r="K586" s="8">
        <f>K585+L586</f>
        <v>0</v>
      </c>
      <c r="L586" s="8">
        <f>IF($D586="CBB",$C586,0)</f>
        <v>0</v>
      </c>
    </row>
    <row r="587" spans="1:12" x14ac:dyDescent="0.25">
      <c r="A587" s="6">
        <v>41768</v>
      </c>
      <c r="B587" t="s">
        <v>43</v>
      </c>
      <c r="C587" s="7">
        <v>3226</v>
      </c>
      <c r="D587" t="s">
        <v>6</v>
      </c>
      <c r="E587" s="8">
        <f>E586+F587</f>
        <v>29158</v>
      </c>
      <c r="F587" s="8">
        <f>IF($D587="CR01",$C587,0)</f>
        <v>3226</v>
      </c>
      <c r="G587" s="8">
        <f>G586+H587</f>
        <v>0</v>
      </c>
      <c r="H587" s="8">
        <f>IF($D587="VISA",$C587,0)</f>
        <v>0</v>
      </c>
      <c r="I587" s="8">
        <f>I586+J587</f>
        <v>0</v>
      </c>
      <c r="J587" s="8">
        <f>IF($D587="ACC",$C587,0)</f>
        <v>0</v>
      </c>
      <c r="K587" s="8">
        <f>K586+L587</f>
        <v>0</v>
      </c>
      <c r="L587" s="8">
        <f>IF($D587="CBB",$C587,0)</f>
        <v>0</v>
      </c>
    </row>
    <row r="588" spans="1:12" x14ac:dyDescent="0.25">
      <c r="A588" s="6">
        <v>41772</v>
      </c>
      <c r="B588" t="s">
        <v>48</v>
      </c>
      <c r="C588" s="7">
        <v>-100</v>
      </c>
      <c r="D588" t="s">
        <v>6</v>
      </c>
      <c r="E588" s="8">
        <f>E587+F588</f>
        <v>29058</v>
      </c>
      <c r="F588" s="8">
        <f>IF($D588="CR01",$C588,0)</f>
        <v>-100</v>
      </c>
      <c r="G588" s="8">
        <f>G587+H588</f>
        <v>0</v>
      </c>
      <c r="H588" s="8">
        <f>IF($D588="VISA",$C588,0)</f>
        <v>0</v>
      </c>
      <c r="I588" s="8">
        <f>I587+J588</f>
        <v>0</v>
      </c>
      <c r="J588" s="8">
        <f>IF($D588="ACC",$C588,0)</f>
        <v>0</v>
      </c>
      <c r="K588" s="8">
        <f>K587+L588</f>
        <v>0</v>
      </c>
      <c r="L588" s="8">
        <f>IF($D588="CBB",$C588,0)</f>
        <v>0</v>
      </c>
    </row>
    <row r="589" spans="1:12" x14ac:dyDescent="0.25">
      <c r="A589" s="6">
        <v>41773</v>
      </c>
      <c r="B589" t="s">
        <v>47</v>
      </c>
      <c r="C589" s="7">
        <v>-120</v>
      </c>
      <c r="D589" t="s">
        <v>6</v>
      </c>
      <c r="E589" s="8">
        <f>E588+F589</f>
        <v>28938</v>
      </c>
      <c r="F589" s="8">
        <f>IF($D589="CR01",$C589,0)</f>
        <v>-120</v>
      </c>
      <c r="G589" s="8">
        <f>G588+H589</f>
        <v>0</v>
      </c>
      <c r="H589" s="8">
        <f>IF($D589="VISA",$C589,0)</f>
        <v>0</v>
      </c>
      <c r="I589" s="8">
        <f>I588+J589</f>
        <v>0</v>
      </c>
      <c r="J589" s="8">
        <f>IF($D589="ACC",$C589,0)</f>
        <v>0</v>
      </c>
      <c r="K589" s="8">
        <f>K588+L589</f>
        <v>0</v>
      </c>
      <c r="L589" s="8">
        <f>IF($D589="CBB",$C589,0)</f>
        <v>0</v>
      </c>
    </row>
    <row r="590" spans="1:12" x14ac:dyDescent="0.25">
      <c r="A590" s="6">
        <v>41774</v>
      </c>
      <c r="B590" t="s">
        <v>44</v>
      </c>
      <c r="C590" s="7">
        <v>-400</v>
      </c>
      <c r="D590" t="s">
        <v>6</v>
      </c>
      <c r="E590" s="8">
        <f>E589+F590</f>
        <v>28538</v>
      </c>
      <c r="F590" s="8">
        <f>IF($D590="CR01",$C590,0)</f>
        <v>-400</v>
      </c>
      <c r="G590" s="8">
        <f>G589+H590</f>
        <v>0</v>
      </c>
      <c r="H590" s="8">
        <f>IF($D590="VISA",$C590,0)</f>
        <v>0</v>
      </c>
      <c r="I590" s="8">
        <f>I589+J590</f>
        <v>0</v>
      </c>
      <c r="J590" s="8">
        <f>IF($D590="ACC",$C590,0)</f>
        <v>0</v>
      </c>
      <c r="K590" s="8">
        <f>K589+L590</f>
        <v>0</v>
      </c>
      <c r="L590" s="8">
        <f>IF($D590="CBB",$C590,0)</f>
        <v>0</v>
      </c>
    </row>
    <row r="591" spans="1:12" x14ac:dyDescent="0.25">
      <c r="A591" s="6">
        <v>41774</v>
      </c>
      <c r="B591" t="s">
        <v>45</v>
      </c>
      <c r="C591" s="7">
        <v>-180</v>
      </c>
      <c r="D591" t="s">
        <v>6</v>
      </c>
      <c r="E591" s="8">
        <f>E590+F591</f>
        <v>28358</v>
      </c>
      <c r="F591" s="8">
        <f>IF($D591="CR01",$C591,0)</f>
        <v>-180</v>
      </c>
      <c r="G591" s="8">
        <f>G590+H591</f>
        <v>0</v>
      </c>
      <c r="H591" s="8">
        <f>IF($D591="VISA",$C591,0)</f>
        <v>0</v>
      </c>
      <c r="I591" s="8">
        <f>I590+J591</f>
        <v>0</v>
      </c>
      <c r="J591" s="8">
        <f>IF($D591="ACC",$C591,0)</f>
        <v>0</v>
      </c>
      <c r="K591" s="8">
        <f>K590+L591</f>
        <v>0</v>
      </c>
      <c r="L591" s="8">
        <f>IF($D591="CBB",$C591,0)</f>
        <v>0</v>
      </c>
    </row>
    <row r="592" spans="1:12" x14ac:dyDescent="0.25">
      <c r="A592" s="6">
        <v>41774</v>
      </c>
      <c r="B592" t="s">
        <v>46</v>
      </c>
      <c r="C592" s="7">
        <v>-300</v>
      </c>
      <c r="D592" t="s">
        <v>6</v>
      </c>
      <c r="E592" s="8">
        <f>E591+F592</f>
        <v>28058</v>
      </c>
      <c r="F592" s="8">
        <f>IF($D592="CR01",$C592,0)</f>
        <v>-300</v>
      </c>
      <c r="G592" s="8">
        <f>G591+H592</f>
        <v>0</v>
      </c>
      <c r="H592" s="8">
        <f>IF($D592="VISA",$C592,0)</f>
        <v>0</v>
      </c>
      <c r="I592" s="8">
        <f>I591+J592</f>
        <v>0</v>
      </c>
      <c r="J592" s="8">
        <f>IF($D592="ACC",$C592,0)</f>
        <v>0</v>
      </c>
      <c r="K592" s="8">
        <f>K591+L592</f>
        <v>0</v>
      </c>
      <c r="L592" s="8">
        <f>IF($D592="CBB",$C592,0)</f>
        <v>0</v>
      </c>
    </row>
    <row r="593" spans="1:12" x14ac:dyDescent="0.25">
      <c r="A593" s="6">
        <v>41776</v>
      </c>
      <c r="B593" t="s">
        <v>67</v>
      </c>
      <c r="C593" s="7">
        <v>3600</v>
      </c>
      <c r="D593" t="s">
        <v>6</v>
      </c>
      <c r="E593" s="8">
        <f>E592+F593</f>
        <v>31658</v>
      </c>
      <c r="F593" s="8">
        <f>IF($D593="CR01",$C593,0)</f>
        <v>3600</v>
      </c>
      <c r="G593" s="8">
        <f>G592+H593</f>
        <v>0</v>
      </c>
      <c r="H593" s="8">
        <f>IF($D593="VISA",$C593,0)</f>
        <v>0</v>
      </c>
      <c r="I593" s="8">
        <f>I592+J593</f>
        <v>0</v>
      </c>
      <c r="J593" s="8">
        <f>IF($D593="ACC",$C593,0)</f>
        <v>0</v>
      </c>
      <c r="K593" s="8">
        <f>K592+L593</f>
        <v>0</v>
      </c>
      <c r="L593" s="8">
        <f>IF($D593="CBB",$C593,0)</f>
        <v>0</v>
      </c>
    </row>
    <row r="594" spans="1:12" x14ac:dyDescent="0.25">
      <c r="A594" s="6">
        <v>41779</v>
      </c>
      <c r="B594" t="s">
        <v>42</v>
      </c>
      <c r="C594" s="7">
        <v>-2806</v>
      </c>
      <c r="D594" t="s">
        <v>6</v>
      </c>
      <c r="E594" s="8">
        <f>E593+F594</f>
        <v>28852</v>
      </c>
      <c r="F594" s="8">
        <f>IF($D594="CR01",$C594,0)</f>
        <v>-2806</v>
      </c>
      <c r="G594" s="8">
        <f>G593+H594</f>
        <v>0</v>
      </c>
      <c r="H594" s="8">
        <f>IF($D594="VISA",$C594,0)</f>
        <v>0</v>
      </c>
      <c r="I594" s="8">
        <f>I593+J594</f>
        <v>0</v>
      </c>
      <c r="J594" s="8">
        <f>IF($D594="ACC",$C594,0)</f>
        <v>0</v>
      </c>
      <c r="K594" s="8">
        <f>K593+L594</f>
        <v>0</v>
      </c>
      <c r="L594" s="8">
        <f>IF($D594="CBB",$C594,0)</f>
        <v>0</v>
      </c>
    </row>
    <row r="595" spans="1:12" x14ac:dyDescent="0.25">
      <c r="A595" s="6">
        <v>41779</v>
      </c>
      <c r="B595" t="s">
        <v>48</v>
      </c>
      <c r="C595" s="7">
        <v>-100</v>
      </c>
      <c r="D595" t="s">
        <v>6</v>
      </c>
      <c r="E595" s="8">
        <f>E594+F595</f>
        <v>28752</v>
      </c>
      <c r="F595" s="8">
        <f>IF($D595="CR01",$C595,0)</f>
        <v>-100</v>
      </c>
      <c r="G595" s="8">
        <f>G594+H595</f>
        <v>0</v>
      </c>
      <c r="H595" s="8">
        <f>IF($D595="VISA",$C595,0)</f>
        <v>0</v>
      </c>
      <c r="I595" s="8">
        <f>I594+J595</f>
        <v>0</v>
      </c>
      <c r="J595" s="8">
        <f>IF($D595="ACC",$C595,0)</f>
        <v>0</v>
      </c>
      <c r="K595" s="8">
        <f>K594+L595</f>
        <v>0</v>
      </c>
      <c r="L595" s="8">
        <f>IF($D595="CBB",$C595,0)</f>
        <v>0</v>
      </c>
    </row>
    <row r="596" spans="1:12" x14ac:dyDescent="0.25">
      <c r="A596" s="6">
        <v>41780</v>
      </c>
      <c r="B596" t="s">
        <v>47</v>
      </c>
      <c r="C596" s="7">
        <v>-120</v>
      </c>
      <c r="D596" t="s">
        <v>6</v>
      </c>
      <c r="E596" s="8">
        <f>E595+F596</f>
        <v>28632</v>
      </c>
      <c r="F596" s="8">
        <f>IF($D596="CR01",$C596,0)</f>
        <v>-120</v>
      </c>
      <c r="G596" s="8">
        <f>G595+H596</f>
        <v>0</v>
      </c>
      <c r="H596" s="8">
        <f>IF($D596="VISA",$C596,0)</f>
        <v>0</v>
      </c>
      <c r="I596" s="8">
        <f>I595+J596</f>
        <v>0</v>
      </c>
      <c r="J596" s="8">
        <f>IF($D596="ACC",$C596,0)</f>
        <v>0</v>
      </c>
      <c r="K596" s="8">
        <f>K595+L596</f>
        <v>0</v>
      </c>
      <c r="L596" s="8">
        <f>IF($D596="CBB",$C596,0)</f>
        <v>0</v>
      </c>
    </row>
    <row r="597" spans="1:12" x14ac:dyDescent="0.25">
      <c r="A597" s="6">
        <v>41781</v>
      </c>
      <c r="B597" t="s">
        <v>44</v>
      </c>
      <c r="C597" s="7">
        <v>-400</v>
      </c>
      <c r="D597" t="s">
        <v>6</v>
      </c>
      <c r="E597" s="8">
        <f>E596+F597</f>
        <v>28232</v>
      </c>
      <c r="F597" s="8">
        <f>IF($D597="CR01",$C597,0)</f>
        <v>-400</v>
      </c>
      <c r="G597" s="8">
        <f>G596+H597</f>
        <v>0</v>
      </c>
      <c r="H597" s="8">
        <f>IF($D597="VISA",$C597,0)</f>
        <v>0</v>
      </c>
      <c r="I597" s="8">
        <f>I596+J597</f>
        <v>0</v>
      </c>
      <c r="J597" s="8">
        <f>IF($D597="ACC",$C597,0)</f>
        <v>0</v>
      </c>
      <c r="K597" s="8">
        <f>K596+L597</f>
        <v>0</v>
      </c>
      <c r="L597" s="8">
        <f>IF($D597="CBB",$C597,0)</f>
        <v>0</v>
      </c>
    </row>
    <row r="598" spans="1:12" x14ac:dyDescent="0.25">
      <c r="A598" s="6">
        <v>41781</v>
      </c>
      <c r="B598" t="s">
        <v>45</v>
      </c>
      <c r="C598" s="7">
        <v>-180</v>
      </c>
      <c r="D598" t="s">
        <v>6</v>
      </c>
      <c r="E598" s="8">
        <f>E597+F598</f>
        <v>28052</v>
      </c>
      <c r="F598" s="8">
        <f>IF($D598="CR01",$C598,0)</f>
        <v>-180</v>
      </c>
      <c r="G598" s="8">
        <f>G597+H598</f>
        <v>0</v>
      </c>
      <c r="H598" s="8">
        <f>IF($D598="VISA",$C598,0)</f>
        <v>0</v>
      </c>
      <c r="I598" s="8">
        <f>I597+J598</f>
        <v>0</v>
      </c>
      <c r="J598" s="8">
        <f>IF($D598="ACC",$C598,0)</f>
        <v>0</v>
      </c>
      <c r="K598" s="8">
        <f>K597+L598</f>
        <v>0</v>
      </c>
      <c r="L598" s="8">
        <f>IF($D598="CBB",$C598,0)</f>
        <v>0</v>
      </c>
    </row>
    <row r="599" spans="1:12" x14ac:dyDescent="0.25">
      <c r="A599" s="6">
        <v>41781</v>
      </c>
      <c r="B599" t="s">
        <v>46</v>
      </c>
      <c r="C599" s="7">
        <v>-300</v>
      </c>
      <c r="D599" t="s">
        <v>6</v>
      </c>
      <c r="E599" s="8">
        <f>E598+F599</f>
        <v>27752</v>
      </c>
      <c r="F599" s="8">
        <f>IF($D599="CR01",$C599,0)</f>
        <v>-300</v>
      </c>
      <c r="G599" s="8">
        <f>G598+H599</f>
        <v>0</v>
      </c>
      <c r="H599" s="8">
        <f>IF($D599="VISA",$C599,0)</f>
        <v>0</v>
      </c>
      <c r="I599" s="8">
        <f>I598+J599</f>
        <v>0</v>
      </c>
      <c r="J599" s="8">
        <f>IF($D599="ACC",$C599,0)</f>
        <v>0</v>
      </c>
      <c r="K599" s="8">
        <f>K598+L599</f>
        <v>0</v>
      </c>
      <c r="L599" s="8">
        <f>IF($D599="CBB",$C599,0)</f>
        <v>0</v>
      </c>
    </row>
    <row r="600" spans="1:12" x14ac:dyDescent="0.25">
      <c r="A600" s="6">
        <v>41782</v>
      </c>
      <c r="B600" t="s">
        <v>43</v>
      </c>
      <c r="C600" s="7">
        <v>3226</v>
      </c>
      <c r="D600" t="s">
        <v>6</v>
      </c>
      <c r="E600" s="8">
        <f>E599+F600</f>
        <v>30978</v>
      </c>
      <c r="F600" s="8">
        <f>IF($D600="CR01",$C600,0)</f>
        <v>3226</v>
      </c>
      <c r="G600" s="8">
        <f>G599+H600</f>
        <v>0</v>
      </c>
      <c r="H600" s="8">
        <f>IF($D600="VISA",$C600,0)</f>
        <v>0</v>
      </c>
      <c r="I600" s="8">
        <f>I599+J600</f>
        <v>0</v>
      </c>
      <c r="J600" s="8">
        <f>IF($D600="ACC",$C600,0)</f>
        <v>0</v>
      </c>
      <c r="K600" s="8">
        <f>K599+L600</f>
        <v>0</v>
      </c>
      <c r="L600" s="8">
        <f>IF($D600="CBB",$C600,0)</f>
        <v>0</v>
      </c>
    </row>
    <row r="601" spans="1:12" x14ac:dyDescent="0.25">
      <c r="A601" s="6">
        <v>41786</v>
      </c>
      <c r="B601" t="s">
        <v>48</v>
      </c>
      <c r="C601" s="7">
        <v>-100</v>
      </c>
      <c r="D601" t="s">
        <v>6</v>
      </c>
      <c r="E601" s="8">
        <f>E600+F601</f>
        <v>30878</v>
      </c>
      <c r="F601" s="8">
        <f>IF($D601="CR01",$C601,0)</f>
        <v>-100</v>
      </c>
      <c r="G601" s="8">
        <f>G600+H601</f>
        <v>0</v>
      </c>
      <c r="H601" s="8">
        <f>IF($D601="VISA",$C601,0)</f>
        <v>0</v>
      </c>
      <c r="I601" s="8">
        <f>I600+J601</f>
        <v>0</v>
      </c>
      <c r="J601" s="8">
        <f>IF($D601="ACC",$C601,0)</f>
        <v>0</v>
      </c>
      <c r="K601" s="8">
        <f>K600+L601</f>
        <v>0</v>
      </c>
      <c r="L601" s="8">
        <f>IF($D601="CBB",$C601,0)</f>
        <v>0</v>
      </c>
    </row>
    <row r="602" spans="1:12" x14ac:dyDescent="0.25">
      <c r="A602" s="6">
        <v>41787</v>
      </c>
      <c r="B602" t="s">
        <v>47</v>
      </c>
      <c r="C602" s="7">
        <v>-120</v>
      </c>
      <c r="D602" t="s">
        <v>6</v>
      </c>
      <c r="E602" s="8">
        <f>E601+F602</f>
        <v>30758</v>
      </c>
      <c r="F602" s="8">
        <f>IF($D602="CR01",$C602,0)</f>
        <v>-120</v>
      </c>
      <c r="G602" s="8">
        <f>G601+H602</f>
        <v>0</v>
      </c>
      <c r="H602" s="8">
        <f>IF($D602="VISA",$C602,0)</f>
        <v>0</v>
      </c>
      <c r="I602" s="8">
        <f>I601+J602</f>
        <v>0</v>
      </c>
      <c r="J602" s="8">
        <f>IF($D602="ACC",$C602,0)</f>
        <v>0</v>
      </c>
      <c r="K602" s="8">
        <f>K601+L602</f>
        <v>0</v>
      </c>
      <c r="L602" s="8">
        <f>IF($D602="CBB",$C602,0)</f>
        <v>0</v>
      </c>
    </row>
    <row r="603" spans="1:12" x14ac:dyDescent="0.25">
      <c r="A603" s="6">
        <v>41788</v>
      </c>
      <c r="B603" t="s">
        <v>44</v>
      </c>
      <c r="C603" s="7">
        <v>-400</v>
      </c>
      <c r="D603" t="s">
        <v>6</v>
      </c>
      <c r="E603" s="8">
        <f>E602+F603</f>
        <v>30358</v>
      </c>
      <c r="F603" s="8">
        <f>IF($D603="CR01",$C603,0)</f>
        <v>-400</v>
      </c>
      <c r="G603" s="8">
        <f>G602+H603</f>
        <v>0</v>
      </c>
      <c r="H603" s="8">
        <f>IF($D603="VISA",$C603,0)</f>
        <v>0</v>
      </c>
      <c r="I603" s="8">
        <f>I602+J603</f>
        <v>0</v>
      </c>
      <c r="J603" s="8">
        <f>IF($D603="ACC",$C603,0)</f>
        <v>0</v>
      </c>
      <c r="K603" s="8">
        <f>K602+L603</f>
        <v>0</v>
      </c>
      <c r="L603" s="8">
        <f>IF($D603="CBB",$C603,0)</f>
        <v>0</v>
      </c>
    </row>
    <row r="604" spans="1:12" x14ac:dyDescent="0.25">
      <c r="A604" s="6">
        <v>41788</v>
      </c>
      <c r="B604" t="s">
        <v>45</v>
      </c>
      <c r="C604" s="7">
        <v>-180</v>
      </c>
      <c r="D604" t="s">
        <v>6</v>
      </c>
      <c r="E604" s="8">
        <f>E603+F604</f>
        <v>30178</v>
      </c>
      <c r="F604" s="8">
        <f>IF($D604="CR01",$C604,0)</f>
        <v>-180</v>
      </c>
      <c r="G604" s="8">
        <f>G603+H604</f>
        <v>0</v>
      </c>
      <c r="H604" s="8">
        <f>IF($D604="VISA",$C604,0)</f>
        <v>0</v>
      </c>
      <c r="I604" s="8">
        <f>I603+J604</f>
        <v>0</v>
      </c>
      <c r="J604" s="8">
        <f>IF($D604="ACC",$C604,0)</f>
        <v>0</v>
      </c>
      <c r="K604" s="8">
        <f>K603+L604</f>
        <v>0</v>
      </c>
      <c r="L604" s="8">
        <f>IF($D604="CBB",$C604,0)</f>
        <v>0</v>
      </c>
    </row>
    <row r="605" spans="1:12" x14ac:dyDescent="0.25">
      <c r="A605" s="6">
        <v>41788</v>
      </c>
      <c r="B605" t="s">
        <v>46</v>
      </c>
      <c r="C605" s="7">
        <v>-300</v>
      </c>
      <c r="D605" t="s">
        <v>6</v>
      </c>
      <c r="E605" s="8">
        <f>E604+F605</f>
        <v>29878</v>
      </c>
      <c r="F605" s="8">
        <f>IF($D605="CR01",$C605,0)</f>
        <v>-300</v>
      </c>
      <c r="G605" s="8">
        <f>G604+H605</f>
        <v>0</v>
      </c>
      <c r="H605" s="8">
        <f>IF($D605="VISA",$C605,0)</f>
        <v>0</v>
      </c>
      <c r="I605" s="8">
        <f>I604+J605</f>
        <v>0</v>
      </c>
      <c r="J605" s="8">
        <f>IF($D605="ACC",$C605,0)</f>
        <v>0</v>
      </c>
      <c r="K605" s="8">
        <f>K604+L605</f>
        <v>0</v>
      </c>
      <c r="L605" s="8">
        <f>IF($D605="CBB",$C605,0)</f>
        <v>0</v>
      </c>
    </row>
    <row r="606" spans="1:12" x14ac:dyDescent="0.25">
      <c r="A606" s="6">
        <v>41790</v>
      </c>
      <c r="B606" t="s">
        <v>67</v>
      </c>
      <c r="C606" s="7">
        <v>3600</v>
      </c>
      <c r="D606" t="s">
        <v>6</v>
      </c>
      <c r="E606" s="8">
        <f>E605+F606</f>
        <v>33478</v>
      </c>
      <c r="F606" s="8">
        <f>IF($D606="CR01",$C606,0)</f>
        <v>3600</v>
      </c>
      <c r="G606" s="8">
        <f>G605+H606</f>
        <v>0</v>
      </c>
      <c r="H606" s="8">
        <f>IF($D606="VISA",$C606,0)</f>
        <v>0</v>
      </c>
      <c r="I606" s="8">
        <f>I605+J606</f>
        <v>0</v>
      </c>
      <c r="J606" s="8">
        <f>IF($D606="ACC",$C606,0)</f>
        <v>0</v>
      </c>
      <c r="K606" s="8">
        <f>K605+L606</f>
        <v>0</v>
      </c>
      <c r="L606" s="8">
        <f>IF($D606="CBB",$C606,0)</f>
        <v>0</v>
      </c>
    </row>
    <row r="607" spans="1:12" x14ac:dyDescent="0.25">
      <c r="A607" s="6">
        <v>41791</v>
      </c>
      <c r="B607" t="s">
        <v>58</v>
      </c>
      <c r="C607" s="7">
        <v>-200</v>
      </c>
      <c r="D607" t="s">
        <v>6</v>
      </c>
      <c r="E607" s="8">
        <f>E606+F607</f>
        <v>33278</v>
      </c>
      <c r="F607" s="8">
        <f>IF($D607="CR01",$C607,0)</f>
        <v>-200</v>
      </c>
      <c r="G607" s="8">
        <f>G606+H607</f>
        <v>0</v>
      </c>
      <c r="H607" s="8">
        <f>IF($D607="VISA",$C607,0)</f>
        <v>0</v>
      </c>
      <c r="I607" s="8">
        <f>I606+J607</f>
        <v>0</v>
      </c>
      <c r="J607" s="8">
        <f>IF($D607="ACC",$C607,0)</f>
        <v>0</v>
      </c>
      <c r="K607" s="8">
        <f>K606+L607</f>
        <v>0</v>
      </c>
      <c r="L607" s="8">
        <f>IF($D607="CBB",$C607,0)</f>
        <v>0</v>
      </c>
    </row>
    <row r="608" spans="1:12" x14ac:dyDescent="0.25">
      <c r="A608" s="6">
        <v>41791</v>
      </c>
      <c r="B608" t="s">
        <v>60</v>
      </c>
      <c r="C608" s="7">
        <v>-400</v>
      </c>
      <c r="D608" t="s">
        <v>6</v>
      </c>
      <c r="E608" s="8">
        <f>E607+F608</f>
        <v>32878</v>
      </c>
      <c r="F608" s="8">
        <f>IF($D608="CR01",$C608,0)</f>
        <v>-400</v>
      </c>
      <c r="G608" s="8">
        <f>G607+H608</f>
        <v>0</v>
      </c>
      <c r="H608" s="8">
        <f>IF($D608="VISA",$C608,0)</f>
        <v>0</v>
      </c>
      <c r="I608" s="8">
        <f>I607+J608</f>
        <v>0</v>
      </c>
      <c r="J608" s="8">
        <f>IF($D608="ACC",$C608,0)</f>
        <v>0</v>
      </c>
      <c r="K608" s="8">
        <f>K607+L608</f>
        <v>0</v>
      </c>
      <c r="L608" s="8">
        <f>IF($D608="CBB",$C608,0)</f>
        <v>0</v>
      </c>
    </row>
    <row r="609" spans="1:12" x14ac:dyDescent="0.25">
      <c r="A609" s="6">
        <v>41791</v>
      </c>
      <c r="B609" t="s">
        <v>64</v>
      </c>
      <c r="C609" s="7">
        <v>-26</v>
      </c>
      <c r="D609" t="s">
        <v>6</v>
      </c>
      <c r="E609" s="8">
        <f>E608+F609</f>
        <v>32852</v>
      </c>
      <c r="F609" s="8">
        <f>IF($D609="CR01",$C609,0)</f>
        <v>-26</v>
      </c>
      <c r="G609" s="8">
        <f>G608+H609</f>
        <v>0</v>
      </c>
      <c r="H609" s="8">
        <f>IF($D609="VISA",$C609,0)</f>
        <v>0</v>
      </c>
      <c r="I609" s="8">
        <f>I608+J609</f>
        <v>0</v>
      </c>
      <c r="J609" s="8">
        <f>IF($D609="ACC",$C609,0)</f>
        <v>0</v>
      </c>
      <c r="K609" s="8">
        <f>K608+L609</f>
        <v>0</v>
      </c>
      <c r="L609" s="8">
        <f>IF($D609="CBB",$C609,0)</f>
        <v>0</v>
      </c>
    </row>
    <row r="610" spans="1:12" x14ac:dyDescent="0.25">
      <c r="A610" s="6">
        <v>41791</v>
      </c>
      <c r="B610" t="s">
        <v>65</v>
      </c>
      <c r="C610" s="7">
        <v>-240</v>
      </c>
      <c r="D610" t="s">
        <v>6</v>
      </c>
      <c r="E610" s="8">
        <f>E609+F610</f>
        <v>32612</v>
      </c>
      <c r="F610" s="8">
        <f>IF($D610="CR01",$C610,0)</f>
        <v>-240</v>
      </c>
      <c r="G610" s="8">
        <f>G609+H610</f>
        <v>0</v>
      </c>
      <c r="H610" s="8">
        <f>IF($D610="VISA",$C610,0)</f>
        <v>0</v>
      </c>
      <c r="I610" s="8">
        <f>I609+J610</f>
        <v>0</v>
      </c>
      <c r="J610" s="8">
        <f>IF($D610="ACC",$C610,0)</f>
        <v>0</v>
      </c>
      <c r="K610" s="8">
        <f>K609+L610</f>
        <v>0</v>
      </c>
      <c r="L610" s="8">
        <f>IF($D610="CBB",$C610,0)</f>
        <v>0</v>
      </c>
    </row>
    <row r="611" spans="1:12" x14ac:dyDescent="0.25">
      <c r="A611" s="6">
        <v>41791</v>
      </c>
      <c r="B611" t="s">
        <v>66</v>
      </c>
      <c r="C611" s="7">
        <v>-120</v>
      </c>
      <c r="D611" t="s">
        <v>6</v>
      </c>
      <c r="E611" s="8">
        <f>E610+F611</f>
        <v>32492</v>
      </c>
      <c r="F611" s="8">
        <f>IF($D611="CR01",$C611,0)</f>
        <v>-120</v>
      </c>
      <c r="G611" s="8">
        <f>G610+H611</f>
        <v>0</v>
      </c>
      <c r="H611" s="8">
        <f>IF($D611="VISA",$C611,0)</f>
        <v>0</v>
      </c>
      <c r="I611" s="8">
        <f>I610+J611</f>
        <v>0</v>
      </c>
      <c r="J611" s="8">
        <f>IF($D611="ACC",$C611,0)</f>
        <v>0</v>
      </c>
      <c r="K611" s="8">
        <f>K610+L611</f>
        <v>0</v>
      </c>
      <c r="L611" s="8">
        <f>IF($D611="CBB",$C611,0)</f>
        <v>0</v>
      </c>
    </row>
    <row r="612" spans="1:12" x14ac:dyDescent="0.25">
      <c r="A612" s="6">
        <v>41792</v>
      </c>
      <c r="B612" t="s">
        <v>59</v>
      </c>
      <c r="C612" s="7">
        <v>-900</v>
      </c>
      <c r="D612" t="s">
        <v>6</v>
      </c>
      <c r="E612" s="8">
        <f>E611+F612</f>
        <v>31592</v>
      </c>
      <c r="F612" s="8">
        <f>IF($D612="CR01",$C612,0)</f>
        <v>-900</v>
      </c>
      <c r="G612" s="8">
        <f>G611+H612</f>
        <v>0</v>
      </c>
      <c r="H612" s="8">
        <f>IF($D612="VISA",$C612,0)</f>
        <v>0</v>
      </c>
      <c r="I612" s="8">
        <f>I611+J612</f>
        <v>0</v>
      </c>
      <c r="J612" s="8">
        <f>IF($D612="ACC",$C612,0)</f>
        <v>0</v>
      </c>
      <c r="K612" s="8">
        <f>K611+L612</f>
        <v>0</v>
      </c>
      <c r="L612" s="8">
        <f>IF($D612="CBB",$C612,0)</f>
        <v>0</v>
      </c>
    </row>
    <row r="613" spans="1:12" x14ac:dyDescent="0.25">
      <c r="A613" s="6">
        <v>41793</v>
      </c>
      <c r="B613" t="s">
        <v>42</v>
      </c>
      <c r="C613" s="7">
        <v>-2806</v>
      </c>
      <c r="D613" t="s">
        <v>6</v>
      </c>
      <c r="E613" s="8">
        <f>E612+F613</f>
        <v>28786</v>
      </c>
      <c r="F613" s="8">
        <f>IF($D613="CR01",$C613,0)</f>
        <v>-2806</v>
      </c>
      <c r="G613" s="8">
        <f>G612+H613</f>
        <v>0</v>
      </c>
      <c r="H613" s="8">
        <f>IF($D613="VISA",$C613,0)</f>
        <v>0</v>
      </c>
      <c r="I613" s="8">
        <f>I612+J613</f>
        <v>0</v>
      </c>
      <c r="J613" s="8">
        <f>IF($D613="ACC",$C613,0)</f>
        <v>0</v>
      </c>
      <c r="K613" s="8">
        <f>K612+L613</f>
        <v>0</v>
      </c>
      <c r="L613" s="8">
        <f>IF($D613="CBB",$C613,0)</f>
        <v>0</v>
      </c>
    </row>
    <row r="614" spans="1:12" x14ac:dyDescent="0.25">
      <c r="A614" s="6">
        <v>41793</v>
      </c>
      <c r="B614" t="s">
        <v>48</v>
      </c>
      <c r="C614" s="7">
        <v>-100</v>
      </c>
      <c r="D614" t="s">
        <v>6</v>
      </c>
      <c r="E614" s="8">
        <f>E613+F614</f>
        <v>28686</v>
      </c>
      <c r="F614" s="8">
        <f>IF($D614="CR01",$C614,0)</f>
        <v>-100</v>
      </c>
      <c r="G614" s="8">
        <f>G613+H614</f>
        <v>0</v>
      </c>
      <c r="H614" s="8">
        <f>IF($D614="VISA",$C614,0)</f>
        <v>0</v>
      </c>
      <c r="I614" s="8">
        <f>I613+J614</f>
        <v>0</v>
      </c>
      <c r="J614" s="8">
        <f>IF($D614="ACC",$C614,0)</f>
        <v>0</v>
      </c>
      <c r="K614" s="8">
        <f>K613+L614</f>
        <v>0</v>
      </c>
      <c r="L614" s="8">
        <f>IF($D614="CBB",$C614,0)</f>
        <v>0</v>
      </c>
    </row>
    <row r="615" spans="1:12" x14ac:dyDescent="0.25">
      <c r="A615" s="6">
        <v>41794</v>
      </c>
      <c r="B615" t="s">
        <v>47</v>
      </c>
      <c r="C615" s="7">
        <v>-120</v>
      </c>
      <c r="D615" t="s">
        <v>6</v>
      </c>
      <c r="E615" s="8">
        <f>E614+F615</f>
        <v>28566</v>
      </c>
      <c r="F615" s="8">
        <f>IF($D615="CR01",$C615,0)</f>
        <v>-120</v>
      </c>
      <c r="G615" s="8">
        <f>G614+H615</f>
        <v>0</v>
      </c>
      <c r="H615" s="8">
        <f>IF($D615="VISA",$C615,0)</f>
        <v>0</v>
      </c>
      <c r="I615" s="8">
        <f>I614+J615</f>
        <v>0</v>
      </c>
      <c r="J615" s="8">
        <f>IF($D615="ACC",$C615,0)</f>
        <v>0</v>
      </c>
      <c r="K615" s="8">
        <f>K614+L615</f>
        <v>0</v>
      </c>
      <c r="L615" s="8">
        <f>IF($D615="CBB",$C615,0)</f>
        <v>0</v>
      </c>
    </row>
    <row r="616" spans="1:12" x14ac:dyDescent="0.25">
      <c r="A616" s="6">
        <v>41795</v>
      </c>
      <c r="B616" t="s">
        <v>44</v>
      </c>
      <c r="C616" s="7">
        <v>-400</v>
      </c>
      <c r="D616" t="s">
        <v>6</v>
      </c>
      <c r="E616" s="8">
        <f>E615+F616</f>
        <v>28166</v>
      </c>
      <c r="F616" s="8">
        <f>IF($D616="CR01",$C616,0)</f>
        <v>-400</v>
      </c>
      <c r="G616" s="8">
        <f>G615+H616</f>
        <v>0</v>
      </c>
      <c r="H616" s="8">
        <f>IF($D616="VISA",$C616,0)</f>
        <v>0</v>
      </c>
      <c r="I616" s="8">
        <f>I615+J616</f>
        <v>0</v>
      </c>
      <c r="J616" s="8">
        <f>IF($D616="ACC",$C616,0)</f>
        <v>0</v>
      </c>
      <c r="K616" s="8">
        <f>K615+L616</f>
        <v>0</v>
      </c>
      <c r="L616" s="8">
        <f>IF($D616="CBB",$C616,0)</f>
        <v>0</v>
      </c>
    </row>
    <row r="617" spans="1:12" x14ac:dyDescent="0.25">
      <c r="A617" s="6">
        <v>41795</v>
      </c>
      <c r="B617" t="s">
        <v>45</v>
      </c>
      <c r="C617" s="7">
        <v>-180</v>
      </c>
      <c r="D617" t="s">
        <v>6</v>
      </c>
      <c r="E617" s="8">
        <f>E616+F617</f>
        <v>27986</v>
      </c>
      <c r="F617" s="8">
        <f>IF($D617="CR01",$C617,0)</f>
        <v>-180</v>
      </c>
      <c r="G617" s="8">
        <f>G616+H617</f>
        <v>0</v>
      </c>
      <c r="H617" s="8">
        <f>IF($D617="VISA",$C617,0)</f>
        <v>0</v>
      </c>
      <c r="I617" s="8">
        <f>I616+J617</f>
        <v>0</v>
      </c>
      <c r="J617" s="8">
        <f>IF($D617="ACC",$C617,0)</f>
        <v>0</v>
      </c>
      <c r="K617" s="8">
        <f>K616+L617</f>
        <v>0</v>
      </c>
      <c r="L617" s="8">
        <f>IF($D617="CBB",$C617,0)</f>
        <v>0</v>
      </c>
    </row>
    <row r="618" spans="1:12" x14ac:dyDescent="0.25">
      <c r="A618" s="6">
        <v>41795</v>
      </c>
      <c r="B618" t="s">
        <v>46</v>
      </c>
      <c r="C618" s="7">
        <v>-300</v>
      </c>
      <c r="D618" t="s">
        <v>6</v>
      </c>
      <c r="E618" s="8">
        <f>E617+F618</f>
        <v>27686</v>
      </c>
      <c r="F618" s="8">
        <f>IF($D618="CR01",$C618,0)</f>
        <v>-300</v>
      </c>
      <c r="G618" s="8">
        <f>G617+H618</f>
        <v>0</v>
      </c>
      <c r="H618" s="8">
        <f>IF($D618="VISA",$C618,0)</f>
        <v>0</v>
      </c>
      <c r="I618" s="8">
        <f>I617+J618</f>
        <v>0</v>
      </c>
      <c r="J618" s="8">
        <f>IF($D618="ACC",$C618,0)</f>
        <v>0</v>
      </c>
      <c r="K618" s="8">
        <f>K617+L618</f>
        <v>0</v>
      </c>
      <c r="L618" s="8">
        <f>IF($D618="CBB",$C618,0)</f>
        <v>0</v>
      </c>
    </row>
    <row r="619" spans="1:12" x14ac:dyDescent="0.25">
      <c r="A619" s="6">
        <v>41796</v>
      </c>
      <c r="B619" t="s">
        <v>43</v>
      </c>
      <c r="C619" s="7">
        <v>3226</v>
      </c>
      <c r="D619" t="s">
        <v>6</v>
      </c>
      <c r="E619" s="8">
        <f>E618+F619</f>
        <v>30912</v>
      </c>
      <c r="F619" s="8">
        <f>IF($D619="CR01",$C619,0)</f>
        <v>3226</v>
      </c>
      <c r="G619" s="8">
        <f>G618+H619</f>
        <v>0</v>
      </c>
      <c r="H619" s="8">
        <f>IF($D619="VISA",$C619,0)</f>
        <v>0</v>
      </c>
      <c r="I619" s="8">
        <f>I618+J619</f>
        <v>0</v>
      </c>
      <c r="J619" s="8">
        <f>IF($D619="ACC",$C619,0)</f>
        <v>0</v>
      </c>
      <c r="K619" s="8">
        <f>K618+L619</f>
        <v>0</v>
      </c>
      <c r="L619" s="8">
        <f>IF($D619="CBB",$C619,0)</f>
        <v>0</v>
      </c>
    </row>
    <row r="620" spans="1:12" x14ac:dyDescent="0.25">
      <c r="A620" s="6">
        <v>41800</v>
      </c>
      <c r="B620" t="s">
        <v>48</v>
      </c>
      <c r="C620" s="7">
        <v>-100</v>
      </c>
      <c r="D620" t="s">
        <v>6</v>
      </c>
      <c r="E620" s="8">
        <f>E619+F620</f>
        <v>30812</v>
      </c>
      <c r="F620" s="8">
        <f>IF($D620="CR01",$C620,0)</f>
        <v>-100</v>
      </c>
      <c r="G620" s="8">
        <f>G619+H620</f>
        <v>0</v>
      </c>
      <c r="H620" s="8">
        <f>IF($D620="VISA",$C620,0)</f>
        <v>0</v>
      </c>
      <c r="I620" s="8">
        <f>I619+J620</f>
        <v>0</v>
      </c>
      <c r="J620" s="8">
        <f>IF($D620="ACC",$C620,0)</f>
        <v>0</v>
      </c>
      <c r="K620" s="8">
        <f>K619+L620</f>
        <v>0</v>
      </c>
      <c r="L620" s="8">
        <f>IF($D620="CBB",$C620,0)</f>
        <v>0</v>
      </c>
    </row>
    <row r="621" spans="1:12" x14ac:dyDescent="0.25">
      <c r="A621" s="6">
        <v>41801</v>
      </c>
      <c r="B621" t="s">
        <v>47</v>
      </c>
      <c r="C621" s="7">
        <v>-120</v>
      </c>
      <c r="D621" t="s">
        <v>6</v>
      </c>
      <c r="E621" s="8">
        <f>E620+F621</f>
        <v>30692</v>
      </c>
      <c r="F621" s="8">
        <f>IF($D621="CR01",$C621,0)</f>
        <v>-120</v>
      </c>
      <c r="G621" s="8">
        <f>G620+H621</f>
        <v>0</v>
      </c>
      <c r="H621" s="8">
        <f>IF($D621="VISA",$C621,0)</f>
        <v>0</v>
      </c>
      <c r="I621" s="8">
        <f>I620+J621</f>
        <v>0</v>
      </c>
      <c r="J621" s="8">
        <f>IF($D621="ACC",$C621,0)</f>
        <v>0</v>
      </c>
      <c r="K621" s="8">
        <f>K620+L621</f>
        <v>0</v>
      </c>
      <c r="L621" s="8">
        <f>IF($D621="CBB",$C621,0)</f>
        <v>0</v>
      </c>
    </row>
    <row r="622" spans="1:12" x14ac:dyDescent="0.25">
      <c r="A622" s="6">
        <v>41802</v>
      </c>
      <c r="B622" t="s">
        <v>44</v>
      </c>
      <c r="C622" s="7">
        <v>-400</v>
      </c>
      <c r="D622" t="s">
        <v>6</v>
      </c>
      <c r="E622" s="8">
        <f>E621+F622</f>
        <v>30292</v>
      </c>
      <c r="F622" s="8">
        <f>IF($D622="CR01",$C622,0)</f>
        <v>-400</v>
      </c>
      <c r="G622" s="8">
        <f>G621+H622</f>
        <v>0</v>
      </c>
      <c r="H622" s="8">
        <f>IF($D622="VISA",$C622,0)</f>
        <v>0</v>
      </c>
      <c r="I622" s="8">
        <f>I621+J622</f>
        <v>0</v>
      </c>
      <c r="J622" s="8">
        <f>IF($D622="ACC",$C622,0)</f>
        <v>0</v>
      </c>
      <c r="K622" s="8">
        <f>K621+L622</f>
        <v>0</v>
      </c>
      <c r="L622" s="8">
        <f>IF($D622="CBB",$C622,0)</f>
        <v>0</v>
      </c>
    </row>
    <row r="623" spans="1:12" x14ac:dyDescent="0.25">
      <c r="A623" s="6">
        <v>41802</v>
      </c>
      <c r="B623" t="s">
        <v>45</v>
      </c>
      <c r="C623" s="7">
        <v>-180</v>
      </c>
      <c r="D623" t="s">
        <v>6</v>
      </c>
      <c r="E623" s="8">
        <f>E622+F623</f>
        <v>30112</v>
      </c>
      <c r="F623" s="8">
        <f>IF($D623="CR01",$C623,0)</f>
        <v>-180</v>
      </c>
      <c r="G623" s="8">
        <f>G622+H623</f>
        <v>0</v>
      </c>
      <c r="H623" s="8">
        <f>IF($D623="VISA",$C623,0)</f>
        <v>0</v>
      </c>
      <c r="I623" s="8">
        <f>I622+J623</f>
        <v>0</v>
      </c>
      <c r="J623" s="8">
        <f>IF($D623="ACC",$C623,0)</f>
        <v>0</v>
      </c>
      <c r="K623" s="8">
        <f>K622+L623</f>
        <v>0</v>
      </c>
      <c r="L623" s="8">
        <f>IF($D623="CBB",$C623,0)</f>
        <v>0</v>
      </c>
    </row>
    <row r="624" spans="1:12" x14ac:dyDescent="0.25">
      <c r="A624" s="6">
        <v>41802</v>
      </c>
      <c r="B624" t="s">
        <v>46</v>
      </c>
      <c r="C624" s="7">
        <v>-300</v>
      </c>
      <c r="D624" t="s">
        <v>6</v>
      </c>
      <c r="E624" s="8">
        <f>E623+F624</f>
        <v>29812</v>
      </c>
      <c r="F624" s="8">
        <f>IF($D624="CR01",$C624,0)</f>
        <v>-300</v>
      </c>
      <c r="G624" s="8">
        <f>G623+H624</f>
        <v>0</v>
      </c>
      <c r="H624" s="8">
        <f>IF($D624="VISA",$C624,0)</f>
        <v>0</v>
      </c>
      <c r="I624" s="8">
        <f>I623+J624</f>
        <v>0</v>
      </c>
      <c r="J624" s="8">
        <f>IF($D624="ACC",$C624,0)</f>
        <v>0</v>
      </c>
      <c r="K624" s="8">
        <f>K623+L624</f>
        <v>0</v>
      </c>
      <c r="L624" s="8">
        <f>IF($D624="CBB",$C624,0)</f>
        <v>0</v>
      </c>
    </row>
    <row r="625" spans="1:12" x14ac:dyDescent="0.25">
      <c r="A625" s="6">
        <v>41804</v>
      </c>
      <c r="B625" t="s">
        <v>67</v>
      </c>
      <c r="C625" s="7">
        <v>3600</v>
      </c>
      <c r="D625" t="s">
        <v>6</v>
      </c>
      <c r="E625" s="8">
        <f>E624+F625</f>
        <v>33412</v>
      </c>
      <c r="F625" s="8">
        <f>IF($D625="CR01",$C625,0)</f>
        <v>3600</v>
      </c>
      <c r="G625" s="8">
        <f>G624+H625</f>
        <v>0</v>
      </c>
      <c r="H625" s="8">
        <f>IF($D625="VISA",$C625,0)</f>
        <v>0</v>
      </c>
      <c r="I625" s="8">
        <f>I624+J625</f>
        <v>0</v>
      </c>
      <c r="J625" s="8">
        <f>IF($D625="ACC",$C625,0)</f>
        <v>0</v>
      </c>
      <c r="K625" s="8">
        <f>K624+L625</f>
        <v>0</v>
      </c>
      <c r="L625" s="8">
        <f>IF($D625="CBB",$C625,0)</f>
        <v>0</v>
      </c>
    </row>
    <row r="626" spans="1:12" x14ac:dyDescent="0.25">
      <c r="A626" s="6">
        <v>41807</v>
      </c>
      <c r="B626" t="s">
        <v>42</v>
      </c>
      <c r="C626" s="7">
        <v>-2806</v>
      </c>
      <c r="D626" t="s">
        <v>6</v>
      </c>
      <c r="E626" s="8">
        <f>E625+F626</f>
        <v>30606</v>
      </c>
      <c r="F626" s="8">
        <f>IF($D626="CR01",$C626,0)</f>
        <v>-2806</v>
      </c>
      <c r="G626" s="8">
        <f>G625+H626</f>
        <v>0</v>
      </c>
      <c r="H626" s="8">
        <f>IF($D626="VISA",$C626,0)</f>
        <v>0</v>
      </c>
      <c r="I626" s="8">
        <f>I625+J626</f>
        <v>0</v>
      </c>
      <c r="J626" s="8">
        <f>IF($D626="ACC",$C626,0)</f>
        <v>0</v>
      </c>
      <c r="K626" s="8">
        <f>K625+L626</f>
        <v>0</v>
      </c>
      <c r="L626" s="8">
        <f>IF($D626="CBB",$C626,0)</f>
        <v>0</v>
      </c>
    </row>
    <row r="627" spans="1:12" x14ac:dyDescent="0.25">
      <c r="A627" s="6">
        <v>41807</v>
      </c>
      <c r="B627" t="s">
        <v>48</v>
      </c>
      <c r="C627" s="7">
        <v>-100</v>
      </c>
      <c r="D627" t="s">
        <v>6</v>
      </c>
      <c r="E627" s="8">
        <f>E626+F627</f>
        <v>30506</v>
      </c>
      <c r="F627" s="8">
        <f>IF($D627="CR01",$C627,0)</f>
        <v>-100</v>
      </c>
      <c r="G627" s="8">
        <f>G626+H627</f>
        <v>0</v>
      </c>
      <c r="H627" s="8">
        <f>IF($D627="VISA",$C627,0)</f>
        <v>0</v>
      </c>
      <c r="I627" s="8">
        <f>I626+J627</f>
        <v>0</v>
      </c>
      <c r="J627" s="8">
        <f>IF($D627="ACC",$C627,0)</f>
        <v>0</v>
      </c>
      <c r="K627" s="8">
        <f>K626+L627</f>
        <v>0</v>
      </c>
      <c r="L627" s="8">
        <f>IF($D627="CBB",$C627,0)</f>
        <v>0</v>
      </c>
    </row>
    <row r="628" spans="1:12" x14ac:dyDescent="0.25">
      <c r="A628" s="6">
        <v>41808</v>
      </c>
      <c r="B628" t="s">
        <v>47</v>
      </c>
      <c r="C628" s="7">
        <v>-120</v>
      </c>
      <c r="D628" t="s">
        <v>6</v>
      </c>
      <c r="E628" s="8">
        <f>E627+F628</f>
        <v>30386</v>
      </c>
      <c r="F628" s="8">
        <f>IF($D628="CR01",$C628,0)</f>
        <v>-120</v>
      </c>
      <c r="G628" s="8">
        <f>G627+H628</f>
        <v>0</v>
      </c>
      <c r="H628" s="8">
        <f>IF($D628="VISA",$C628,0)</f>
        <v>0</v>
      </c>
      <c r="I628" s="8">
        <f>I627+J628</f>
        <v>0</v>
      </c>
      <c r="J628" s="8">
        <f>IF($D628="ACC",$C628,0)</f>
        <v>0</v>
      </c>
      <c r="K628" s="8">
        <f>K627+L628</f>
        <v>0</v>
      </c>
      <c r="L628" s="8">
        <f>IF($D628="CBB",$C628,0)</f>
        <v>0</v>
      </c>
    </row>
    <row r="629" spans="1:12" x14ac:dyDescent="0.25">
      <c r="A629" s="6">
        <v>41809</v>
      </c>
      <c r="B629" t="s">
        <v>44</v>
      </c>
      <c r="C629" s="7">
        <v>-400</v>
      </c>
      <c r="D629" t="s">
        <v>6</v>
      </c>
      <c r="E629" s="8">
        <f>E628+F629</f>
        <v>29986</v>
      </c>
      <c r="F629" s="8">
        <f>IF($D629="CR01",$C629,0)</f>
        <v>-400</v>
      </c>
      <c r="G629" s="8">
        <f>G628+H629</f>
        <v>0</v>
      </c>
      <c r="H629" s="8">
        <f>IF($D629="VISA",$C629,0)</f>
        <v>0</v>
      </c>
      <c r="I629" s="8">
        <f>I628+J629</f>
        <v>0</v>
      </c>
      <c r="J629" s="8">
        <f>IF($D629="ACC",$C629,0)</f>
        <v>0</v>
      </c>
      <c r="K629" s="8">
        <f>K628+L629</f>
        <v>0</v>
      </c>
      <c r="L629" s="8">
        <f>IF($D629="CBB",$C629,0)</f>
        <v>0</v>
      </c>
    </row>
    <row r="630" spans="1:12" x14ac:dyDescent="0.25">
      <c r="A630" s="6">
        <v>41809</v>
      </c>
      <c r="B630" t="s">
        <v>45</v>
      </c>
      <c r="C630" s="7">
        <v>-180</v>
      </c>
      <c r="D630" t="s">
        <v>6</v>
      </c>
      <c r="E630" s="8">
        <f>E629+F630</f>
        <v>29806</v>
      </c>
      <c r="F630" s="8">
        <f>IF($D630="CR01",$C630,0)</f>
        <v>-180</v>
      </c>
      <c r="G630" s="8">
        <f>G629+H630</f>
        <v>0</v>
      </c>
      <c r="H630" s="8">
        <f>IF($D630="VISA",$C630,0)</f>
        <v>0</v>
      </c>
      <c r="I630" s="8">
        <f>I629+J630</f>
        <v>0</v>
      </c>
      <c r="J630" s="8">
        <f>IF($D630="ACC",$C630,0)</f>
        <v>0</v>
      </c>
      <c r="K630" s="8">
        <f>K629+L630</f>
        <v>0</v>
      </c>
      <c r="L630" s="8">
        <f>IF($D630="CBB",$C630,0)</f>
        <v>0</v>
      </c>
    </row>
    <row r="631" spans="1:12" x14ac:dyDescent="0.25">
      <c r="A631" s="6">
        <v>41809</v>
      </c>
      <c r="B631" t="s">
        <v>46</v>
      </c>
      <c r="C631" s="7">
        <v>-300</v>
      </c>
      <c r="D631" t="s">
        <v>6</v>
      </c>
      <c r="E631" s="8">
        <f>E630+F631</f>
        <v>29506</v>
      </c>
      <c r="F631" s="8">
        <f>IF($D631="CR01",$C631,0)</f>
        <v>-300</v>
      </c>
      <c r="G631" s="8">
        <f>G630+H631</f>
        <v>0</v>
      </c>
      <c r="H631" s="8">
        <f>IF($D631="VISA",$C631,0)</f>
        <v>0</v>
      </c>
      <c r="I631" s="8">
        <f>I630+J631</f>
        <v>0</v>
      </c>
      <c r="J631" s="8">
        <f>IF($D631="ACC",$C631,0)</f>
        <v>0</v>
      </c>
      <c r="K631" s="8">
        <f>K630+L631</f>
        <v>0</v>
      </c>
      <c r="L631" s="8">
        <f>IF($D631="CBB",$C631,0)</f>
        <v>0</v>
      </c>
    </row>
    <row r="632" spans="1:12" x14ac:dyDescent="0.25">
      <c r="A632" s="6">
        <v>41810</v>
      </c>
      <c r="B632" t="s">
        <v>43</v>
      </c>
      <c r="C632" s="7">
        <v>3226</v>
      </c>
      <c r="D632" t="s">
        <v>6</v>
      </c>
      <c r="E632" s="8">
        <f>E631+F632</f>
        <v>32732</v>
      </c>
      <c r="F632" s="8">
        <f>IF($D632="CR01",$C632,0)</f>
        <v>3226</v>
      </c>
      <c r="G632" s="8">
        <f>G631+H632</f>
        <v>0</v>
      </c>
      <c r="H632" s="8">
        <f>IF($D632="VISA",$C632,0)</f>
        <v>0</v>
      </c>
      <c r="I632" s="8">
        <f>I631+J632</f>
        <v>0</v>
      </c>
      <c r="J632" s="8">
        <f>IF($D632="ACC",$C632,0)</f>
        <v>0</v>
      </c>
      <c r="K632" s="8">
        <f>K631+L632</f>
        <v>0</v>
      </c>
      <c r="L632" s="8">
        <f>IF($D632="CBB",$C632,0)</f>
        <v>0</v>
      </c>
    </row>
    <row r="633" spans="1:12" x14ac:dyDescent="0.25">
      <c r="A633" s="6">
        <v>41814</v>
      </c>
      <c r="B633" t="s">
        <v>48</v>
      </c>
      <c r="C633" s="7">
        <v>-100</v>
      </c>
      <c r="D633" t="s">
        <v>6</v>
      </c>
      <c r="E633" s="8">
        <f>E632+F633</f>
        <v>32632</v>
      </c>
      <c r="F633" s="8">
        <f>IF($D633="CR01",$C633,0)</f>
        <v>-100</v>
      </c>
      <c r="G633" s="8">
        <f>G632+H633</f>
        <v>0</v>
      </c>
      <c r="H633" s="8">
        <f>IF($D633="VISA",$C633,0)</f>
        <v>0</v>
      </c>
      <c r="I633" s="8">
        <f>I632+J633</f>
        <v>0</v>
      </c>
      <c r="J633" s="8">
        <f>IF($D633="ACC",$C633,0)</f>
        <v>0</v>
      </c>
      <c r="K633" s="8">
        <f>K632+L633</f>
        <v>0</v>
      </c>
      <c r="L633" s="8">
        <f>IF($D633="CBB",$C633,0)</f>
        <v>0</v>
      </c>
    </row>
    <row r="634" spans="1:12" x14ac:dyDescent="0.25">
      <c r="A634" s="6">
        <v>41815</v>
      </c>
      <c r="B634" t="s">
        <v>47</v>
      </c>
      <c r="C634" s="7">
        <v>-120</v>
      </c>
      <c r="D634" t="s">
        <v>6</v>
      </c>
      <c r="E634" s="8">
        <f>E633+F634</f>
        <v>32512</v>
      </c>
      <c r="F634" s="8">
        <f>IF($D634="CR01",$C634,0)</f>
        <v>-120</v>
      </c>
      <c r="G634" s="8">
        <f>G633+H634</f>
        <v>0</v>
      </c>
      <c r="H634" s="8">
        <f>IF($D634="VISA",$C634,0)</f>
        <v>0</v>
      </c>
      <c r="I634" s="8">
        <f>I633+J634</f>
        <v>0</v>
      </c>
      <c r="J634" s="8">
        <f>IF($D634="ACC",$C634,0)</f>
        <v>0</v>
      </c>
      <c r="K634" s="8">
        <f>K633+L634</f>
        <v>0</v>
      </c>
      <c r="L634" s="8">
        <f>IF($D634="CBB",$C634,0)</f>
        <v>0</v>
      </c>
    </row>
    <row r="635" spans="1:12" x14ac:dyDescent="0.25">
      <c r="A635" s="6">
        <v>41816</v>
      </c>
      <c r="B635" t="s">
        <v>44</v>
      </c>
      <c r="C635" s="7">
        <v>-400</v>
      </c>
      <c r="D635" t="s">
        <v>6</v>
      </c>
      <c r="E635" s="8">
        <f>E634+F635</f>
        <v>32112</v>
      </c>
      <c r="F635" s="8">
        <f>IF($D635="CR01",$C635,0)</f>
        <v>-400</v>
      </c>
      <c r="G635" s="8">
        <f>G634+H635</f>
        <v>0</v>
      </c>
      <c r="H635" s="8">
        <f>IF($D635="VISA",$C635,0)</f>
        <v>0</v>
      </c>
      <c r="I635" s="8">
        <f>I634+J635</f>
        <v>0</v>
      </c>
      <c r="J635" s="8">
        <f>IF($D635="ACC",$C635,0)</f>
        <v>0</v>
      </c>
      <c r="K635" s="8">
        <f>K634+L635</f>
        <v>0</v>
      </c>
      <c r="L635" s="8">
        <f>IF($D635="CBB",$C635,0)</f>
        <v>0</v>
      </c>
    </row>
    <row r="636" spans="1:12" x14ac:dyDescent="0.25">
      <c r="A636" s="6">
        <v>41816</v>
      </c>
      <c r="B636" t="s">
        <v>45</v>
      </c>
      <c r="C636" s="7">
        <v>-180</v>
      </c>
      <c r="D636" t="s">
        <v>6</v>
      </c>
      <c r="E636" s="8">
        <f>E635+F636</f>
        <v>31932</v>
      </c>
      <c r="F636" s="8">
        <f>IF($D636="CR01",$C636,0)</f>
        <v>-180</v>
      </c>
      <c r="G636" s="8">
        <f>G635+H636</f>
        <v>0</v>
      </c>
      <c r="H636" s="8">
        <f>IF($D636="VISA",$C636,0)</f>
        <v>0</v>
      </c>
      <c r="I636" s="8">
        <f>I635+J636</f>
        <v>0</v>
      </c>
      <c r="J636" s="8">
        <f>IF($D636="ACC",$C636,0)</f>
        <v>0</v>
      </c>
      <c r="K636" s="8">
        <f>K635+L636</f>
        <v>0</v>
      </c>
      <c r="L636" s="8">
        <f>IF($D636="CBB",$C636,0)</f>
        <v>0</v>
      </c>
    </row>
    <row r="637" spans="1:12" x14ac:dyDescent="0.25">
      <c r="A637" s="6">
        <v>41816</v>
      </c>
      <c r="B637" t="s">
        <v>46</v>
      </c>
      <c r="C637" s="7">
        <v>-300</v>
      </c>
      <c r="D637" t="s">
        <v>6</v>
      </c>
      <c r="E637" s="8">
        <f>E636+F637</f>
        <v>31632</v>
      </c>
      <c r="F637" s="8">
        <f>IF($D637="CR01",$C637,0)</f>
        <v>-300</v>
      </c>
      <c r="G637" s="8">
        <f>G636+H637</f>
        <v>0</v>
      </c>
      <c r="H637" s="8">
        <f>IF($D637="VISA",$C637,0)</f>
        <v>0</v>
      </c>
      <c r="I637" s="8">
        <f>I636+J637</f>
        <v>0</v>
      </c>
      <c r="J637" s="8">
        <f>IF($D637="ACC",$C637,0)</f>
        <v>0</v>
      </c>
      <c r="K637" s="8">
        <f>K636+L637</f>
        <v>0</v>
      </c>
      <c r="L637" s="8">
        <f>IF($D637="CBB",$C637,0)</f>
        <v>0</v>
      </c>
    </row>
    <row r="638" spans="1:12" x14ac:dyDescent="0.25">
      <c r="A638" s="6">
        <v>41818</v>
      </c>
      <c r="B638" t="s">
        <v>67</v>
      </c>
      <c r="C638" s="7">
        <v>3600</v>
      </c>
      <c r="D638" t="s">
        <v>6</v>
      </c>
      <c r="E638" s="8">
        <f>E637+F638</f>
        <v>35232</v>
      </c>
      <c r="F638" s="8">
        <f>IF($D638="CR01",$C638,0)</f>
        <v>3600</v>
      </c>
      <c r="G638" s="8">
        <f>G637+H638</f>
        <v>0</v>
      </c>
      <c r="H638" s="8">
        <f>IF($D638="VISA",$C638,0)</f>
        <v>0</v>
      </c>
      <c r="I638" s="8">
        <f>I637+J638</f>
        <v>0</v>
      </c>
      <c r="J638" s="8">
        <f>IF($D638="ACC",$C638,0)</f>
        <v>0</v>
      </c>
      <c r="K638" s="8">
        <f>K637+L638</f>
        <v>0</v>
      </c>
      <c r="L638" s="8">
        <f>IF($D638="CBB",$C638,0)</f>
        <v>0</v>
      </c>
    </row>
    <row r="639" spans="1:12" x14ac:dyDescent="0.25">
      <c r="A639" s="6">
        <v>41821</v>
      </c>
      <c r="B639" t="s">
        <v>42</v>
      </c>
      <c r="C639" s="7">
        <v>-2806</v>
      </c>
      <c r="D639" t="s">
        <v>6</v>
      </c>
      <c r="E639" s="8">
        <f>E638+F639</f>
        <v>32426</v>
      </c>
      <c r="F639" s="8">
        <f>IF($D639="CR01",$C639,0)</f>
        <v>-2806</v>
      </c>
      <c r="G639" s="8">
        <f>G638+H639</f>
        <v>0</v>
      </c>
      <c r="H639" s="8">
        <f>IF($D639="VISA",$C639,0)</f>
        <v>0</v>
      </c>
      <c r="I639" s="8">
        <f>I638+J639</f>
        <v>0</v>
      </c>
      <c r="J639" s="8">
        <f>IF($D639="ACC",$C639,0)</f>
        <v>0</v>
      </c>
      <c r="K639" s="8">
        <f>K638+L639</f>
        <v>0</v>
      </c>
      <c r="L639" s="8">
        <f>IF($D639="CBB",$C639,0)</f>
        <v>0</v>
      </c>
    </row>
    <row r="640" spans="1:12" x14ac:dyDescent="0.25">
      <c r="A640" s="6">
        <v>41821</v>
      </c>
      <c r="B640" t="s">
        <v>48</v>
      </c>
      <c r="C640" s="7">
        <v>-100</v>
      </c>
      <c r="D640" t="s">
        <v>6</v>
      </c>
      <c r="E640" s="8">
        <f>E639+F640</f>
        <v>32326</v>
      </c>
      <c r="F640" s="8">
        <f>IF($D640="CR01",$C640,0)</f>
        <v>-100</v>
      </c>
      <c r="G640" s="8">
        <f>G639+H640</f>
        <v>0</v>
      </c>
      <c r="H640" s="8">
        <f>IF($D640="VISA",$C640,0)</f>
        <v>0</v>
      </c>
      <c r="I640" s="8">
        <f>I639+J640</f>
        <v>0</v>
      </c>
      <c r="J640" s="8">
        <f>IF($D640="ACC",$C640,0)</f>
        <v>0</v>
      </c>
      <c r="K640" s="8">
        <f>K639+L640</f>
        <v>0</v>
      </c>
      <c r="L640" s="8">
        <f>IF($D640="CBB",$C640,0)</f>
        <v>0</v>
      </c>
    </row>
    <row r="641" spans="1:12" x14ac:dyDescent="0.25">
      <c r="A641" s="6">
        <v>41821</v>
      </c>
      <c r="B641" t="s">
        <v>58</v>
      </c>
      <c r="C641" s="7">
        <v>-200</v>
      </c>
      <c r="D641" t="s">
        <v>6</v>
      </c>
      <c r="E641" s="8">
        <f>E640+F641</f>
        <v>32126</v>
      </c>
      <c r="F641" s="8">
        <f>IF($D641="CR01",$C641,0)</f>
        <v>-200</v>
      </c>
      <c r="G641" s="8">
        <f>G640+H641</f>
        <v>0</v>
      </c>
      <c r="H641" s="8">
        <f>IF($D641="VISA",$C641,0)</f>
        <v>0</v>
      </c>
      <c r="I641" s="8">
        <f>I640+J641</f>
        <v>0</v>
      </c>
      <c r="J641" s="8">
        <f>IF($D641="ACC",$C641,0)</f>
        <v>0</v>
      </c>
      <c r="K641" s="8">
        <f>K640+L641</f>
        <v>0</v>
      </c>
      <c r="L641" s="8">
        <f>IF($D641="CBB",$C641,0)</f>
        <v>0</v>
      </c>
    </row>
    <row r="642" spans="1:12" x14ac:dyDescent="0.25">
      <c r="A642" s="6">
        <v>41821</v>
      </c>
      <c r="B642" t="s">
        <v>60</v>
      </c>
      <c r="C642" s="7">
        <v>-400</v>
      </c>
      <c r="D642" t="s">
        <v>6</v>
      </c>
      <c r="E642" s="8">
        <f>E641+F642</f>
        <v>31726</v>
      </c>
      <c r="F642" s="8">
        <f>IF($D642="CR01",$C642,0)</f>
        <v>-400</v>
      </c>
      <c r="G642" s="8">
        <f>G641+H642</f>
        <v>0</v>
      </c>
      <c r="H642" s="8">
        <f>IF($D642="VISA",$C642,0)</f>
        <v>0</v>
      </c>
      <c r="I642" s="8">
        <f>I641+J642</f>
        <v>0</v>
      </c>
      <c r="J642" s="8">
        <f>IF($D642="ACC",$C642,0)</f>
        <v>0</v>
      </c>
      <c r="K642" s="8">
        <f>K641+L642</f>
        <v>0</v>
      </c>
      <c r="L642" s="8">
        <f>IF($D642="CBB",$C642,0)</f>
        <v>0</v>
      </c>
    </row>
    <row r="643" spans="1:12" x14ac:dyDescent="0.25">
      <c r="A643" s="6">
        <v>41821</v>
      </c>
      <c r="B643" t="s">
        <v>61</v>
      </c>
      <c r="C643" s="7">
        <v>-300</v>
      </c>
      <c r="D643" t="s">
        <v>6</v>
      </c>
      <c r="E643" s="8">
        <f>E642+F643</f>
        <v>31426</v>
      </c>
      <c r="F643" s="8">
        <f>IF($D643="CR01",$C643,0)</f>
        <v>-300</v>
      </c>
      <c r="G643" s="8">
        <f>G642+H643</f>
        <v>0</v>
      </c>
      <c r="H643" s="8">
        <f>IF($D643="VISA",$C643,0)</f>
        <v>0</v>
      </c>
      <c r="I643" s="8">
        <f>I642+J643</f>
        <v>0</v>
      </c>
      <c r="J643" s="8">
        <f>IF($D643="ACC",$C643,0)</f>
        <v>0</v>
      </c>
      <c r="K643" s="8">
        <f>K642+L643</f>
        <v>0</v>
      </c>
      <c r="L643" s="8">
        <f>IF($D643="CBB",$C643,0)</f>
        <v>0</v>
      </c>
    </row>
    <row r="644" spans="1:12" x14ac:dyDescent="0.25">
      <c r="A644" s="6">
        <v>41821</v>
      </c>
      <c r="B644" t="s">
        <v>64</v>
      </c>
      <c r="C644" s="7">
        <v>-26</v>
      </c>
      <c r="D644" t="s">
        <v>6</v>
      </c>
      <c r="E644" s="8">
        <f>E643+F644</f>
        <v>31400</v>
      </c>
      <c r="F644" s="8">
        <f>IF($D644="CR01",$C644,0)</f>
        <v>-26</v>
      </c>
      <c r="G644" s="8">
        <f>G643+H644</f>
        <v>0</v>
      </c>
      <c r="H644" s="8">
        <f>IF($D644="VISA",$C644,0)</f>
        <v>0</v>
      </c>
      <c r="I644" s="8">
        <f>I643+J644</f>
        <v>0</v>
      </c>
      <c r="J644" s="8">
        <f>IF($D644="ACC",$C644,0)</f>
        <v>0</v>
      </c>
      <c r="K644" s="8">
        <f>K643+L644</f>
        <v>0</v>
      </c>
      <c r="L644" s="8">
        <f>IF($D644="CBB",$C644,0)</f>
        <v>0</v>
      </c>
    </row>
    <row r="645" spans="1:12" x14ac:dyDescent="0.25">
      <c r="A645" s="6">
        <v>41821</v>
      </c>
      <c r="B645" t="s">
        <v>65</v>
      </c>
      <c r="C645" s="7">
        <v>-240</v>
      </c>
      <c r="D645" t="s">
        <v>6</v>
      </c>
      <c r="E645" s="8">
        <f>E644+F645</f>
        <v>31160</v>
      </c>
      <c r="F645" s="8">
        <f>IF($D645="CR01",$C645,0)</f>
        <v>-240</v>
      </c>
      <c r="G645" s="8">
        <f>G644+H645</f>
        <v>0</v>
      </c>
      <c r="H645" s="8">
        <f>IF($D645="VISA",$C645,0)</f>
        <v>0</v>
      </c>
      <c r="I645" s="8">
        <f>I644+J645</f>
        <v>0</v>
      </c>
      <c r="J645" s="8">
        <f>IF($D645="ACC",$C645,0)</f>
        <v>0</v>
      </c>
      <c r="K645" s="8">
        <f>K644+L645</f>
        <v>0</v>
      </c>
      <c r="L645" s="8">
        <f>IF($D645="CBB",$C645,0)</f>
        <v>0</v>
      </c>
    </row>
    <row r="646" spans="1:12" x14ac:dyDescent="0.25">
      <c r="A646" s="6">
        <v>41821</v>
      </c>
      <c r="B646" t="s">
        <v>66</v>
      </c>
      <c r="C646" s="7">
        <v>-120</v>
      </c>
      <c r="D646" t="s">
        <v>6</v>
      </c>
      <c r="E646" s="8">
        <f>E645+F646</f>
        <v>31040</v>
      </c>
      <c r="F646" s="8">
        <f>IF($D646="CR01",$C646,0)</f>
        <v>-120</v>
      </c>
      <c r="G646" s="8">
        <f>G645+H646</f>
        <v>0</v>
      </c>
      <c r="H646" s="8">
        <f>IF($D646="VISA",$C646,0)</f>
        <v>0</v>
      </c>
      <c r="I646" s="8">
        <f>I645+J646</f>
        <v>0</v>
      </c>
      <c r="J646" s="8">
        <f>IF($D646="ACC",$C646,0)</f>
        <v>0</v>
      </c>
      <c r="K646" s="8">
        <f>K645+L646</f>
        <v>0</v>
      </c>
      <c r="L646" s="8">
        <f>IF($D646="CBB",$C646,0)</f>
        <v>0</v>
      </c>
    </row>
    <row r="647" spans="1:12" x14ac:dyDescent="0.25">
      <c r="A647" s="6">
        <v>41822</v>
      </c>
      <c r="B647" t="s">
        <v>47</v>
      </c>
      <c r="C647" s="7">
        <v>-120</v>
      </c>
      <c r="D647" t="s">
        <v>6</v>
      </c>
      <c r="E647" s="8">
        <f>E646+F647</f>
        <v>30920</v>
      </c>
      <c r="F647" s="8">
        <f>IF($D647="CR01",$C647,0)</f>
        <v>-120</v>
      </c>
      <c r="G647" s="8">
        <f>G646+H647</f>
        <v>0</v>
      </c>
      <c r="H647" s="8">
        <f>IF($D647="VISA",$C647,0)</f>
        <v>0</v>
      </c>
      <c r="I647" s="8">
        <f>I646+J647</f>
        <v>0</v>
      </c>
      <c r="J647" s="8">
        <f>IF($D647="ACC",$C647,0)</f>
        <v>0</v>
      </c>
      <c r="K647" s="8">
        <f>K646+L647</f>
        <v>0</v>
      </c>
      <c r="L647" s="8">
        <f>IF($D647="CBB",$C647,0)</f>
        <v>0</v>
      </c>
    </row>
    <row r="648" spans="1:12" x14ac:dyDescent="0.25">
      <c r="A648" s="6">
        <v>41822</v>
      </c>
      <c r="B648" t="s">
        <v>59</v>
      </c>
      <c r="C648" s="7">
        <v>-900</v>
      </c>
      <c r="D648" t="s">
        <v>6</v>
      </c>
      <c r="E648" s="8">
        <f>E647+F648</f>
        <v>30020</v>
      </c>
      <c r="F648" s="8">
        <f>IF($D648="CR01",$C648,0)</f>
        <v>-900</v>
      </c>
      <c r="G648" s="8">
        <f>G647+H648</f>
        <v>0</v>
      </c>
      <c r="H648" s="8">
        <f>IF($D648="VISA",$C648,0)</f>
        <v>0</v>
      </c>
      <c r="I648" s="8">
        <f>I647+J648</f>
        <v>0</v>
      </c>
      <c r="J648" s="8">
        <f>IF($D648="ACC",$C648,0)</f>
        <v>0</v>
      </c>
      <c r="K648" s="8">
        <f>K647+L648</f>
        <v>0</v>
      </c>
      <c r="L648" s="8">
        <f>IF($D648="CBB",$C648,0)</f>
        <v>0</v>
      </c>
    </row>
    <row r="649" spans="1:12" x14ac:dyDescent="0.25">
      <c r="A649" s="6">
        <v>41823</v>
      </c>
      <c r="B649" t="s">
        <v>44</v>
      </c>
      <c r="C649" s="7">
        <v>-400</v>
      </c>
      <c r="D649" t="s">
        <v>6</v>
      </c>
      <c r="E649" s="8">
        <f>E648+F649</f>
        <v>29620</v>
      </c>
      <c r="F649" s="8">
        <f>IF($D649="CR01",$C649,0)</f>
        <v>-400</v>
      </c>
      <c r="G649" s="8">
        <f>G648+H649</f>
        <v>0</v>
      </c>
      <c r="H649" s="8">
        <f>IF($D649="VISA",$C649,0)</f>
        <v>0</v>
      </c>
      <c r="I649" s="8">
        <f>I648+J649</f>
        <v>0</v>
      </c>
      <c r="J649" s="8">
        <f>IF($D649="ACC",$C649,0)</f>
        <v>0</v>
      </c>
      <c r="K649" s="8">
        <f>K648+L649</f>
        <v>0</v>
      </c>
      <c r="L649" s="8">
        <f>IF($D649="CBB",$C649,0)</f>
        <v>0</v>
      </c>
    </row>
    <row r="650" spans="1:12" x14ac:dyDescent="0.25">
      <c r="A650" s="6">
        <v>41823</v>
      </c>
      <c r="B650" t="s">
        <v>45</v>
      </c>
      <c r="C650" s="7">
        <v>-180</v>
      </c>
      <c r="D650" t="s">
        <v>6</v>
      </c>
      <c r="E650" s="8">
        <f>E649+F650</f>
        <v>29440</v>
      </c>
      <c r="F650" s="8">
        <f>IF($D650="CR01",$C650,0)</f>
        <v>-180</v>
      </c>
      <c r="G650" s="8">
        <f>G649+H650</f>
        <v>0</v>
      </c>
      <c r="H650" s="8">
        <f>IF($D650="VISA",$C650,0)</f>
        <v>0</v>
      </c>
      <c r="I650" s="8">
        <f>I649+J650</f>
        <v>0</v>
      </c>
      <c r="J650" s="8">
        <f>IF($D650="ACC",$C650,0)</f>
        <v>0</v>
      </c>
      <c r="K650" s="8">
        <f>K649+L650</f>
        <v>0</v>
      </c>
      <c r="L650" s="8">
        <f>IF($D650="CBB",$C650,0)</f>
        <v>0</v>
      </c>
    </row>
    <row r="651" spans="1:12" x14ac:dyDescent="0.25">
      <c r="A651" s="6">
        <v>41823</v>
      </c>
      <c r="B651" t="s">
        <v>46</v>
      </c>
      <c r="C651" s="7">
        <v>-300</v>
      </c>
      <c r="D651" t="s">
        <v>6</v>
      </c>
      <c r="E651" s="8">
        <f>E650+F651</f>
        <v>29140</v>
      </c>
      <c r="F651" s="8">
        <f>IF($D651="CR01",$C651,0)</f>
        <v>-300</v>
      </c>
      <c r="G651" s="8">
        <f>G650+H651</f>
        <v>0</v>
      </c>
      <c r="H651" s="8">
        <f>IF($D651="VISA",$C651,0)</f>
        <v>0</v>
      </c>
      <c r="I651" s="8">
        <f>I650+J651</f>
        <v>0</v>
      </c>
      <c r="J651" s="8">
        <f>IF($D651="ACC",$C651,0)</f>
        <v>0</v>
      </c>
      <c r="K651" s="8">
        <f>K650+L651</f>
        <v>0</v>
      </c>
      <c r="L651" s="8">
        <f>IF($D651="CBB",$C651,0)</f>
        <v>0</v>
      </c>
    </row>
    <row r="652" spans="1:12" x14ac:dyDescent="0.25">
      <c r="A652" s="6">
        <v>41824</v>
      </c>
      <c r="B652" t="s">
        <v>43</v>
      </c>
      <c r="C652" s="7">
        <v>3226</v>
      </c>
      <c r="D652" t="s">
        <v>6</v>
      </c>
      <c r="E652" s="8">
        <f>E651+F652</f>
        <v>32366</v>
      </c>
      <c r="F652" s="8">
        <f>IF($D652="CR01",$C652,0)</f>
        <v>3226</v>
      </c>
      <c r="G652" s="8">
        <f>G651+H652</f>
        <v>0</v>
      </c>
      <c r="H652" s="8">
        <f>IF($D652="VISA",$C652,0)</f>
        <v>0</v>
      </c>
      <c r="I652" s="8">
        <f>I651+J652</f>
        <v>0</v>
      </c>
      <c r="J652" s="8">
        <f>IF($D652="ACC",$C652,0)</f>
        <v>0</v>
      </c>
      <c r="K652" s="8">
        <f>K651+L652</f>
        <v>0</v>
      </c>
      <c r="L652" s="8">
        <f>IF($D652="CBB",$C652,0)</f>
        <v>0</v>
      </c>
    </row>
    <row r="653" spans="1:12" x14ac:dyDescent="0.25">
      <c r="A653" s="6">
        <v>41828</v>
      </c>
      <c r="B653" t="s">
        <v>48</v>
      </c>
      <c r="C653" s="7">
        <v>-100</v>
      </c>
      <c r="D653" t="s">
        <v>6</v>
      </c>
      <c r="E653" s="8">
        <f>E652+F653</f>
        <v>32266</v>
      </c>
      <c r="F653" s="8">
        <f>IF($D653="CR01",$C653,0)</f>
        <v>-100</v>
      </c>
      <c r="G653" s="8">
        <f>G652+H653</f>
        <v>0</v>
      </c>
      <c r="H653" s="8">
        <f>IF($D653="VISA",$C653,0)</f>
        <v>0</v>
      </c>
      <c r="I653" s="8">
        <f>I652+J653</f>
        <v>0</v>
      </c>
      <c r="J653" s="8">
        <f>IF($D653="ACC",$C653,0)</f>
        <v>0</v>
      </c>
      <c r="K653" s="8">
        <f>K652+L653</f>
        <v>0</v>
      </c>
      <c r="L653" s="8">
        <f>IF($D653="CBB",$C653,0)</f>
        <v>0</v>
      </c>
    </row>
    <row r="654" spans="1:12" x14ac:dyDescent="0.25">
      <c r="A654" s="6">
        <v>41829</v>
      </c>
      <c r="B654" t="s">
        <v>47</v>
      </c>
      <c r="C654" s="7">
        <v>-120</v>
      </c>
      <c r="D654" t="s">
        <v>6</v>
      </c>
      <c r="E654" s="8">
        <f>E653+F654</f>
        <v>32146</v>
      </c>
      <c r="F654" s="8">
        <f>IF($D654="CR01",$C654,0)</f>
        <v>-120</v>
      </c>
      <c r="G654" s="8">
        <f>G653+H654</f>
        <v>0</v>
      </c>
      <c r="H654" s="8">
        <f>IF($D654="VISA",$C654,0)</f>
        <v>0</v>
      </c>
      <c r="I654" s="8">
        <f>I653+J654</f>
        <v>0</v>
      </c>
      <c r="J654" s="8">
        <f>IF($D654="ACC",$C654,0)</f>
        <v>0</v>
      </c>
      <c r="K654" s="8">
        <f>K653+L654</f>
        <v>0</v>
      </c>
      <c r="L654" s="8">
        <f>IF($D654="CBB",$C654,0)</f>
        <v>0</v>
      </c>
    </row>
    <row r="655" spans="1:12" x14ac:dyDescent="0.25">
      <c r="A655" s="6">
        <v>41830</v>
      </c>
      <c r="B655" t="s">
        <v>44</v>
      </c>
      <c r="C655" s="7">
        <v>-400</v>
      </c>
      <c r="D655" t="s">
        <v>6</v>
      </c>
      <c r="E655" s="8">
        <f>E654+F655</f>
        <v>31746</v>
      </c>
      <c r="F655" s="8">
        <f>IF($D655="CR01",$C655,0)</f>
        <v>-400</v>
      </c>
      <c r="G655" s="8">
        <f>G654+H655</f>
        <v>0</v>
      </c>
      <c r="H655" s="8">
        <f>IF($D655="VISA",$C655,0)</f>
        <v>0</v>
      </c>
      <c r="I655" s="8">
        <f>I654+J655</f>
        <v>0</v>
      </c>
      <c r="J655" s="8">
        <f>IF($D655="ACC",$C655,0)</f>
        <v>0</v>
      </c>
      <c r="K655" s="8">
        <f>K654+L655</f>
        <v>0</v>
      </c>
      <c r="L655" s="8">
        <f>IF($D655="CBB",$C655,0)</f>
        <v>0</v>
      </c>
    </row>
    <row r="656" spans="1:12" x14ac:dyDescent="0.25">
      <c r="A656" s="6">
        <v>41830</v>
      </c>
      <c r="B656" t="s">
        <v>45</v>
      </c>
      <c r="C656" s="7">
        <v>-180</v>
      </c>
      <c r="D656" t="s">
        <v>6</v>
      </c>
      <c r="E656" s="8">
        <f>E655+F656</f>
        <v>31566</v>
      </c>
      <c r="F656" s="8">
        <f>IF($D656="CR01",$C656,0)</f>
        <v>-180</v>
      </c>
      <c r="G656" s="8">
        <f>G655+H656</f>
        <v>0</v>
      </c>
      <c r="H656" s="8">
        <f>IF($D656="VISA",$C656,0)</f>
        <v>0</v>
      </c>
      <c r="I656" s="8">
        <f>I655+J656</f>
        <v>0</v>
      </c>
      <c r="J656" s="8">
        <f>IF($D656="ACC",$C656,0)</f>
        <v>0</v>
      </c>
      <c r="K656" s="8">
        <f>K655+L656</f>
        <v>0</v>
      </c>
      <c r="L656" s="8">
        <f>IF($D656="CBB",$C656,0)</f>
        <v>0</v>
      </c>
    </row>
    <row r="657" spans="1:12" x14ac:dyDescent="0.25">
      <c r="A657" s="6">
        <v>41830</v>
      </c>
      <c r="B657" t="s">
        <v>46</v>
      </c>
      <c r="C657" s="7">
        <v>-300</v>
      </c>
      <c r="D657" t="s">
        <v>6</v>
      </c>
      <c r="E657" s="8">
        <f>E656+F657</f>
        <v>31266</v>
      </c>
      <c r="F657" s="8">
        <f>IF($D657="CR01",$C657,0)</f>
        <v>-300</v>
      </c>
      <c r="G657" s="8">
        <f>G656+H657</f>
        <v>0</v>
      </c>
      <c r="H657" s="8">
        <f>IF($D657="VISA",$C657,0)</f>
        <v>0</v>
      </c>
      <c r="I657" s="8">
        <f>I656+J657</f>
        <v>0</v>
      </c>
      <c r="J657" s="8">
        <f>IF($D657="ACC",$C657,0)</f>
        <v>0</v>
      </c>
      <c r="K657" s="8">
        <f>K656+L657</f>
        <v>0</v>
      </c>
      <c r="L657" s="8">
        <f>IF($D657="CBB",$C657,0)</f>
        <v>0</v>
      </c>
    </row>
    <row r="658" spans="1:12" x14ac:dyDescent="0.25">
      <c r="A658" s="6">
        <v>41832</v>
      </c>
      <c r="B658" t="s">
        <v>67</v>
      </c>
      <c r="C658" s="7">
        <v>3600</v>
      </c>
      <c r="D658" t="s">
        <v>6</v>
      </c>
      <c r="E658" s="8">
        <f>E657+F658</f>
        <v>34866</v>
      </c>
      <c r="F658" s="8">
        <f>IF($D658="CR01",$C658,0)</f>
        <v>3600</v>
      </c>
      <c r="G658" s="8">
        <f>G657+H658</f>
        <v>0</v>
      </c>
      <c r="H658" s="8">
        <f>IF($D658="VISA",$C658,0)</f>
        <v>0</v>
      </c>
      <c r="I658" s="8">
        <f>I657+J658</f>
        <v>0</v>
      </c>
      <c r="J658" s="8">
        <f>IF($D658="ACC",$C658,0)</f>
        <v>0</v>
      </c>
      <c r="K658" s="8">
        <f>K657+L658</f>
        <v>0</v>
      </c>
      <c r="L658" s="8">
        <f>IF($D658="CBB",$C658,0)</f>
        <v>0</v>
      </c>
    </row>
    <row r="659" spans="1:12" x14ac:dyDescent="0.25">
      <c r="A659" s="6">
        <v>41835</v>
      </c>
      <c r="B659" t="s">
        <v>42</v>
      </c>
      <c r="C659" s="7">
        <v>-2806</v>
      </c>
      <c r="D659" t="s">
        <v>6</v>
      </c>
      <c r="E659" s="8">
        <f>E658+F659</f>
        <v>32060</v>
      </c>
      <c r="F659" s="8">
        <f>IF($D659="CR01",$C659,0)</f>
        <v>-2806</v>
      </c>
      <c r="G659" s="8">
        <f>G658+H659</f>
        <v>0</v>
      </c>
      <c r="H659" s="8">
        <f>IF($D659="VISA",$C659,0)</f>
        <v>0</v>
      </c>
      <c r="I659" s="8">
        <f>I658+J659</f>
        <v>0</v>
      </c>
      <c r="J659" s="8">
        <f>IF($D659="ACC",$C659,0)</f>
        <v>0</v>
      </c>
      <c r="K659" s="8">
        <f>K658+L659</f>
        <v>0</v>
      </c>
      <c r="L659" s="8">
        <f>IF($D659="CBB",$C659,0)</f>
        <v>0</v>
      </c>
    </row>
    <row r="660" spans="1:12" x14ac:dyDescent="0.25">
      <c r="A660" s="6">
        <v>41835</v>
      </c>
      <c r="B660" t="s">
        <v>48</v>
      </c>
      <c r="C660" s="7">
        <v>-100</v>
      </c>
      <c r="D660" t="s">
        <v>6</v>
      </c>
      <c r="E660" s="8">
        <f>E659+F660</f>
        <v>31960</v>
      </c>
      <c r="F660" s="8">
        <f>IF($D660="CR01",$C660,0)</f>
        <v>-100</v>
      </c>
      <c r="G660" s="8">
        <f>G659+H660</f>
        <v>0</v>
      </c>
      <c r="H660" s="8">
        <f>IF($D660="VISA",$C660,0)</f>
        <v>0</v>
      </c>
      <c r="I660" s="8">
        <f>I659+J660</f>
        <v>0</v>
      </c>
      <c r="J660" s="8">
        <f>IF($D660="ACC",$C660,0)</f>
        <v>0</v>
      </c>
      <c r="K660" s="8">
        <f>K659+L660</f>
        <v>0</v>
      </c>
      <c r="L660" s="8">
        <f>IF($D660="CBB",$C660,0)</f>
        <v>0</v>
      </c>
    </row>
    <row r="661" spans="1:12" x14ac:dyDescent="0.25">
      <c r="A661" s="6">
        <v>41836</v>
      </c>
      <c r="B661" t="s">
        <v>47</v>
      </c>
      <c r="C661" s="7">
        <v>-120</v>
      </c>
      <c r="D661" t="s">
        <v>6</v>
      </c>
      <c r="E661" s="8">
        <f>E660+F661</f>
        <v>31840</v>
      </c>
      <c r="F661" s="8">
        <f>IF($D661="CR01",$C661,0)</f>
        <v>-120</v>
      </c>
      <c r="G661" s="8">
        <f>G660+H661</f>
        <v>0</v>
      </c>
      <c r="H661" s="8">
        <f>IF($D661="VISA",$C661,0)</f>
        <v>0</v>
      </c>
      <c r="I661" s="8">
        <f>I660+J661</f>
        <v>0</v>
      </c>
      <c r="J661" s="8">
        <f>IF($D661="ACC",$C661,0)</f>
        <v>0</v>
      </c>
      <c r="K661" s="8">
        <f>K660+L661</f>
        <v>0</v>
      </c>
      <c r="L661" s="8">
        <f>IF($D661="CBB",$C661,0)</f>
        <v>0</v>
      </c>
    </row>
    <row r="662" spans="1:12" x14ac:dyDescent="0.25">
      <c r="A662" s="6">
        <v>41837</v>
      </c>
      <c r="B662" t="s">
        <v>44</v>
      </c>
      <c r="C662" s="7">
        <v>-400</v>
      </c>
      <c r="D662" t="s">
        <v>6</v>
      </c>
      <c r="E662" s="8">
        <f>E661+F662</f>
        <v>31440</v>
      </c>
      <c r="F662" s="8">
        <f>IF($D662="CR01",$C662,0)</f>
        <v>-400</v>
      </c>
      <c r="G662" s="8">
        <f>G661+H662</f>
        <v>0</v>
      </c>
      <c r="H662" s="8">
        <f>IF($D662="VISA",$C662,0)</f>
        <v>0</v>
      </c>
      <c r="I662" s="8">
        <f>I661+J662</f>
        <v>0</v>
      </c>
      <c r="J662" s="8">
        <f>IF($D662="ACC",$C662,0)</f>
        <v>0</v>
      </c>
      <c r="K662" s="8">
        <f>K661+L662</f>
        <v>0</v>
      </c>
      <c r="L662" s="8">
        <f>IF($D662="CBB",$C662,0)</f>
        <v>0</v>
      </c>
    </row>
    <row r="663" spans="1:12" x14ac:dyDescent="0.25">
      <c r="A663" s="6">
        <v>41837</v>
      </c>
      <c r="B663" t="s">
        <v>45</v>
      </c>
      <c r="C663" s="7">
        <v>-180</v>
      </c>
      <c r="D663" t="s">
        <v>6</v>
      </c>
      <c r="E663" s="8">
        <f>E662+F663</f>
        <v>31260</v>
      </c>
      <c r="F663" s="8">
        <f>IF($D663="CR01",$C663,0)</f>
        <v>-180</v>
      </c>
      <c r="G663" s="8">
        <f>G662+H663</f>
        <v>0</v>
      </c>
      <c r="H663" s="8">
        <f>IF($D663="VISA",$C663,0)</f>
        <v>0</v>
      </c>
      <c r="I663" s="8">
        <f>I662+J663</f>
        <v>0</v>
      </c>
      <c r="J663" s="8">
        <f>IF($D663="ACC",$C663,0)</f>
        <v>0</v>
      </c>
      <c r="K663" s="8">
        <f>K662+L663</f>
        <v>0</v>
      </c>
      <c r="L663" s="8">
        <f>IF($D663="CBB",$C663,0)</f>
        <v>0</v>
      </c>
    </row>
    <row r="664" spans="1:12" x14ac:dyDescent="0.25">
      <c r="A664" s="6">
        <v>41837</v>
      </c>
      <c r="B664" t="s">
        <v>46</v>
      </c>
      <c r="C664" s="7">
        <v>-300</v>
      </c>
      <c r="D664" t="s">
        <v>6</v>
      </c>
      <c r="E664" s="8">
        <f>E663+F664</f>
        <v>30960</v>
      </c>
      <c r="F664" s="8">
        <f>IF($D664="CR01",$C664,0)</f>
        <v>-300</v>
      </c>
      <c r="G664" s="8">
        <f>G663+H664</f>
        <v>0</v>
      </c>
      <c r="H664" s="8">
        <f>IF($D664="VISA",$C664,0)</f>
        <v>0</v>
      </c>
      <c r="I664" s="8">
        <f>I663+J664</f>
        <v>0</v>
      </c>
      <c r="J664" s="8">
        <f>IF($D664="ACC",$C664,0)</f>
        <v>0</v>
      </c>
      <c r="K664" s="8">
        <f>K663+L664</f>
        <v>0</v>
      </c>
      <c r="L664" s="8">
        <f>IF($D664="CBB",$C664,0)</f>
        <v>0</v>
      </c>
    </row>
    <row r="665" spans="1:12" x14ac:dyDescent="0.25">
      <c r="A665" s="6">
        <v>41838</v>
      </c>
      <c r="B665" t="s">
        <v>43</v>
      </c>
      <c r="C665" s="7">
        <v>3226</v>
      </c>
      <c r="D665" t="s">
        <v>6</v>
      </c>
      <c r="E665" s="8">
        <f>E664+F665</f>
        <v>34186</v>
      </c>
      <c r="F665" s="8">
        <f>IF($D665="CR01",$C665,0)</f>
        <v>3226</v>
      </c>
      <c r="G665" s="8">
        <f>G664+H665</f>
        <v>0</v>
      </c>
      <c r="H665" s="8">
        <f>IF($D665="VISA",$C665,0)</f>
        <v>0</v>
      </c>
      <c r="I665" s="8">
        <f>I664+J665</f>
        <v>0</v>
      </c>
      <c r="J665" s="8">
        <f>IF($D665="ACC",$C665,0)</f>
        <v>0</v>
      </c>
      <c r="K665" s="8">
        <f>K664+L665</f>
        <v>0</v>
      </c>
      <c r="L665" s="8">
        <f>IF($D665="CBB",$C665,0)</f>
        <v>0</v>
      </c>
    </row>
    <row r="666" spans="1:12" x14ac:dyDescent="0.25">
      <c r="A666" s="6">
        <v>41842</v>
      </c>
      <c r="B666" t="s">
        <v>48</v>
      </c>
      <c r="C666" s="7">
        <v>-100</v>
      </c>
      <c r="D666" t="s">
        <v>6</v>
      </c>
      <c r="E666" s="8">
        <f>E665+F666</f>
        <v>34086</v>
      </c>
      <c r="F666" s="8">
        <f>IF($D666="CR01",$C666,0)</f>
        <v>-100</v>
      </c>
      <c r="G666" s="8">
        <f>G665+H666</f>
        <v>0</v>
      </c>
      <c r="H666" s="8">
        <f>IF($D666="VISA",$C666,0)</f>
        <v>0</v>
      </c>
      <c r="I666" s="8">
        <f>I665+J666</f>
        <v>0</v>
      </c>
      <c r="J666" s="8">
        <f>IF($D666="ACC",$C666,0)</f>
        <v>0</v>
      </c>
      <c r="K666" s="8">
        <f>K665+L666</f>
        <v>0</v>
      </c>
      <c r="L666" s="8">
        <f>IF($D666="CBB",$C666,0)</f>
        <v>0</v>
      </c>
    </row>
    <row r="667" spans="1:12" x14ac:dyDescent="0.25">
      <c r="A667" s="6">
        <v>41843</v>
      </c>
      <c r="B667" t="s">
        <v>47</v>
      </c>
      <c r="C667" s="7">
        <v>-120</v>
      </c>
      <c r="D667" t="s">
        <v>6</v>
      </c>
      <c r="E667" s="8">
        <f>E666+F667</f>
        <v>33966</v>
      </c>
      <c r="F667" s="8">
        <f>IF($D667="CR01",$C667,0)</f>
        <v>-120</v>
      </c>
      <c r="G667" s="8">
        <f>G666+H667</f>
        <v>0</v>
      </c>
      <c r="H667" s="8">
        <f>IF($D667="VISA",$C667,0)</f>
        <v>0</v>
      </c>
      <c r="I667" s="8">
        <f>I666+J667</f>
        <v>0</v>
      </c>
      <c r="J667" s="8">
        <f>IF($D667="ACC",$C667,0)</f>
        <v>0</v>
      </c>
      <c r="K667" s="8">
        <f>K666+L667</f>
        <v>0</v>
      </c>
      <c r="L667" s="8">
        <f>IF($D667="CBB",$C667,0)</f>
        <v>0</v>
      </c>
    </row>
    <row r="668" spans="1:12" x14ac:dyDescent="0.25">
      <c r="A668" s="6">
        <v>41844</v>
      </c>
      <c r="B668" t="s">
        <v>44</v>
      </c>
      <c r="C668" s="7">
        <v>-400</v>
      </c>
      <c r="D668" t="s">
        <v>6</v>
      </c>
      <c r="E668" s="8">
        <f>E667+F668</f>
        <v>33566</v>
      </c>
      <c r="F668" s="8">
        <f>IF($D668="CR01",$C668,0)</f>
        <v>-400</v>
      </c>
      <c r="G668" s="8">
        <f>G667+H668</f>
        <v>0</v>
      </c>
      <c r="H668" s="8">
        <f>IF($D668="VISA",$C668,0)</f>
        <v>0</v>
      </c>
      <c r="I668" s="8">
        <f>I667+J668</f>
        <v>0</v>
      </c>
      <c r="J668" s="8">
        <f>IF($D668="ACC",$C668,0)</f>
        <v>0</v>
      </c>
      <c r="K668" s="8">
        <f>K667+L668</f>
        <v>0</v>
      </c>
      <c r="L668" s="8">
        <f>IF($D668="CBB",$C668,0)</f>
        <v>0</v>
      </c>
    </row>
    <row r="669" spans="1:12" x14ac:dyDescent="0.25">
      <c r="A669" s="6">
        <v>41844</v>
      </c>
      <c r="B669" t="s">
        <v>45</v>
      </c>
      <c r="C669" s="7">
        <v>-180</v>
      </c>
      <c r="D669" t="s">
        <v>6</v>
      </c>
      <c r="E669" s="8">
        <f>E668+F669</f>
        <v>33386</v>
      </c>
      <c r="F669" s="8">
        <f>IF($D669="CR01",$C669,0)</f>
        <v>-180</v>
      </c>
      <c r="G669" s="8">
        <f>G668+H669</f>
        <v>0</v>
      </c>
      <c r="H669" s="8">
        <f>IF($D669="VISA",$C669,0)</f>
        <v>0</v>
      </c>
      <c r="I669" s="8">
        <f>I668+J669</f>
        <v>0</v>
      </c>
      <c r="J669" s="8">
        <f>IF($D669="ACC",$C669,0)</f>
        <v>0</v>
      </c>
      <c r="K669" s="8">
        <f>K668+L669</f>
        <v>0</v>
      </c>
      <c r="L669" s="8">
        <f>IF($D669="CBB",$C669,0)</f>
        <v>0</v>
      </c>
    </row>
    <row r="670" spans="1:12" x14ac:dyDescent="0.25">
      <c r="A670" s="6">
        <v>41844</v>
      </c>
      <c r="B670" t="s">
        <v>46</v>
      </c>
      <c r="C670" s="7">
        <v>-300</v>
      </c>
      <c r="D670" t="s">
        <v>6</v>
      </c>
      <c r="E670" s="8">
        <f>E669+F670</f>
        <v>33086</v>
      </c>
      <c r="F670" s="8">
        <f>IF($D670="CR01",$C670,0)</f>
        <v>-300</v>
      </c>
      <c r="G670" s="8">
        <f>G669+H670</f>
        <v>0</v>
      </c>
      <c r="H670" s="8">
        <f>IF($D670="VISA",$C670,0)</f>
        <v>0</v>
      </c>
      <c r="I670" s="8">
        <f>I669+J670</f>
        <v>0</v>
      </c>
      <c r="J670" s="8">
        <f>IF($D670="ACC",$C670,0)</f>
        <v>0</v>
      </c>
      <c r="K670" s="8">
        <f>K669+L670</f>
        <v>0</v>
      </c>
      <c r="L670" s="8">
        <f>IF($D670="CBB",$C670,0)</f>
        <v>0</v>
      </c>
    </row>
    <row r="671" spans="1:12" x14ac:dyDescent="0.25">
      <c r="A671" s="6">
        <v>41846</v>
      </c>
      <c r="B671" t="s">
        <v>67</v>
      </c>
      <c r="C671" s="7">
        <v>3600</v>
      </c>
      <c r="D671" t="s">
        <v>6</v>
      </c>
      <c r="E671" s="8">
        <f>E670+F671</f>
        <v>36686</v>
      </c>
      <c r="F671" s="8">
        <f>IF($D671="CR01",$C671,0)</f>
        <v>3600</v>
      </c>
      <c r="G671" s="8">
        <f>G670+H671</f>
        <v>0</v>
      </c>
      <c r="H671" s="8">
        <f>IF($D671="VISA",$C671,0)</f>
        <v>0</v>
      </c>
      <c r="I671" s="8">
        <f>I670+J671</f>
        <v>0</v>
      </c>
      <c r="J671" s="8">
        <f>IF($D671="ACC",$C671,0)</f>
        <v>0</v>
      </c>
      <c r="K671" s="8">
        <f>K670+L671</f>
        <v>0</v>
      </c>
      <c r="L671" s="8">
        <f>IF($D671="CBB",$C671,0)</f>
        <v>0</v>
      </c>
    </row>
    <row r="672" spans="1:12" x14ac:dyDescent="0.25">
      <c r="A672" s="6">
        <v>41849</v>
      </c>
      <c r="B672" t="s">
        <v>42</v>
      </c>
      <c r="C672" s="7">
        <v>-2806</v>
      </c>
      <c r="D672" t="s">
        <v>6</v>
      </c>
      <c r="E672" s="8">
        <f>E671+F672</f>
        <v>33880</v>
      </c>
      <c r="F672" s="8">
        <f>IF($D672="CR01",$C672,0)</f>
        <v>-2806</v>
      </c>
      <c r="G672" s="8">
        <f>G671+H672</f>
        <v>0</v>
      </c>
      <c r="H672" s="8">
        <f>IF($D672="VISA",$C672,0)</f>
        <v>0</v>
      </c>
      <c r="I672" s="8">
        <f>I671+J672</f>
        <v>0</v>
      </c>
      <c r="J672" s="8">
        <f>IF($D672="ACC",$C672,0)</f>
        <v>0</v>
      </c>
      <c r="K672" s="8">
        <f>K671+L672</f>
        <v>0</v>
      </c>
      <c r="L672" s="8">
        <f>IF($D672="CBB",$C672,0)</f>
        <v>0</v>
      </c>
    </row>
    <row r="673" spans="1:12" x14ac:dyDescent="0.25">
      <c r="A673" s="6">
        <v>41849</v>
      </c>
      <c r="B673" t="s">
        <v>48</v>
      </c>
      <c r="C673" s="7">
        <v>-100</v>
      </c>
      <c r="D673" t="s">
        <v>6</v>
      </c>
      <c r="E673" s="8">
        <f>E672+F673</f>
        <v>33780</v>
      </c>
      <c r="F673" s="8">
        <f>IF($D673="CR01",$C673,0)</f>
        <v>-100</v>
      </c>
      <c r="G673" s="8">
        <f>G672+H673</f>
        <v>0</v>
      </c>
      <c r="H673" s="8">
        <f>IF($D673="VISA",$C673,0)</f>
        <v>0</v>
      </c>
      <c r="I673" s="8">
        <f>I672+J673</f>
        <v>0</v>
      </c>
      <c r="J673" s="8">
        <f>IF($D673="ACC",$C673,0)</f>
        <v>0</v>
      </c>
      <c r="K673" s="8">
        <f>K672+L673</f>
        <v>0</v>
      </c>
      <c r="L673" s="8">
        <f>IF($D673="CBB",$C673,0)</f>
        <v>0</v>
      </c>
    </row>
    <row r="674" spans="1:12" x14ac:dyDescent="0.25">
      <c r="A674" s="6">
        <v>41850</v>
      </c>
      <c r="B674" t="s">
        <v>47</v>
      </c>
      <c r="C674" s="7">
        <v>-120</v>
      </c>
      <c r="D674" t="s">
        <v>6</v>
      </c>
      <c r="E674" s="8">
        <f>E673+F674</f>
        <v>33660</v>
      </c>
      <c r="F674" s="8">
        <f>IF($D674="CR01",$C674,0)</f>
        <v>-120</v>
      </c>
      <c r="G674" s="8">
        <f>G673+H674</f>
        <v>0</v>
      </c>
      <c r="H674" s="8">
        <f>IF($D674="VISA",$C674,0)</f>
        <v>0</v>
      </c>
      <c r="I674" s="8">
        <f>I673+J674</f>
        <v>0</v>
      </c>
      <c r="J674" s="8">
        <f>IF($D674="ACC",$C674,0)</f>
        <v>0</v>
      </c>
      <c r="K674" s="8">
        <f>K673+L674</f>
        <v>0</v>
      </c>
      <c r="L674" s="8">
        <f>IF($D674="CBB",$C674,0)</f>
        <v>0</v>
      </c>
    </row>
    <row r="675" spans="1:12" x14ac:dyDescent="0.25">
      <c r="A675" s="6">
        <v>41851</v>
      </c>
      <c r="B675" t="s">
        <v>44</v>
      </c>
      <c r="C675" s="7">
        <v>-400</v>
      </c>
      <c r="D675" t="s">
        <v>6</v>
      </c>
      <c r="E675" s="8">
        <f>E674+F675</f>
        <v>33260</v>
      </c>
      <c r="F675" s="8">
        <f>IF($D675="CR01",$C675,0)</f>
        <v>-400</v>
      </c>
      <c r="G675" s="8">
        <f>G674+H675</f>
        <v>0</v>
      </c>
      <c r="H675" s="8">
        <f>IF($D675="VISA",$C675,0)</f>
        <v>0</v>
      </c>
      <c r="I675" s="8">
        <f>I674+J675</f>
        <v>0</v>
      </c>
      <c r="J675" s="8">
        <f>IF($D675="ACC",$C675,0)</f>
        <v>0</v>
      </c>
      <c r="K675" s="8">
        <f>K674+L675</f>
        <v>0</v>
      </c>
      <c r="L675" s="8">
        <f>IF($D675="CBB",$C675,0)</f>
        <v>0</v>
      </c>
    </row>
    <row r="676" spans="1:12" x14ac:dyDescent="0.25">
      <c r="A676" s="6">
        <v>41851</v>
      </c>
      <c r="B676" t="s">
        <v>45</v>
      </c>
      <c r="C676" s="7">
        <v>-180</v>
      </c>
      <c r="D676" t="s">
        <v>6</v>
      </c>
      <c r="E676" s="8">
        <f>E675+F676</f>
        <v>33080</v>
      </c>
      <c r="F676" s="8">
        <f>IF($D676="CR01",$C676,0)</f>
        <v>-180</v>
      </c>
      <c r="G676" s="8">
        <f>G675+H676</f>
        <v>0</v>
      </c>
      <c r="H676" s="8">
        <f>IF($D676="VISA",$C676,0)</f>
        <v>0</v>
      </c>
      <c r="I676" s="8">
        <f>I675+J676</f>
        <v>0</v>
      </c>
      <c r="J676" s="8">
        <f>IF($D676="ACC",$C676,0)</f>
        <v>0</v>
      </c>
      <c r="K676" s="8">
        <f>K675+L676</f>
        <v>0</v>
      </c>
      <c r="L676" s="8">
        <f>IF($D676="CBB",$C676,0)</f>
        <v>0</v>
      </c>
    </row>
    <row r="677" spans="1:12" x14ac:dyDescent="0.25">
      <c r="A677" s="6">
        <v>41851</v>
      </c>
      <c r="B677" t="s">
        <v>46</v>
      </c>
      <c r="C677" s="7">
        <v>-300</v>
      </c>
      <c r="D677" t="s">
        <v>6</v>
      </c>
      <c r="E677" s="8">
        <f>E676+F677</f>
        <v>32780</v>
      </c>
      <c r="F677" s="8">
        <f>IF($D677="CR01",$C677,0)</f>
        <v>-300</v>
      </c>
      <c r="G677" s="8">
        <f>G676+H677</f>
        <v>0</v>
      </c>
      <c r="H677" s="8">
        <f>IF($D677="VISA",$C677,0)</f>
        <v>0</v>
      </c>
      <c r="I677" s="8">
        <f>I676+J677</f>
        <v>0</v>
      </c>
      <c r="J677" s="8">
        <f>IF($D677="ACC",$C677,0)</f>
        <v>0</v>
      </c>
      <c r="K677" s="8">
        <f>K676+L677</f>
        <v>0</v>
      </c>
      <c r="L677" s="8">
        <f>IF($D677="CBB",$C677,0)</f>
        <v>0</v>
      </c>
    </row>
    <row r="678" spans="1:12" x14ac:dyDescent="0.25">
      <c r="A678" s="6">
        <v>41852</v>
      </c>
      <c r="B678" t="s">
        <v>43</v>
      </c>
      <c r="C678" s="7">
        <v>3226</v>
      </c>
      <c r="D678" t="s">
        <v>6</v>
      </c>
      <c r="E678" s="8">
        <f>E677+F678</f>
        <v>36006</v>
      </c>
      <c r="F678" s="8">
        <f>IF($D678="CR01",$C678,0)</f>
        <v>3226</v>
      </c>
      <c r="G678" s="8">
        <f>G677+H678</f>
        <v>0</v>
      </c>
      <c r="H678" s="8">
        <f>IF($D678="VISA",$C678,0)</f>
        <v>0</v>
      </c>
      <c r="I678" s="8">
        <f>I677+J678</f>
        <v>0</v>
      </c>
      <c r="J678" s="8">
        <f>IF($D678="ACC",$C678,0)</f>
        <v>0</v>
      </c>
      <c r="K678" s="8">
        <f>K677+L678</f>
        <v>0</v>
      </c>
      <c r="L678" s="8">
        <f>IF($D678="CBB",$C678,0)</f>
        <v>0</v>
      </c>
    </row>
    <row r="679" spans="1:12" x14ac:dyDescent="0.25">
      <c r="A679" s="6">
        <v>41852</v>
      </c>
      <c r="B679" t="s">
        <v>58</v>
      </c>
      <c r="C679" s="7">
        <v>-200</v>
      </c>
      <c r="D679" t="s">
        <v>6</v>
      </c>
      <c r="E679" s="8">
        <f>E678+F679</f>
        <v>35806</v>
      </c>
      <c r="F679" s="8">
        <f>IF($D679="CR01",$C679,0)</f>
        <v>-200</v>
      </c>
      <c r="G679" s="8">
        <f>G678+H679</f>
        <v>0</v>
      </c>
      <c r="H679" s="8">
        <f>IF($D679="VISA",$C679,0)</f>
        <v>0</v>
      </c>
      <c r="I679" s="8">
        <f>I678+J679</f>
        <v>0</v>
      </c>
      <c r="J679" s="8">
        <f>IF($D679="ACC",$C679,0)</f>
        <v>0</v>
      </c>
      <c r="K679" s="8">
        <f>K678+L679</f>
        <v>0</v>
      </c>
      <c r="L679" s="8">
        <f>IF($D679="CBB",$C679,0)</f>
        <v>0</v>
      </c>
    </row>
    <row r="680" spans="1:12" x14ac:dyDescent="0.25">
      <c r="A680" s="6">
        <v>41852</v>
      </c>
      <c r="B680" t="s">
        <v>60</v>
      </c>
      <c r="C680" s="7">
        <v>-400</v>
      </c>
      <c r="D680" t="s">
        <v>6</v>
      </c>
      <c r="E680" s="8">
        <f>E679+F680</f>
        <v>35406</v>
      </c>
      <c r="F680" s="8">
        <f>IF($D680="CR01",$C680,0)</f>
        <v>-400</v>
      </c>
      <c r="G680" s="8">
        <f>G679+H680</f>
        <v>0</v>
      </c>
      <c r="H680" s="8">
        <f>IF($D680="VISA",$C680,0)</f>
        <v>0</v>
      </c>
      <c r="I680" s="8">
        <f>I679+J680</f>
        <v>0</v>
      </c>
      <c r="J680" s="8">
        <f>IF($D680="ACC",$C680,0)</f>
        <v>0</v>
      </c>
      <c r="K680" s="8">
        <f>K679+L680</f>
        <v>0</v>
      </c>
      <c r="L680" s="8">
        <f>IF($D680="CBB",$C680,0)</f>
        <v>0</v>
      </c>
    </row>
    <row r="681" spans="1:12" x14ac:dyDescent="0.25">
      <c r="A681" s="6">
        <v>41852</v>
      </c>
      <c r="B681" t="s">
        <v>62</v>
      </c>
      <c r="C681" s="7">
        <v>-300</v>
      </c>
      <c r="D681" t="s">
        <v>6</v>
      </c>
      <c r="E681" s="8">
        <f>E680+F681</f>
        <v>35106</v>
      </c>
      <c r="F681" s="8">
        <f>IF($D681="CR01",$C681,0)</f>
        <v>-300</v>
      </c>
      <c r="G681" s="8">
        <f>G680+H681</f>
        <v>0</v>
      </c>
      <c r="H681" s="8">
        <f>IF($D681="VISA",$C681,0)</f>
        <v>0</v>
      </c>
      <c r="I681" s="8">
        <f>I680+J681</f>
        <v>0</v>
      </c>
      <c r="J681" s="8">
        <f>IF($D681="ACC",$C681,0)</f>
        <v>0</v>
      </c>
      <c r="K681" s="8">
        <f>K680+L681</f>
        <v>0</v>
      </c>
      <c r="L681" s="8">
        <f>IF($D681="CBB",$C681,0)</f>
        <v>0</v>
      </c>
    </row>
    <row r="682" spans="1:12" x14ac:dyDescent="0.25">
      <c r="A682" s="6">
        <v>41852</v>
      </c>
      <c r="B682" t="s">
        <v>63</v>
      </c>
      <c r="C682" s="7">
        <v>-300</v>
      </c>
      <c r="D682" t="s">
        <v>6</v>
      </c>
      <c r="E682" s="8">
        <f>E681+F682</f>
        <v>34806</v>
      </c>
      <c r="F682" s="8">
        <f>IF($D682="CR01",$C682,0)</f>
        <v>-300</v>
      </c>
      <c r="G682" s="8">
        <f>G681+H682</f>
        <v>0</v>
      </c>
      <c r="H682" s="8">
        <f>IF($D682="VISA",$C682,0)</f>
        <v>0</v>
      </c>
      <c r="I682" s="8">
        <f>I681+J682</f>
        <v>0</v>
      </c>
      <c r="J682" s="8">
        <f>IF($D682="ACC",$C682,0)</f>
        <v>0</v>
      </c>
      <c r="K682" s="8">
        <f>K681+L682</f>
        <v>0</v>
      </c>
      <c r="L682" s="8">
        <f>IF($D682="CBB",$C682,0)</f>
        <v>0</v>
      </c>
    </row>
    <row r="683" spans="1:12" x14ac:dyDescent="0.25">
      <c r="A683" s="6">
        <v>41852</v>
      </c>
      <c r="B683" t="s">
        <v>64</v>
      </c>
      <c r="C683" s="7">
        <v>-26</v>
      </c>
      <c r="D683" t="s">
        <v>6</v>
      </c>
      <c r="E683" s="8">
        <f>E682+F683</f>
        <v>34780</v>
      </c>
      <c r="F683" s="8">
        <f>IF($D683="CR01",$C683,0)</f>
        <v>-26</v>
      </c>
      <c r="G683" s="8">
        <f>G682+H683</f>
        <v>0</v>
      </c>
      <c r="H683" s="8">
        <f>IF($D683="VISA",$C683,0)</f>
        <v>0</v>
      </c>
      <c r="I683" s="8">
        <f>I682+J683</f>
        <v>0</v>
      </c>
      <c r="J683" s="8">
        <f>IF($D683="ACC",$C683,0)</f>
        <v>0</v>
      </c>
      <c r="K683" s="8">
        <f>K682+L683</f>
        <v>0</v>
      </c>
      <c r="L683" s="8">
        <f>IF($D683="CBB",$C683,0)</f>
        <v>0</v>
      </c>
    </row>
    <row r="684" spans="1:12" x14ac:dyDescent="0.25">
      <c r="A684" s="6">
        <v>41852</v>
      </c>
      <c r="B684" t="s">
        <v>65</v>
      </c>
      <c r="C684" s="7">
        <v>-240</v>
      </c>
      <c r="D684" t="s">
        <v>6</v>
      </c>
      <c r="E684" s="8">
        <f>E683+F684</f>
        <v>34540</v>
      </c>
      <c r="F684" s="8">
        <f>IF($D684="CR01",$C684,0)</f>
        <v>-240</v>
      </c>
      <c r="G684" s="8">
        <f>G683+H684</f>
        <v>0</v>
      </c>
      <c r="H684" s="8">
        <f>IF($D684="VISA",$C684,0)</f>
        <v>0</v>
      </c>
      <c r="I684" s="8">
        <f>I683+J684</f>
        <v>0</v>
      </c>
      <c r="J684" s="8">
        <f>IF($D684="ACC",$C684,0)</f>
        <v>0</v>
      </c>
      <c r="K684" s="8">
        <f>K683+L684</f>
        <v>0</v>
      </c>
      <c r="L684" s="8">
        <f>IF($D684="CBB",$C684,0)</f>
        <v>0</v>
      </c>
    </row>
    <row r="685" spans="1:12" x14ac:dyDescent="0.25">
      <c r="A685" s="6">
        <v>41852</v>
      </c>
      <c r="B685" t="s">
        <v>66</v>
      </c>
      <c r="C685" s="7">
        <v>-120</v>
      </c>
      <c r="D685" t="s">
        <v>6</v>
      </c>
      <c r="E685" s="8">
        <f>E684+F685</f>
        <v>34420</v>
      </c>
      <c r="F685" s="8">
        <f>IF($D685="CR01",$C685,0)</f>
        <v>-120</v>
      </c>
      <c r="G685" s="8">
        <f>G684+H685</f>
        <v>0</v>
      </c>
      <c r="H685" s="8">
        <f>IF($D685="VISA",$C685,0)</f>
        <v>0</v>
      </c>
      <c r="I685" s="8">
        <f>I684+J685</f>
        <v>0</v>
      </c>
      <c r="J685" s="8">
        <f>IF($D685="ACC",$C685,0)</f>
        <v>0</v>
      </c>
      <c r="K685" s="8">
        <f>K684+L685</f>
        <v>0</v>
      </c>
      <c r="L685" s="8">
        <f>IF($D685="CBB",$C685,0)</f>
        <v>0</v>
      </c>
    </row>
    <row r="686" spans="1:12" x14ac:dyDescent="0.25">
      <c r="A686" s="6">
        <v>41853</v>
      </c>
      <c r="B686" t="s">
        <v>59</v>
      </c>
      <c r="C686" s="7">
        <v>-900</v>
      </c>
      <c r="D686" t="s">
        <v>6</v>
      </c>
      <c r="E686" s="8">
        <f>E685+F686</f>
        <v>33520</v>
      </c>
      <c r="F686" s="8">
        <f>IF($D686="CR01",$C686,0)</f>
        <v>-900</v>
      </c>
      <c r="G686" s="8">
        <f>G685+H686</f>
        <v>0</v>
      </c>
      <c r="H686" s="8">
        <f>IF($D686="VISA",$C686,0)</f>
        <v>0</v>
      </c>
      <c r="I686" s="8">
        <f>I685+J686</f>
        <v>0</v>
      </c>
      <c r="J686" s="8">
        <f>IF($D686="ACC",$C686,0)</f>
        <v>0</v>
      </c>
      <c r="K686" s="8">
        <f>K685+L686</f>
        <v>0</v>
      </c>
      <c r="L686" s="8">
        <f>IF($D686="CBB",$C686,0)</f>
        <v>0</v>
      </c>
    </row>
    <row r="687" spans="1:12" x14ac:dyDescent="0.25">
      <c r="A687" s="6">
        <v>41856</v>
      </c>
      <c r="B687" t="s">
        <v>48</v>
      </c>
      <c r="C687" s="7">
        <v>-100</v>
      </c>
      <c r="D687" t="s">
        <v>6</v>
      </c>
      <c r="E687" s="8">
        <f>E686+F687</f>
        <v>33420</v>
      </c>
      <c r="F687" s="8">
        <f>IF($D687="CR01",$C687,0)</f>
        <v>-100</v>
      </c>
      <c r="G687" s="8">
        <f>G686+H687</f>
        <v>0</v>
      </c>
      <c r="H687" s="8">
        <f>IF($D687="VISA",$C687,0)</f>
        <v>0</v>
      </c>
      <c r="I687" s="8">
        <f>I686+J687</f>
        <v>0</v>
      </c>
      <c r="J687" s="8">
        <f>IF($D687="ACC",$C687,0)</f>
        <v>0</v>
      </c>
      <c r="K687" s="8">
        <f>K686+L687</f>
        <v>0</v>
      </c>
      <c r="L687" s="8">
        <f>IF($D687="CBB",$C687,0)</f>
        <v>0</v>
      </c>
    </row>
    <row r="688" spans="1:12" x14ac:dyDescent="0.25">
      <c r="A688" s="6">
        <v>41857</v>
      </c>
      <c r="B688" t="s">
        <v>47</v>
      </c>
      <c r="C688" s="7">
        <v>-120</v>
      </c>
      <c r="D688" t="s">
        <v>6</v>
      </c>
      <c r="E688" s="8">
        <f>E687+F688</f>
        <v>33300</v>
      </c>
      <c r="F688" s="8">
        <f>IF($D688="CR01",$C688,0)</f>
        <v>-120</v>
      </c>
      <c r="G688" s="8">
        <f>G687+H688</f>
        <v>0</v>
      </c>
      <c r="H688" s="8">
        <f>IF($D688="VISA",$C688,0)</f>
        <v>0</v>
      </c>
      <c r="I688" s="8">
        <f>I687+J688</f>
        <v>0</v>
      </c>
      <c r="J688" s="8">
        <f>IF($D688="ACC",$C688,0)</f>
        <v>0</v>
      </c>
      <c r="K688" s="8">
        <f>K687+L688</f>
        <v>0</v>
      </c>
      <c r="L688" s="8">
        <f>IF($D688="CBB",$C688,0)</f>
        <v>0</v>
      </c>
    </row>
    <row r="689" spans="1:12" x14ac:dyDescent="0.25">
      <c r="A689" s="6">
        <v>41858</v>
      </c>
      <c r="B689" t="s">
        <v>44</v>
      </c>
      <c r="C689" s="7">
        <v>-400</v>
      </c>
      <c r="D689" t="s">
        <v>6</v>
      </c>
      <c r="E689" s="8">
        <f>E688+F689</f>
        <v>32900</v>
      </c>
      <c r="F689" s="8">
        <f>IF($D689="CR01",$C689,0)</f>
        <v>-400</v>
      </c>
      <c r="G689" s="8">
        <f>G688+H689</f>
        <v>0</v>
      </c>
      <c r="H689" s="8">
        <f>IF($D689="VISA",$C689,0)</f>
        <v>0</v>
      </c>
      <c r="I689" s="8">
        <f>I688+J689</f>
        <v>0</v>
      </c>
      <c r="J689" s="8">
        <f>IF($D689="ACC",$C689,0)</f>
        <v>0</v>
      </c>
      <c r="K689" s="8">
        <f>K688+L689</f>
        <v>0</v>
      </c>
      <c r="L689" s="8">
        <f>IF($D689="CBB",$C689,0)</f>
        <v>0</v>
      </c>
    </row>
    <row r="690" spans="1:12" x14ac:dyDescent="0.25">
      <c r="A690" s="6">
        <v>41858</v>
      </c>
      <c r="B690" t="s">
        <v>45</v>
      </c>
      <c r="C690" s="7">
        <v>-180</v>
      </c>
      <c r="D690" t="s">
        <v>6</v>
      </c>
      <c r="E690" s="8">
        <f>E689+F690</f>
        <v>32720</v>
      </c>
      <c r="F690" s="8">
        <f>IF($D690="CR01",$C690,0)</f>
        <v>-180</v>
      </c>
      <c r="G690" s="8">
        <f>G689+H690</f>
        <v>0</v>
      </c>
      <c r="H690" s="8">
        <f>IF($D690="VISA",$C690,0)</f>
        <v>0</v>
      </c>
      <c r="I690" s="8">
        <f>I689+J690</f>
        <v>0</v>
      </c>
      <c r="J690" s="8">
        <f>IF($D690="ACC",$C690,0)</f>
        <v>0</v>
      </c>
      <c r="K690" s="8">
        <f>K689+L690</f>
        <v>0</v>
      </c>
      <c r="L690" s="8">
        <f>IF($D690="CBB",$C690,0)</f>
        <v>0</v>
      </c>
    </row>
    <row r="691" spans="1:12" x14ac:dyDescent="0.25">
      <c r="A691" s="6">
        <v>41858</v>
      </c>
      <c r="B691" t="s">
        <v>46</v>
      </c>
      <c r="C691" s="7">
        <v>-300</v>
      </c>
      <c r="D691" t="s">
        <v>6</v>
      </c>
      <c r="E691" s="8">
        <f>E690+F691</f>
        <v>32420</v>
      </c>
      <c r="F691" s="8">
        <f>IF($D691="CR01",$C691,0)</f>
        <v>-300</v>
      </c>
      <c r="G691" s="8">
        <f>G690+H691</f>
        <v>0</v>
      </c>
      <c r="H691" s="8">
        <f>IF($D691="VISA",$C691,0)</f>
        <v>0</v>
      </c>
      <c r="I691" s="8">
        <f>I690+J691</f>
        <v>0</v>
      </c>
      <c r="J691" s="8">
        <f>IF($D691="ACC",$C691,0)</f>
        <v>0</v>
      </c>
      <c r="K691" s="8">
        <f>K690+L691</f>
        <v>0</v>
      </c>
      <c r="L691" s="8">
        <f>IF($D691="CBB",$C691,0)</f>
        <v>0</v>
      </c>
    </row>
    <row r="692" spans="1:12" x14ac:dyDescent="0.25">
      <c r="A692" s="6">
        <v>41860</v>
      </c>
      <c r="B692" t="s">
        <v>67</v>
      </c>
      <c r="C692" s="7">
        <v>3600</v>
      </c>
      <c r="D692" t="s">
        <v>6</v>
      </c>
      <c r="E692" s="8">
        <f>E691+F692</f>
        <v>36020</v>
      </c>
      <c r="F692" s="8">
        <f>IF($D692="CR01",$C692,0)</f>
        <v>3600</v>
      </c>
      <c r="G692" s="8">
        <f>G691+H692</f>
        <v>0</v>
      </c>
      <c r="H692" s="8">
        <f>IF($D692="VISA",$C692,0)</f>
        <v>0</v>
      </c>
      <c r="I692" s="8">
        <f>I691+J692</f>
        <v>0</v>
      </c>
      <c r="J692" s="8">
        <f>IF($D692="ACC",$C692,0)</f>
        <v>0</v>
      </c>
      <c r="K692" s="8">
        <f>K691+L692</f>
        <v>0</v>
      </c>
      <c r="L692" s="8">
        <f>IF($D692="CBB",$C692,0)</f>
        <v>0</v>
      </c>
    </row>
    <row r="693" spans="1:12" x14ac:dyDescent="0.25">
      <c r="A693" s="6">
        <v>41863</v>
      </c>
      <c r="B693" t="s">
        <v>42</v>
      </c>
      <c r="C693" s="7">
        <v>-2806</v>
      </c>
      <c r="D693" t="s">
        <v>6</v>
      </c>
      <c r="E693" s="8">
        <f>E692+F693</f>
        <v>33214</v>
      </c>
      <c r="F693" s="8">
        <f>IF($D693="CR01",$C693,0)</f>
        <v>-2806</v>
      </c>
      <c r="G693" s="8">
        <f>G692+H693</f>
        <v>0</v>
      </c>
      <c r="H693" s="8">
        <f>IF($D693="VISA",$C693,0)</f>
        <v>0</v>
      </c>
      <c r="I693" s="8">
        <f>I692+J693</f>
        <v>0</v>
      </c>
      <c r="J693" s="8">
        <f>IF($D693="ACC",$C693,0)</f>
        <v>0</v>
      </c>
      <c r="K693" s="8">
        <f>K692+L693</f>
        <v>0</v>
      </c>
      <c r="L693" s="8">
        <f>IF($D693="CBB",$C693,0)</f>
        <v>0</v>
      </c>
    </row>
    <row r="694" spans="1:12" x14ac:dyDescent="0.25">
      <c r="A694" s="6">
        <v>41863</v>
      </c>
      <c r="B694" t="s">
        <v>48</v>
      </c>
      <c r="C694" s="7">
        <v>-100</v>
      </c>
      <c r="D694" t="s">
        <v>6</v>
      </c>
      <c r="E694" s="8">
        <f>E693+F694</f>
        <v>33114</v>
      </c>
      <c r="F694" s="8">
        <f>IF($D694="CR01",$C694,0)</f>
        <v>-100</v>
      </c>
      <c r="G694" s="8">
        <f>G693+H694</f>
        <v>0</v>
      </c>
      <c r="H694" s="8">
        <f>IF($D694="VISA",$C694,0)</f>
        <v>0</v>
      </c>
      <c r="I694" s="8">
        <f>I693+J694</f>
        <v>0</v>
      </c>
      <c r="J694" s="8">
        <f>IF($D694="ACC",$C694,0)</f>
        <v>0</v>
      </c>
      <c r="K694" s="8">
        <f>K693+L694</f>
        <v>0</v>
      </c>
      <c r="L694" s="8">
        <f>IF($D694="CBB",$C694,0)</f>
        <v>0</v>
      </c>
    </row>
    <row r="695" spans="1:12" x14ac:dyDescent="0.25">
      <c r="A695" s="6">
        <v>41864</v>
      </c>
      <c r="B695" t="s">
        <v>47</v>
      </c>
      <c r="C695" s="7">
        <v>-120</v>
      </c>
      <c r="D695" t="s">
        <v>6</v>
      </c>
      <c r="E695" s="8">
        <f>E694+F695</f>
        <v>32994</v>
      </c>
      <c r="F695" s="8">
        <f>IF($D695="CR01",$C695,0)</f>
        <v>-120</v>
      </c>
      <c r="G695" s="8">
        <f>G694+H695</f>
        <v>0</v>
      </c>
      <c r="H695" s="8">
        <f>IF($D695="VISA",$C695,0)</f>
        <v>0</v>
      </c>
      <c r="I695" s="8">
        <f>I694+J695</f>
        <v>0</v>
      </c>
      <c r="J695" s="8">
        <f>IF($D695="ACC",$C695,0)</f>
        <v>0</v>
      </c>
      <c r="K695" s="8">
        <f>K694+L695</f>
        <v>0</v>
      </c>
      <c r="L695" s="8">
        <f>IF($D695="CBB",$C695,0)</f>
        <v>0</v>
      </c>
    </row>
    <row r="696" spans="1:12" x14ac:dyDescent="0.25">
      <c r="A696" s="6">
        <v>41865</v>
      </c>
      <c r="B696" t="s">
        <v>44</v>
      </c>
      <c r="C696" s="7">
        <v>-400</v>
      </c>
      <c r="D696" t="s">
        <v>6</v>
      </c>
      <c r="E696" s="8">
        <f>E695+F696</f>
        <v>32594</v>
      </c>
      <c r="F696" s="8">
        <f>IF($D696="CR01",$C696,0)</f>
        <v>-400</v>
      </c>
      <c r="G696" s="8">
        <f>G695+H696</f>
        <v>0</v>
      </c>
      <c r="H696" s="8">
        <f>IF($D696="VISA",$C696,0)</f>
        <v>0</v>
      </c>
      <c r="I696" s="8">
        <f>I695+J696</f>
        <v>0</v>
      </c>
      <c r="J696" s="8">
        <f>IF($D696="ACC",$C696,0)</f>
        <v>0</v>
      </c>
      <c r="K696" s="8">
        <f>K695+L696</f>
        <v>0</v>
      </c>
      <c r="L696" s="8">
        <f>IF($D696="CBB",$C696,0)</f>
        <v>0</v>
      </c>
    </row>
    <row r="697" spans="1:12" x14ac:dyDescent="0.25">
      <c r="A697" s="6">
        <v>41865</v>
      </c>
      <c r="B697" t="s">
        <v>45</v>
      </c>
      <c r="C697" s="7">
        <v>-180</v>
      </c>
      <c r="D697" t="s">
        <v>6</v>
      </c>
      <c r="E697" s="8">
        <f>E696+F697</f>
        <v>32414</v>
      </c>
      <c r="F697" s="8">
        <f>IF($D697="CR01",$C697,0)</f>
        <v>-180</v>
      </c>
      <c r="G697" s="8">
        <f>G696+H697</f>
        <v>0</v>
      </c>
      <c r="H697" s="8">
        <f>IF($D697="VISA",$C697,0)</f>
        <v>0</v>
      </c>
      <c r="I697" s="8">
        <f>I696+J697</f>
        <v>0</v>
      </c>
      <c r="J697" s="8">
        <f>IF($D697="ACC",$C697,0)</f>
        <v>0</v>
      </c>
      <c r="K697" s="8">
        <f>K696+L697</f>
        <v>0</v>
      </c>
      <c r="L697" s="8">
        <f>IF($D697="CBB",$C697,0)</f>
        <v>0</v>
      </c>
    </row>
    <row r="698" spans="1:12" x14ac:dyDescent="0.25">
      <c r="A698" s="6">
        <v>41865</v>
      </c>
      <c r="B698" t="s">
        <v>46</v>
      </c>
      <c r="C698" s="7">
        <v>-300</v>
      </c>
      <c r="D698" t="s">
        <v>6</v>
      </c>
      <c r="E698" s="8">
        <f>E697+F698</f>
        <v>32114</v>
      </c>
      <c r="F698" s="8">
        <f>IF($D698="CR01",$C698,0)</f>
        <v>-300</v>
      </c>
      <c r="G698" s="8">
        <f>G697+H698</f>
        <v>0</v>
      </c>
      <c r="H698" s="8">
        <f>IF($D698="VISA",$C698,0)</f>
        <v>0</v>
      </c>
      <c r="I698" s="8">
        <f>I697+J698</f>
        <v>0</v>
      </c>
      <c r="J698" s="8">
        <f>IF($D698="ACC",$C698,0)</f>
        <v>0</v>
      </c>
      <c r="K698" s="8">
        <f>K697+L698</f>
        <v>0</v>
      </c>
      <c r="L698" s="8">
        <f>IF($D698="CBB",$C698,0)</f>
        <v>0</v>
      </c>
    </row>
    <row r="699" spans="1:12" x14ac:dyDescent="0.25">
      <c r="A699" s="6">
        <v>41866</v>
      </c>
      <c r="B699" t="s">
        <v>43</v>
      </c>
      <c r="C699" s="7">
        <v>3226</v>
      </c>
      <c r="D699" t="s">
        <v>6</v>
      </c>
      <c r="E699" s="8">
        <f>E698+F699</f>
        <v>35340</v>
      </c>
      <c r="F699" s="8">
        <f>IF($D699="CR01",$C699,0)</f>
        <v>3226</v>
      </c>
      <c r="G699" s="8">
        <f>G698+H699</f>
        <v>0</v>
      </c>
      <c r="H699" s="8">
        <f>IF($D699="VISA",$C699,0)</f>
        <v>0</v>
      </c>
      <c r="I699" s="8">
        <f>I698+J699</f>
        <v>0</v>
      </c>
      <c r="J699" s="8">
        <f>IF($D699="ACC",$C699,0)</f>
        <v>0</v>
      </c>
      <c r="K699" s="8">
        <f>K698+L699</f>
        <v>0</v>
      </c>
      <c r="L699" s="8">
        <f>IF($D699="CBB",$C699,0)</f>
        <v>0</v>
      </c>
    </row>
    <row r="700" spans="1:12" x14ac:dyDescent="0.25">
      <c r="A700" s="6">
        <v>41870</v>
      </c>
      <c r="B700" t="s">
        <v>48</v>
      </c>
      <c r="C700" s="7">
        <v>-100</v>
      </c>
      <c r="D700" t="s">
        <v>6</v>
      </c>
      <c r="E700" s="8">
        <f>E699+F700</f>
        <v>35240</v>
      </c>
      <c r="F700" s="8">
        <f>IF($D700="CR01",$C700,0)</f>
        <v>-100</v>
      </c>
      <c r="G700" s="8">
        <f>G699+H700</f>
        <v>0</v>
      </c>
      <c r="H700" s="8">
        <f>IF($D700="VISA",$C700,0)</f>
        <v>0</v>
      </c>
      <c r="I700" s="8">
        <f>I699+J700</f>
        <v>0</v>
      </c>
      <c r="J700" s="8">
        <f>IF($D700="ACC",$C700,0)</f>
        <v>0</v>
      </c>
      <c r="K700" s="8">
        <f>K699+L700</f>
        <v>0</v>
      </c>
      <c r="L700" s="8">
        <f>IF($D700="CBB",$C700,0)</f>
        <v>0</v>
      </c>
    </row>
    <row r="701" spans="1:12" x14ac:dyDescent="0.25">
      <c r="A701" s="6">
        <v>41871</v>
      </c>
      <c r="B701" t="s">
        <v>47</v>
      </c>
      <c r="C701" s="7">
        <v>-120</v>
      </c>
      <c r="D701" t="s">
        <v>6</v>
      </c>
      <c r="E701" s="8">
        <f>E700+F701</f>
        <v>35120</v>
      </c>
      <c r="F701" s="8">
        <f>IF($D701="CR01",$C701,0)</f>
        <v>-120</v>
      </c>
      <c r="G701" s="8">
        <f>G700+H701</f>
        <v>0</v>
      </c>
      <c r="H701" s="8">
        <f>IF($D701="VISA",$C701,0)</f>
        <v>0</v>
      </c>
      <c r="I701" s="8">
        <f>I700+J701</f>
        <v>0</v>
      </c>
      <c r="J701" s="8">
        <f>IF($D701="ACC",$C701,0)</f>
        <v>0</v>
      </c>
      <c r="K701" s="8">
        <f>K700+L701</f>
        <v>0</v>
      </c>
      <c r="L701" s="8">
        <f>IF($D701="CBB",$C701,0)</f>
        <v>0</v>
      </c>
    </row>
    <row r="702" spans="1:12" x14ac:dyDescent="0.25">
      <c r="A702" s="6">
        <v>41872</v>
      </c>
      <c r="B702" t="s">
        <v>44</v>
      </c>
      <c r="C702" s="7">
        <v>-400</v>
      </c>
      <c r="D702" t="s">
        <v>6</v>
      </c>
      <c r="E702" s="8">
        <f>E701+F702</f>
        <v>34720</v>
      </c>
      <c r="F702" s="8">
        <f>IF($D702="CR01",$C702,0)</f>
        <v>-400</v>
      </c>
      <c r="G702" s="8">
        <f>G701+H702</f>
        <v>0</v>
      </c>
      <c r="H702" s="8">
        <f>IF($D702="VISA",$C702,0)</f>
        <v>0</v>
      </c>
      <c r="I702" s="8">
        <f>I701+J702</f>
        <v>0</v>
      </c>
      <c r="J702" s="8">
        <f>IF($D702="ACC",$C702,0)</f>
        <v>0</v>
      </c>
      <c r="K702" s="8">
        <f>K701+L702</f>
        <v>0</v>
      </c>
      <c r="L702" s="8">
        <f>IF($D702="CBB",$C702,0)</f>
        <v>0</v>
      </c>
    </row>
    <row r="703" spans="1:12" x14ac:dyDescent="0.25">
      <c r="A703" s="6">
        <v>41872</v>
      </c>
      <c r="B703" t="s">
        <v>45</v>
      </c>
      <c r="C703" s="7">
        <v>-180</v>
      </c>
      <c r="D703" t="s">
        <v>6</v>
      </c>
      <c r="E703" s="8">
        <f>E702+F703</f>
        <v>34540</v>
      </c>
      <c r="F703" s="8">
        <f>IF($D703="CR01",$C703,0)</f>
        <v>-180</v>
      </c>
      <c r="G703" s="8">
        <f>G702+H703</f>
        <v>0</v>
      </c>
      <c r="H703" s="8">
        <f>IF($D703="VISA",$C703,0)</f>
        <v>0</v>
      </c>
      <c r="I703" s="8">
        <f>I702+J703</f>
        <v>0</v>
      </c>
      <c r="J703" s="8">
        <f>IF($D703="ACC",$C703,0)</f>
        <v>0</v>
      </c>
      <c r="K703" s="8">
        <f>K702+L703</f>
        <v>0</v>
      </c>
      <c r="L703" s="8">
        <f>IF($D703="CBB",$C703,0)</f>
        <v>0</v>
      </c>
    </row>
    <row r="704" spans="1:12" x14ac:dyDescent="0.25">
      <c r="A704" s="6">
        <v>41872</v>
      </c>
      <c r="B704" t="s">
        <v>46</v>
      </c>
      <c r="C704" s="7">
        <v>-300</v>
      </c>
      <c r="D704" t="s">
        <v>6</v>
      </c>
      <c r="E704" s="8">
        <f>E703+F704</f>
        <v>34240</v>
      </c>
      <c r="F704" s="8">
        <f>IF($D704="CR01",$C704,0)</f>
        <v>-300</v>
      </c>
      <c r="G704" s="8">
        <f>G703+H704</f>
        <v>0</v>
      </c>
      <c r="H704" s="8">
        <f>IF($D704="VISA",$C704,0)</f>
        <v>0</v>
      </c>
      <c r="I704" s="8">
        <f>I703+J704</f>
        <v>0</v>
      </c>
      <c r="J704" s="8">
        <f>IF($D704="ACC",$C704,0)</f>
        <v>0</v>
      </c>
      <c r="K704" s="8">
        <f>K703+L704</f>
        <v>0</v>
      </c>
      <c r="L704" s="8">
        <f>IF($D704="CBB",$C704,0)</f>
        <v>0</v>
      </c>
    </row>
    <row r="705" spans="1:12" x14ac:dyDescent="0.25">
      <c r="A705" s="6">
        <v>41874</v>
      </c>
      <c r="B705" t="s">
        <v>67</v>
      </c>
      <c r="C705" s="7">
        <v>3600</v>
      </c>
      <c r="D705" t="s">
        <v>6</v>
      </c>
      <c r="E705" s="8">
        <f>E704+F705</f>
        <v>37840</v>
      </c>
      <c r="F705" s="8">
        <f>IF($D705="CR01",$C705,0)</f>
        <v>3600</v>
      </c>
      <c r="G705" s="8">
        <f>G704+H705</f>
        <v>0</v>
      </c>
      <c r="H705" s="8">
        <f>IF($D705="VISA",$C705,0)</f>
        <v>0</v>
      </c>
      <c r="I705" s="8">
        <f>I704+J705</f>
        <v>0</v>
      </c>
      <c r="J705" s="8">
        <f>IF($D705="ACC",$C705,0)</f>
        <v>0</v>
      </c>
      <c r="K705" s="8">
        <f>K704+L705</f>
        <v>0</v>
      </c>
      <c r="L705" s="8">
        <f>IF($D705="CBB",$C705,0)</f>
        <v>0</v>
      </c>
    </row>
    <row r="706" spans="1:12" x14ac:dyDescent="0.25">
      <c r="A706" s="6">
        <v>41877</v>
      </c>
      <c r="B706" t="s">
        <v>42</v>
      </c>
      <c r="C706" s="7">
        <v>-2806</v>
      </c>
      <c r="D706" t="s">
        <v>6</v>
      </c>
      <c r="E706" s="8">
        <f>E705+F706</f>
        <v>35034</v>
      </c>
      <c r="F706" s="8">
        <f>IF($D706="CR01",$C706,0)</f>
        <v>-2806</v>
      </c>
      <c r="G706" s="8">
        <f>G705+H706</f>
        <v>0</v>
      </c>
      <c r="H706" s="8">
        <f>IF($D706="VISA",$C706,0)</f>
        <v>0</v>
      </c>
      <c r="I706" s="8">
        <f>I705+J706</f>
        <v>0</v>
      </c>
      <c r="J706" s="8">
        <f>IF($D706="ACC",$C706,0)</f>
        <v>0</v>
      </c>
      <c r="K706" s="8">
        <f>K705+L706</f>
        <v>0</v>
      </c>
      <c r="L706" s="8">
        <f>IF($D706="CBB",$C706,0)</f>
        <v>0</v>
      </c>
    </row>
    <row r="707" spans="1:12" x14ac:dyDescent="0.25">
      <c r="A707" s="6">
        <v>41877</v>
      </c>
      <c r="B707" t="s">
        <v>48</v>
      </c>
      <c r="C707" s="7">
        <v>-100</v>
      </c>
      <c r="D707" t="s">
        <v>6</v>
      </c>
      <c r="E707" s="8">
        <f>E706+F707</f>
        <v>34934</v>
      </c>
      <c r="F707" s="8">
        <f>IF($D707="CR01",$C707,0)</f>
        <v>-100</v>
      </c>
      <c r="G707" s="8">
        <f>G706+H707</f>
        <v>0</v>
      </c>
      <c r="H707" s="8">
        <f>IF($D707="VISA",$C707,0)</f>
        <v>0</v>
      </c>
      <c r="I707" s="8">
        <f>I706+J707</f>
        <v>0</v>
      </c>
      <c r="J707" s="8">
        <f>IF($D707="ACC",$C707,0)</f>
        <v>0</v>
      </c>
      <c r="K707" s="8">
        <f>K706+L707</f>
        <v>0</v>
      </c>
      <c r="L707" s="8">
        <f>IF($D707="CBB",$C707,0)</f>
        <v>0</v>
      </c>
    </row>
    <row r="708" spans="1:12" x14ac:dyDescent="0.25">
      <c r="A708" s="6">
        <v>41878</v>
      </c>
      <c r="B708" t="s">
        <v>47</v>
      </c>
      <c r="C708" s="7">
        <v>-120</v>
      </c>
      <c r="D708" t="s">
        <v>6</v>
      </c>
      <c r="E708" s="8">
        <f>E707+F708</f>
        <v>34814</v>
      </c>
      <c r="F708" s="8">
        <f>IF($D708="CR01",$C708,0)</f>
        <v>-120</v>
      </c>
      <c r="G708" s="8">
        <f>G707+H708</f>
        <v>0</v>
      </c>
      <c r="H708" s="8">
        <f>IF($D708="VISA",$C708,0)</f>
        <v>0</v>
      </c>
      <c r="I708" s="8">
        <f>I707+J708</f>
        <v>0</v>
      </c>
      <c r="J708" s="8">
        <f>IF($D708="ACC",$C708,0)</f>
        <v>0</v>
      </c>
      <c r="K708" s="8">
        <f>K707+L708</f>
        <v>0</v>
      </c>
      <c r="L708" s="8">
        <f>IF($D708="CBB",$C708,0)</f>
        <v>0</v>
      </c>
    </row>
    <row r="709" spans="1:12" x14ac:dyDescent="0.25">
      <c r="A709" s="6">
        <v>41879</v>
      </c>
      <c r="B709" t="s">
        <v>44</v>
      </c>
      <c r="C709" s="7">
        <v>-400</v>
      </c>
      <c r="D709" t="s">
        <v>6</v>
      </c>
      <c r="E709" s="8">
        <f>E708+F709</f>
        <v>34414</v>
      </c>
      <c r="F709" s="8">
        <f>IF($D709="CR01",$C709,0)</f>
        <v>-400</v>
      </c>
      <c r="G709" s="8">
        <f>G708+H709</f>
        <v>0</v>
      </c>
      <c r="H709" s="8">
        <f>IF($D709="VISA",$C709,0)</f>
        <v>0</v>
      </c>
      <c r="I709" s="8">
        <f>I708+J709</f>
        <v>0</v>
      </c>
      <c r="J709" s="8">
        <f>IF($D709="ACC",$C709,0)</f>
        <v>0</v>
      </c>
      <c r="K709" s="8">
        <f>K708+L709</f>
        <v>0</v>
      </c>
      <c r="L709" s="8">
        <f>IF($D709="CBB",$C709,0)</f>
        <v>0</v>
      </c>
    </row>
    <row r="710" spans="1:12" x14ac:dyDescent="0.25">
      <c r="A710" s="6">
        <v>41879</v>
      </c>
      <c r="B710" t="s">
        <v>45</v>
      </c>
      <c r="C710" s="7">
        <v>-180</v>
      </c>
      <c r="D710" t="s">
        <v>6</v>
      </c>
      <c r="E710" s="8">
        <f>E709+F710</f>
        <v>34234</v>
      </c>
      <c r="F710" s="8">
        <f>IF($D710="CR01",$C710,0)</f>
        <v>-180</v>
      </c>
      <c r="G710" s="8">
        <f>G709+H710</f>
        <v>0</v>
      </c>
      <c r="H710" s="8">
        <f>IF($D710="VISA",$C710,0)</f>
        <v>0</v>
      </c>
      <c r="I710" s="8">
        <f>I709+J710</f>
        <v>0</v>
      </c>
      <c r="J710" s="8">
        <f>IF($D710="ACC",$C710,0)</f>
        <v>0</v>
      </c>
      <c r="K710" s="8">
        <f>K709+L710</f>
        <v>0</v>
      </c>
      <c r="L710" s="8">
        <f>IF($D710="CBB",$C710,0)</f>
        <v>0</v>
      </c>
    </row>
    <row r="711" spans="1:12" x14ac:dyDescent="0.25">
      <c r="A711" s="6">
        <v>41879</v>
      </c>
      <c r="B711" t="s">
        <v>46</v>
      </c>
      <c r="C711" s="7">
        <v>-300</v>
      </c>
      <c r="D711" t="s">
        <v>6</v>
      </c>
      <c r="E711" s="8">
        <f>E710+F711</f>
        <v>33934</v>
      </c>
      <c r="F711" s="8">
        <f>IF($D711="CR01",$C711,0)</f>
        <v>-300</v>
      </c>
      <c r="G711" s="8">
        <f>G710+H711</f>
        <v>0</v>
      </c>
      <c r="H711" s="8">
        <f>IF($D711="VISA",$C711,0)</f>
        <v>0</v>
      </c>
      <c r="I711" s="8">
        <f>I710+J711</f>
        <v>0</v>
      </c>
      <c r="J711" s="8">
        <f>IF($D711="ACC",$C711,0)</f>
        <v>0</v>
      </c>
      <c r="K711" s="8">
        <f>K710+L711</f>
        <v>0</v>
      </c>
      <c r="L711" s="8">
        <f>IF($D711="CBB",$C711,0)</f>
        <v>0</v>
      </c>
    </row>
    <row r="712" spans="1:12" x14ac:dyDescent="0.25">
      <c r="A712" s="6">
        <v>41880</v>
      </c>
      <c r="B712" t="s">
        <v>43</v>
      </c>
      <c r="C712" s="7">
        <v>3226</v>
      </c>
      <c r="D712" t="s">
        <v>6</v>
      </c>
      <c r="E712" s="8">
        <f>E711+F712</f>
        <v>37160</v>
      </c>
      <c r="F712" s="8">
        <f>IF($D712="CR01",$C712,0)</f>
        <v>3226</v>
      </c>
      <c r="G712" s="8">
        <f>G711+H712</f>
        <v>0</v>
      </c>
      <c r="H712" s="8">
        <f>IF($D712="VISA",$C712,0)</f>
        <v>0</v>
      </c>
      <c r="I712" s="8">
        <f>I711+J712</f>
        <v>0</v>
      </c>
      <c r="J712" s="8">
        <f>IF($D712="ACC",$C712,0)</f>
        <v>0</v>
      </c>
      <c r="K712" s="8">
        <f>K711+L712</f>
        <v>0</v>
      </c>
      <c r="L712" s="8">
        <f>IF($D712="CBB",$C712,0)</f>
        <v>0</v>
      </c>
    </row>
    <row r="713" spans="1:12" x14ac:dyDescent="0.25">
      <c r="A713" s="6">
        <v>41883</v>
      </c>
      <c r="B713" t="s">
        <v>58</v>
      </c>
      <c r="C713" s="7">
        <v>-200</v>
      </c>
      <c r="D713" t="s">
        <v>6</v>
      </c>
      <c r="E713" s="8">
        <f>E712+F713</f>
        <v>36960</v>
      </c>
      <c r="F713" s="8">
        <f>IF($D713="CR01",$C713,0)</f>
        <v>-200</v>
      </c>
      <c r="G713" s="8">
        <f>G712+H713</f>
        <v>0</v>
      </c>
      <c r="H713" s="8">
        <f>IF($D713="VISA",$C713,0)</f>
        <v>0</v>
      </c>
      <c r="I713" s="8">
        <f>I712+J713</f>
        <v>0</v>
      </c>
      <c r="J713" s="8">
        <f>IF($D713="ACC",$C713,0)</f>
        <v>0</v>
      </c>
      <c r="K713" s="8">
        <f>K712+L713</f>
        <v>0</v>
      </c>
      <c r="L713" s="8">
        <f>IF($D713="CBB",$C713,0)</f>
        <v>0</v>
      </c>
    </row>
    <row r="714" spans="1:12" x14ac:dyDescent="0.25">
      <c r="A714" s="6">
        <v>41883</v>
      </c>
      <c r="B714" t="s">
        <v>60</v>
      </c>
      <c r="C714" s="7">
        <v>-400</v>
      </c>
      <c r="D714" t="s">
        <v>6</v>
      </c>
      <c r="E714" s="8">
        <f>E713+F714</f>
        <v>36560</v>
      </c>
      <c r="F714" s="8">
        <f>IF($D714="CR01",$C714,0)</f>
        <v>-400</v>
      </c>
      <c r="G714" s="8">
        <f>G713+H714</f>
        <v>0</v>
      </c>
      <c r="H714" s="8">
        <f>IF($D714="VISA",$C714,0)</f>
        <v>0</v>
      </c>
      <c r="I714" s="8">
        <f>I713+J714</f>
        <v>0</v>
      </c>
      <c r="J714" s="8">
        <f>IF($D714="ACC",$C714,0)</f>
        <v>0</v>
      </c>
      <c r="K714" s="8">
        <f>K713+L714</f>
        <v>0</v>
      </c>
      <c r="L714" s="8">
        <f>IF($D714="CBB",$C714,0)</f>
        <v>0</v>
      </c>
    </row>
    <row r="715" spans="1:12" x14ac:dyDescent="0.25">
      <c r="A715" s="6">
        <v>41883</v>
      </c>
      <c r="B715" t="s">
        <v>64</v>
      </c>
      <c r="C715" s="7">
        <v>-26</v>
      </c>
      <c r="D715" t="s">
        <v>6</v>
      </c>
      <c r="E715" s="8">
        <f>E714+F715</f>
        <v>36534</v>
      </c>
      <c r="F715" s="8">
        <f>IF($D715="CR01",$C715,0)</f>
        <v>-26</v>
      </c>
      <c r="G715" s="8">
        <f>G714+H715</f>
        <v>0</v>
      </c>
      <c r="H715" s="8">
        <f>IF($D715="VISA",$C715,0)</f>
        <v>0</v>
      </c>
      <c r="I715" s="8">
        <f>I714+J715</f>
        <v>0</v>
      </c>
      <c r="J715" s="8">
        <f>IF($D715="ACC",$C715,0)</f>
        <v>0</v>
      </c>
      <c r="K715" s="8">
        <f>K714+L715</f>
        <v>0</v>
      </c>
      <c r="L715" s="8">
        <f>IF($D715="CBB",$C715,0)</f>
        <v>0</v>
      </c>
    </row>
    <row r="716" spans="1:12" x14ac:dyDescent="0.25">
      <c r="A716" s="6">
        <v>41883</v>
      </c>
      <c r="B716" t="s">
        <v>65</v>
      </c>
      <c r="C716" s="7">
        <v>-240</v>
      </c>
      <c r="D716" t="s">
        <v>6</v>
      </c>
      <c r="E716" s="8">
        <f>E715+F716</f>
        <v>36294</v>
      </c>
      <c r="F716" s="8">
        <f>IF($D716="CR01",$C716,0)</f>
        <v>-240</v>
      </c>
      <c r="G716" s="8">
        <f>G715+H716</f>
        <v>0</v>
      </c>
      <c r="H716" s="8">
        <f>IF($D716="VISA",$C716,0)</f>
        <v>0</v>
      </c>
      <c r="I716" s="8">
        <f>I715+J716</f>
        <v>0</v>
      </c>
      <c r="J716" s="8">
        <f>IF($D716="ACC",$C716,0)</f>
        <v>0</v>
      </c>
      <c r="K716" s="8">
        <f>K715+L716</f>
        <v>0</v>
      </c>
      <c r="L716" s="8">
        <f>IF($D716="CBB",$C716,0)</f>
        <v>0</v>
      </c>
    </row>
    <row r="717" spans="1:12" x14ac:dyDescent="0.25">
      <c r="A717" s="6">
        <v>41883</v>
      </c>
      <c r="B717" t="s">
        <v>66</v>
      </c>
      <c r="C717" s="7">
        <v>-120</v>
      </c>
      <c r="D717" t="s">
        <v>6</v>
      </c>
      <c r="E717" s="8">
        <f>E716+F717</f>
        <v>36174</v>
      </c>
      <c r="F717" s="8">
        <f>IF($D717="CR01",$C717,0)</f>
        <v>-120</v>
      </c>
      <c r="G717" s="8">
        <f>G716+H717</f>
        <v>0</v>
      </c>
      <c r="H717" s="8">
        <f>IF($D717="VISA",$C717,0)</f>
        <v>0</v>
      </c>
      <c r="I717" s="8">
        <f>I716+J717</f>
        <v>0</v>
      </c>
      <c r="J717" s="8">
        <f>IF($D717="ACC",$C717,0)</f>
        <v>0</v>
      </c>
      <c r="K717" s="8">
        <f>K716+L717</f>
        <v>0</v>
      </c>
      <c r="L717" s="8">
        <f>IF($D717="CBB",$C717,0)</f>
        <v>0</v>
      </c>
    </row>
    <row r="718" spans="1:12" x14ac:dyDescent="0.25">
      <c r="A718" s="6">
        <v>41884</v>
      </c>
      <c r="B718" t="s">
        <v>48</v>
      </c>
      <c r="C718" s="7">
        <v>-100</v>
      </c>
      <c r="D718" t="s">
        <v>6</v>
      </c>
      <c r="E718" s="8">
        <f>E717+F718</f>
        <v>36074</v>
      </c>
      <c r="F718" s="8">
        <f>IF($D718="CR01",$C718,0)</f>
        <v>-100</v>
      </c>
      <c r="G718" s="8">
        <f>G717+H718</f>
        <v>0</v>
      </c>
      <c r="H718" s="8">
        <f>IF($D718="VISA",$C718,0)</f>
        <v>0</v>
      </c>
      <c r="I718" s="8">
        <f>I717+J718</f>
        <v>0</v>
      </c>
      <c r="J718" s="8">
        <f>IF($D718="ACC",$C718,0)</f>
        <v>0</v>
      </c>
      <c r="K718" s="8">
        <f>K717+L718</f>
        <v>0</v>
      </c>
      <c r="L718" s="8">
        <f>IF($D718="CBB",$C718,0)</f>
        <v>0</v>
      </c>
    </row>
    <row r="719" spans="1:12" x14ac:dyDescent="0.25">
      <c r="A719" s="6">
        <v>41884</v>
      </c>
      <c r="B719" t="s">
        <v>59</v>
      </c>
      <c r="C719" s="7">
        <v>-900</v>
      </c>
      <c r="D719" t="s">
        <v>6</v>
      </c>
      <c r="E719" s="8">
        <f>E718+F719</f>
        <v>35174</v>
      </c>
      <c r="F719" s="8">
        <f>IF($D719="CR01",$C719,0)</f>
        <v>-900</v>
      </c>
      <c r="G719" s="8">
        <f>G718+H719</f>
        <v>0</v>
      </c>
      <c r="H719" s="8">
        <f>IF($D719="VISA",$C719,0)</f>
        <v>0</v>
      </c>
      <c r="I719" s="8">
        <f>I718+J719</f>
        <v>0</v>
      </c>
      <c r="J719" s="8">
        <f>IF($D719="ACC",$C719,0)</f>
        <v>0</v>
      </c>
      <c r="K719" s="8">
        <f>K718+L719</f>
        <v>0</v>
      </c>
      <c r="L719" s="8">
        <f>IF($D719="CBB",$C719,0)</f>
        <v>0</v>
      </c>
    </row>
    <row r="720" spans="1:12" x14ac:dyDescent="0.25">
      <c r="A720" s="6">
        <v>41885</v>
      </c>
      <c r="B720" t="s">
        <v>47</v>
      </c>
      <c r="C720" s="7">
        <v>-120</v>
      </c>
      <c r="D720" t="s">
        <v>6</v>
      </c>
      <c r="E720" s="8">
        <f>E719+F720</f>
        <v>35054</v>
      </c>
      <c r="F720" s="8">
        <f>IF($D720="CR01",$C720,0)</f>
        <v>-120</v>
      </c>
      <c r="G720" s="8">
        <f>G719+H720</f>
        <v>0</v>
      </c>
      <c r="H720" s="8">
        <f>IF($D720="VISA",$C720,0)</f>
        <v>0</v>
      </c>
      <c r="I720" s="8">
        <f>I719+J720</f>
        <v>0</v>
      </c>
      <c r="J720" s="8">
        <f>IF($D720="ACC",$C720,0)</f>
        <v>0</v>
      </c>
      <c r="K720" s="8">
        <f>K719+L720</f>
        <v>0</v>
      </c>
      <c r="L720" s="8">
        <f>IF($D720="CBB",$C720,0)</f>
        <v>0</v>
      </c>
    </row>
    <row r="721" spans="1:12" x14ac:dyDescent="0.25">
      <c r="A721" s="6">
        <v>41886</v>
      </c>
      <c r="B721" t="s">
        <v>44</v>
      </c>
      <c r="C721" s="7">
        <v>-400</v>
      </c>
      <c r="D721" t="s">
        <v>6</v>
      </c>
      <c r="E721" s="8">
        <f>E720+F721</f>
        <v>34654</v>
      </c>
      <c r="F721" s="8">
        <f>IF($D721="CR01",$C721,0)</f>
        <v>-400</v>
      </c>
      <c r="G721" s="8">
        <f>G720+H721</f>
        <v>0</v>
      </c>
      <c r="H721" s="8">
        <f>IF($D721="VISA",$C721,0)</f>
        <v>0</v>
      </c>
      <c r="I721" s="8">
        <f>I720+J721</f>
        <v>0</v>
      </c>
      <c r="J721" s="8">
        <f>IF($D721="ACC",$C721,0)</f>
        <v>0</v>
      </c>
      <c r="K721" s="8">
        <f>K720+L721</f>
        <v>0</v>
      </c>
      <c r="L721" s="8">
        <f>IF($D721="CBB",$C721,0)</f>
        <v>0</v>
      </c>
    </row>
    <row r="722" spans="1:12" x14ac:dyDescent="0.25">
      <c r="A722" s="6">
        <v>41886</v>
      </c>
      <c r="B722" t="s">
        <v>45</v>
      </c>
      <c r="C722" s="7">
        <v>-180</v>
      </c>
      <c r="D722" t="s">
        <v>6</v>
      </c>
      <c r="E722" s="8">
        <f>E721+F722</f>
        <v>34474</v>
      </c>
      <c r="F722" s="8">
        <f>IF($D722="CR01",$C722,0)</f>
        <v>-180</v>
      </c>
      <c r="G722" s="8">
        <f>G721+H722</f>
        <v>0</v>
      </c>
      <c r="H722" s="8">
        <f>IF($D722="VISA",$C722,0)</f>
        <v>0</v>
      </c>
      <c r="I722" s="8">
        <f>I721+J722</f>
        <v>0</v>
      </c>
      <c r="J722" s="8">
        <f>IF($D722="ACC",$C722,0)</f>
        <v>0</v>
      </c>
      <c r="K722" s="8">
        <f>K721+L722</f>
        <v>0</v>
      </c>
      <c r="L722" s="8">
        <f>IF($D722="CBB",$C722,0)</f>
        <v>0</v>
      </c>
    </row>
    <row r="723" spans="1:12" x14ac:dyDescent="0.25">
      <c r="A723" s="6">
        <v>41886</v>
      </c>
      <c r="B723" t="s">
        <v>46</v>
      </c>
      <c r="C723" s="7">
        <v>-300</v>
      </c>
      <c r="D723" t="s">
        <v>6</v>
      </c>
      <c r="E723" s="8">
        <f>E722+F723</f>
        <v>34174</v>
      </c>
      <c r="F723" s="8">
        <f>IF($D723="CR01",$C723,0)</f>
        <v>-300</v>
      </c>
      <c r="G723" s="8">
        <f>G722+H723</f>
        <v>0</v>
      </c>
      <c r="H723" s="8">
        <f>IF($D723="VISA",$C723,0)</f>
        <v>0</v>
      </c>
      <c r="I723" s="8">
        <f>I722+J723</f>
        <v>0</v>
      </c>
      <c r="J723" s="8">
        <f>IF($D723="ACC",$C723,0)</f>
        <v>0</v>
      </c>
      <c r="K723" s="8">
        <f>K722+L723</f>
        <v>0</v>
      </c>
      <c r="L723" s="8">
        <f>IF($D723="CBB",$C723,0)</f>
        <v>0</v>
      </c>
    </row>
    <row r="724" spans="1:12" x14ac:dyDescent="0.25">
      <c r="A724" s="6">
        <v>41888</v>
      </c>
      <c r="B724" t="s">
        <v>67</v>
      </c>
      <c r="C724" s="7">
        <v>3600</v>
      </c>
      <c r="D724" t="s">
        <v>6</v>
      </c>
      <c r="E724" s="8">
        <f>E723+F724</f>
        <v>37774</v>
      </c>
      <c r="F724" s="8">
        <f>IF($D724="CR01",$C724,0)</f>
        <v>3600</v>
      </c>
      <c r="G724" s="8">
        <f>G723+H724</f>
        <v>0</v>
      </c>
      <c r="H724" s="8">
        <f>IF($D724="VISA",$C724,0)</f>
        <v>0</v>
      </c>
      <c r="I724" s="8">
        <f>I723+J724</f>
        <v>0</v>
      </c>
      <c r="J724" s="8">
        <f>IF($D724="ACC",$C724,0)</f>
        <v>0</v>
      </c>
      <c r="K724" s="8">
        <f>K723+L724</f>
        <v>0</v>
      </c>
      <c r="L724" s="8">
        <f>IF($D724="CBB",$C724,0)</f>
        <v>0</v>
      </c>
    </row>
    <row r="725" spans="1:12" x14ac:dyDescent="0.25">
      <c r="A725" s="6">
        <v>41891</v>
      </c>
      <c r="B725" t="s">
        <v>42</v>
      </c>
      <c r="C725" s="7">
        <v>-2806</v>
      </c>
      <c r="D725" t="s">
        <v>6</v>
      </c>
      <c r="E725" s="8">
        <f>E724+F725</f>
        <v>34968</v>
      </c>
      <c r="F725" s="8">
        <f>IF($D725="CR01",$C725,0)</f>
        <v>-2806</v>
      </c>
      <c r="G725" s="8">
        <f>G724+H725</f>
        <v>0</v>
      </c>
      <c r="H725" s="8">
        <f>IF($D725="VISA",$C725,0)</f>
        <v>0</v>
      </c>
      <c r="I725" s="8">
        <f>I724+J725</f>
        <v>0</v>
      </c>
      <c r="J725" s="8">
        <f>IF($D725="ACC",$C725,0)</f>
        <v>0</v>
      </c>
      <c r="K725" s="8">
        <f>K724+L725</f>
        <v>0</v>
      </c>
      <c r="L725" s="8">
        <f>IF($D725="CBB",$C725,0)</f>
        <v>0</v>
      </c>
    </row>
    <row r="726" spans="1:12" x14ac:dyDescent="0.25">
      <c r="A726" s="6">
        <v>41891</v>
      </c>
      <c r="B726" t="s">
        <v>48</v>
      </c>
      <c r="C726" s="7">
        <v>-100</v>
      </c>
      <c r="D726" t="s">
        <v>6</v>
      </c>
      <c r="E726" s="8">
        <f>E725+F726</f>
        <v>34868</v>
      </c>
      <c r="F726" s="8">
        <f>IF($D726="CR01",$C726,0)</f>
        <v>-100</v>
      </c>
      <c r="G726" s="8">
        <f>G725+H726</f>
        <v>0</v>
      </c>
      <c r="H726" s="8">
        <f>IF($D726="VISA",$C726,0)</f>
        <v>0</v>
      </c>
      <c r="I726" s="8">
        <f>I725+J726</f>
        <v>0</v>
      </c>
      <c r="J726" s="8">
        <f>IF($D726="ACC",$C726,0)</f>
        <v>0</v>
      </c>
      <c r="K726" s="8">
        <f>K725+L726</f>
        <v>0</v>
      </c>
      <c r="L726" s="8">
        <f>IF($D726="CBB",$C726,0)</f>
        <v>0</v>
      </c>
    </row>
    <row r="727" spans="1:12" x14ac:dyDescent="0.25">
      <c r="A727" s="6">
        <v>41892</v>
      </c>
      <c r="B727" t="s">
        <v>47</v>
      </c>
      <c r="C727" s="7">
        <v>-120</v>
      </c>
      <c r="D727" t="s">
        <v>6</v>
      </c>
      <c r="E727" s="8">
        <f>E726+F727</f>
        <v>34748</v>
      </c>
      <c r="F727" s="8">
        <f>IF($D727="CR01",$C727,0)</f>
        <v>-120</v>
      </c>
      <c r="G727" s="8">
        <f>G726+H727</f>
        <v>0</v>
      </c>
      <c r="H727" s="8">
        <f>IF($D727="VISA",$C727,0)</f>
        <v>0</v>
      </c>
      <c r="I727" s="8">
        <f>I726+J727</f>
        <v>0</v>
      </c>
      <c r="J727" s="8">
        <f>IF($D727="ACC",$C727,0)</f>
        <v>0</v>
      </c>
      <c r="K727" s="8">
        <f>K726+L727</f>
        <v>0</v>
      </c>
      <c r="L727" s="8">
        <f>IF($D727="CBB",$C727,0)</f>
        <v>0</v>
      </c>
    </row>
    <row r="728" spans="1:12" x14ac:dyDescent="0.25">
      <c r="A728" s="6">
        <v>41893</v>
      </c>
      <c r="B728" t="s">
        <v>44</v>
      </c>
      <c r="C728" s="7">
        <v>-400</v>
      </c>
      <c r="D728" t="s">
        <v>6</v>
      </c>
      <c r="E728" s="8">
        <f>E727+F728</f>
        <v>34348</v>
      </c>
      <c r="F728" s="8">
        <f>IF($D728="CR01",$C728,0)</f>
        <v>-400</v>
      </c>
      <c r="G728" s="8">
        <f>G727+H728</f>
        <v>0</v>
      </c>
      <c r="H728" s="8">
        <f>IF($D728="VISA",$C728,0)</f>
        <v>0</v>
      </c>
      <c r="I728" s="8">
        <f>I727+J728</f>
        <v>0</v>
      </c>
      <c r="J728" s="8">
        <f>IF($D728="ACC",$C728,0)</f>
        <v>0</v>
      </c>
      <c r="K728" s="8">
        <f>K727+L728</f>
        <v>0</v>
      </c>
      <c r="L728" s="8">
        <f>IF($D728="CBB",$C728,0)</f>
        <v>0</v>
      </c>
    </row>
    <row r="729" spans="1:12" x14ac:dyDescent="0.25">
      <c r="A729" s="6">
        <v>41893</v>
      </c>
      <c r="B729" t="s">
        <v>45</v>
      </c>
      <c r="C729" s="7">
        <v>-180</v>
      </c>
      <c r="D729" t="s">
        <v>6</v>
      </c>
      <c r="E729" s="8">
        <f>E728+F729</f>
        <v>34168</v>
      </c>
      <c r="F729" s="8">
        <f>IF($D729="CR01",$C729,0)</f>
        <v>-180</v>
      </c>
      <c r="G729" s="8">
        <f>G728+H729</f>
        <v>0</v>
      </c>
      <c r="H729" s="8">
        <f>IF($D729="VISA",$C729,0)</f>
        <v>0</v>
      </c>
      <c r="I729" s="8">
        <f>I728+J729</f>
        <v>0</v>
      </c>
      <c r="J729" s="8">
        <f>IF($D729="ACC",$C729,0)</f>
        <v>0</v>
      </c>
      <c r="K729" s="8">
        <f>K728+L729</f>
        <v>0</v>
      </c>
      <c r="L729" s="8">
        <f>IF($D729="CBB",$C729,0)</f>
        <v>0</v>
      </c>
    </row>
    <row r="730" spans="1:12" x14ac:dyDescent="0.25">
      <c r="A730" s="6">
        <v>41893</v>
      </c>
      <c r="B730" t="s">
        <v>46</v>
      </c>
      <c r="C730" s="7">
        <v>-300</v>
      </c>
      <c r="D730" t="s">
        <v>6</v>
      </c>
      <c r="E730" s="8">
        <f>E729+F730</f>
        <v>33868</v>
      </c>
      <c r="F730" s="8">
        <f>IF($D730="CR01",$C730,0)</f>
        <v>-300</v>
      </c>
      <c r="G730" s="8">
        <f>G729+H730</f>
        <v>0</v>
      </c>
      <c r="H730" s="8">
        <f>IF($D730="VISA",$C730,0)</f>
        <v>0</v>
      </c>
      <c r="I730" s="8">
        <f>I729+J730</f>
        <v>0</v>
      </c>
      <c r="J730" s="8">
        <f>IF($D730="ACC",$C730,0)</f>
        <v>0</v>
      </c>
      <c r="K730" s="8">
        <f>K729+L730</f>
        <v>0</v>
      </c>
      <c r="L730" s="8">
        <f>IF($D730="CBB",$C730,0)</f>
        <v>0</v>
      </c>
    </row>
    <row r="731" spans="1:12" x14ac:dyDescent="0.25">
      <c r="A731" s="6">
        <v>41894</v>
      </c>
      <c r="B731" t="s">
        <v>43</v>
      </c>
      <c r="C731" s="7">
        <v>3226</v>
      </c>
      <c r="D731" t="s">
        <v>6</v>
      </c>
      <c r="E731" s="8">
        <f>E730+F731</f>
        <v>37094</v>
      </c>
      <c r="F731" s="8">
        <f>IF($D731="CR01",$C731,0)</f>
        <v>3226</v>
      </c>
      <c r="G731" s="8">
        <f>G730+H731</f>
        <v>0</v>
      </c>
      <c r="H731" s="8">
        <f>IF($D731="VISA",$C731,0)</f>
        <v>0</v>
      </c>
      <c r="I731" s="8">
        <f>I730+J731</f>
        <v>0</v>
      </c>
      <c r="J731" s="8">
        <f>IF($D731="ACC",$C731,0)</f>
        <v>0</v>
      </c>
      <c r="K731" s="8">
        <f>K730+L731</f>
        <v>0</v>
      </c>
      <c r="L731" s="8">
        <f>IF($D731="CBB",$C731,0)</f>
        <v>0</v>
      </c>
    </row>
    <row r="732" spans="1:12" x14ac:dyDescent="0.25">
      <c r="A732" s="6">
        <v>41898</v>
      </c>
      <c r="B732" t="s">
        <v>48</v>
      </c>
      <c r="C732" s="7">
        <v>-100</v>
      </c>
      <c r="D732" t="s">
        <v>6</v>
      </c>
      <c r="E732" s="8">
        <f>E731+F732</f>
        <v>36994</v>
      </c>
      <c r="F732" s="8">
        <f>IF($D732="CR01",$C732,0)</f>
        <v>-100</v>
      </c>
      <c r="G732" s="8">
        <f>G731+H732</f>
        <v>0</v>
      </c>
      <c r="H732" s="8">
        <f>IF($D732="VISA",$C732,0)</f>
        <v>0</v>
      </c>
      <c r="I732" s="8">
        <f>I731+J732</f>
        <v>0</v>
      </c>
      <c r="J732" s="8">
        <f>IF($D732="ACC",$C732,0)</f>
        <v>0</v>
      </c>
      <c r="K732" s="8">
        <f>K731+L732</f>
        <v>0</v>
      </c>
      <c r="L732" s="8">
        <f>IF($D732="CBB",$C732,0)</f>
        <v>0</v>
      </c>
    </row>
    <row r="733" spans="1:12" x14ac:dyDescent="0.25">
      <c r="A733" s="6">
        <v>41899</v>
      </c>
      <c r="B733" t="s">
        <v>47</v>
      </c>
      <c r="C733" s="7">
        <v>-120</v>
      </c>
      <c r="D733" t="s">
        <v>6</v>
      </c>
      <c r="E733" s="8">
        <f>E732+F733</f>
        <v>36874</v>
      </c>
      <c r="F733" s="8">
        <f>IF($D733="CR01",$C733,0)</f>
        <v>-120</v>
      </c>
      <c r="G733" s="8">
        <f>G732+H733</f>
        <v>0</v>
      </c>
      <c r="H733" s="8">
        <f>IF($D733="VISA",$C733,0)</f>
        <v>0</v>
      </c>
      <c r="I733" s="8">
        <f>I732+J733</f>
        <v>0</v>
      </c>
      <c r="J733" s="8">
        <f>IF($D733="ACC",$C733,0)</f>
        <v>0</v>
      </c>
      <c r="K733" s="8">
        <f>K732+L733</f>
        <v>0</v>
      </c>
      <c r="L733" s="8">
        <f>IF($D733="CBB",$C733,0)</f>
        <v>0</v>
      </c>
    </row>
    <row r="734" spans="1:12" x14ac:dyDescent="0.25">
      <c r="A734" s="6">
        <v>41900</v>
      </c>
      <c r="B734" t="s">
        <v>44</v>
      </c>
      <c r="C734" s="7">
        <v>-400</v>
      </c>
      <c r="D734" t="s">
        <v>6</v>
      </c>
      <c r="E734" s="8">
        <f>E733+F734</f>
        <v>36474</v>
      </c>
      <c r="F734" s="8">
        <f>IF($D734="CR01",$C734,0)</f>
        <v>-400</v>
      </c>
      <c r="G734" s="8">
        <f>G733+H734</f>
        <v>0</v>
      </c>
      <c r="H734" s="8">
        <f>IF($D734="VISA",$C734,0)</f>
        <v>0</v>
      </c>
      <c r="I734" s="8">
        <f>I733+J734</f>
        <v>0</v>
      </c>
      <c r="J734" s="8">
        <f>IF($D734="ACC",$C734,0)</f>
        <v>0</v>
      </c>
      <c r="K734" s="8">
        <f>K733+L734</f>
        <v>0</v>
      </c>
      <c r="L734" s="8">
        <f>IF($D734="CBB",$C734,0)</f>
        <v>0</v>
      </c>
    </row>
    <row r="735" spans="1:12" x14ac:dyDescent="0.25">
      <c r="A735" s="6">
        <v>41900</v>
      </c>
      <c r="B735" t="s">
        <v>45</v>
      </c>
      <c r="C735" s="7">
        <v>-180</v>
      </c>
      <c r="D735" t="s">
        <v>6</v>
      </c>
      <c r="E735" s="8">
        <f>E734+F735</f>
        <v>36294</v>
      </c>
      <c r="F735" s="8">
        <f>IF($D735="CR01",$C735,0)</f>
        <v>-180</v>
      </c>
      <c r="G735" s="8">
        <f>G734+H735</f>
        <v>0</v>
      </c>
      <c r="H735" s="8">
        <f>IF($D735="VISA",$C735,0)</f>
        <v>0</v>
      </c>
      <c r="I735" s="8">
        <f>I734+J735</f>
        <v>0</v>
      </c>
      <c r="J735" s="8">
        <f>IF($D735="ACC",$C735,0)</f>
        <v>0</v>
      </c>
      <c r="K735" s="8">
        <f>K734+L735</f>
        <v>0</v>
      </c>
      <c r="L735" s="8">
        <f>IF($D735="CBB",$C735,0)</f>
        <v>0</v>
      </c>
    </row>
    <row r="736" spans="1:12" x14ac:dyDescent="0.25">
      <c r="A736" s="6">
        <v>41900</v>
      </c>
      <c r="B736" t="s">
        <v>46</v>
      </c>
      <c r="C736" s="7">
        <v>-300</v>
      </c>
      <c r="D736" t="s">
        <v>6</v>
      </c>
      <c r="E736" s="8">
        <f>E735+F736</f>
        <v>35994</v>
      </c>
      <c r="F736" s="8">
        <f>IF($D736="CR01",$C736,0)</f>
        <v>-300</v>
      </c>
      <c r="G736" s="8">
        <f>G735+H736</f>
        <v>0</v>
      </c>
      <c r="H736" s="8">
        <f>IF($D736="VISA",$C736,0)</f>
        <v>0</v>
      </c>
      <c r="I736" s="8">
        <f>I735+J736</f>
        <v>0</v>
      </c>
      <c r="J736" s="8">
        <f>IF($D736="ACC",$C736,0)</f>
        <v>0</v>
      </c>
      <c r="K736" s="8">
        <f>K735+L736</f>
        <v>0</v>
      </c>
      <c r="L736" s="8">
        <f>IF($D736="CBB",$C736,0)</f>
        <v>0</v>
      </c>
    </row>
    <row r="737" spans="1:12" x14ac:dyDescent="0.25">
      <c r="A737" s="6">
        <v>41902</v>
      </c>
      <c r="B737" t="s">
        <v>67</v>
      </c>
      <c r="C737" s="7">
        <v>3600</v>
      </c>
      <c r="D737" t="s">
        <v>6</v>
      </c>
      <c r="E737" s="8">
        <f>E736+F737</f>
        <v>39594</v>
      </c>
      <c r="F737" s="8">
        <f>IF($D737="CR01",$C737,0)</f>
        <v>3600</v>
      </c>
      <c r="G737" s="8">
        <f>G736+H737</f>
        <v>0</v>
      </c>
      <c r="H737" s="8">
        <f>IF($D737="VISA",$C737,0)</f>
        <v>0</v>
      </c>
      <c r="I737" s="8">
        <f>I736+J737</f>
        <v>0</v>
      </c>
      <c r="J737" s="8">
        <f>IF($D737="ACC",$C737,0)</f>
        <v>0</v>
      </c>
      <c r="K737" s="8">
        <f>K736+L737</f>
        <v>0</v>
      </c>
      <c r="L737" s="8">
        <f>IF($D737="CBB",$C737,0)</f>
        <v>0</v>
      </c>
    </row>
    <row r="738" spans="1:12" x14ac:dyDescent="0.25">
      <c r="A738" s="6">
        <v>41905</v>
      </c>
      <c r="B738" t="s">
        <v>42</v>
      </c>
      <c r="C738" s="7">
        <v>-2806</v>
      </c>
      <c r="D738" t="s">
        <v>6</v>
      </c>
      <c r="E738" s="8">
        <f>E737+F738</f>
        <v>36788</v>
      </c>
      <c r="F738" s="8">
        <f>IF($D738="CR01",$C738,0)</f>
        <v>-2806</v>
      </c>
      <c r="G738" s="8">
        <f>G737+H738</f>
        <v>0</v>
      </c>
      <c r="H738" s="8">
        <f>IF($D738="VISA",$C738,0)</f>
        <v>0</v>
      </c>
      <c r="I738" s="8">
        <f>I737+J738</f>
        <v>0</v>
      </c>
      <c r="J738" s="8">
        <f>IF($D738="ACC",$C738,0)</f>
        <v>0</v>
      </c>
      <c r="K738" s="8">
        <f>K737+L738</f>
        <v>0</v>
      </c>
      <c r="L738" s="8">
        <f>IF($D738="CBB",$C738,0)</f>
        <v>0</v>
      </c>
    </row>
    <row r="739" spans="1:12" x14ac:dyDescent="0.25">
      <c r="A739" s="6">
        <v>41905</v>
      </c>
      <c r="B739" t="s">
        <v>48</v>
      </c>
      <c r="C739" s="7">
        <v>-100</v>
      </c>
      <c r="D739" t="s">
        <v>6</v>
      </c>
      <c r="E739" s="8">
        <f>E738+F739</f>
        <v>36688</v>
      </c>
      <c r="F739" s="8">
        <f>IF($D739="CR01",$C739,0)</f>
        <v>-100</v>
      </c>
      <c r="G739" s="8">
        <f>G738+H739</f>
        <v>0</v>
      </c>
      <c r="H739" s="8">
        <f>IF($D739="VISA",$C739,0)</f>
        <v>0</v>
      </c>
      <c r="I739" s="8">
        <f>I738+J739</f>
        <v>0</v>
      </c>
      <c r="J739" s="8">
        <f>IF($D739="ACC",$C739,0)</f>
        <v>0</v>
      </c>
      <c r="K739" s="8">
        <f>K738+L739</f>
        <v>0</v>
      </c>
      <c r="L739" s="8">
        <f>IF($D739="CBB",$C739,0)</f>
        <v>0</v>
      </c>
    </row>
    <row r="740" spans="1:12" x14ac:dyDescent="0.25">
      <c r="A740" s="6">
        <v>41906</v>
      </c>
      <c r="B740" t="s">
        <v>47</v>
      </c>
      <c r="C740" s="7">
        <v>-120</v>
      </c>
      <c r="D740" t="s">
        <v>6</v>
      </c>
      <c r="E740" s="8">
        <f>E739+F740</f>
        <v>36568</v>
      </c>
      <c r="F740" s="8">
        <f>IF($D740="CR01",$C740,0)</f>
        <v>-120</v>
      </c>
      <c r="G740" s="8">
        <f>G739+H740</f>
        <v>0</v>
      </c>
      <c r="H740" s="8">
        <f>IF($D740="VISA",$C740,0)</f>
        <v>0</v>
      </c>
      <c r="I740" s="8">
        <f>I739+J740</f>
        <v>0</v>
      </c>
      <c r="J740" s="8">
        <f>IF($D740="ACC",$C740,0)</f>
        <v>0</v>
      </c>
      <c r="K740" s="8">
        <f>K739+L740</f>
        <v>0</v>
      </c>
      <c r="L740" s="8">
        <f>IF($D740="CBB",$C740,0)</f>
        <v>0</v>
      </c>
    </row>
    <row r="741" spans="1:12" x14ac:dyDescent="0.25">
      <c r="A741" s="6">
        <v>41907</v>
      </c>
      <c r="B741" t="s">
        <v>44</v>
      </c>
      <c r="C741" s="7">
        <v>-400</v>
      </c>
      <c r="D741" t="s">
        <v>6</v>
      </c>
      <c r="E741" s="8">
        <f>E740+F741</f>
        <v>36168</v>
      </c>
      <c r="F741" s="8">
        <f>IF($D741="CR01",$C741,0)</f>
        <v>-400</v>
      </c>
      <c r="G741" s="8">
        <f>G740+H741</f>
        <v>0</v>
      </c>
      <c r="H741" s="8">
        <f>IF($D741="VISA",$C741,0)</f>
        <v>0</v>
      </c>
      <c r="I741" s="8">
        <f>I740+J741</f>
        <v>0</v>
      </c>
      <c r="J741" s="8">
        <f>IF($D741="ACC",$C741,0)</f>
        <v>0</v>
      </c>
      <c r="K741" s="8">
        <f>K740+L741</f>
        <v>0</v>
      </c>
      <c r="L741" s="8">
        <f>IF($D741="CBB",$C741,0)</f>
        <v>0</v>
      </c>
    </row>
    <row r="742" spans="1:12" x14ac:dyDescent="0.25">
      <c r="A742" s="6">
        <v>41907</v>
      </c>
      <c r="B742" t="s">
        <v>45</v>
      </c>
      <c r="C742" s="7">
        <v>-180</v>
      </c>
      <c r="D742" t="s">
        <v>6</v>
      </c>
      <c r="E742" s="8">
        <f>E741+F742</f>
        <v>35988</v>
      </c>
      <c r="F742" s="8">
        <f>IF($D742="CR01",$C742,0)</f>
        <v>-180</v>
      </c>
      <c r="G742" s="8">
        <f>G741+H742</f>
        <v>0</v>
      </c>
      <c r="H742" s="8">
        <f>IF($D742="VISA",$C742,0)</f>
        <v>0</v>
      </c>
      <c r="I742" s="8">
        <f>I741+J742</f>
        <v>0</v>
      </c>
      <c r="J742" s="8">
        <f>IF($D742="ACC",$C742,0)</f>
        <v>0</v>
      </c>
      <c r="K742" s="8">
        <f>K741+L742</f>
        <v>0</v>
      </c>
      <c r="L742" s="8">
        <f>IF($D742="CBB",$C742,0)</f>
        <v>0</v>
      </c>
    </row>
    <row r="743" spans="1:12" x14ac:dyDescent="0.25">
      <c r="A743" s="6">
        <v>41907</v>
      </c>
      <c r="B743" t="s">
        <v>46</v>
      </c>
      <c r="C743" s="7">
        <v>-300</v>
      </c>
      <c r="D743" t="s">
        <v>6</v>
      </c>
      <c r="E743" s="8">
        <f>E742+F743</f>
        <v>35688</v>
      </c>
      <c r="F743" s="8">
        <f>IF($D743="CR01",$C743,0)</f>
        <v>-300</v>
      </c>
      <c r="G743" s="8">
        <f>G742+H743</f>
        <v>0</v>
      </c>
      <c r="H743" s="8">
        <f>IF($D743="VISA",$C743,0)</f>
        <v>0</v>
      </c>
      <c r="I743" s="8">
        <f>I742+J743</f>
        <v>0</v>
      </c>
      <c r="J743" s="8">
        <f>IF($D743="ACC",$C743,0)</f>
        <v>0</v>
      </c>
      <c r="K743" s="8">
        <f>K742+L743</f>
        <v>0</v>
      </c>
      <c r="L743" s="8">
        <f>IF($D743="CBB",$C743,0)</f>
        <v>0</v>
      </c>
    </row>
    <row r="744" spans="1:12" x14ac:dyDescent="0.25">
      <c r="A744" s="6">
        <v>41908</v>
      </c>
      <c r="B744" t="s">
        <v>43</v>
      </c>
      <c r="C744" s="7">
        <v>3226</v>
      </c>
      <c r="D744" t="s">
        <v>6</v>
      </c>
      <c r="E744" s="8">
        <f>E743+F744</f>
        <v>38914</v>
      </c>
      <c r="F744" s="8">
        <f>IF($D744="CR01",$C744,0)</f>
        <v>3226</v>
      </c>
      <c r="G744" s="8">
        <f>G743+H744</f>
        <v>0</v>
      </c>
      <c r="H744" s="8">
        <f>IF($D744="VISA",$C744,0)</f>
        <v>0</v>
      </c>
      <c r="I744" s="8">
        <f>I743+J744</f>
        <v>0</v>
      </c>
      <c r="J744" s="8">
        <f>IF($D744="ACC",$C744,0)</f>
        <v>0</v>
      </c>
      <c r="K744" s="8">
        <f>K743+L744</f>
        <v>0</v>
      </c>
      <c r="L744" s="8">
        <f>IF($D744="CBB",$C744,0)</f>
        <v>0</v>
      </c>
    </row>
    <row r="745" spans="1:12" x14ac:dyDescent="0.25">
      <c r="A745" s="6">
        <v>41912</v>
      </c>
      <c r="B745" t="s">
        <v>48</v>
      </c>
      <c r="C745" s="7">
        <v>-100</v>
      </c>
      <c r="D745" t="s">
        <v>6</v>
      </c>
      <c r="E745" s="8">
        <f>E744+F745</f>
        <v>38814</v>
      </c>
      <c r="F745" s="8">
        <f>IF($D745="CR01",$C745,0)</f>
        <v>-100</v>
      </c>
      <c r="G745" s="8">
        <f>G744+H745</f>
        <v>0</v>
      </c>
      <c r="H745" s="8">
        <f>IF($D745="VISA",$C745,0)</f>
        <v>0</v>
      </c>
      <c r="I745" s="8">
        <f>I744+J745</f>
        <v>0</v>
      </c>
      <c r="J745" s="8">
        <f>IF($D745="ACC",$C745,0)</f>
        <v>0</v>
      </c>
      <c r="K745" s="8">
        <f>K744+L745</f>
        <v>0</v>
      </c>
      <c r="L745" s="8">
        <f>IF($D745="CBB",$C745,0)</f>
        <v>0</v>
      </c>
    </row>
    <row r="746" spans="1:12" x14ac:dyDescent="0.25">
      <c r="A746" s="6">
        <v>41913</v>
      </c>
      <c r="B746" t="s">
        <v>47</v>
      </c>
      <c r="C746" s="7">
        <v>-120</v>
      </c>
      <c r="D746" t="s">
        <v>6</v>
      </c>
      <c r="E746" s="8">
        <f>E745+F746</f>
        <v>38694</v>
      </c>
      <c r="F746" s="8">
        <f>IF($D746="CR01",$C746,0)</f>
        <v>-120</v>
      </c>
      <c r="G746" s="8">
        <f>G745+H746</f>
        <v>0</v>
      </c>
      <c r="H746" s="8">
        <f>IF($D746="VISA",$C746,0)</f>
        <v>0</v>
      </c>
      <c r="I746" s="8">
        <f>I745+J746</f>
        <v>0</v>
      </c>
      <c r="J746" s="8">
        <f>IF($D746="ACC",$C746,0)</f>
        <v>0</v>
      </c>
      <c r="K746" s="8">
        <f>K745+L746</f>
        <v>0</v>
      </c>
      <c r="L746" s="8">
        <f>IF($D746="CBB",$C746,0)</f>
        <v>0</v>
      </c>
    </row>
    <row r="747" spans="1:12" x14ac:dyDescent="0.25">
      <c r="A747" s="6">
        <v>41913</v>
      </c>
      <c r="B747" t="s">
        <v>58</v>
      </c>
      <c r="C747" s="7">
        <v>-200</v>
      </c>
      <c r="D747" t="s">
        <v>6</v>
      </c>
      <c r="E747" s="8">
        <f>E746+F747</f>
        <v>38494</v>
      </c>
      <c r="F747" s="8">
        <f>IF($D747="CR01",$C747,0)</f>
        <v>-200</v>
      </c>
      <c r="G747" s="8">
        <f>G746+H747</f>
        <v>0</v>
      </c>
      <c r="H747" s="8">
        <f>IF($D747="VISA",$C747,0)</f>
        <v>0</v>
      </c>
      <c r="I747" s="8">
        <f>I746+J747</f>
        <v>0</v>
      </c>
      <c r="J747" s="8">
        <f>IF($D747="ACC",$C747,0)</f>
        <v>0</v>
      </c>
      <c r="K747" s="8">
        <f>K746+L747</f>
        <v>0</v>
      </c>
      <c r="L747" s="8">
        <f>IF($D747="CBB",$C747,0)</f>
        <v>0</v>
      </c>
    </row>
    <row r="748" spans="1:12" x14ac:dyDescent="0.25">
      <c r="A748" s="6">
        <v>41913</v>
      </c>
      <c r="B748" t="s">
        <v>60</v>
      </c>
      <c r="C748" s="7">
        <v>-400</v>
      </c>
      <c r="D748" t="s">
        <v>6</v>
      </c>
      <c r="E748" s="8">
        <f>E747+F748</f>
        <v>38094</v>
      </c>
      <c r="F748" s="8">
        <f>IF($D748="CR01",$C748,0)</f>
        <v>-400</v>
      </c>
      <c r="G748" s="8">
        <f>G747+H748</f>
        <v>0</v>
      </c>
      <c r="H748" s="8">
        <f>IF($D748="VISA",$C748,0)</f>
        <v>0</v>
      </c>
      <c r="I748" s="8">
        <f>I747+J748</f>
        <v>0</v>
      </c>
      <c r="J748" s="8">
        <f>IF($D748="ACC",$C748,0)</f>
        <v>0</v>
      </c>
      <c r="K748" s="8">
        <f>K747+L748</f>
        <v>0</v>
      </c>
      <c r="L748" s="8">
        <f>IF($D748="CBB",$C748,0)</f>
        <v>0</v>
      </c>
    </row>
    <row r="749" spans="1:12" x14ac:dyDescent="0.25">
      <c r="A749" s="6">
        <v>41913</v>
      </c>
      <c r="B749" t="s">
        <v>61</v>
      </c>
      <c r="C749" s="7">
        <v>-300</v>
      </c>
      <c r="D749" t="s">
        <v>6</v>
      </c>
      <c r="E749" s="8">
        <f>E748+F749</f>
        <v>37794</v>
      </c>
      <c r="F749" s="8">
        <f>IF($D749="CR01",$C749,0)</f>
        <v>-300</v>
      </c>
      <c r="G749" s="8">
        <f>G748+H749</f>
        <v>0</v>
      </c>
      <c r="H749" s="8">
        <f>IF($D749="VISA",$C749,0)</f>
        <v>0</v>
      </c>
      <c r="I749" s="8">
        <f>I748+J749</f>
        <v>0</v>
      </c>
      <c r="J749" s="8">
        <f>IF($D749="ACC",$C749,0)</f>
        <v>0</v>
      </c>
      <c r="K749" s="8">
        <f>K748+L749</f>
        <v>0</v>
      </c>
      <c r="L749" s="8">
        <f>IF($D749="CBB",$C749,0)</f>
        <v>0</v>
      </c>
    </row>
    <row r="750" spans="1:12" x14ac:dyDescent="0.25">
      <c r="A750" s="6">
        <v>41913</v>
      </c>
      <c r="B750" t="s">
        <v>64</v>
      </c>
      <c r="C750" s="7">
        <v>-26</v>
      </c>
      <c r="D750" t="s">
        <v>6</v>
      </c>
      <c r="E750" s="8">
        <f>E749+F750</f>
        <v>37768</v>
      </c>
      <c r="F750" s="8">
        <f>IF($D750="CR01",$C750,0)</f>
        <v>-26</v>
      </c>
      <c r="G750" s="8">
        <f>G749+H750</f>
        <v>0</v>
      </c>
      <c r="H750" s="8">
        <f>IF($D750="VISA",$C750,0)</f>
        <v>0</v>
      </c>
      <c r="I750" s="8">
        <f>I749+J750</f>
        <v>0</v>
      </c>
      <c r="J750" s="8">
        <f>IF($D750="ACC",$C750,0)</f>
        <v>0</v>
      </c>
      <c r="K750" s="8">
        <f>K749+L750</f>
        <v>0</v>
      </c>
      <c r="L750" s="8">
        <f>IF($D750="CBB",$C750,0)</f>
        <v>0</v>
      </c>
    </row>
    <row r="751" spans="1:12" x14ac:dyDescent="0.25">
      <c r="A751" s="6">
        <v>41913</v>
      </c>
      <c r="B751" t="s">
        <v>65</v>
      </c>
      <c r="C751" s="7">
        <v>-240</v>
      </c>
      <c r="D751" t="s">
        <v>6</v>
      </c>
      <c r="E751" s="8">
        <f>E750+F751</f>
        <v>37528</v>
      </c>
      <c r="F751" s="8">
        <f>IF($D751="CR01",$C751,0)</f>
        <v>-240</v>
      </c>
      <c r="G751" s="8">
        <f>G750+H751</f>
        <v>0</v>
      </c>
      <c r="H751" s="8">
        <f>IF($D751="VISA",$C751,0)</f>
        <v>0</v>
      </c>
      <c r="I751" s="8">
        <f>I750+J751</f>
        <v>0</v>
      </c>
      <c r="J751" s="8">
        <f>IF($D751="ACC",$C751,0)</f>
        <v>0</v>
      </c>
      <c r="K751" s="8">
        <f>K750+L751</f>
        <v>0</v>
      </c>
      <c r="L751" s="8">
        <f>IF($D751="CBB",$C751,0)</f>
        <v>0</v>
      </c>
    </row>
    <row r="752" spans="1:12" x14ac:dyDescent="0.25">
      <c r="A752" s="6">
        <v>41913</v>
      </c>
      <c r="B752" t="s">
        <v>66</v>
      </c>
      <c r="C752" s="7">
        <v>-120</v>
      </c>
      <c r="D752" t="s">
        <v>6</v>
      </c>
      <c r="E752" s="8">
        <f>E751+F752</f>
        <v>37408</v>
      </c>
      <c r="F752" s="8">
        <f>IF($D752="CR01",$C752,0)</f>
        <v>-120</v>
      </c>
      <c r="G752" s="8">
        <f>G751+H752</f>
        <v>0</v>
      </c>
      <c r="H752" s="8">
        <f>IF($D752="VISA",$C752,0)</f>
        <v>0</v>
      </c>
      <c r="I752" s="8">
        <f>I751+J752</f>
        <v>0</v>
      </c>
      <c r="J752" s="8">
        <f>IF($D752="ACC",$C752,0)</f>
        <v>0</v>
      </c>
      <c r="K752" s="8">
        <f>K751+L752</f>
        <v>0</v>
      </c>
      <c r="L752" s="8">
        <f>IF($D752="CBB",$C752,0)</f>
        <v>0</v>
      </c>
    </row>
    <row r="753" spans="1:12" x14ac:dyDescent="0.25">
      <c r="A753" s="6">
        <v>41914</v>
      </c>
      <c r="B753" t="s">
        <v>44</v>
      </c>
      <c r="C753" s="7">
        <v>-400</v>
      </c>
      <c r="D753" t="s">
        <v>6</v>
      </c>
      <c r="E753" s="8">
        <f>E752+F753</f>
        <v>37008</v>
      </c>
      <c r="F753" s="8">
        <f>IF($D753="CR01",$C753,0)</f>
        <v>-400</v>
      </c>
      <c r="G753" s="8">
        <f>G752+H753</f>
        <v>0</v>
      </c>
      <c r="H753" s="8">
        <f>IF($D753="VISA",$C753,0)</f>
        <v>0</v>
      </c>
      <c r="I753" s="8">
        <f>I752+J753</f>
        <v>0</v>
      </c>
      <c r="J753" s="8">
        <f>IF($D753="ACC",$C753,0)</f>
        <v>0</v>
      </c>
      <c r="K753" s="8">
        <f>K752+L753</f>
        <v>0</v>
      </c>
      <c r="L753" s="8">
        <f>IF($D753="CBB",$C753,0)</f>
        <v>0</v>
      </c>
    </row>
    <row r="754" spans="1:12" x14ac:dyDescent="0.25">
      <c r="A754" s="6">
        <v>41914</v>
      </c>
      <c r="B754" t="s">
        <v>45</v>
      </c>
      <c r="C754" s="7">
        <v>-180</v>
      </c>
      <c r="D754" t="s">
        <v>6</v>
      </c>
      <c r="E754" s="8">
        <f>E753+F754</f>
        <v>36828</v>
      </c>
      <c r="F754" s="8">
        <f>IF($D754="CR01",$C754,0)</f>
        <v>-180</v>
      </c>
      <c r="G754" s="8">
        <f>G753+H754</f>
        <v>0</v>
      </c>
      <c r="H754" s="8">
        <f>IF($D754="VISA",$C754,0)</f>
        <v>0</v>
      </c>
      <c r="I754" s="8">
        <f>I753+J754</f>
        <v>0</v>
      </c>
      <c r="J754" s="8">
        <f>IF($D754="ACC",$C754,0)</f>
        <v>0</v>
      </c>
      <c r="K754" s="8">
        <f>K753+L754</f>
        <v>0</v>
      </c>
      <c r="L754" s="8">
        <f>IF($D754="CBB",$C754,0)</f>
        <v>0</v>
      </c>
    </row>
    <row r="755" spans="1:12" x14ac:dyDescent="0.25">
      <c r="A755" s="6">
        <v>41914</v>
      </c>
      <c r="B755" t="s">
        <v>46</v>
      </c>
      <c r="C755" s="7">
        <v>-300</v>
      </c>
      <c r="D755" t="s">
        <v>6</v>
      </c>
      <c r="E755" s="8">
        <f>E754+F755</f>
        <v>36528</v>
      </c>
      <c r="F755" s="8">
        <f>IF($D755="CR01",$C755,0)</f>
        <v>-300</v>
      </c>
      <c r="G755" s="8">
        <f>G754+H755</f>
        <v>0</v>
      </c>
      <c r="H755" s="8">
        <f>IF($D755="VISA",$C755,0)</f>
        <v>0</v>
      </c>
      <c r="I755" s="8">
        <f>I754+J755</f>
        <v>0</v>
      </c>
      <c r="J755" s="8">
        <f>IF($D755="ACC",$C755,0)</f>
        <v>0</v>
      </c>
      <c r="K755" s="8">
        <f>K754+L755</f>
        <v>0</v>
      </c>
      <c r="L755" s="8">
        <f>IF($D755="CBB",$C755,0)</f>
        <v>0</v>
      </c>
    </row>
    <row r="756" spans="1:12" x14ac:dyDescent="0.25">
      <c r="A756" s="6">
        <v>41914</v>
      </c>
      <c r="B756" t="s">
        <v>59</v>
      </c>
      <c r="C756" s="7">
        <v>-900</v>
      </c>
      <c r="D756" t="s">
        <v>6</v>
      </c>
      <c r="E756" s="8">
        <f>E755+F756</f>
        <v>35628</v>
      </c>
      <c r="F756" s="8">
        <f>IF($D756="CR01",$C756,0)</f>
        <v>-900</v>
      </c>
      <c r="G756" s="8">
        <f>G755+H756</f>
        <v>0</v>
      </c>
      <c r="H756" s="8">
        <f>IF($D756="VISA",$C756,0)</f>
        <v>0</v>
      </c>
      <c r="I756" s="8">
        <f>I755+J756</f>
        <v>0</v>
      </c>
      <c r="J756" s="8">
        <f>IF($D756="ACC",$C756,0)</f>
        <v>0</v>
      </c>
      <c r="K756" s="8">
        <f>K755+L756</f>
        <v>0</v>
      </c>
      <c r="L756" s="8">
        <f>IF($D756="CBB",$C756,0)</f>
        <v>0</v>
      </c>
    </row>
    <row r="757" spans="1:12" x14ac:dyDescent="0.25">
      <c r="A757" s="6">
        <v>41916</v>
      </c>
      <c r="B757" t="s">
        <v>67</v>
      </c>
      <c r="C757" s="7">
        <v>3600</v>
      </c>
      <c r="D757" t="s">
        <v>6</v>
      </c>
      <c r="E757" s="8">
        <f>E756+F757</f>
        <v>39228</v>
      </c>
      <c r="F757" s="8">
        <f>IF($D757="CR01",$C757,0)</f>
        <v>3600</v>
      </c>
      <c r="G757" s="8">
        <f>G756+H757</f>
        <v>0</v>
      </c>
      <c r="H757" s="8">
        <f>IF($D757="VISA",$C757,0)</f>
        <v>0</v>
      </c>
      <c r="I757" s="8">
        <f>I756+J757</f>
        <v>0</v>
      </c>
      <c r="J757" s="8">
        <f>IF($D757="ACC",$C757,0)</f>
        <v>0</v>
      </c>
      <c r="K757" s="8">
        <f>K756+L757</f>
        <v>0</v>
      </c>
      <c r="L757" s="8">
        <f>IF($D757="CBB",$C757,0)</f>
        <v>0</v>
      </c>
    </row>
    <row r="758" spans="1:12" x14ac:dyDescent="0.25">
      <c r="A758" s="6">
        <v>41919</v>
      </c>
      <c r="B758" t="s">
        <v>42</v>
      </c>
      <c r="C758" s="7">
        <v>-2806</v>
      </c>
      <c r="D758" t="s">
        <v>6</v>
      </c>
      <c r="E758" s="8">
        <f>E757+F758</f>
        <v>36422</v>
      </c>
      <c r="F758" s="8">
        <f>IF($D758="CR01",$C758,0)</f>
        <v>-2806</v>
      </c>
      <c r="G758" s="8">
        <f>G757+H758</f>
        <v>0</v>
      </c>
      <c r="H758" s="8">
        <f>IF($D758="VISA",$C758,0)</f>
        <v>0</v>
      </c>
      <c r="I758" s="8">
        <f>I757+J758</f>
        <v>0</v>
      </c>
      <c r="J758" s="8">
        <f>IF($D758="ACC",$C758,0)</f>
        <v>0</v>
      </c>
      <c r="K758" s="8">
        <f>K757+L758</f>
        <v>0</v>
      </c>
      <c r="L758" s="8">
        <f>IF($D758="CBB",$C758,0)</f>
        <v>0</v>
      </c>
    </row>
    <row r="759" spans="1:12" x14ac:dyDescent="0.25">
      <c r="A759" s="6">
        <v>41919</v>
      </c>
      <c r="B759" t="s">
        <v>48</v>
      </c>
      <c r="C759" s="7">
        <v>-100</v>
      </c>
      <c r="D759" t="s">
        <v>6</v>
      </c>
      <c r="E759" s="8">
        <f>E758+F759</f>
        <v>36322</v>
      </c>
      <c r="F759" s="8">
        <f>IF($D759="CR01",$C759,0)</f>
        <v>-100</v>
      </c>
      <c r="G759" s="8">
        <f>G758+H759</f>
        <v>0</v>
      </c>
      <c r="H759" s="8">
        <f>IF($D759="VISA",$C759,0)</f>
        <v>0</v>
      </c>
      <c r="I759" s="8">
        <f>I758+J759</f>
        <v>0</v>
      </c>
      <c r="J759" s="8">
        <f>IF($D759="ACC",$C759,0)</f>
        <v>0</v>
      </c>
      <c r="K759" s="8">
        <f>K758+L759</f>
        <v>0</v>
      </c>
      <c r="L759" s="8">
        <f>IF($D759="CBB",$C759,0)</f>
        <v>0</v>
      </c>
    </row>
    <row r="760" spans="1:12" x14ac:dyDescent="0.25">
      <c r="A760" s="6">
        <v>41920</v>
      </c>
      <c r="B760" t="s">
        <v>47</v>
      </c>
      <c r="C760" s="7">
        <v>-120</v>
      </c>
      <c r="D760" t="s">
        <v>6</v>
      </c>
      <c r="E760" s="8">
        <f>E759+F760</f>
        <v>36202</v>
      </c>
      <c r="F760" s="8">
        <f>IF($D760="CR01",$C760,0)</f>
        <v>-120</v>
      </c>
      <c r="G760" s="8">
        <f>G759+H760</f>
        <v>0</v>
      </c>
      <c r="H760" s="8">
        <f>IF($D760="VISA",$C760,0)</f>
        <v>0</v>
      </c>
      <c r="I760" s="8">
        <f>I759+J760</f>
        <v>0</v>
      </c>
      <c r="J760" s="8">
        <f>IF($D760="ACC",$C760,0)</f>
        <v>0</v>
      </c>
      <c r="K760" s="8">
        <f>K759+L760</f>
        <v>0</v>
      </c>
      <c r="L760" s="8">
        <f>IF($D760="CBB",$C760,0)</f>
        <v>0</v>
      </c>
    </row>
    <row r="761" spans="1:12" x14ac:dyDescent="0.25">
      <c r="A761" s="6">
        <v>41921</v>
      </c>
      <c r="B761" t="s">
        <v>44</v>
      </c>
      <c r="C761" s="7">
        <v>-400</v>
      </c>
      <c r="D761" t="s">
        <v>6</v>
      </c>
      <c r="E761" s="8">
        <f>E760+F761</f>
        <v>35802</v>
      </c>
      <c r="F761" s="8">
        <f>IF($D761="CR01",$C761,0)</f>
        <v>-400</v>
      </c>
      <c r="G761" s="8">
        <f>G760+H761</f>
        <v>0</v>
      </c>
      <c r="H761" s="8">
        <f>IF($D761="VISA",$C761,0)</f>
        <v>0</v>
      </c>
      <c r="I761" s="8">
        <f>I760+J761</f>
        <v>0</v>
      </c>
      <c r="J761" s="8">
        <f>IF($D761="ACC",$C761,0)</f>
        <v>0</v>
      </c>
      <c r="K761" s="8">
        <f>K760+L761</f>
        <v>0</v>
      </c>
      <c r="L761" s="8">
        <f>IF($D761="CBB",$C761,0)</f>
        <v>0</v>
      </c>
    </row>
    <row r="762" spans="1:12" x14ac:dyDescent="0.25">
      <c r="A762" s="6">
        <v>41921</v>
      </c>
      <c r="B762" t="s">
        <v>45</v>
      </c>
      <c r="C762" s="7">
        <v>-180</v>
      </c>
      <c r="D762" t="s">
        <v>6</v>
      </c>
      <c r="E762" s="8">
        <f>E761+F762</f>
        <v>35622</v>
      </c>
      <c r="F762" s="8">
        <f>IF($D762="CR01",$C762,0)</f>
        <v>-180</v>
      </c>
      <c r="G762" s="8">
        <f>G761+H762</f>
        <v>0</v>
      </c>
      <c r="H762" s="8">
        <f>IF($D762="VISA",$C762,0)</f>
        <v>0</v>
      </c>
      <c r="I762" s="8">
        <f>I761+J762</f>
        <v>0</v>
      </c>
      <c r="J762" s="8">
        <f>IF($D762="ACC",$C762,0)</f>
        <v>0</v>
      </c>
      <c r="K762" s="8">
        <f>K761+L762</f>
        <v>0</v>
      </c>
      <c r="L762" s="8">
        <f>IF($D762="CBB",$C762,0)</f>
        <v>0</v>
      </c>
    </row>
    <row r="763" spans="1:12" x14ac:dyDescent="0.25">
      <c r="A763" s="6">
        <v>41921</v>
      </c>
      <c r="B763" t="s">
        <v>46</v>
      </c>
      <c r="C763" s="7">
        <v>-300</v>
      </c>
      <c r="D763" t="s">
        <v>6</v>
      </c>
      <c r="E763" s="8">
        <f>E762+F763</f>
        <v>35322</v>
      </c>
      <c r="F763" s="8">
        <f>IF($D763="CR01",$C763,0)</f>
        <v>-300</v>
      </c>
      <c r="G763" s="8">
        <f>G762+H763</f>
        <v>0</v>
      </c>
      <c r="H763" s="8">
        <f>IF($D763="VISA",$C763,0)</f>
        <v>0</v>
      </c>
      <c r="I763" s="8">
        <f>I762+J763</f>
        <v>0</v>
      </c>
      <c r="J763" s="8">
        <f>IF($D763="ACC",$C763,0)</f>
        <v>0</v>
      </c>
      <c r="K763" s="8">
        <f>K762+L763</f>
        <v>0</v>
      </c>
      <c r="L763" s="8">
        <f>IF($D763="CBB",$C763,0)</f>
        <v>0</v>
      </c>
    </row>
    <row r="764" spans="1:12" x14ac:dyDescent="0.25">
      <c r="A764" s="6">
        <v>41922</v>
      </c>
      <c r="B764" t="s">
        <v>43</v>
      </c>
      <c r="C764" s="7">
        <v>3226</v>
      </c>
      <c r="D764" t="s">
        <v>6</v>
      </c>
      <c r="E764" s="8">
        <f>E763+F764</f>
        <v>38548</v>
      </c>
      <c r="F764" s="8">
        <f>IF($D764="CR01",$C764,0)</f>
        <v>3226</v>
      </c>
      <c r="G764" s="8">
        <f>G763+H764</f>
        <v>0</v>
      </c>
      <c r="H764" s="8">
        <f>IF($D764="VISA",$C764,0)</f>
        <v>0</v>
      </c>
      <c r="I764" s="8">
        <f>I763+J764</f>
        <v>0</v>
      </c>
      <c r="J764" s="8">
        <f>IF($D764="ACC",$C764,0)</f>
        <v>0</v>
      </c>
      <c r="K764" s="8">
        <f>K763+L764</f>
        <v>0</v>
      </c>
      <c r="L764" s="8">
        <f>IF($D764="CBB",$C764,0)</f>
        <v>0</v>
      </c>
    </row>
    <row r="765" spans="1:12" x14ac:dyDescent="0.25">
      <c r="A765" s="6">
        <v>41926</v>
      </c>
      <c r="B765" t="s">
        <v>48</v>
      </c>
      <c r="C765" s="7">
        <v>-100</v>
      </c>
      <c r="D765" t="s">
        <v>6</v>
      </c>
      <c r="E765" s="8">
        <f>E764+F765</f>
        <v>38448</v>
      </c>
      <c r="F765" s="8">
        <f>IF($D765="CR01",$C765,0)</f>
        <v>-100</v>
      </c>
      <c r="G765" s="8">
        <f>G764+H765</f>
        <v>0</v>
      </c>
      <c r="H765" s="8">
        <f>IF($D765="VISA",$C765,0)</f>
        <v>0</v>
      </c>
      <c r="I765" s="8">
        <f>I764+J765</f>
        <v>0</v>
      </c>
      <c r="J765" s="8">
        <f>IF($D765="ACC",$C765,0)</f>
        <v>0</v>
      </c>
      <c r="K765" s="8">
        <f>K764+L765</f>
        <v>0</v>
      </c>
      <c r="L765" s="8">
        <f>IF($D765="CBB",$C765,0)</f>
        <v>0</v>
      </c>
    </row>
    <row r="766" spans="1:12" x14ac:dyDescent="0.25">
      <c r="A766" s="6">
        <v>41927</v>
      </c>
      <c r="B766" t="s">
        <v>47</v>
      </c>
      <c r="C766" s="7">
        <v>-120</v>
      </c>
      <c r="D766" t="s">
        <v>6</v>
      </c>
      <c r="E766" s="8">
        <f>E765+F766</f>
        <v>38328</v>
      </c>
      <c r="F766" s="8">
        <f>IF($D766="CR01",$C766,0)</f>
        <v>-120</v>
      </c>
      <c r="G766" s="8">
        <f>G765+H766</f>
        <v>0</v>
      </c>
      <c r="H766" s="8">
        <f>IF($D766="VISA",$C766,0)</f>
        <v>0</v>
      </c>
      <c r="I766" s="8">
        <f>I765+J766</f>
        <v>0</v>
      </c>
      <c r="J766" s="8">
        <f>IF($D766="ACC",$C766,0)</f>
        <v>0</v>
      </c>
      <c r="K766" s="8">
        <f>K765+L766</f>
        <v>0</v>
      </c>
      <c r="L766" s="8">
        <f>IF($D766="CBB",$C766,0)</f>
        <v>0</v>
      </c>
    </row>
    <row r="767" spans="1:12" x14ac:dyDescent="0.25">
      <c r="A767" s="6">
        <v>41928</v>
      </c>
      <c r="B767" t="s">
        <v>44</v>
      </c>
      <c r="C767" s="7">
        <v>-400</v>
      </c>
      <c r="D767" t="s">
        <v>6</v>
      </c>
      <c r="E767" s="8">
        <f>E766+F767</f>
        <v>37928</v>
      </c>
      <c r="F767" s="8">
        <f>IF($D767="CR01",$C767,0)</f>
        <v>-400</v>
      </c>
      <c r="G767" s="8">
        <f>G766+H767</f>
        <v>0</v>
      </c>
      <c r="H767" s="8">
        <f>IF($D767="VISA",$C767,0)</f>
        <v>0</v>
      </c>
      <c r="I767" s="8">
        <f>I766+J767</f>
        <v>0</v>
      </c>
      <c r="J767" s="8">
        <f>IF($D767="ACC",$C767,0)</f>
        <v>0</v>
      </c>
      <c r="K767" s="8">
        <f>K766+L767</f>
        <v>0</v>
      </c>
      <c r="L767" s="8">
        <f>IF($D767="CBB",$C767,0)</f>
        <v>0</v>
      </c>
    </row>
    <row r="768" spans="1:12" x14ac:dyDescent="0.25">
      <c r="A768" s="6">
        <v>41928</v>
      </c>
      <c r="B768" t="s">
        <v>45</v>
      </c>
      <c r="C768" s="7">
        <v>-180</v>
      </c>
      <c r="D768" t="s">
        <v>6</v>
      </c>
      <c r="E768" s="8">
        <f>E767+F768</f>
        <v>37748</v>
      </c>
      <c r="F768" s="8">
        <f>IF($D768="CR01",$C768,0)</f>
        <v>-180</v>
      </c>
      <c r="G768" s="8">
        <f>G767+H768</f>
        <v>0</v>
      </c>
      <c r="H768" s="8">
        <f>IF($D768="VISA",$C768,0)</f>
        <v>0</v>
      </c>
      <c r="I768" s="8">
        <f>I767+J768</f>
        <v>0</v>
      </c>
      <c r="J768" s="8">
        <f>IF($D768="ACC",$C768,0)</f>
        <v>0</v>
      </c>
      <c r="K768" s="8">
        <f>K767+L768</f>
        <v>0</v>
      </c>
      <c r="L768" s="8">
        <f>IF($D768="CBB",$C768,0)</f>
        <v>0</v>
      </c>
    </row>
    <row r="769" spans="1:12" x14ac:dyDescent="0.25">
      <c r="A769" s="6">
        <v>41928</v>
      </c>
      <c r="B769" t="s">
        <v>46</v>
      </c>
      <c r="C769" s="7">
        <v>-300</v>
      </c>
      <c r="D769" t="s">
        <v>6</v>
      </c>
      <c r="E769" s="8">
        <f>E768+F769</f>
        <v>37448</v>
      </c>
      <c r="F769" s="8">
        <f>IF($D769="CR01",$C769,0)</f>
        <v>-300</v>
      </c>
      <c r="G769" s="8">
        <f>G768+H769</f>
        <v>0</v>
      </c>
      <c r="H769" s="8">
        <f>IF($D769="VISA",$C769,0)</f>
        <v>0</v>
      </c>
      <c r="I769" s="8">
        <f>I768+J769</f>
        <v>0</v>
      </c>
      <c r="J769" s="8">
        <f>IF($D769="ACC",$C769,0)</f>
        <v>0</v>
      </c>
      <c r="K769" s="8">
        <f>K768+L769</f>
        <v>0</v>
      </c>
      <c r="L769" s="8">
        <f>IF($D769="CBB",$C769,0)</f>
        <v>0</v>
      </c>
    </row>
    <row r="770" spans="1:12" x14ac:dyDescent="0.25">
      <c r="A770" s="6">
        <v>41930</v>
      </c>
      <c r="B770" t="s">
        <v>67</v>
      </c>
      <c r="C770" s="7">
        <v>3600</v>
      </c>
      <c r="D770" t="s">
        <v>6</v>
      </c>
      <c r="E770" s="8">
        <f>E769+F770</f>
        <v>41048</v>
      </c>
      <c r="F770" s="8">
        <f>IF($D770="CR01",$C770,0)</f>
        <v>3600</v>
      </c>
      <c r="G770" s="8">
        <f>G769+H770</f>
        <v>0</v>
      </c>
      <c r="H770" s="8">
        <f>IF($D770="VISA",$C770,0)</f>
        <v>0</v>
      </c>
      <c r="I770" s="8">
        <f>I769+J770</f>
        <v>0</v>
      </c>
      <c r="J770" s="8">
        <f>IF($D770="ACC",$C770,0)</f>
        <v>0</v>
      </c>
      <c r="K770" s="8">
        <f>K769+L770</f>
        <v>0</v>
      </c>
      <c r="L770" s="8">
        <f>IF($D770="CBB",$C770,0)</f>
        <v>0</v>
      </c>
    </row>
    <row r="771" spans="1:12" x14ac:dyDescent="0.25">
      <c r="A771" s="6">
        <v>41933</v>
      </c>
      <c r="B771" t="s">
        <v>42</v>
      </c>
      <c r="C771" s="7">
        <v>-2806</v>
      </c>
      <c r="D771" t="s">
        <v>6</v>
      </c>
      <c r="E771" s="8">
        <f>E770+F771</f>
        <v>38242</v>
      </c>
      <c r="F771" s="8">
        <f>IF($D771="CR01",$C771,0)</f>
        <v>-2806</v>
      </c>
      <c r="G771" s="8">
        <f>G770+H771</f>
        <v>0</v>
      </c>
      <c r="H771" s="8">
        <f>IF($D771="VISA",$C771,0)</f>
        <v>0</v>
      </c>
      <c r="I771" s="8">
        <f>I770+J771</f>
        <v>0</v>
      </c>
      <c r="J771" s="8">
        <f>IF($D771="ACC",$C771,0)</f>
        <v>0</v>
      </c>
      <c r="K771" s="8">
        <f>K770+L771</f>
        <v>0</v>
      </c>
      <c r="L771" s="8">
        <f>IF($D771="CBB",$C771,0)</f>
        <v>0</v>
      </c>
    </row>
    <row r="772" spans="1:12" x14ac:dyDescent="0.25">
      <c r="A772" s="6">
        <v>41933</v>
      </c>
      <c r="B772" t="s">
        <v>48</v>
      </c>
      <c r="C772" s="7">
        <v>-100</v>
      </c>
      <c r="D772" t="s">
        <v>6</v>
      </c>
      <c r="E772" s="8">
        <f>E771+F772</f>
        <v>38142</v>
      </c>
      <c r="F772" s="8">
        <f>IF($D772="CR01",$C772,0)</f>
        <v>-100</v>
      </c>
      <c r="G772" s="8">
        <f>G771+H772</f>
        <v>0</v>
      </c>
      <c r="H772" s="8">
        <f>IF($D772="VISA",$C772,0)</f>
        <v>0</v>
      </c>
      <c r="I772" s="8">
        <f>I771+J772</f>
        <v>0</v>
      </c>
      <c r="J772" s="8">
        <f>IF($D772="ACC",$C772,0)</f>
        <v>0</v>
      </c>
      <c r="K772" s="8">
        <f>K771+L772</f>
        <v>0</v>
      </c>
      <c r="L772" s="8">
        <f>IF($D772="CBB",$C772,0)</f>
        <v>0</v>
      </c>
    </row>
    <row r="773" spans="1:12" x14ac:dyDescent="0.25">
      <c r="A773" s="6">
        <v>41934</v>
      </c>
      <c r="B773" t="s">
        <v>47</v>
      </c>
      <c r="C773" s="7">
        <v>-120</v>
      </c>
      <c r="D773" t="s">
        <v>6</v>
      </c>
      <c r="E773" s="8">
        <f>E772+F773</f>
        <v>38022</v>
      </c>
      <c r="F773" s="8">
        <f>IF($D773="CR01",$C773,0)</f>
        <v>-120</v>
      </c>
      <c r="G773" s="8">
        <f>G772+H773</f>
        <v>0</v>
      </c>
      <c r="H773" s="8">
        <f>IF($D773="VISA",$C773,0)</f>
        <v>0</v>
      </c>
      <c r="I773" s="8">
        <f>I772+J773</f>
        <v>0</v>
      </c>
      <c r="J773" s="8">
        <f>IF($D773="ACC",$C773,0)</f>
        <v>0</v>
      </c>
      <c r="K773" s="8">
        <f>K772+L773</f>
        <v>0</v>
      </c>
      <c r="L773" s="8">
        <f>IF($D773="CBB",$C773,0)</f>
        <v>0</v>
      </c>
    </row>
    <row r="774" spans="1:12" x14ac:dyDescent="0.25">
      <c r="A774" s="6">
        <v>41935</v>
      </c>
      <c r="B774" t="s">
        <v>44</v>
      </c>
      <c r="C774" s="7">
        <v>-400</v>
      </c>
      <c r="D774" t="s">
        <v>6</v>
      </c>
      <c r="E774" s="8">
        <f>E773+F774</f>
        <v>37622</v>
      </c>
      <c r="F774" s="8">
        <f>IF($D774="CR01",$C774,0)</f>
        <v>-400</v>
      </c>
      <c r="G774" s="8">
        <f>G773+H774</f>
        <v>0</v>
      </c>
      <c r="H774" s="8">
        <f>IF($D774="VISA",$C774,0)</f>
        <v>0</v>
      </c>
      <c r="I774" s="8">
        <f>I773+J774</f>
        <v>0</v>
      </c>
      <c r="J774" s="8">
        <f>IF($D774="ACC",$C774,0)</f>
        <v>0</v>
      </c>
      <c r="K774" s="8">
        <f>K773+L774</f>
        <v>0</v>
      </c>
      <c r="L774" s="8">
        <f>IF($D774="CBB",$C774,0)</f>
        <v>0</v>
      </c>
    </row>
    <row r="775" spans="1:12" x14ac:dyDescent="0.25">
      <c r="A775" s="6">
        <v>41935</v>
      </c>
      <c r="B775" t="s">
        <v>45</v>
      </c>
      <c r="C775" s="7">
        <v>-180</v>
      </c>
      <c r="D775" t="s">
        <v>6</v>
      </c>
      <c r="E775" s="8">
        <f>E774+F775</f>
        <v>37442</v>
      </c>
      <c r="F775" s="8">
        <f>IF($D775="CR01",$C775,0)</f>
        <v>-180</v>
      </c>
      <c r="G775" s="8">
        <f>G774+H775</f>
        <v>0</v>
      </c>
      <c r="H775" s="8">
        <f>IF($D775="VISA",$C775,0)</f>
        <v>0</v>
      </c>
      <c r="I775" s="8">
        <f>I774+J775</f>
        <v>0</v>
      </c>
      <c r="J775" s="8">
        <f>IF($D775="ACC",$C775,0)</f>
        <v>0</v>
      </c>
      <c r="K775" s="8">
        <f>K774+L775</f>
        <v>0</v>
      </c>
      <c r="L775" s="8">
        <f>IF($D775="CBB",$C775,0)</f>
        <v>0</v>
      </c>
    </row>
    <row r="776" spans="1:12" x14ac:dyDescent="0.25">
      <c r="A776" s="6">
        <v>41935</v>
      </c>
      <c r="B776" t="s">
        <v>46</v>
      </c>
      <c r="C776" s="7">
        <v>-300</v>
      </c>
      <c r="D776" t="s">
        <v>6</v>
      </c>
      <c r="E776" s="8">
        <f>E775+F776</f>
        <v>37142</v>
      </c>
      <c r="F776" s="8">
        <f>IF($D776="CR01",$C776,0)</f>
        <v>-300</v>
      </c>
      <c r="G776" s="8">
        <f>G775+H776</f>
        <v>0</v>
      </c>
      <c r="H776" s="8">
        <f>IF($D776="VISA",$C776,0)</f>
        <v>0</v>
      </c>
      <c r="I776" s="8">
        <f>I775+J776</f>
        <v>0</v>
      </c>
      <c r="J776" s="8">
        <f>IF($D776="ACC",$C776,0)</f>
        <v>0</v>
      </c>
      <c r="K776" s="8">
        <f>K775+L776</f>
        <v>0</v>
      </c>
      <c r="L776" s="8">
        <f>IF($D776="CBB",$C776,0)</f>
        <v>0</v>
      </c>
    </row>
    <row r="777" spans="1:12" x14ac:dyDescent="0.25">
      <c r="A777" s="6">
        <v>41936</v>
      </c>
      <c r="B777" t="s">
        <v>43</v>
      </c>
      <c r="C777" s="7">
        <v>3226</v>
      </c>
      <c r="D777" t="s">
        <v>6</v>
      </c>
      <c r="E777" s="8">
        <f>E776+F777</f>
        <v>40368</v>
      </c>
      <c r="F777" s="8">
        <f>IF($D777="CR01",$C777,0)</f>
        <v>3226</v>
      </c>
      <c r="G777" s="8">
        <f>G776+H777</f>
        <v>0</v>
      </c>
      <c r="H777" s="8">
        <f>IF($D777="VISA",$C777,0)</f>
        <v>0</v>
      </c>
      <c r="I777" s="8">
        <f>I776+J777</f>
        <v>0</v>
      </c>
      <c r="J777" s="8">
        <f>IF($D777="ACC",$C777,0)</f>
        <v>0</v>
      </c>
      <c r="K777" s="8">
        <f>K776+L777</f>
        <v>0</v>
      </c>
      <c r="L777" s="8">
        <f>IF($D777="CBB",$C777,0)</f>
        <v>0</v>
      </c>
    </row>
    <row r="778" spans="1:12" x14ac:dyDescent="0.25">
      <c r="A778" s="6">
        <v>41940</v>
      </c>
      <c r="B778" t="s">
        <v>48</v>
      </c>
      <c r="C778" s="7">
        <v>-100</v>
      </c>
      <c r="D778" t="s">
        <v>6</v>
      </c>
      <c r="E778" s="8">
        <f>E777+F778</f>
        <v>40268</v>
      </c>
      <c r="F778" s="8">
        <f>IF($D778="CR01",$C778,0)</f>
        <v>-100</v>
      </c>
      <c r="G778" s="8">
        <f>G777+H778</f>
        <v>0</v>
      </c>
      <c r="H778" s="8">
        <f>IF($D778="VISA",$C778,0)</f>
        <v>0</v>
      </c>
      <c r="I778" s="8">
        <f>I777+J778</f>
        <v>0</v>
      </c>
      <c r="J778" s="8">
        <f>IF($D778="ACC",$C778,0)</f>
        <v>0</v>
      </c>
      <c r="K778" s="8">
        <f>K777+L778</f>
        <v>0</v>
      </c>
      <c r="L778" s="8">
        <f>IF($D778="CBB",$C778,0)</f>
        <v>0</v>
      </c>
    </row>
    <row r="779" spans="1:12" x14ac:dyDescent="0.25">
      <c r="A779" s="6">
        <v>41941</v>
      </c>
      <c r="B779" t="s">
        <v>47</v>
      </c>
      <c r="C779" s="7">
        <v>-120</v>
      </c>
      <c r="D779" t="s">
        <v>6</v>
      </c>
      <c r="E779" s="8">
        <f>E778+F779</f>
        <v>40148</v>
      </c>
      <c r="F779" s="8">
        <f>IF($D779="CR01",$C779,0)</f>
        <v>-120</v>
      </c>
      <c r="G779" s="8">
        <f>G778+H779</f>
        <v>0</v>
      </c>
      <c r="H779" s="8">
        <f>IF($D779="VISA",$C779,0)</f>
        <v>0</v>
      </c>
      <c r="I779" s="8">
        <f>I778+J779</f>
        <v>0</v>
      </c>
      <c r="J779" s="8">
        <f>IF($D779="ACC",$C779,0)</f>
        <v>0</v>
      </c>
      <c r="K779" s="8">
        <f>K778+L779</f>
        <v>0</v>
      </c>
      <c r="L779" s="8">
        <f>IF($D779="CBB",$C779,0)</f>
        <v>0</v>
      </c>
    </row>
    <row r="780" spans="1:12" x14ac:dyDescent="0.25">
      <c r="A780" s="6">
        <v>41942</v>
      </c>
      <c r="B780" t="s">
        <v>44</v>
      </c>
      <c r="C780" s="7">
        <v>-400</v>
      </c>
      <c r="D780" t="s">
        <v>6</v>
      </c>
      <c r="E780" s="8">
        <f>E779+F780</f>
        <v>39748</v>
      </c>
      <c r="F780" s="8">
        <f>IF($D780="CR01",$C780,0)</f>
        <v>-400</v>
      </c>
      <c r="G780" s="8">
        <f>G779+H780</f>
        <v>0</v>
      </c>
      <c r="H780" s="8">
        <f>IF($D780="VISA",$C780,0)</f>
        <v>0</v>
      </c>
      <c r="I780" s="8">
        <f>I779+J780</f>
        <v>0</v>
      </c>
      <c r="J780" s="8">
        <f>IF($D780="ACC",$C780,0)</f>
        <v>0</v>
      </c>
      <c r="K780" s="8">
        <f>K779+L780</f>
        <v>0</v>
      </c>
      <c r="L780" s="8">
        <f>IF($D780="CBB",$C780,0)</f>
        <v>0</v>
      </c>
    </row>
    <row r="781" spans="1:12" x14ac:dyDescent="0.25">
      <c r="A781" s="6">
        <v>41942</v>
      </c>
      <c r="B781" t="s">
        <v>45</v>
      </c>
      <c r="C781" s="7">
        <v>-180</v>
      </c>
      <c r="D781" t="s">
        <v>6</v>
      </c>
      <c r="E781" s="8">
        <f>E780+F781</f>
        <v>39568</v>
      </c>
      <c r="F781" s="8">
        <f>IF($D781="CR01",$C781,0)</f>
        <v>-180</v>
      </c>
      <c r="G781" s="8">
        <f>G780+H781</f>
        <v>0</v>
      </c>
      <c r="H781" s="8">
        <f>IF($D781="VISA",$C781,0)</f>
        <v>0</v>
      </c>
      <c r="I781" s="8">
        <f>I780+J781</f>
        <v>0</v>
      </c>
      <c r="J781" s="8">
        <f>IF($D781="ACC",$C781,0)</f>
        <v>0</v>
      </c>
      <c r="K781" s="8">
        <f>K780+L781</f>
        <v>0</v>
      </c>
      <c r="L781" s="8">
        <f>IF($D781="CBB",$C781,0)</f>
        <v>0</v>
      </c>
    </row>
    <row r="782" spans="1:12" x14ac:dyDescent="0.25">
      <c r="A782" s="6">
        <v>41942</v>
      </c>
      <c r="B782" t="s">
        <v>46</v>
      </c>
      <c r="C782" s="7">
        <v>-300</v>
      </c>
      <c r="D782" t="s">
        <v>6</v>
      </c>
      <c r="E782" s="8">
        <f>E781+F782</f>
        <v>39268</v>
      </c>
      <c r="F782" s="8">
        <f>IF($D782="CR01",$C782,0)</f>
        <v>-300</v>
      </c>
      <c r="G782" s="8">
        <f>G781+H782</f>
        <v>0</v>
      </c>
      <c r="H782" s="8">
        <f>IF($D782="VISA",$C782,0)</f>
        <v>0</v>
      </c>
      <c r="I782" s="8">
        <f>I781+J782</f>
        <v>0</v>
      </c>
      <c r="J782" s="8">
        <f>IF($D782="ACC",$C782,0)</f>
        <v>0</v>
      </c>
      <c r="K782" s="8">
        <f>K781+L782</f>
        <v>0</v>
      </c>
      <c r="L782" s="8">
        <f>IF($D782="CBB",$C782,0)</f>
        <v>0</v>
      </c>
    </row>
    <row r="783" spans="1:12" x14ac:dyDescent="0.25">
      <c r="A783" s="6">
        <v>41944</v>
      </c>
      <c r="B783" t="s">
        <v>67</v>
      </c>
      <c r="C783" s="7">
        <v>3600</v>
      </c>
      <c r="D783" t="s">
        <v>6</v>
      </c>
      <c r="E783" s="8">
        <f>E782+F783</f>
        <v>42868</v>
      </c>
      <c r="F783" s="8">
        <f>IF($D783="CR01",$C783,0)</f>
        <v>3600</v>
      </c>
      <c r="G783" s="8">
        <f>G782+H783</f>
        <v>0</v>
      </c>
      <c r="H783" s="8">
        <f>IF($D783="VISA",$C783,0)</f>
        <v>0</v>
      </c>
      <c r="I783" s="8">
        <f>I782+J783</f>
        <v>0</v>
      </c>
      <c r="J783" s="8">
        <f>IF($D783="ACC",$C783,0)</f>
        <v>0</v>
      </c>
      <c r="K783" s="8">
        <f>K782+L783</f>
        <v>0</v>
      </c>
      <c r="L783" s="8">
        <f>IF($D783="CBB",$C783,0)</f>
        <v>0</v>
      </c>
    </row>
    <row r="784" spans="1:12" x14ac:dyDescent="0.25">
      <c r="A784" s="6">
        <v>41944</v>
      </c>
      <c r="B784" t="s">
        <v>58</v>
      </c>
      <c r="C784" s="7">
        <v>-200</v>
      </c>
      <c r="D784" t="s">
        <v>6</v>
      </c>
      <c r="E784" s="8">
        <f>E783+F784</f>
        <v>42668</v>
      </c>
      <c r="F784" s="8">
        <f>IF($D784="CR01",$C784,0)</f>
        <v>-200</v>
      </c>
      <c r="G784" s="8">
        <f>G783+H784</f>
        <v>0</v>
      </c>
      <c r="H784" s="8">
        <f>IF($D784="VISA",$C784,0)</f>
        <v>0</v>
      </c>
      <c r="I784" s="8">
        <f>I783+J784</f>
        <v>0</v>
      </c>
      <c r="J784" s="8">
        <f>IF($D784="ACC",$C784,0)</f>
        <v>0</v>
      </c>
      <c r="K784" s="8">
        <f>K783+L784</f>
        <v>0</v>
      </c>
      <c r="L784" s="8">
        <f>IF($D784="CBB",$C784,0)</f>
        <v>0</v>
      </c>
    </row>
    <row r="785" spans="1:12" x14ac:dyDescent="0.25">
      <c r="A785" s="6">
        <v>41944</v>
      </c>
      <c r="B785" t="s">
        <v>60</v>
      </c>
      <c r="C785" s="7">
        <v>-400</v>
      </c>
      <c r="D785" t="s">
        <v>6</v>
      </c>
      <c r="E785" s="8">
        <f>E784+F785</f>
        <v>42268</v>
      </c>
      <c r="F785" s="8">
        <f>IF($D785="CR01",$C785,0)</f>
        <v>-400</v>
      </c>
      <c r="G785" s="8">
        <f>G784+H785</f>
        <v>0</v>
      </c>
      <c r="H785" s="8">
        <f>IF($D785="VISA",$C785,0)</f>
        <v>0</v>
      </c>
      <c r="I785" s="8">
        <f>I784+J785</f>
        <v>0</v>
      </c>
      <c r="J785" s="8">
        <f>IF($D785="ACC",$C785,0)</f>
        <v>0</v>
      </c>
      <c r="K785" s="8">
        <f>K784+L785</f>
        <v>0</v>
      </c>
      <c r="L785" s="8">
        <f>IF($D785="CBB",$C785,0)</f>
        <v>0</v>
      </c>
    </row>
    <row r="786" spans="1:12" x14ac:dyDescent="0.25">
      <c r="A786" s="6">
        <v>41944</v>
      </c>
      <c r="B786" t="s">
        <v>62</v>
      </c>
      <c r="C786" s="7">
        <v>-300</v>
      </c>
      <c r="D786" t="s">
        <v>6</v>
      </c>
      <c r="E786" s="8">
        <f>E785+F786</f>
        <v>41968</v>
      </c>
      <c r="F786" s="8">
        <f>IF($D786="CR01",$C786,0)</f>
        <v>-300</v>
      </c>
      <c r="G786" s="8">
        <f>G785+H786</f>
        <v>0</v>
      </c>
      <c r="H786" s="8">
        <f>IF($D786="VISA",$C786,0)</f>
        <v>0</v>
      </c>
      <c r="I786" s="8">
        <f>I785+J786</f>
        <v>0</v>
      </c>
      <c r="J786" s="8">
        <f>IF($D786="ACC",$C786,0)</f>
        <v>0</v>
      </c>
      <c r="K786" s="8">
        <f>K785+L786</f>
        <v>0</v>
      </c>
      <c r="L786" s="8">
        <f>IF($D786="CBB",$C786,0)</f>
        <v>0</v>
      </c>
    </row>
    <row r="787" spans="1:12" x14ac:dyDescent="0.25">
      <c r="A787" s="6">
        <v>41944</v>
      </c>
      <c r="B787" t="s">
        <v>63</v>
      </c>
      <c r="C787" s="7">
        <v>-300</v>
      </c>
      <c r="D787" t="s">
        <v>6</v>
      </c>
      <c r="E787" s="8">
        <f>E786+F787</f>
        <v>41668</v>
      </c>
      <c r="F787" s="8">
        <f>IF($D787="CR01",$C787,0)</f>
        <v>-300</v>
      </c>
      <c r="G787" s="8">
        <f>G786+H787</f>
        <v>0</v>
      </c>
      <c r="H787" s="8">
        <f>IF($D787="VISA",$C787,0)</f>
        <v>0</v>
      </c>
      <c r="I787" s="8">
        <f>I786+J787</f>
        <v>0</v>
      </c>
      <c r="J787" s="8">
        <f>IF($D787="ACC",$C787,0)</f>
        <v>0</v>
      </c>
      <c r="K787" s="8">
        <f>K786+L787</f>
        <v>0</v>
      </c>
      <c r="L787" s="8">
        <f>IF($D787="CBB",$C787,0)</f>
        <v>0</v>
      </c>
    </row>
    <row r="788" spans="1:12" x14ac:dyDescent="0.25">
      <c r="A788" s="6">
        <v>41944</v>
      </c>
      <c r="B788" t="s">
        <v>64</v>
      </c>
      <c r="C788" s="7">
        <v>-26</v>
      </c>
      <c r="D788" t="s">
        <v>6</v>
      </c>
      <c r="E788" s="8">
        <f>E787+F788</f>
        <v>41642</v>
      </c>
      <c r="F788" s="8">
        <f>IF($D788="CR01",$C788,0)</f>
        <v>-26</v>
      </c>
      <c r="G788" s="8">
        <f>G787+H788</f>
        <v>0</v>
      </c>
      <c r="H788" s="8">
        <f>IF($D788="VISA",$C788,0)</f>
        <v>0</v>
      </c>
      <c r="I788" s="8">
        <f>I787+J788</f>
        <v>0</v>
      </c>
      <c r="J788" s="8">
        <f>IF($D788="ACC",$C788,0)</f>
        <v>0</v>
      </c>
      <c r="K788" s="8">
        <f>K787+L788</f>
        <v>0</v>
      </c>
      <c r="L788" s="8">
        <f>IF($D788="CBB",$C788,0)</f>
        <v>0</v>
      </c>
    </row>
    <row r="789" spans="1:12" x14ac:dyDescent="0.25">
      <c r="A789" s="6">
        <v>41944</v>
      </c>
      <c r="B789" t="s">
        <v>65</v>
      </c>
      <c r="C789" s="7">
        <v>-240</v>
      </c>
      <c r="D789" t="s">
        <v>6</v>
      </c>
      <c r="E789" s="8">
        <f>E788+F789</f>
        <v>41402</v>
      </c>
      <c r="F789" s="8">
        <f>IF($D789="CR01",$C789,0)</f>
        <v>-240</v>
      </c>
      <c r="G789" s="8">
        <f>G788+H789</f>
        <v>0</v>
      </c>
      <c r="H789" s="8">
        <f>IF($D789="VISA",$C789,0)</f>
        <v>0</v>
      </c>
      <c r="I789" s="8">
        <f>I788+J789</f>
        <v>0</v>
      </c>
      <c r="J789" s="8">
        <f>IF($D789="ACC",$C789,0)</f>
        <v>0</v>
      </c>
      <c r="K789" s="8">
        <f>K788+L789</f>
        <v>0</v>
      </c>
      <c r="L789" s="8">
        <f>IF($D789="CBB",$C789,0)</f>
        <v>0</v>
      </c>
    </row>
    <row r="790" spans="1:12" x14ac:dyDescent="0.25">
      <c r="A790" s="6">
        <v>41944</v>
      </c>
      <c r="B790" t="s">
        <v>66</v>
      </c>
      <c r="C790" s="7">
        <v>-120</v>
      </c>
      <c r="D790" t="s">
        <v>6</v>
      </c>
      <c r="E790" s="8">
        <f>E789+F790</f>
        <v>41282</v>
      </c>
      <c r="F790" s="8">
        <f>IF($D790="CR01",$C790,0)</f>
        <v>-120</v>
      </c>
      <c r="G790" s="8">
        <f>G789+H790</f>
        <v>0</v>
      </c>
      <c r="H790" s="8">
        <f>IF($D790="VISA",$C790,0)</f>
        <v>0</v>
      </c>
      <c r="I790" s="8">
        <f>I789+J790</f>
        <v>0</v>
      </c>
      <c r="J790" s="8">
        <f>IF($D790="ACC",$C790,0)</f>
        <v>0</v>
      </c>
      <c r="K790" s="8">
        <f>K789+L790</f>
        <v>0</v>
      </c>
      <c r="L790" s="8">
        <f>IF($D790="CBB",$C790,0)</f>
        <v>0</v>
      </c>
    </row>
    <row r="791" spans="1:12" x14ac:dyDescent="0.25">
      <c r="A791" s="6">
        <v>41945</v>
      </c>
      <c r="B791" t="s">
        <v>59</v>
      </c>
      <c r="C791" s="7">
        <v>-900</v>
      </c>
      <c r="D791" t="s">
        <v>6</v>
      </c>
      <c r="E791" s="8">
        <f>E790+F791</f>
        <v>40382</v>
      </c>
      <c r="F791" s="8">
        <f>IF($D791="CR01",$C791,0)</f>
        <v>-900</v>
      </c>
      <c r="G791" s="8">
        <f>G790+H791</f>
        <v>0</v>
      </c>
      <c r="H791" s="8">
        <f>IF($D791="VISA",$C791,0)</f>
        <v>0</v>
      </c>
      <c r="I791" s="8">
        <f>I790+J791</f>
        <v>0</v>
      </c>
      <c r="J791" s="8">
        <f>IF($D791="ACC",$C791,0)</f>
        <v>0</v>
      </c>
      <c r="K791" s="8">
        <f>K790+L791</f>
        <v>0</v>
      </c>
      <c r="L791" s="8">
        <f>IF($D791="CBB",$C791,0)</f>
        <v>0</v>
      </c>
    </row>
    <row r="792" spans="1:12" x14ac:dyDescent="0.25">
      <c r="A792" s="6">
        <v>41947</v>
      </c>
      <c r="B792" t="s">
        <v>42</v>
      </c>
      <c r="C792" s="7">
        <v>-2806</v>
      </c>
      <c r="D792" t="s">
        <v>6</v>
      </c>
      <c r="E792" s="8">
        <f>E791+F792</f>
        <v>37576</v>
      </c>
      <c r="F792" s="8">
        <f>IF($D792="CR01",$C792,0)</f>
        <v>-2806</v>
      </c>
      <c r="G792" s="8">
        <f>G791+H792</f>
        <v>0</v>
      </c>
      <c r="H792" s="8">
        <f>IF($D792="VISA",$C792,0)</f>
        <v>0</v>
      </c>
      <c r="I792" s="8">
        <f>I791+J792</f>
        <v>0</v>
      </c>
      <c r="J792" s="8">
        <f>IF($D792="ACC",$C792,0)</f>
        <v>0</v>
      </c>
      <c r="K792" s="8">
        <f>K791+L792</f>
        <v>0</v>
      </c>
      <c r="L792" s="8">
        <f>IF($D792="CBB",$C792,0)</f>
        <v>0</v>
      </c>
    </row>
    <row r="793" spans="1:12" x14ac:dyDescent="0.25">
      <c r="A793" s="6">
        <v>41947</v>
      </c>
      <c r="B793" t="s">
        <v>48</v>
      </c>
      <c r="C793" s="7">
        <v>-100</v>
      </c>
      <c r="D793" t="s">
        <v>6</v>
      </c>
      <c r="E793" s="8">
        <f>E792+F793</f>
        <v>37476</v>
      </c>
      <c r="F793" s="8">
        <f>IF($D793="CR01",$C793,0)</f>
        <v>-100</v>
      </c>
      <c r="G793" s="8">
        <f>G792+H793</f>
        <v>0</v>
      </c>
      <c r="H793" s="8">
        <f>IF($D793="VISA",$C793,0)</f>
        <v>0</v>
      </c>
      <c r="I793" s="8">
        <f>I792+J793</f>
        <v>0</v>
      </c>
      <c r="J793" s="8">
        <f>IF($D793="ACC",$C793,0)</f>
        <v>0</v>
      </c>
      <c r="K793" s="8">
        <f>K792+L793</f>
        <v>0</v>
      </c>
      <c r="L793" s="8">
        <f>IF($D793="CBB",$C793,0)</f>
        <v>0</v>
      </c>
    </row>
    <row r="794" spans="1:12" x14ac:dyDescent="0.25">
      <c r="A794" s="6">
        <v>41948</v>
      </c>
      <c r="B794" t="s">
        <v>47</v>
      </c>
      <c r="C794" s="7">
        <v>-120</v>
      </c>
      <c r="D794" t="s">
        <v>6</v>
      </c>
      <c r="E794" s="8">
        <f>E793+F794</f>
        <v>37356</v>
      </c>
      <c r="F794" s="8">
        <f>IF($D794="CR01",$C794,0)</f>
        <v>-120</v>
      </c>
      <c r="G794" s="8">
        <f>G793+H794</f>
        <v>0</v>
      </c>
      <c r="H794" s="8">
        <f>IF($D794="VISA",$C794,0)</f>
        <v>0</v>
      </c>
      <c r="I794" s="8">
        <f>I793+J794</f>
        <v>0</v>
      </c>
      <c r="J794" s="8">
        <f>IF($D794="ACC",$C794,0)</f>
        <v>0</v>
      </c>
      <c r="K794" s="8">
        <f>K793+L794</f>
        <v>0</v>
      </c>
      <c r="L794" s="8">
        <f>IF($D794="CBB",$C794,0)</f>
        <v>0</v>
      </c>
    </row>
    <row r="795" spans="1:12" x14ac:dyDescent="0.25">
      <c r="A795" s="6">
        <v>41949</v>
      </c>
      <c r="B795" t="s">
        <v>44</v>
      </c>
      <c r="C795" s="7">
        <v>-400</v>
      </c>
      <c r="D795" t="s">
        <v>6</v>
      </c>
      <c r="E795" s="8">
        <f>E794+F795</f>
        <v>36956</v>
      </c>
      <c r="F795" s="8">
        <f>IF($D795="CR01",$C795,0)</f>
        <v>-400</v>
      </c>
      <c r="G795" s="8">
        <f>G794+H795</f>
        <v>0</v>
      </c>
      <c r="H795" s="8">
        <f>IF($D795="VISA",$C795,0)</f>
        <v>0</v>
      </c>
      <c r="I795" s="8">
        <f>I794+J795</f>
        <v>0</v>
      </c>
      <c r="J795" s="8">
        <f>IF($D795="ACC",$C795,0)</f>
        <v>0</v>
      </c>
      <c r="K795" s="8">
        <f>K794+L795</f>
        <v>0</v>
      </c>
      <c r="L795" s="8">
        <f>IF($D795="CBB",$C795,0)</f>
        <v>0</v>
      </c>
    </row>
    <row r="796" spans="1:12" x14ac:dyDescent="0.25">
      <c r="A796" s="6">
        <v>41949</v>
      </c>
      <c r="B796" t="s">
        <v>45</v>
      </c>
      <c r="C796" s="7">
        <v>-180</v>
      </c>
      <c r="D796" t="s">
        <v>6</v>
      </c>
      <c r="E796" s="8">
        <f>E795+F796</f>
        <v>36776</v>
      </c>
      <c r="F796" s="8">
        <f>IF($D796="CR01",$C796,0)</f>
        <v>-180</v>
      </c>
      <c r="G796" s="8">
        <f>G795+H796</f>
        <v>0</v>
      </c>
      <c r="H796" s="8">
        <f>IF($D796="VISA",$C796,0)</f>
        <v>0</v>
      </c>
      <c r="I796" s="8">
        <f>I795+J796</f>
        <v>0</v>
      </c>
      <c r="J796" s="8">
        <f>IF($D796="ACC",$C796,0)</f>
        <v>0</v>
      </c>
      <c r="K796" s="8">
        <f>K795+L796</f>
        <v>0</v>
      </c>
      <c r="L796" s="8">
        <f>IF($D796="CBB",$C796,0)</f>
        <v>0</v>
      </c>
    </row>
    <row r="797" spans="1:12" x14ac:dyDescent="0.25">
      <c r="A797" s="6">
        <v>41949</v>
      </c>
      <c r="B797" t="s">
        <v>46</v>
      </c>
      <c r="C797" s="7">
        <v>-300</v>
      </c>
      <c r="D797" t="s">
        <v>6</v>
      </c>
      <c r="E797" s="8">
        <f>E796+F797</f>
        <v>36476</v>
      </c>
      <c r="F797" s="8">
        <f>IF($D797="CR01",$C797,0)</f>
        <v>-300</v>
      </c>
      <c r="G797" s="8">
        <f>G796+H797</f>
        <v>0</v>
      </c>
      <c r="H797" s="8">
        <f>IF($D797="VISA",$C797,0)</f>
        <v>0</v>
      </c>
      <c r="I797" s="8">
        <f>I796+J797</f>
        <v>0</v>
      </c>
      <c r="J797" s="8">
        <f>IF($D797="ACC",$C797,0)</f>
        <v>0</v>
      </c>
      <c r="K797" s="8">
        <f>K796+L797</f>
        <v>0</v>
      </c>
      <c r="L797" s="8">
        <f>IF($D797="CBB",$C797,0)</f>
        <v>0</v>
      </c>
    </row>
    <row r="798" spans="1:12" x14ac:dyDescent="0.25">
      <c r="A798" s="6">
        <v>41950</v>
      </c>
      <c r="B798" t="s">
        <v>43</v>
      </c>
      <c r="C798" s="7">
        <v>3226</v>
      </c>
      <c r="D798" t="s">
        <v>6</v>
      </c>
      <c r="E798" s="8">
        <f>E797+F798</f>
        <v>39702</v>
      </c>
      <c r="F798" s="8">
        <f>IF($D798="CR01",$C798,0)</f>
        <v>3226</v>
      </c>
      <c r="G798" s="8">
        <f>G797+H798</f>
        <v>0</v>
      </c>
      <c r="H798" s="8">
        <f>IF($D798="VISA",$C798,0)</f>
        <v>0</v>
      </c>
      <c r="I798" s="8">
        <f>I797+J798</f>
        <v>0</v>
      </c>
      <c r="J798" s="8">
        <f>IF($D798="ACC",$C798,0)</f>
        <v>0</v>
      </c>
      <c r="K798" s="8">
        <f>K797+L798</f>
        <v>0</v>
      </c>
      <c r="L798" s="8">
        <f>IF($D798="CBB",$C798,0)</f>
        <v>0</v>
      </c>
    </row>
    <row r="799" spans="1:12" x14ac:dyDescent="0.25">
      <c r="A799" s="6">
        <v>41954</v>
      </c>
      <c r="B799" t="s">
        <v>48</v>
      </c>
      <c r="C799" s="7">
        <v>-100</v>
      </c>
      <c r="D799" t="s">
        <v>6</v>
      </c>
      <c r="E799" s="8">
        <f>E798+F799</f>
        <v>39602</v>
      </c>
      <c r="F799" s="8">
        <f>IF($D799="CR01",$C799,0)</f>
        <v>-100</v>
      </c>
      <c r="G799" s="8">
        <f>G798+H799</f>
        <v>0</v>
      </c>
      <c r="H799" s="8">
        <f>IF($D799="VISA",$C799,0)</f>
        <v>0</v>
      </c>
      <c r="I799" s="8">
        <f>I798+J799</f>
        <v>0</v>
      </c>
      <c r="J799" s="8">
        <f>IF($D799="ACC",$C799,0)</f>
        <v>0</v>
      </c>
      <c r="K799" s="8">
        <f>K798+L799</f>
        <v>0</v>
      </c>
      <c r="L799" s="8">
        <f>IF($D799="CBB",$C799,0)</f>
        <v>0</v>
      </c>
    </row>
    <row r="800" spans="1:12" x14ac:dyDescent="0.25">
      <c r="A800" s="6">
        <v>41955</v>
      </c>
      <c r="B800" t="s">
        <v>47</v>
      </c>
      <c r="C800" s="7">
        <v>-120</v>
      </c>
      <c r="D800" t="s">
        <v>6</v>
      </c>
      <c r="E800" s="8">
        <f>E799+F800</f>
        <v>39482</v>
      </c>
      <c r="F800" s="8">
        <f>IF($D800="CR01",$C800,0)</f>
        <v>-120</v>
      </c>
      <c r="G800" s="8">
        <f>G799+H800</f>
        <v>0</v>
      </c>
      <c r="H800" s="8">
        <f>IF($D800="VISA",$C800,0)</f>
        <v>0</v>
      </c>
      <c r="I800" s="8">
        <f>I799+J800</f>
        <v>0</v>
      </c>
      <c r="J800" s="8">
        <f>IF($D800="ACC",$C800,0)</f>
        <v>0</v>
      </c>
      <c r="K800" s="8">
        <f>K799+L800</f>
        <v>0</v>
      </c>
      <c r="L800" s="8">
        <f>IF($D800="CBB",$C800,0)</f>
        <v>0</v>
      </c>
    </row>
    <row r="801" spans="1:12" x14ac:dyDescent="0.25">
      <c r="A801" s="6">
        <v>41956</v>
      </c>
      <c r="B801" t="s">
        <v>44</v>
      </c>
      <c r="C801" s="7">
        <v>-400</v>
      </c>
      <c r="D801" t="s">
        <v>6</v>
      </c>
      <c r="E801" s="8">
        <f>E800+F801</f>
        <v>39082</v>
      </c>
      <c r="F801" s="8">
        <f>IF($D801="CR01",$C801,0)</f>
        <v>-400</v>
      </c>
      <c r="G801" s="8">
        <f>G800+H801</f>
        <v>0</v>
      </c>
      <c r="H801" s="8">
        <f>IF($D801="VISA",$C801,0)</f>
        <v>0</v>
      </c>
      <c r="I801" s="8">
        <f>I800+J801</f>
        <v>0</v>
      </c>
      <c r="J801" s="8">
        <f>IF($D801="ACC",$C801,0)</f>
        <v>0</v>
      </c>
      <c r="K801" s="8">
        <f>K800+L801</f>
        <v>0</v>
      </c>
      <c r="L801" s="8">
        <f>IF($D801="CBB",$C801,0)</f>
        <v>0</v>
      </c>
    </row>
    <row r="802" spans="1:12" x14ac:dyDescent="0.25">
      <c r="A802" s="6">
        <v>41956</v>
      </c>
      <c r="B802" t="s">
        <v>45</v>
      </c>
      <c r="C802" s="7">
        <v>-180</v>
      </c>
      <c r="D802" t="s">
        <v>6</v>
      </c>
      <c r="E802" s="8">
        <f>E801+F802</f>
        <v>38902</v>
      </c>
      <c r="F802" s="8">
        <f>IF($D802="CR01",$C802,0)</f>
        <v>-180</v>
      </c>
      <c r="G802" s="8">
        <f>G801+H802</f>
        <v>0</v>
      </c>
      <c r="H802" s="8">
        <f>IF($D802="VISA",$C802,0)</f>
        <v>0</v>
      </c>
      <c r="I802" s="8">
        <f>I801+J802</f>
        <v>0</v>
      </c>
      <c r="J802" s="8">
        <f>IF($D802="ACC",$C802,0)</f>
        <v>0</v>
      </c>
      <c r="K802" s="8">
        <f>K801+L802</f>
        <v>0</v>
      </c>
      <c r="L802" s="8">
        <f>IF($D802="CBB",$C802,0)</f>
        <v>0</v>
      </c>
    </row>
    <row r="803" spans="1:12" x14ac:dyDescent="0.25">
      <c r="A803" s="6">
        <v>41956</v>
      </c>
      <c r="B803" t="s">
        <v>46</v>
      </c>
      <c r="C803" s="7">
        <v>-300</v>
      </c>
      <c r="D803" t="s">
        <v>6</v>
      </c>
      <c r="E803" s="8">
        <f>E802+F803</f>
        <v>38602</v>
      </c>
      <c r="F803" s="8">
        <f>IF($D803="CR01",$C803,0)</f>
        <v>-300</v>
      </c>
      <c r="G803" s="8">
        <f>G802+H803</f>
        <v>0</v>
      </c>
      <c r="H803" s="8">
        <f>IF($D803="VISA",$C803,0)</f>
        <v>0</v>
      </c>
      <c r="I803" s="8">
        <f>I802+J803</f>
        <v>0</v>
      </c>
      <c r="J803" s="8">
        <f>IF($D803="ACC",$C803,0)</f>
        <v>0</v>
      </c>
      <c r="K803" s="8">
        <f>K802+L803</f>
        <v>0</v>
      </c>
      <c r="L803" s="8">
        <f>IF($D803="CBB",$C803,0)</f>
        <v>0</v>
      </c>
    </row>
    <row r="804" spans="1:12" x14ac:dyDescent="0.25">
      <c r="A804" s="6">
        <v>41958</v>
      </c>
      <c r="B804" t="s">
        <v>67</v>
      </c>
      <c r="C804" s="7">
        <v>3600</v>
      </c>
      <c r="D804" t="s">
        <v>6</v>
      </c>
      <c r="E804" s="8">
        <f>E803+F804</f>
        <v>42202</v>
      </c>
      <c r="F804" s="8">
        <f>IF($D804="CR01",$C804,0)</f>
        <v>3600</v>
      </c>
      <c r="G804" s="8">
        <f>G803+H804</f>
        <v>0</v>
      </c>
      <c r="H804" s="8">
        <f>IF($D804="VISA",$C804,0)</f>
        <v>0</v>
      </c>
      <c r="I804" s="8">
        <f>I803+J804</f>
        <v>0</v>
      </c>
      <c r="J804" s="8">
        <f>IF($D804="ACC",$C804,0)</f>
        <v>0</v>
      </c>
      <c r="K804" s="8">
        <f>K803+L804</f>
        <v>0</v>
      </c>
      <c r="L804" s="8">
        <f>IF($D804="CBB",$C804,0)</f>
        <v>0</v>
      </c>
    </row>
    <row r="805" spans="1:12" x14ac:dyDescent="0.25">
      <c r="A805" s="6">
        <v>41961</v>
      </c>
      <c r="B805" t="s">
        <v>42</v>
      </c>
      <c r="C805" s="7">
        <v>-2806</v>
      </c>
      <c r="D805" t="s">
        <v>6</v>
      </c>
      <c r="E805" s="8">
        <f>E804+F805</f>
        <v>39396</v>
      </c>
      <c r="F805" s="8">
        <f>IF($D805="CR01",$C805,0)</f>
        <v>-2806</v>
      </c>
      <c r="G805" s="8">
        <f>G804+H805</f>
        <v>0</v>
      </c>
      <c r="H805" s="8">
        <f>IF($D805="VISA",$C805,0)</f>
        <v>0</v>
      </c>
      <c r="I805" s="8">
        <f>I804+J805</f>
        <v>0</v>
      </c>
      <c r="J805" s="8">
        <f>IF($D805="ACC",$C805,0)</f>
        <v>0</v>
      </c>
      <c r="K805" s="8">
        <f>K804+L805</f>
        <v>0</v>
      </c>
      <c r="L805" s="8">
        <f>IF($D805="CBB",$C805,0)</f>
        <v>0</v>
      </c>
    </row>
    <row r="806" spans="1:12" x14ac:dyDescent="0.25">
      <c r="A806" s="6">
        <v>41961</v>
      </c>
      <c r="B806" t="s">
        <v>48</v>
      </c>
      <c r="C806" s="7">
        <v>-100</v>
      </c>
      <c r="D806" t="s">
        <v>6</v>
      </c>
      <c r="E806" s="8">
        <f>E805+F806</f>
        <v>39296</v>
      </c>
      <c r="F806" s="8">
        <f>IF($D806="CR01",$C806,0)</f>
        <v>-100</v>
      </c>
      <c r="G806" s="8">
        <f>G805+H806</f>
        <v>0</v>
      </c>
      <c r="H806" s="8">
        <f>IF($D806="VISA",$C806,0)</f>
        <v>0</v>
      </c>
      <c r="I806" s="8">
        <f>I805+J806</f>
        <v>0</v>
      </c>
      <c r="J806" s="8">
        <f>IF($D806="ACC",$C806,0)</f>
        <v>0</v>
      </c>
      <c r="K806" s="8">
        <f>K805+L806</f>
        <v>0</v>
      </c>
      <c r="L806" s="8">
        <f>IF($D806="CBB",$C806,0)</f>
        <v>0</v>
      </c>
    </row>
    <row r="807" spans="1:12" x14ac:dyDescent="0.25">
      <c r="A807" s="6">
        <v>41962</v>
      </c>
      <c r="B807" t="s">
        <v>47</v>
      </c>
      <c r="C807" s="7">
        <v>-120</v>
      </c>
      <c r="D807" t="s">
        <v>6</v>
      </c>
      <c r="E807" s="8">
        <f>E806+F807</f>
        <v>39176</v>
      </c>
      <c r="F807" s="8">
        <f>IF($D807="CR01",$C807,0)</f>
        <v>-120</v>
      </c>
      <c r="G807" s="8">
        <f>G806+H807</f>
        <v>0</v>
      </c>
      <c r="H807" s="8">
        <f>IF($D807="VISA",$C807,0)</f>
        <v>0</v>
      </c>
      <c r="I807" s="8">
        <f>I806+J807</f>
        <v>0</v>
      </c>
      <c r="J807" s="8">
        <f>IF($D807="ACC",$C807,0)</f>
        <v>0</v>
      </c>
      <c r="K807" s="8">
        <f>K806+L807</f>
        <v>0</v>
      </c>
      <c r="L807" s="8">
        <f>IF($D807="CBB",$C807,0)</f>
        <v>0</v>
      </c>
    </row>
    <row r="808" spans="1:12" x14ac:dyDescent="0.25">
      <c r="A808" s="6">
        <v>41963</v>
      </c>
      <c r="B808" t="s">
        <v>44</v>
      </c>
      <c r="C808" s="7">
        <v>-400</v>
      </c>
      <c r="D808" t="s">
        <v>6</v>
      </c>
      <c r="E808" s="8">
        <f>E807+F808</f>
        <v>38776</v>
      </c>
      <c r="F808" s="8">
        <f>IF($D808="CR01",$C808,0)</f>
        <v>-400</v>
      </c>
      <c r="G808" s="8">
        <f>G807+H808</f>
        <v>0</v>
      </c>
      <c r="H808" s="8">
        <f>IF($D808="VISA",$C808,0)</f>
        <v>0</v>
      </c>
      <c r="I808" s="8">
        <f>I807+J808</f>
        <v>0</v>
      </c>
      <c r="J808" s="8">
        <f>IF($D808="ACC",$C808,0)</f>
        <v>0</v>
      </c>
      <c r="K808" s="8">
        <f>K807+L808</f>
        <v>0</v>
      </c>
      <c r="L808" s="8">
        <f>IF($D808="CBB",$C808,0)</f>
        <v>0</v>
      </c>
    </row>
    <row r="809" spans="1:12" x14ac:dyDescent="0.25">
      <c r="A809" s="6">
        <v>41963</v>
      </c>
      <c r="B809" t="s">
        <v>45</v>
      </c>
      <c r="C809" s="7">
        <v>-180</v>
      </c>
      <c r="D809" t="s">
        <v>6</v>
      </c>
      <c r="E809" s="8">
        <f>E808+F809</f>
        <v>38596</v>
      </c>
      <c r="F809" s="8">
        <f>IF($D809="CR01",$C809,0)</f>
        <v>-180</v>
      </c>
      <c r="G809" s="8">
        <f>G808+H809</f>
        <v>0</v>
      </c>
      <c r="H809" s="8">
        <f>IF($D809="VISA",$C809,0)</f>
        <v>0</v>
      </c>
      <c r="I809" s="8">
        <f>I808+J809</f>
        <v>0</v>
      </c>
      <c r="J809" s="8">
        <f>IF($D809="ACC",$C809,0)</f>
        <v>0</v>
      </c>
      <c r="K809" s="8">
        <f>K808+L809</f>
        <v>0</v>
      </c>
      <c r="L809" s="8">
        <f>IF($D809="CBB",$C809,0)</f>
        <v>0</v>
      </c>
    </row>
    <row r="810" spans="1:12" x14ac:dyDescent="0.25">
      <c r="A810" s="6">
        <v>41963</v>
      </c>
      <c r="B810" t="s">
        <v>46</v>
      </c>
      <c r="C810" s="7">
        <v>-300</v>
      </c>
      <c r="D810" t="s">
        <v>6</v>
      </c>
      <c r="E810" s="8">
        <f>E809+F810</f>
        <v>38296</v>
      </c>
      <c r="F810" s="8">
        <f>IF($D810="CR01",$C810,0)</f>
        <v>-300</v>
      </c>
      <c r="G810" s="8">
        <f>G809+H810</f>
        <v>0</v>
      </c>
      <c r="H810" s="8">
        <f>IF($D810="VISA",$C810,0)</f>
        <v>0</v>
      </c>
      <c r="I810" s="8">
        <f>I809+J810</f>
        <v>0</v>
      </c>
      <c r="J810" s="8">
        <f>IF($D810="ACC",$C810,0)</f>
        <v>0</v>
      </c>
      <c r="K810" s="8">
        <f>K809+L810</f>
        <v>0</v>
      </c>
      <c r="L810" s="8">
        <f>IF($D810="CBB",$C810,0)</f>
        <v>0</v>
      </c>
    </row>
    <row r="811" spans="1:12" x14ac:dyDescent="0.25">
      <c r="A811" s="6">
        <v>41964</v>
      </c>
      <c r="B811" t="s">
        <v>43</v>
      </c>
      <c r="C811" s="7">
        <v>3226</v>
      </c>
      <c r="D811" t="s">
        <v>6</v>
      </c>
      <c r="E811" s="8">
        <f>E810+F811</f>
        <v>41522</v>
      </c>
      <c r="F811" s="8">
        <f>IF($D811="CR01",$C811,0)</f>
        <v>3226</v>
      </c>
      <c r="G811" s="8">
        <f>G810+H811</f>
        <v>0</v>
      </c>
      <c r="H811" s="8">
        <f>IF($D811="VISA",$C811,0)</f>
        <v>0</v>
      </c>
      <c r="I811" s="8">
        <f>I810+J811</f>
        <v>0</v>
      </c>
      <c r="J811" s="8">
        <f>IF($D811="ACC",$C811,0)</f>
        <v>0</v>
      </c>
      <c r="K811" s="8">
        <f>K810+L811</f>
        <v>0</v>
      </c>
      <c r="L811" s="8">
        <f>IF($D811="CBB",$C811,0)</f>
        <v>0</v>
      </c>
    </row>
    <row r="812" spans="1:12" x14ac:dyDescent="0.25">
      <c r="A812" s="6">
        <v>41968</v>
      </c>
      <c r="B812" t="s">
        <v>48</v>
      </c>
      <c r="C812" s="7">
        <v>-100</v>
      </c>
      <c r="D812" t="s">
        <v>6</v>
      </c>
      <c r="E812" s="8">
        <f>E811+F812</f>
        <v>41422</v>
      </c>
      <c r="F812" s="8">
        <f>IF($D812="CR01",$C812,0)</f>
        <v>-100</v>
      </c>
      <c r="G812" s="8">
        <f>G811+H812</f>
        <v>0</v>
      </c>
      <c r="H812" s="8">
        <f>IF($D812="VISA",$C812,0)</f>
        <v>0</v>
      </c>
      <c r="I812" s="8">
        <f>I811+J812</f>
        <v>0</v>
      </c>
      <c r="J812" s="8">
        <f>IF($D812="ACC",$C812,0)</f>
        <v>0</v>
      </c>
      <c r="K812" s="8">
        <f>K811+L812</f>
        <v>0</v>
      </c>
      <c r="L812" s="8">
        <f>IF($D812="CBB",$C812,0)</f>
        <v>0</v>
      </c>
    </row>
    <row r="813" spans="1:12" x14ac:dyDescent="0.25">
      <c r="A813" s="6">
        <v>41969</v>
      </c>
      <c r="B813" t="s">
        <v>47</v>
      </c>
      <c r="C813" s="7">
        <v>-120</v>
      </c>
      <c r="D813" t="s">
        <v>6</v>
      </c>
      <c r="E813" s="8">
        <f>E812+F813</f>
        <v>41302</v>
      </c>
      <c r="F813" s="8">
        <f>IF($D813="CR01",$C813,0)</f>
        <v>-120</v>
      </c>
      <c r="G813" s="8">
        <f>G812+H813</f>
        <v>0</v>
      </c>
      <c r="H813" s="8">
        <f>IF($D813="VISA",$C813,0)</f>
        <v>0</v>
      </c>
      <c r="I813" s="8">
        <f>I812+J813</f>
        <v>0</v>
      </c>
      <c r="J813" s="8">
        <f>IF($D813="ACC",$C813,0)</f>
        <v>0</v>
      </c>
      <c r="K813" s="8">
        <f>K812+L813</f>
        <v>0</v>
      </c>
      <c r="L813" s="8">
        <f>IF($D813="CBB",$C813,0)</f>
        <v>0</v>
      </c>
    </row>
    <row r="814" spans="1:12" x14ac:dyDescent="0.25">
      <c r="A814" s="6">
        <v>41970</v>
      </c>
      <c r="B814" t="s">
        <v>44</v>
      </c>
      <c r="C814" s="7">
        <v>-400</v>
      </c>
      <c r="D814" t="s">
        <v>6</v>
      </c>
      <c r="E814" s="8">
        <f>E813+F814</f>
        <v>40902</v>
      </c>
      <c r="F814" s="8">
        <f>IF($D814="CR01",$C814,0)</f>
        <v>-400</v>
      </c>
      <c r="G814" s="8">
        <f>G813+H814</f>
        <v>0</v>
      </c>
      <c r="H814" s="8">
        <f>IF($D814="VISA",$C814,0)</f>
        <v>0</v>
      </c>
      <c r="I814" s="8">
        <f>I813+J814</f>
        <v>0</v>
      </c>
      <c r="J814" s="8">
        <f>IF($D814="ACC",$C814,0)</f>
        <v>0</v>
      </c>
      <c r="K814" s="8">
        <f>K813+L814</f>
        <v>0</v>
      </c>
      <c r="L814" s="8">
        <f>IF($D814="CBB",$C814,0)</f>
        <v>0</v>
      </c>
    </row>
    <row r="815" spans="1:12" x14ac:dyDescent="0.25">
      <c r="A815" s="6">
        <v>41970</v>
      </c>
      <c r="B815" t="s">
        <v>45</v>
      </c>
      <c r="C815" s="7">
        <v>-180</v>
      </c>
      <c r="D815" t="s">
        <v>6</v>
      </c>
      <c r="E815" s="8">
        <f>E814+F815</f>
        <v>40722</v>
      </c>
      <c r="F815" s="8">
        <f>IF($D815="CR01",$C815,0)</f>
        <v>-180</v>
      </c>
      <c r="G815" s="8">
        <f>G814+H815</f>
        <v>0</v>
      </c>
      <c r="H815" s="8">
        <f>IF($D815="VISA",$C815,0)</f>
        <v>0</v>
      </c>
      <c r="I815" s="8">
        <f>I814+J815</f>
        <v>0</v>
      </c>
      <c r="J815" s="8">
        <f>IF($D815="ACC",$C815,0)</f>
        <v>0</v>
      </c>
      <c r="K815" s="8">
        <f>K814+L815</f>
        <v>0</v>
      </c>
      <c r="L815" s="8">
        <f>IF($D815="CBB",$C815,0)</f>
        <v>0</v>
      </c>
    </row>
    <row r="816" spans="1:12" x14ac:dyDescent="0.25">
      <c r="A816" s="6">
        <v>41970</v>
      </c>
      <c r="B816" t="s">
        <v>46</v>
      </c>
      <c r="C816" s="7">
        <v>-300</v>
      </c>
      <c r="D816" t="s">
        <v>6</v>
      </c>
      <c r="E816" s="8">
        <f>E815+F816</f>
        <v>40422</v>
      </c>
      <c r="F816" s="8">
        <f>IF($D816="CR01",$C816,0)</f>
        <v>-300</v>
      </c>
      <c r="G816" s="8">
        <f>G815+H816</f>
        <v>0</v>
      </c>
      <c r="H816" s="8">
        <f>IF($D816="VISA",$C816,0)</f>
        <v>0</v>
      </c>
      <c r="I816" s="8">
        <f>I815+J816</f>
        <v>0</v>
      </c>
      <c r="J816" s="8">
        <f>IF($D816="ACC",$C816,0)</f>
        <v>0</v>
      </c>
      <c r="K816" s="8">
        <f>K815+L816</f>
        <v>0</v>
      </c>
      <c r="L816" s="8">
        <f>IF($D816="CBB",$C816,0)</f>
        <v>0</v>
      </c>
    </row>
    <row r="817" spans="1:12" x14ac:dyDescent="0.25">
      <c r="A817" s="6">
        <v>41972</v>
      </c>
      <c r="B817" t="s">
        <v>67</v>
      </c>
      <c r="C817" s="7">
        <v>3600</v>
      </c>
      <c r="D817" t="s">
        <v>6</v>
      </c>
      <c r="E817" s="8">
        <f>E816+F817</f>
        <v>44022</v>
      </c>
      <c r="F817" s="8">
        <f>IF($D817="CR01",$C817,0)</f>
        <v>3600</v>
      </c>
      <c r="G817" s="8">
        <f>G816+H817</f>
        <v>0</v>
      </c>
      <c r="H817" s="8">
        <f>IF($D817="VISA",$C817,0)</f>
        <v>0</v>
      </c>
      <c r="I817" s="8">
        <f>I816+J817</f>
        <v>0</v>
      </c>
      <c r="J817" s="8">
        <f>IF($D817="ACC",$C817,0)</f>
        <v>0</v>
      </c>
      <c r="K817" s="8">
        <f>K816+L817</f>
        <v>0</v>
      </c>
      <c r="L817" s="8">
        <f>IF($D817="CBB",$C817,0)</f>
        <v>0</v>
      </c>
    </row>
    <row r="818" spans="1:12" x14ac:dyDescent="0.25">
      <c r="A818" s="6">
        <v>41974</v>
      </c>
      <c r="B818" t="s">
        <v>58</v>
      </c>
      <c r="C818" s="7">
        <v>-200</v>
      </c>
      <c r="D818" t="s">
        <v>6</v>
      </c>
      <c r="E818" s="8">
        <f>E817+F818</f>
        <v>43822</v>
      </c>
      <c r="F818" s="8">
        <f>IF($D818="CR01",$C818,0)</f>
        <v>-200</v>
      </c>
      <c r="G818" s="8">
        <f>G817+H818</f>
        <v>0</v>
      </c>
      <c r="H818" s="8">
        <f>IF($D818="VISA",$C818,0)</f>
        <v>0</v>
      </c>
      <c r="I818" s="8">
        <f>I817+J818</f>
        <v>0</v>
      </c>
      <c r="J818" s="8">
        <f>IF($D818="ACC",$C818,0)</f>
        <v>0</v>
      </c>
      <c r="K818" s="8">
        <f>K817+L818</f>
        <v>0</v>
      </c>
      <c r="L818" s="8">
        <f>IF($D818="CBB",$C818,0)</f>
        <v>0</v>
      </c>
    </row>
    <row r="819" spans="1:12" x14ac:dyDescent="0.25">
      <c r="A819" s="6">
        <v>41974</v>
      </c>
      <c r="B819" t="s">
        <v>60</v>
      </c>
      <c r="C819" s="7">
        <v>-400</v>
      </c>
      <c r="D819" t="s">
        <v>6</v>
      </c>
      <c r="E819" s="8">
        <f>E818+F819</f>
        <v>43422</v>
      </c>
      <c r="F819" s="8">
        <f>IF($D819="CR01",$C819,0)</f>
        <v>-400</v>
      </c>
      <c r="G819" s="8">
        <f>G818+H819</f>
        <v>0</v>
      </c>
      <c r="H819" s="8">
        <f>IF($D819="VISA",$C819,0)</f>
        <v>0</v>
      </c>
      <c r="I819" s="8">
        <f>I818+J819</f>
        <v>0</v>
      </c>
      <c r="J819" s="8">
        <f>IF($D819="ACC",$C819,0)</f>
        <v>0</v>
      </c>
      <c r="K819" s="8">
        <f>K818+L819</f>
        <v>0</v>
      </c>
      <c r="L819" s="8">
        <f>IF($D819="CBB",$C819,0)</f>
        <v>0</v>
      </c>
    </row>
    <row r="820" spans="1:12" x14ac:dyDescent="0.25">
      <c r="A820" s="6">
        <v>41974</v>
      </c>
      <c r="B820" t="s">
        <v>64</v>
      </c>
      <c r="C820" s="7">
        <v>-26</v>
      </c>
      <c r="D820" t="s">
        <v>6</v>
      </c>
      <c r="E820" s="8">
        <f>E819+F820</f>
        <v>43396</v>
      </c>
      <c r="F820" s="8">
        <f>IF($D820="CR01",$C820,0)</f>
        <v>-26</v>
      </c>
      <c r="G820" s="8">
        <f>G819+H820</f>
        <v>0</v>
      </c>
      <c r="H820" s="8">
        <f>IF($D820="VISA",$C820,0)</f>
        <v>0</v>
      </c>
      <c r="I820" s="8">
        <f>I819+J820</f>
        <v>0</v>
      </c>
      <c r="J820" s="8">
        <f>IF($D820="ACC",$C820,0)</f>
        <v>0</v>
      </c>
      <c r="K820" s="8">
        <f>K819+L820</f>
        <v>0</v>
      </c>
      <c r="L820" s="8">
        <f>IF($D820="CBB",$C820,0)</f>
        <v>0</v>
      </c>
    </row>
    <row r="821" spans="1:12" x14ac:dyDescent="0.25">
      <c r="A821" s="6">
        <v>41974</v>
      </c>
      <c r="B821" t="s">
        <v>65</v>
      </c>
      <c r="C821" s="7">
        <v>-240</v>
      </c>
      <c r="D821" t="s">
        <v>6</v>
      </c>
      <c r="E821" s="8">
        <f>E820+F821</f>
        <v>43156</v>
      </c>
      <c r="F821" s="8">
        <f>IF($D821="CR01",$C821,0)</f>
        <v>-240</v>
      </c>
      <c r="G821" s="8">
        <f>G820+H821</f>
        <v>0</v>
      </c>
      <c r="H821" s="8">
        <f>IF($D821="VISA",$C821,0)</f>
        <v>0</v>
      </c>
      <c r="I821" s="8">
        <f>I820+J821</f>
        <v>0</v>
      </c>
      <c r="J821" s="8">
        <f>IF($D821="ACC",$C821,0)</f>
        <v>0</v>
      </c>
      <c r="K821" s="8">
        <f>K820+L821</f>
        <v>0</v>
      </c>
      <c r="L821" s="8">
        <f>IF($D821="CBB",$C821,0)</f>
        <v>0</v>
      </c>
    </row>
    <row r="822" spans="1:12" x14ac:dyDescent="0.25">
      <c r="A822" s="6">
        <v>41974</v>
      </c>
      <c r="B822" t="s">
        <v>66</v>
      </c>
      <c r="C822" s="7">
        <v>-120</v>
      </c>
      <c r="D822" t="s">
        <v>6</v>
      </c>
      <c r="E822" s="8">
        <f>E821+F822</f>
        <v>43036</v>
      </c>
      <c r="F822" s="8">
        <f>IF($D822="CR01",$C822,0)</f>
        <v>-120</v>
      </c>
      <c r="G822" s="8">
        <f>G821+H822</f>
        <v>0</v>
      </c>
      <c r="H822" s="8">
        <f>IF($D822="VISA",$C822,0)</f>
        <v>0</v>
      </c>
      <c r="I822" s="8">
        <f>I821+J822</f>
        <v>0</v>
      </c>
      <c r="J822" s="8">
        <f>IF($D822="ACC",$C822,0)</f>
        <v>0</v>
      </c>
      <c r="K822" s="8">
        <f>K821+L822</f>
        <v>0</v>
      </c>
      <c r="L822" s="8">
        <f>IF($D822="CBB",$C822,0)</f>
        <v>0</v>
      </c>
    </row>
    <row r="823" spans="1:12" x14ac:dyDescent="0.25">
      <c r="A823" s="6">
        <v>41975</v>
      </c>
      <c r="B823" t="s">
        <v>42</v>
      </c>
      <c r="C823" s="7">
        <v>-2806</v>
      </c>
      <c r="D823" t="s">
        <v>6</v>
      </c>
      <c r="E823" s="8">
        <f>E822+F823</f>
        <v>40230</v>
      </c>
      <c r="F823" s="8">
        <f>IF($D823="CR01",$C823,0)</f>
        <v>-2806</v>
      </c>
      <c r="G823" s="8">
        <f>G822+H823</f>
        <v>0</v>
      </c>
      <c r="H823" s="8">
        <f>IF($D823="VISA",$C823,0)</f>
        <v>0</v>
      </c>
      <c r="I823" s="8">
        <f>I822+J823</f>
        <v>0</v>
      </c>
      <c r="J823" s="8">
        <f>IF($D823="ACC",$C823,0)</f>
        <v>0</v>
      </c>
      <c r="K823" s="8">
        <f>K822+L823</f>
        <v>0</v>
      </c>
      <c r="L823" s="8">
        <f>IF($D823="CBB",$C823,0)</f>
        <v>0</v>
      </c>
    </row>
    <row r="824" spans="1:12" x14ac:dyDescent="0.25">
      <c r="A824" s="6">
        <v>41975</v>
      </c>
      <c r="B824" t="s">
        <v>48</v>
      </c>
      <c r="C824" s="7">
        <v>-100</v>
      </c>
      <c r="D824" t="s">
        <v>6</v>
      </c>
      <c r="E824" s="8">
        <f>E823+F824</f>
        <v>40130</v>
      </c>
      <c r="F824" s="8">
        <f>IF($D824="CR01",$C824,0)</f>
        <v>-100</v>
      </c>
      <c r="G824" s="8">
        <f>G823+H824</f>
        <v>0</v>
      </c>
      <c r="H824" s="8">
        <f>IF($D824="VISA",$C824,0)</f>
        <v>0</v>
      </c>
      <c r="I824" s="8">
        <f>I823+J824</f>
        <v>0</v>
      </c>
      <c r="J824" s="8">
        <f>IF($D824="ACC",$C824,0)</f>
        <v>0</v>
      </c>
      <c r="K824" s="8">
        <f>K823+L824</f>
        <v>0</v>
      </c>
      <c r="L824" s="8">
        <f>IF($D824="CBB",$C824,0)</f>
        <v>0</v>
      </c>
    </row>
    <row r="825" spans="1:12" x14ac:dyDescent="0.25">
      <c r="A825" s="6">
        <v>41975</v>
      </c>
      <c r="B825" t="s">
        <v>59</v>
      </c>
      <c r="C825" s="7">
        <v>-900</v>
      </c>
      <c r="D825" t="s">
        <v>6</v>
      </c>
      <c r="E825" s="8">
        <f>E824+F825</f>
        <v>39230</v>
      </c>
      <c r="F825" s="8">
        <f>IF($D825="CR01",$C825,0)</f>
        <v>-900</v>
      </c>
      <c r="G825" s="8">
        <f>G824+H825</f>
        <v>0</v>
      </c>
      <c r="H825" s="8">
        <f>IF($D825="VISA",$C825,0)</f>
        <v>0</v>
      </c>
      <c r="I825" s="8">
        <f>I824+J825</f>
        <v>0</v>
      </c>
      <c r="J825" s="8">
        <f>IF($D825="ACC",$C825,0)</f>
        <v>0</v>
      </c>
      <c r="K825" s="8">
        <f>K824+L825</f>
        <v>0</v>
      </c>
      <c r="L825" s="8">
        <f>IF($D825="CBB",$C825,0)</f>
        <v>0</v>
      </c>
    </row>
    <row r="826" spans="1:12" x14ac:dyDescent="0.25">
      <c r="A826" s="6">
        <v>41976</v>
      </c>
      <c r="B826" t="s">
        <v>47</v>
      </c>
      <c r="C826" s="7">
        <v>-120</v>
      </c>
      <c r="D826" t="s">
        <v>6</v>
      </c>
      <c r="E826" s="8">
        <f>E825+F826</f>
        <v>39110</v>
      </c>
      <c r="F826" s="8">
        <f>IF($D826="CR01",$C826,0)</f>
        <v>-120</v>
      </c>
      <c r="G826" s="8">
        <f>G825+H826</f>
        <v>0</v>
      </c>
      <c r="H826" s="8">
        <f>IF($D826="VISA",$C826,0)</f>
        <v>0</v>
      </c>
      <c r="I826" s="8">
        <f>I825+J826</f>
        <v>0</v>
      </c>
      <c r="J826" s="8">
        <f>IF($D826="ACC",$C826,0)</f>
        <v>0</v>
      </c>
      <c r="K826" s="8">
        <f>K825+L826</f>
        <v>0</v>
      </c>
      <c r="L826" s="8">
        <f>IF($D826="CBB",$C826,0)</f>
        <v>0</v>
      </c>
    </row>
    <row r="827" spans="1:12" x14ac:dyDescent="0.25">
      <c r="A827" s="6">
        <v>41977</v>
      </c>
      <c r="B827" t="s">
        <v>44</v>
      </c>
      <c r="C827" s="7">
        <v>-400</v>
      </c>
      <c r="D827" t="s">
        <v>6</v>
      </c>
      <c r="E827" s="8">
        <f>E826+F827</f>
        <v>38710</v>
      </c>
      <c r="F827" s="8">
        <f>IF($D827="CR01",$C827,0)</f>
        <v>-400</v>
      </c>
      <c r="G827" s="8">
        <f>G826+H827</f>
        <v>0</v>
      </c>
      <c r="H827" s="8">
        <f>IF($D827="VISA",$C827,0)</f>
        <v>0</v>
      </c>
      <c r="I827" s="8">
        <f>I826+J827</f>
        <v>0</v>
      </c>
      <c r="J827" s="8">
        <f>IF($D827="ACC",$C827,0)</f>
        <v>0</v>
      </c>
      <c r="K827" s="8">
        <f>K826+L827</f>
        <v>0</v>
      </c>
      <c r="L827" s="8">
        <f>IF($D827="CBB",$C827,0)</f>
        <v>0</v>
      </c>
    </row>
    <row r="828" spans="1:12" x14ac:dyDescent="0.25">
      <c r="A828" s="6">
        <v>41977</v>
      </c>
      <c r="B828" t="s">
        <v>45</v>
      </c>
      <c r="C828" s="7">
        <v>-180</v>
      </c>
      <c r="D828" t="s">
        <v>6</v>
      </c>
      <c r="E828" s="8">
        <f>E827+F828</f>
        <v>38530</v>
      </c>
      <c r="F828" s="8">
        <f>IF($D828="CR01",$C828,0)</f>
        <v>-180</v>
      </c>
      <c r="G828" s="8">
        <f>G827+H828</f>
        <v>0</v>
      </c>
      <c r="H828" s="8">
        <f>IF($D828="VISA",$C828,0)</f>
        <v>0</v>
      </c>
      <c r="I828" s="8">
        <f>I827+J828</f>
        <v>0</v>
      </c>
      <c r="J828" s="8">
        <f>IF($D828="ACC",$C828,0)</f>
        <v>0</v>
      </c>
      <c r="K828" s="8">
        <f>K827+L828</f>
        <v>0</v>
      </c>
      <c r="L828" s="8">
        <f>IF($D828="CBB",$C828,0)</f>
        <v>0</v>
      </c>
    </row>
    <row r="829" spans="1:12" x14ac:dyDescent="0.25">
      <c r="A829" s="6">
        <v>41977</v>
      </c>
      <c r="B829" t="s">
        <v>46</v>
      </c>
      <c r="C829" s="7">
        <v>-300</v>
      </c>
      <c r="D829" t="s">
        <v>6</v>
      </c>
      <c r="E829" s="8">
        <f>E828+F829</f>
        <v>38230</v>
      </c>
      <c r="F829" s="8">
        <f>IF($D829="CR01",$C829,0)</f>
        <v>-300</v>
      </c>
      <c r="G829" s="8">
        <f>G828+H829</f>
        <v>0</v>
      </c>
      <c r="H829" s="8">
        <f>IF($D829="VISA",$C829,0)</f>
        <v>0</v>
      </c>
      <c r="I829" s="8">
        <f>I828+J829</f>
        <v>0</v>
      </c>
      <c r="J829" s="8">
        <f>IF($D829="ACC",$C829,0)</f>
        <v>0</v>
      </c>
      <c r="K829" s="8">
        <f>K828+L829</f>
        <v>0</v>
      </c>
      <c r="L829" s="8">
        <f>IF($D829="CBB",$C829,0)</f>
        <v>0</v>
      </c>
    </row>
    <row r="830" spans="1:12" x14ac:dyDescent="0.25">
      <c r="A830" s="6">
        <v>41978</v>
      </c>
      <c r="B830" t="s">
        <v>43</v>
      </c>
      <c r="C830" s="7">
        <v>3226</v>
      </c>
      <c r="D830" t="s">
        <v>6</v>
      </c>
      <c r="E830" s="8">
        <f>E829+F830</f>
        <v>41456</v>
      </c>
      <c r="F830" s="8">
        <f>IF($D830="CR01",$C830,0)</f>
        <v>3226</v>
      </c>
      <c r="G830" s="8">
        <f>G829+H830</f>
        <v>0</v>
      </c>
      <c r="H830" s="8">
        <f>IF($D830="VISA",$C830,0)</f>
        <v>0</v>
      </c>
      <c r="I830" s="8">
        <f>I829+J830</f>
        <v>0</v>
      </c>
      <c r="J830" s="8">
        <f>IF($D830="ACC",$C830,0)</f>
        <v>0</v>
      </c>
      <c r="K830" s="8">
        <f>K829+L830</f>
        <v>0</v>
      </c>
      <c r="L830" s="8">
        <f>IF($D830="CBB",$C830,0)</f>
        <v>0</v>
      </c>
    </row>
    <row r="831" spans="1:12" x14ac:dyDescent="0.25">
      <c r="A831" s="6">
        <v>41982</v>
      </c>
      <c r="B831" t="s">
        <v>48</v>
      </c>
      <c r="C831" s="7">
        <v>-100</v>
      </c>
      <c r="D831" t="s">
        <v>6</v>
      </c>
      <c r="E831" s="8">
        <f>E830+F831</f>
        <v>41356</v>
      </c>
      <c r="F831" s="8">
        <f>IF($D831="CR01",$C831,0)</f>
        <v>-100</v>
      </c>
      <c r="G831" s="8">
        <f>G830+H831</f>
        <v>0</v>
      </c>
      <c r="H831" s="8">
        <f>IF($D831="VISA",$C831,0)</f>
        <v>0</v>
      </c>
      <c r="I831" s="8">
        <f>I830+J831</f>
        <v>0</v>
      </c>
      <c r="J831" s="8">
        <f>IF($D831="ACC",$C831,0)</f>
        <v>0</v>
      </c>
      <c r="K831" s="8">
        <f>K830+L831</f>
        <v>0</v>
      </c>
      <c r="L831" s="8">
        <f>IF($D831="CBB",$C831,0)</f>
        <v>0</v>
      </c>
    </row>
    <row r="832" spans="1:12" x14ac:dyDescent="0.25">
      <c r="A832" s="6">
        <v>41983</v>
      </c>
      <c r="B832" t="s">
        <v>47</v>
      </c>
      <c r="C832" s="7">
        <v>-120</v>
      </c>
      <c r="D832" t="s">
        <v>6</v>
      </c>
      <c r="E832" s="8">
        <f>E831+F832</f>
        <v>41236</v>
      </c>
      <c r="F832" s="8">
        <f>IF($D832="CR01",$C832,0)</f>
        <v>-120</v>
      </c>
      <c r="G832" s="8">
        <f>G831+H832</f>
        <v>0</v>
      </c>
      <c r="H832" s="8">
        <f>IF($D832="VISA",$C832,0)</f>
        <v>0</v>
      </c>
      <c r="I832" s="8">
        <f>I831+J832</f>
        <v>0</v>
      </c>
      <c r="J832" s="8">
        <f>IF($D832="ACC",$C832,0)</f>
        <v>0</v>
      </c>
      <c r="K832" s="8">
        <f>K831+L832</f>
        <v>0</v>
      </c>
      <c r="L832" s="8">
        <f>IF($D832="CBB",$C832,0)</f>
        <v>0</v>
      </c>
    </row>
    <row r="833" spans="1:12" x14ac:dyDescent="0.25">
      <c r="A833" s="6">
        <v>41984</v>
      </c>
      <c r="B833" t="s">
        <v>44</v>
      </c>
      <c r="C833" s="7">
        <v>-400</v>
      </c>
      <c r="D833" t="s">
        <v>6</v>
      </c>
      <c r="E833" s="8">
        <f>E832+F833</f>
        <v>40836</v>
      </c>
      <c r="F833" s="8">
        <f>IF($D833="CR01",$C833,0)</f>
        <v>-400</v>
      </c>
      <c r="G833" s="8">
        <f>G832+H833</f>
        <v>0</v>
      </c>
      <c r="H833" s="8">
        <f>IF($D833="VISA",$C833,0)</f>
        <v>0</v>
      </c>
      <c r="I833" s="8">
        <f>I832+J833</f>
        <v>0</v>
      </c>
      <c r="J833" s="8">
        <f>IF($D833="ACC",$C833,0)</f>
        <v>0</v>
      </c>
      <c r="K833" s="8">
        <f>K832+L833</f>
        <v>0</v>
      </c>
      <c r="L833" s="8">
        <f>IF($D833="CBB",$C833,0)</f>
        <v>0</v>
      </c>
    </row>
    <row r="834" spans="1:12" x14ac:dyDescent="0.25">
      <c r="A834" s="6">
        <v>41984</v>
      </c>
      <c r="B834" t="s">
        <v>45</v>
      </c>
      <c r="C834" s="7">
        <v>-180</v>
      </c>
      <c r="D834" t="s">
        <v>6</v>
      </c>
      <c r="E834" s="8">
        <f>E833+F834</f>
        <v>40656</v>
      </c>
      <c r="F834" s="8">
        <f>IF($D834="CR01",$C834,0)</f>
        <v>-180</v>
      </c>
      <c r="G834" s="8">
        <f>G833+H834</f>
        <v>0</v>
      </c>
      <c r="H834" s="8">
        <f>IF($D834="VISA",$C834,0)</f>
        <v>0</v>
      </c>
      <c r="I834" s="8">
        <f>I833+J834</f>
        <v>0</v>
      </c>
      <c r="J834" s="8">
        <f>IF($D834="ACC",$C834,0)</f>
        <v>0</v>
      </c>
      <c r="K834" s="8">
        <f>K833+L834</f>
        <v>0</v>
      </c>
      <c r="L834" s="8">
        <f>IF($D834="CBB",$C834,0)</f>
        <v>0</v>
      </c>
    </row>
    <row r="835" spans="1:12" x14ac:dyDescent="0.25">
      <c r="A835" s="6">
        <v>41984</v>
      </c>
      <c r="B835" t="s">
        <v>46</v>
      </c>
      <c r="C835" s="7">
        <v>-300</v>
      </c>
      <c r="D835" t="s">
        <v>6</v>
      </c>
      <c r="E835" s="8">
        <f>E834+F835</f>
        <v>40356</v>
      </c>
      <c r="F835" s="8">
        <f>IF($D835="CR01",$C835,0)</f>
        <v>-300</v>
      </c>
      <c r="G835" s="8">
        <f>G834+H835</f>
        <v>0</v>
      </c>
      <c r="H835" s="8">
        <f>IF($D835="VISA",$C835,0)</f>
        <v>0</v>
      </c>
      <c r="I835" s="8">
        <f>I834+J835</f>
        <v>0</v>
      </c>
      <c r="J835" s="8">
        <f>IF($D835="ACC",$C835,0)</f>
        <v>0</v>
      </c>
      <c r="K835" s="8">
        <f>K834+L835</f>
        <v>0</v>
      </c>
      <c r="L835" s="8">
        <f>IF($D835="CBB",$C835,0)</f>
        <v>0</v>
      </c>
    </row>
    <row r="836" spans="1:12" x14ac:dyDescent="0.25">
      <c r="A836" s="6">
        <v>41986</v>
      </c>
      <c r="B836" t="s">
        <v>67</v>
      </c>
      <c r="C836" s="7">
        <v>3600</v>
      </c>
      <c r="D836" t="s">
        <v>6</v>
      </c>
      <c r="E836" s="8">
        <f>E835+F836</f>
        <v>43956</v>
      </c>
      <c r="F836" s="8">
        <f>IF($D836="CR01",$C836,0)</f>
        <v>3600</v>
      </c>
      <c r="G836" s="8">
        <f>G835+H836</f>
        <v>0</v>
      </c>
      <c r="H836" s="8">
        <f>IF($D836="VISA",$C836,0)</f>
        <v>0</v>
      </c>
      <c r="I836" s="8">
        <f>I835+J836</f>
        <v>0</v>
      </c>
      <c r="J836" s="8">
        <f>IF($D836="ACC",$C836,0)</f>
        <v>0</v>
      </c>
      <c r="K836" s="8">
        <f>K835+L836</f>
        <v>0</v>
      </c>
      <c r="L836" s="8">
        <f>IF($D836="CBB",$C836,0)</f>
        <v>0</v>
      </c>
    </row>
    <row r="837" spans="1:12" x14ac:dyDescent="0.25">
      <c r="A837" s="6">
        <v>41989</v>
      </c>
      <c r="B837" t="s">
        <v>42</v>
      </c>
      <c r="C837" s="7">
        <v>-2806</v>
      </c>
      <c r="D837" t="s">
        <v>6</v>
      </c>
      <c r="E837" s="8">
        <f>E836+F837</f>
        <v>41150</v>
      </c>
      <c r="F837" s="8">
        <f>IF($D837="CR01",$C837,0)</f>
        <v>-2806</v>
      </c>
      <c r="G837" s="8">
        <f>G836+H837</f>
        <v>0</v>
      </c>
      <c r="H837" s="8">
        <f>IF($D837="VISA",$C837,0)</f>
        <v>0</v>
      </c>
      <c r="I837" s="8">
        <f>I836+J837</f>
        <v>0</v>
      </c>
      <c r="J837" s="8">
        <f>IF($D837="ACC",$C837,0)</f>
        <v>0</v>
      </c>
      <c r="K837" s="8">
        <f>K836+L837</f>
        <v>0</v>
      </c>
      <c r="L837" s="8">
        <f>IF($D837="CBB",$C837,0)</f>
        <v>0</v>
      </c>
    </row>
    <row r="838" spans="1:12" x14ac:dyDescent="0.25">
      <c r="A838" s="6">
        <v>41989</v>
      </c>
      <c r="B838" t="s">
        <v>48</v>
      </c>
      <c r="C838" s="7">
        <v>-100</v>
      </c>
      <c r="D838" t="s">
        <v>6</v>
      </c>
      <c r="E838" s="8">
        <f>E837+F838</f>
        <v>41050</v>
      </c>
      <c r="F838" s="8">
        <f>IF($D838="CR01",$C838,0)</f>
        <v>-100</v>
      </c>
      <c r="G838" s="8">
        <f>G837+H838</f>
        <v>0</v>
      </c>
      <c r="H838" s="8">
        <f>IF($D838="VISA",$C838,0)</f>
        <v>0</v>
      </c>
      <c r="I838" s="8">
        <f>I837+J838</f>
        <v>0</v>
      </c>
      <c r="J838" s="8">
        <f>IF($D838="ACC",$C838,0)</f>
        <v>0</v>
      </c>
      <c r="K838" s="8">
        <f>K837+L838</f>
        <v>0</v>
      </c>
      <c r="L838" s="8">
        <f>IF($D838="CBB",$C838,0)</f>
        <v>0</v>
      </c>
    </row>
    <row r="839" spans="1:12" x14ac:dyDescent="0.25">
      <c r="A839" s="6">
        <v>41990</v>
      </c>
      <c r="B839" t="s">
        <v>47</v>
      </c>
      <c r="C839" s="7">
        <v>-120</v>
      </c>
      <c r="D839" t="s">
        <v>6</v>
      </c>
      <c r="E839" s="8">
        <f>E838+F839</f>
        <v>40930</v>
      </c>
      <c r="F839" s="8">
        <f>IF($D839="CR01",$C839,0)</f>
        <v>-120</v>
      </c>
      <c r="G839" s="8">
        <f>G838+H839</f>
        <v>0</v>
      </c>
      <c r="H839" s="8">
        <f>IF($D839="VISA",$C839,0)</f>
        <v>0</v>
      </c>
      <c r="I839" s="8">
        <f>I838+J839</f>
        <v>0</v>
      </c>
      <c r="J839" s="8">
        <f>IF($D839="ACC",$C839,0)</f>
        <v>0</v>
      </c>
      <c r="K839" s="8">
        <f>K838+L839</f>
        <v>0</v>
      </c>
      <c r="L839" s="8">
        <f>IF($D839="CBB",$C839,0)</f>
        <v>0</v>
      </c>
    </row>
    <row r="840" spans="1:12" x14ac:dyDescent="0.25">
      <c r="A840" s="6">
        <v>41991</v>
      </c>
      <c r="B840" t="s">
        <v>44</v>
      </c>
      <c r="C840" s="7">
        <v>-400</v>
      </c>
      <c r="D840" t="s">
        <v>6</v>
      </c>
      <c r="E840" s="8">
        <f>E839+F840</f>
        <v>40530</v>
      </c>
      <c r="F840" s="8">
        <f>IF($D840="CR01",$C840,0)</f>
        <v>-400</v>
      </c>
      <c r="G840" s="8">
        <f>G839+H840</f>
        <v>0</v>
      </c>
      <c r="H840" s="8">
        <f>IF($D840="VISA",$C840,0)</f>
        <v>0</v>
      </c>
      <c r="I840" s="8">
        <f>I839+J840</f>
        <v>0</v>
      </c>
      <c r="J840" s="8">
        <f>IF($D840="ACC",$C840,0)</f>
        <v>0</v>
      </c>
      <c r="K840" s="8">
        <f>K839+L840</f>
        <v>0</v>
      </c>
      <c r="L840" s="8">
        <f>IF($D840="CBB",$C840,0)</f>
        <v>0</v>
      </c>
    </row>
    <row r="841" spans="1:12" x14ac:dyDescent="0.25">
      <c r="A841" s="6">
        <v>41991</v>
      </c>
      <c r="B841" t="s">
        <v>45</v>
      </c>
      <c r="C841" s="7">
        <v>-180</v>
      </c>
      <c r="D841" t="s">
        <v>6</v>
      </c>
      <c r="E841" s="8">
        <f>E840+F841</f>
        <v>40350</v>
      </c>
      <c r="F841" s="8">
        <f>IF($D841="CR01",$C841,0)</f>
        <v>-180</v>
      </c>
      <c r="G841" s="8">
        <f>G840+H841</f>
        <v>0</v>
      </c>
      <c r="H841" s="8">
        <f>IF($D841="VISA",$C841,0)</f>
        <v>0</v>
      </c>
      <c r="I841" s="8">
        <f>I840+J841</f>
        <v>0</v>
      </c>
      <c r="J841" s="8">
        <f>IF($D841="ACC",$C841,0)</f>
        <v>0</v>
      </c>
      <c r="K841" s="8">
        <f>K840+L841</f>
        <v>0</v>
      </c>
      <c r="L841" s="8">
        <f>IF($D841="CBB",$C841,0)</f>
        <v>0</v>
      </c>
    </row>
    <row r="842" spans="1:12" x14ac:dyDescent="0.25">
      <c r="A842" s="6">
        <v>41991</v>
      </c>
      <c r="B842" t="s">
        <v>46</v>
      </c>
      <c r="C842" s="7">
        <v>-300</v>
      </c>
      <c r="D842" t="s">
        <v>6</v>
      </c>
      <c r="E842" s="8">
        <f>E841+F842</f>
        <v>40050</v>
      </c>
      <c r="F842" s="8">
        <f>IF($D842="CR01",$C842,0)</f>
        <v>-300</v>
      </c>
      <c r="G842" s="8">
        <f>G841+H842</f>
        <v>0</v>
      </c>
      <c r="H842" s="8">
        <f>IF($D842="VISA",$C842,0)</f>
        <v>0</v>
      </c>
      <c r="I842" s="8">
        <f>I841+J842</f>
        <v>0</v>
      </c>
      <c r="J842" s="8">
        <f>IF($D842="ACC",$C842,0)</f>
        <v>0</v>
      </c>
      <c r="K842" s="8">
        <f>K841+L842</f>
        <v>0</v>
      </c>
      <c r="L842" s="8">
        <f>IF($D842="CBB",$C842,0)</f>
        <v>0</v>
      </c>
    </row>
    <row r="843" spans="1:12" x14ac:dyDescent="0.25">
      <c r="A843" s="6">
        <v>41992</v>
      </c>
      <c r="B843" t="s">
        <v>43</v>
      </c>
      <c r="C843" s="7">
        <v>3226</v>
      </c>
      <c r="D843" t="s">
        <v>6</v>
      </c>
      <c r="E843" s="8">
        <f>E842+F843</f>
        <v>43276</v>
      </c>
      <c r="F843" s="8">
        <f>IF($D843="CR01",$C843,0)</f>
        <v>3226</v>
      </c>
      <c r="G843" s="8">
        <f>G842+H843</f>
        <v>0</v>
      </c>
      <c r="H843" s="8">
        <f>IF($D843="VISA",$C843,0)</f>
        <v>0</v>
      </c>
      <c r="I843" s="8">
        <f>I842+J843</f>
        <v>0</v>
      </c>
      <c r="J843" s="8">
        <f>IF($D843="ACC",$C843,0)</f>
        <v>0</v>
      </c>
      <c r="K843" s="8">
        <f>K842+L843</f>
        <v>0</v>
      </c>
      <c r="L843" s="8">
        <f>IF($D843="CBB",$C843,0)</f>
        <v>0</v>
      </c>
    </row>
    <row r="844" spans="1:12" x14ac:dyDescent="0.25">
      <c r="A844" s="6">
        <v>41996</v>
      </c>
      <c r="B844" t="s">
        <v>48</v>
      </c>
      <c r="C844" s="7">
        <v>-100</v>
      </c>
      <c r="D844" t="s">
        <v>6</v>
      </c>
      <c r="E844" s="8">
        <f>E843+F844</f>
        <v>43176</v>
      </c>
      <c r="F844" s="8">
        <f>IF($D844="CR01",$C844,0)</f>
        <v>-100</v>
      </c>
      <c r="G844" s="8">
        <f>G843+H844</f>
        <v>0</v>
      </c>
      <c r="H844" s="8">
        <f>IF($D844="VISA",$C844,0)</f>
        <v>0</v>
      </c>
      <c r="I844" s="8">
        <f>I843+J844</f>
        <v>0</v>
      </c>
      <c r="J844" s="8">
        <f>IF($D844="ACC",$C844,0)</f>
        <v>0</v>
      </c>
      <c r="K844" s="8">
        <f>K843+L844</f>
        <v>0</v>
      </c>
      <c r="L844" s="8">
        <f>IF($D844="CBB",$C844,0)</f>
        <v>0</v>
      </c>
    </row>
    <row r="845" spans="1:12" x14ac:dyDescent="0.25">
      <c r="A845" s="6">
        <v>41997</v>
      </c>
      <c r="B845" t="s">
        <v>47</v>
      </c>
      <c r="C845" s="7">
        <v>-120</v>
      </c>
      <c r="D845" t="s">
        <v>6</v>
      </c>
      <c r="E845" s="8">
        <f>E844+F845</f>
        <v>43056</v>
      </c>
      <c r="F845" s="8">
        <f>IF($D845="CR01",$C845,0)</f>
        <v>-120</v>
      </c>
      <c r="G845" s="8">
        <f>G844+H845</f>
        <v>0</v>
      </c>
      <c r="H845" s="8">
        <f>IF($D845="VISA",$C845,0)</f>
        <v>0</v>
      </c>
      <c r="I845" s="8">
        <f>I844+J845</f>
        <v>0</v>
      </c>
      <c r="J845" s="8">
        <f>IF($D845="ACC",$C845,0)</f>
        <v>0</v>
      </c>
      <c r="K845" s="8">
        <f>K844+L845</f>
        <v>0</v>
      </c>
      <c r="L845" s="8">
        <f>IF($D845="CBB",$C845,0)</f>
        <v>0</v>
      </c>
    </row>
    <row r="846" spans="1:12" x14ac:dyDescent="0.25">
      <c r="A846" s="6">
        <v>41998</v>
      </c>
      <c r="B846" t="s">
        <v>44</v>
      </c>
      <c r="C846" s="7">
        <v>-400</v>
      </c>
      <c r="D846" t="s">
        <v>6</v>
      </c>
      <c r="E846" s="8">
        <f>E845+F846</f>
        <v>42656</v>
      </c>
      <c r="F846" s="8">
        <f>IF($D846="CR01",$C846,0)</f>
        <v>-400</v>
      </c>
      <c r="G846" s="8">
        <f>G845+H846</f>
        <v>0</v>
      </c>
      <c r="H846" s="8">
        <f>IF($D846="VISA",$C846,0)</f>
        <v>0</v>
      </c>
      <c r="I846" s="8">
        <f>I845+J846</f>
        <v>0</v>
      </c>
      <c r="J846" s="8">
        <f>IF($D846="ACC",$C846,0)</f>
        <v>0</v>
      </c>
      <c r="K846" s="8">
        <f>K845+L846</f>
        <v>0</v>
      </c>
      <c r="L846" s="8">
        <f>IF($D846="CBB",$C846,0)</f>
        <v>0</v>
      </c>
    </row>
    <row r="847" spans="1:12" x14ac:dyDescent="0.25">
      <c r="A847" s="6">
        <v>41998</v>
      </c>
      <c r="B847" t="s">
        <v>45</v>
      </c>
      <c r="C847" s="7">
        <v>-180</v>
      </c>
      <c r="D847" t="s">
        <v>6</v>
      </c>
      <c r="E847" s="8">
        <f>E846+F847</f>
        <v>42476</v>
      </c>
      <c r="F847" s="8">
        <f>IF($D847="CR01",$C847,0)</f>
        <v>-180</v>
      </c>
      <c r="G847" s="8">
        <f>G846+H847</f>
        <v>0</v>
      </c>
      <c r="H847" s="8">
        <f>IF($D847="VISA",$C847,0)</f>
        <v>0</v>
      </c>
      <c r="I847" s="8">
        <f>I846+J847</f>
        <v>0</v>
      </c>
      <c r="J847" s="8">
        <f>IF($D847="ACC",$C847,0)</f>
        <v>0</v>
      </c>
      <c r="K847" s="8">
        <f>K846+L847</f>
        <v>0</v>
      </c>
      <c r="L847" s="8">
        <f>IF($D847="CBB",$C847,0)</f>
        <v>0</v>
      </c>
    </row>
    <row r="848" spans="1:12" x14ac:dyDescent="0.25">
      <c r="A848" s="6">
        <v>41998</v>
      </c>
      <c r="B848" t="s">
        <v>46</v>
      </c>
      <c r="C848" s="7">
        <v>-300</v>
      </c>
      <c r="D848" t="s">
        <v>6</v>
      </c>
      <c r="E848" s="8">
        <f>E847+F848</f>
        <v>42176</v>
      </c>
      <c r="F848" s="8">
        <f>IF($D848="CR01",$C848,0)</f>
        <v>-300</v>
      </c>
      <c r="G848" s="8">
        <f>G847+H848</f>
        <v>0</v>
      </c>
      <c r="H848" s="8">
        <f>IF($D848="VISA",$C848,0)</f>
        <v>0</v>
      </c>
      <c r="I848" s="8">
        <f>I847+J848</f>
        <v>0</v>
      </c>
      <c r="J848" s="8">
        <f>IF($D848="ACC",$C848,0)</f>
        <v>0</v>
      </c>
      <c r="K848" s="8">
        <f>K847+L848</f>
        <v>0</v>
      </c>
      <c r="L848" s="8">
        <f>IF($D848="CBB",$C848,0)</f>
        <v>0</v>
      </c>
    </row>
    <row r="849" spans="1:12" x14ac:dyDescent="0.25">
      <c r="A849" s="6"/>
      <c r="C849" s="7"/>
      <c r="E849" s="8">
        <f>E848+F849</f>
        <v>42176</v>
      </c>
      <c r="F849" s="8">
        <f>IF($D849="CR01",$C849,0)</f>
        <v>0</v>
      </c>
      <c r="G849" s="8">
        <f>G848+H849</f>
        <v>0</v>
      </c>
      <c r="H849" s="8">
        <f>IF($D849="VISA",$C849,0)</f>
        <v>0</v>
      </c>
      <c r="I849" s="8">
        <f>I848+J849</f>
        <v>0</v>
      </c>
      <c r="J849" s="8">
        <f>IF($D849="ACC",$C849,0)</f>
        <v>0</v>
      </c>
      <c r="K849" s="8">
        <f>K848+L849</f>
        <v>0</v>
      </c>
      <c r="L849" s="8">
        <f>IF($D849="CBB",$C849,0)</f>
        <v>0</v>
      </c>
    </row>
    <row r="850" spans="1:12" x14ac:dyDescent="0.25">
      <c r="A850" s="6"/>
      <c r="C850" s="7"/>
      <c r="E850" s="8">
        <f>E849+F850</f>
        <v>42176</v>
      </c>
      <c r="F850" s="8">
        <f>IF($D850="CR01",$C850,0)</f>
        <v>0</v>
      </c>
      <c r="G850" s="8">
        <f>G849+H850</f>
        <v>0</v>
      </c>
      <c r="H850" s="8">
        <f>IF($D850="VISA",$C850,0)</f>
        <v>0</v>
      </c>
      <c r="I850" s="8">
        <f>I849+J850</f>
        <v>0</v>
      </c>
      <c r="J850" s="8">
        <f>IF($D850="ACC",$C850,0)</f>
        <v>0</v>
      </c>
      <c r="K850" s="8">
        <f>K849+L850</f>
        <v>0</v>
      </c>
      <c r="L850" s="8">
        <f>IF($D850="CBB",$C850,0)</f>
        <v>0</v>
      </c>
    </row>
    <row r="851" spans="1:12" x14ac:dyDescent="0.25">
      <c r="A851" s="6"/>
      <c r="C851" s="7"/>
      <c r="E851" s="8">
        <f>E850+F851</f>
        <v>42176</v>
      </c>
      <c r="F851" s="8">
        <f>IF($D851="CR01",$C851,0)</f>
        <v>0</v>
      </c>
      <c r="G851" s="8">
        <f>G850+H851</f>
        <v>0</v>
      </c>
      <c r="H851" s="8">
        <f>IF($D851="VISA",$C851,0)</f>
        <v>0</v>
      </c>
      <c r="I851" s="8">
        <f>I850+J851</f>
        <v>0</v>
      </c>
      <c r="J851" s="8">
        <f>IF($D851="ACC",$C851,0)</f>
        <v>0</v>
      </c>
      <c r="K851" s="8">
        <f>K850+L851</f>
        <v>0</v>
      </c>
      <c r="L851" s="8">
        <f>IF($D851="CBB",$C851,0)</f>
        <v>0</v>
      </c>
    </row>
    <row r="852" spans="1:12" x14ac:dyDescent="0.25">
      <c r="A852" s="6"/>
      <c r="C852" s="7"/>
      <c r="E852" s="8">
        <f>E851+F852</f>
        <v>42176</v>
      </c>
      <c r="F852" s="8">
        <f>IF($D852="CR01",$C852,0)</f>
        <v>0</v>
      </c>
      <c r="G852" s="8">
        <f>G851+H852</f>
        <v>0</v>
      </c>
      <c r="H852" s="8">
        <f>IF($D852="VISA",$C852,0)</f>
        <v>0</v>
      </c>
      <c r="I852" s="8">
        <f>I851+J852</f>
        <v>0</v>
      </c>
      <c r="J852" s="8">
        <f>IF($D852="ACC",$C852,0)</f>
        <v>0</v>
      </c>
      <c r="K852" s="8">
        <f>K851+L852</f>
        <v>0</v>
      </c>
      <c r="L852" s="8">
        <f>IF($D852="CBB",$C852,0)</f>
        <v>0</v>
      </c>
    </row>
    <row r="853" spans="1:12" x14ac:dyDescent="0.25">
      <c r="A853" s="6"/>
      <c r="C853" s="7"/>
      <c r="E853" s="8">
        <f>E852+F853</f>
        <v>42176</v>
      </c>
      <c r="F853" s="8">
        <f>IF($D853="CR01",$C853,0)</f>
        <v>0</v>
      </c>
      <c r="G853" s="8">
        <f>G852+H853</f>
        <v>0</v>
      </c>
      <c r="H853" s="8">
        <f>IF($D853="VISA",$C853,0)</f>
        <v>0</v>
      </c>
      <c r="I853" s="8">
        <f>I852+J853</f>
        <v>0</v>
      </c>
      <c r="J853" s="8">
        <f>IF($D853="ACC",$C853,0)</f>
        <v>0</v>
      </c>
      <c r="K853" s="8">
        <f>K852+L853</f>
        <v>0</v>
      </c>
      <c r="L853" s="8">
        <f>IF($D853="CBB",$C853,0)</f>
        <v>0</v>
      </c>
    </row>
    <row r="854" spans="1:12" x14ac:dyDescent="0.25">
      <c r="A854" s="6"/>
      <c r="C854" s="7"/>
      <c r="E854" s="8">
        <f>E853+F854</f>
        <v>42176</v>
      </c>
      <c r="F854" s="8">
        <f>IF($D854="CR01",$C854,0)</f>
        <v>0</v>
      </c>
      <c r="G854" s="8">
        <f>G853+H854</f>
        <v>0</v>
      </c>
      <c r="H854" s="8">
        <f>IF($D854="VISA",$C854,0)</f>
        <v>0</v>
      </c>
      <c r="I854" s="8">
        <f>I853+J854</f>
        <v>0</v>
      </c>
      <c r="J854" s="8">
        <f>IF($D854="ACC",$C854,0)</f>
        <v>0</v>
      </c>
      <c r="K854" s="8">
        <f>K853+L854</f>
        <v>0</v>
      </c>
      <c r="L854" s="8">
        <f>IF($D854="CBB",$C854,0)</f>
        <v>0</v>
      </c>
    </row>
    <row r="855" spans="1:12" x14ac:dyDescent="0.25">
      <c r="A855" s="6"/>
      <c r="C855" s="7"/>
      <c r="E855" s="8">
        <f>E854+F855</f>
        <v>42176</v>
      </c>
      <c r="F855" s="8">
        <f>IF($D855="CR01",$C855,0)</f>
        <v>0</v>
      </c>
      <c r="G855" s="8">
        <f>G854+H855</f>
        <v>0</v>
      </c>
      <c r="H855" s="8">
        <f>IF($D855="VISA",$C855,0)</f>
        <v>0</v>
      </c>
      <c r="I855" s="8">
        <f>I854+J855</f>
        <v>0</v>
      </c>
      <c r="J855" s="8">
        <f>IF($D855="ACC",$C855,0)</f>
        <v>0</v>
      </c>
      <c r="K855" s="8">
        <f>K854+L855</f>
        <v>0</v>
      </c>
      <c r="L855" s="8">
        <f>IF($D855="CBB",$C855,0)</f>
        <v>0</v>
      </c>
    </row>
    <row r="856" spans="1:12" x14ac:dyDescent="0.25">
      <c r="A856" s="6"/>
      <c r="C856" s="7"/>
      <c r="E856" s="8">
        <f>E855+F856</f>
        <v>42176</v>
      </c>
      <c r="F856" s="8">
        <f>IF($D856="CR01",$C856,0)</f>
        <v>0</v>
      </c>
      <c r="G856" s="8">
        <f>G855+H856</f>
        <v>0</v>
      </c>
      <c r="H856" s="8">
        <f>IF($D856="VISA",$C856,0)</f>
        <v>0</v>
      </c>
      <c r="I856" s="8">
        <f>I855+J856</f>
        <v>0</v>
      </c>
      <c r="J856" s="8">
        <f>IF($D856="ACC",$C856,0)</f>
        <v>0</v>
      </c>
      <c r="K856" s="8">
        <f>K855+L856</f>
        <v>0</v>
      </c>
      <c r="L856" s="8">
        <f>IF($D856="CBB",$C856,0)</f>
        <v>0</v>
      </c>
    </row>
    <row r="857" spans="1:12" x14ac:dyDescent="0.25">
      <c r="A857" s="6"/>
      <c r="C857" s="7"/>
      <c r="E857" s="8">
        <f>E856+F857</f>
        <v>42176</v>
      </c>
      <c r="F857" s="8">
        <f>IF($D857="CR01",$C857,0)</f>
        <v>0</v>
      </c>
      <c r="G857" s="8">
        <f>G856+H857</f>
        <v>0</v>
      </c>
      <c r="H857" s="8">
        <f>IF($D857="VISA",$C857,0)</f>
        <v>0</v>
      </c>
      <c r="I857" s="8">
        <f>I856+J857</f>
        <v>0</v>
      </c>
      <c r="J857" s="8">
        <f>IF($D857="ACC",$C857,0)</f>
        <v>0</v>
      </c>
      <c r="K857" s="8">
        <f>K856+L857</f>
        <v>0</v>
      </c>
      <c r="L857" s="8">
        <f>IF($D857="CBB",$C857,0)</f>
        <v>0</v>
      </c>
    </row>
    <row r="858" spans="1:12" x14ac:dyDescent="0.25">
      <c r="A858" s="6"/>
      <c r="C858" s="7"/>
      <c r="E858" s="8">
        <f>E857+F858</f>
        <v>42176</v>
      </c>
      <c r="F858" s="8">
        <f>IF($D858="CR01",$C858,0)</f>
        <v>0</v>
      </c>
      <c r="G858" s="8">
        <f>G857+H858</f>
        <v>0</v>
      </c>
      <c r="H858" s="8">
        <f>IF($D858="VISA",$C858,0)</f>
        <v>0</v>
      </c>
      <c r="I858" s="8">
        <f>I857+J858</f>
        <v>0</v>
      </c>
      <c r="J858" s="8">
        <f>IF($D858="ACC",$C858,0)</f>
        <v>0</v>
      </c>
      <c r="K858" s="8">
        <f>K857+L858</f>
        <v>0</v>
      </c>
      <c r="L858" s="8">
        <f>IF($D858="CBB",$C858,0)</f>
        <v>0</v>
      </c>
    </row>
    <row r="859" spans="1:12" x14ac:dyDescent="0.25">
      <c r="A859" s="6"/>
      <c r="C859" s="7"/>
      <c r="E859" s="8">
        <f>E858+F859</f>
        <v>42176</v>
      </c>
      <c r="F859" s="8">
        <f>IF($D859="CR01",$C859,0)</f>
        <v>0</v>
      </c>
      <c r="G859" s="8">
        <f>G858+H859</f>
        <v>0</v>
      </c>
      <c r="H859" s="8">
        <f>IF($D859="VISA",$C859,0)</f>
        <v>0</v>
      </c>
      <c r="I859" s="8">
        <f>I858+J859</f>
        <v>0</v>
      </c>
      <c r="J859" s="8">
        <f>IF($D859="ACC",$C859,0)</f>
        <v>0</v>
      </c>
      <c r="K859" s="8">
        <f>K858+L859</f>
        <v>0</v>
      </c>
      <c r="L859" s="8">
        <f>IF($D859="CBB",$C859,0)</f>
        <v>0</v>
      </c>
    </row>
    <row r="860" spans="1:12" x14ac:dyDescent="0.25">
      <c r="A860" s="6"/>
      <c r="C860" s="7"/>
      <c r="E860" s="8">
        <f>E859+F860</f>
        <v>42176</v>
      </c>
      <c r="F860" s="8">
        <f>IF($D860="CR01",$C860,0)</f>
        <v>0</v>
      </c>
      <c r="G860" s="8">
        <f>G859+H860</f>
        <v>0</v>
      </c>
      <c r="H860" s="8">
        <f>IF($D860="VISA",$C860,0)</f>
        <v>0</v>
      </c>
      <c r="I860" s="8">
        <f>I859+J860</f>
        <v>0</v>
      </c>
      <c r="J860" s="8">
        <f>IF($D860="ACC",$C860,0)</f>
        <v>0</v>
      </c>
      <c r="K860" s="8">
        <f>K859+L860</f>
        <v>0</v>
      </c>
      <c r="L860" s="8">
        <f>IF($D860="CBB",$C860,0)</f>
        <v>0</v>
      </c>
    </row>
    <row r="861" spans="1:12" x14ac:dyDescent="0.25">
      <c r="A861" s="6"/>
      <c r="C861" s="7"/>
      <c r="E861" s="8">
        <f>E860+F861</f>
        <v>42176</v>
      </c>
      <c r="F861" s="8">
        <f>IF($D861="CR01",$C861,0)</f>
        <v>0</v>
      </c>
      <c r="G861" s="8">
        <f>G860+H861</f>
        <v>0</v>
      </c>
      <c r="H861" s="8">
        <f>IF($D861="VISA",$C861,0)</f>
        <v>0</v>
      </c>
      <c r="I861" s="8">
        <f>I860+J861</f>
        <v>0</v>
      </c>
      <c r="J861" s="8">
        <f>IF($D861="ACC",$C861,0)</f>
        <v>0</v>
      </c>
      <c r="K861" s="8">
        <f>K860+L861</f>
        <v>0</v>
      </c>
      <c r="L861" s="8">
        <f>IF($D861="CBB",$C861,0)</f>
        <v>0</v>
      </c>
    </row>
    <row r="862" spans="1:12" x14ac:dyDescent="0.25">
      <c r="A862" s="6"/>
      <c r="C862" s="7"/>
      <c r="E862" s="8">
        <f>E861+F862</f>
        <v>42176</v>
      </c>
      <c r="F862" s="8">
        <f>IF($D862="CR01",$C862,0)</f>
        <v>0</v>
      </c>
      <c r="G862" s="8">
        <f>G861+H862</f>
        <v>0</v>
      </c>
      <c r="H862" s="8">
        <f>IF($D862="VISA",$C862,0)</f>
        <v>0</v>
      </c>
      <c r="I862" s="8">
        <f>I861+J862</f>
        <v>0</v>
      </c>
      <c r="J862" s="8">
        <f>IF($D862="ACC",$C862,0)</f>
        <v>0</v>
      </c>
      <c r="K862" s="8">
        <f>K861+L862</f>
        <v>0</v>
      </c>
      <c r="L862" s="8">
        <f>IF($D862="CBB",$C862,0)</f>
        <v>0</v>
      </c>
    </row>
    <row r="863" spans="1:12" x14ac:dyDescent="0.25">
      <c r="A863" s="6"/>
      <c r="C863" s="7"/>
      <c r="E863" s="8">
        <f>E862+F863</f>
        <v>42176</v>
      </c>
      <c r="F863" s="8">
        <f>IF($D863="CR01",$C863,0)</f>
        <v>0</v>
      </c>
      <c r="G863" s="8">
        <f>G862+H863</f>
        <v>0</v>
      </c>
      <c r="H863" s="8">
        <f>IF($D863="VISA",$C863,0)</f>
        <v>0</v>
      </c>
      <c r="I863" s="8">
        <f>I862+J863</f>
        <v>0</v>
      </c>
      <c r="J863" s="8">
        <f>IF($D863="ACC",$C863,0)</f>
        <v>0</v>
      </c>
      <c r="K863" s="8">
        <f>K862+L863</f>
        <v>0</v>
      </c>
      <c r="L863" s="8">
        <f>IF($D863="CBB",$C863,0)</f>
        <v>0</v>
      </c>
    </row>
    <row r="864" spans="1:12" x14ac:dyDescent="0.25">
      <c r="A864" s="6"/>
      <c r="C864" s="7"/>
      <c r="E864" s="8">
        <f>E863+F864</f>
        <v>42176</v>
      </c>
      <c r="F864" s="8">
        <f>IF($D864="CR01",$C864,0)</f>
        <v>0</v>
      </c>
      <c r="G864" s="8">
        <f>G863+H864</f>
        <v>0</v>
      </c>
      <c r="H864" s="8">
        <f>IF($D864="VISA",$C864,0)</f>
        <v>0</v>
      </c>
      <c r="I864" s="8">
        <f>I863+J864</f>
        <v>0</v>
      </c>
      <c r="J864" s="8">
        <f>IF($D864="ACC",$C864,0)</f>
        <v>0</v>
      </c>
      <c r="K864" s="8">
        <f>K863+L864</f>
        <v>0</v>
      </c>
      <c r="L864" s="8">
        <f>IF($D864="CBB",$C864,0)</f>
        <v>0</v>
      </c>
    </row>
    <row r="865" spans="1:12" x14ac:dyDescent="0.25">
      <c r="A865" s="6"/>
      <c r="C865" s="7"/>
      <c r="E865" s="8">
        <f>E864+F865</f>
        <v>42176</v>
      </c>
      <c r="F865" s="8">
        <f>IF($D865="CR01",$C865,0)</f>
        <v>0</v>
      </c>
      <c r="G865" s="8">
        <f>G864+H865</f>
        <v>0</v>
      </c>
      <c r="H865" s="8">
        <f>IF($D865="VISA",$C865,0)</f>
        <v>0</v>
      </c>
      <c r="I865" s="8">
        <f>I864+J865</f>
        <v>0</v>
      </c>
      <c r="J865" s="8">
        <f>IF($D865="ACC",$C865,0)</f>
        <v>0</v>
      </c>
      <c r="K865" s="8">
        <f>K864+L865</f>
        <v>0</v>
      </c>
      <c r="L865" s="8">
        <f>IF($D865="CBB",$C865,0)</f>
        <v>0</v>
      </c>
    </row>
    <row r="866" spans="1:12" x14ac:dyDescent="0.25">
      <c r="A866" s="6"/>
      <c r="C866" s="7"/>
      <c r="E866" s="8">
        <f>E865+F866</f>
        <v>42176</v>
      </c>
      <c r="F866" s="8">
        <f>IF($D866="CR01",$C866,0)</f>
        <v>0</v>
      </c>
      <c r="G866" s="8">
        <f>G865+H866</f>
        <v>0</v>
      </c>
      <c r="H866" s="8">
        <f>IF($D866="VISA",$C866,0)</f>
        <v>0</v>
      </c>
      <c r="I866" s="8">
        <f>I865+J866</f>
        <v>0</v>
      </c>
      <c r="J866" s="8">
        <f>IF($D866="ACC",$C866,0)</f>
        <v>0</v>
      </c>
      <c r="K866" s="8">
        <f>K865+L866</f>
        <v>0</v>
      </c>
      <c r="L866" s="8">
        <f>IF($D866="CBB",$C866,0)</f>
        <v>0</v>
      </c>
    </row>
    <row r="867" spans="1:12" x14ac:dyDescent="0.25">
      <c r="A867" s="6"/>
      <c r="C867" s="7"/>
      <c r="E867" s="8">
        <f>E866+F867</f>
        <v>42176</v>
      </c>
      <c r="F867" s="8">
        <f>IF($D867="CR01",$C867,0)</f>
        <v>0</v>
      </c>
      <c r="G867" s="8">
        <f>G866+H867</f>
        <v>0</v>
      </c>
      <c r="H867" s="8">
        <f>IF($D867="VISA",$C867,0)</f>
        <v>0</v>
      </c>
      <c r="I867" s="8">
        <f>I866+J867</f>
        <v>0</v>
      </c>
      <c r="J867" s="8">
        <f>IF($D867="ACC",$C867,0)</f>
        <v>0</v>
      </c>
      <c r="K867" s="8">
        <f>K866+L867</f>
        <v>0</v>
      </c>
      <c r="L867" s="8">
        <f>IF($D867="CBB",$C867,0)</f>
        <v>0</v>
      </c>
    </row>
    <row r="868" spans="1:12" x14ac:dyDescent="0.25">
      <c r="A868" s="6"/>
      <c r="C868" s="7"/>
      <c r="E868" s="8">
        <f>E867+F868</f>
        <v>42176</v>
      </c>
      <c r="F868" s="8">
        <f>IF($D868="CR01",$C868,0)</f>
        <v>0</v>
      </c>
      <c r="G868" s="8">
        <f>G867+H868</f>
        <v>0</v>
      </c>
      <c r="H868" s="8">
        <f>IF($D868="VISA",$C868,0)</f>
        <v>0</v>
      </c>
      <c r="I868" s="8">
        <f>I867+J868</f>
        <v>0</v>
      </c>
      <c r="J868" s="8">
        <f>IF($D868="ACC",$C868,0)</f>
        <v>0</v>
      </c>
      <c r="K868" s="8">
        <f>K867+L868</f>
        <v>0</v>
      </c>
      <c r="L868" s="8">
        <f>IF($D868="CBB",$C868,0)</f>
        <v>0</v>
      </c>
    </row>
    <row r="869" spans="1:12" x14ac:dyDescent="0.25">
      <c r="A869" s="6"/>
      <c r="C869" s="7"/>
      <c r="E869" s="8">
        <f>E868+F869</f>
        <v>42176</v>
      </c>
      <c r="F869" s="8">
        <f>IF($D869="CR01",$C869,0)</f>
        <v>0</v>
      </c>
      <c r="G869" s="8">
        <f>G868+H869</f>
        <v>0</v>
      </c>
      <c r="H869" s="8">
        <f>IF($D869="VISA",$C869,0)</f>
        <v>0</v>
      </c>
      <c r="I869" s="8">
        <f>I868+J869</f>
        <v>0</v>
      </c>
      <c r="J869" s="8">
        <f>IF($D869="ACC",$C869,0)</f>
        <v>0</v>
      </c>
      <c r="K869" s="8">
        <f>K868+L869</f>
        <v>0</v>
      </c>
      <c r="L869" s="8">
        <f>IF($D869="CBB",$C869,0)</f>
        <v>0</v>
      </c>
    </row>
    <row r="870" spans="1:12" x14ac:dyDescent="0.25">
      <c r="A870" s="6"/>
      <c r="C870" s="7"/>
      <c r="E870" s="8">
        <f>E869+F870</f>
        <v>42176</v>
      </c>
      <c r="F870" s="8">
        <f>IF($D870="CR01",$C870,0)</f>
        <v>0</v>
      </c>
      <c r="G870" s="8">
        <f>G869+H870</f>
        <v>0</v>
      </c>
      <c r="H870" s="8">
        <f>IF($D870="VISA",$C870,0)</f>
        <v>0</v>
      </c>
      <c r="I870" s="8">
        <f>I869+J870</f>
        <v>0</v>
      </c>
      <c r="J870" s="8">
        <f>IF($D870="ACC",$C870,0)</f>
        <v>0</v>
      </c>
      <c r="K870" s="8">
        <f>K869+L870</f>
        <v>0</v>
      </c>
      <c r="L870" s="8">
        <f>IF($D870="CBB",$C870,0)</f>
        <v>0</v>
      </c>
    </row>
    <row r="871" spans="1:12" x14ac:dyDescent="0.25">
      <c r="A871" s="6"/>
      <c r="C871" s="7"/>
      <c r="E871" s="8">
        <f>E870+F871</f>
        <v>42176</v>
      </c>
      <c r="F871" s="8">
        <f>IF($D871="CR01",$C871,0)</f>
        <v>0</v>
      </c>
      <c r="G871" s="8">
        <f>G870+H871</f>
        <v>0</v>
      </c>
      <c r="H871" s="8">
        <f>IF($D871="VISA",$C871,0)</f>
        <v>0</v>
      </c>
      <c r="I871" s="8">
        <f>I870+J871</f>
        <v>0</v>
      </c>
      <c r="J871" s="8">
        <f>IF($D871="ACC",$C871,0)</f>
        <v>0</v>
      </c>
      <c r="K871" s="8">
        <f>K870+L871</f>
        <v>0</v>
      </c>
      <c r="L871" s="8">
        <f>IF($D871="CBB",$C871,0)</f>
        <v>0</v>
      </c>
    </row>
    <row r="872" spans="1:12" x14ac:dyDescent="0.25">
      <c r="A872" s="6"/>
      <c r="C872" s="7"/>
      <c r="E872" s="8">
        <f>E871+F872</f>
        <v>42176</v>
      </c>
      <c r="F872" s="8">
        <f>IF($D872="CR01",$C872,0)</f>
        <v>0</v>
      </c>
      <c r="G872" s="8">
        <f>G871+H872</f>
        <v>0</v>
      </c>
      <c r="H872" s="8">
        <f>IF($D872="VISA",$C872,0)</f>
        <v>0</v>
      </c>
      <c r="I872" s="8">
        <f>I871+J872</f>
        <v>0</v>
      </c>
      <c r="J872" s="8">
        <f>IF($D872="ACC",$C872,0)</f>
        <v>0</v>
      </c>
      <c r="K872" s="8">
        <f>K871+L872</f>
        <v>0</v>
      </c>
      <c r="L872" s="8">
        <f>IF($D872="CBB",$C872,0)</f>
        <v>0</v>
      </c>
    </row>
    <row r="873" spans="1:12" x14ac:dyDescent="0.25">
      <c r="A873" s="6"/>
      <c r="C873" s="7"/>
      <c r="E873" s="8">
        <f>E872+F873</f>
        <v>42176</v>
      </c>
      <c r="F873" s="8">
        <f>IF($D873="CR01",$C873,0)</f>
        <v>0</v>
      </c>
      <c r="G873" s="8">
        <f>G872+H873</f>
        <v>0</v>
      </c>
      <c r="H873" s="8">
        <f>IF($D873="VISA",$C873,0)</f>
        <v>0</v>
      </c>
      <c r="I873" s="8">
        <f>I872+J873</f>
        <v>0</v>
      </c>
      <c r="J873" s="8">
        <f>IF($D873="ACC",$C873,0)</f>
        <v>0</v>
      </c>
      <c r="K873" s="8">
        <f>K872+L873</f>
        <v>0</v>
      </c>
      <c r="L873" s="8">
        <f>IF($D873="CBB",$C873,0)</f>
        <v>0</v>
      </c>
    </row>
    <row r="874" spans="1:12" x14ac:dyDescent="0.25">
      <c r="A874" s="6"/>
      <c r="C874" s="7"/>
      <c r="E874" s="8">
        <f>E873+F874</f>
        <v>42176</v>
      </c>
      <c r="F874" s="8">
        <f>IF($D874="CR01",$C874,0)</f>
        <v>0</v>
      </c>
      <c r="G874" s="8">
        <f>G873+H874</f>
        <v>0</v>
      </c>
      <c r="H874" s="8">
        <f>IF($D874="VISA",$C874,0)</f>
        <v>0</v>
      </c>
      <c r="I874" s="8">
        <f>I873+J874</f>
        <v>0</v>
      </c>
      <c r="J874" s="8">
        <f>IF($D874="ACC",$C874,0)</f>
        <v>0</v>
      </c>
      <c r="K874" s="8">
        <f>K873+L874</f>
        <v>0</v>
      </c>
      <c r="L874" s="8">
        <f>IF($D874="CBB",$C874,0)</f>
        <v>0</v>
      </c>
    </row>
    <row r="875" spans="1:12" x14ac:dyDescent="0.25">
      <c r="A875" s="6"/>
      <c r="C875" s="7"/>
      <c r="E875" s="8">
        <f>E874+F875</f>
        <v>42176</v>
      </c>
      <c r="F875" s="8">
        <f>IF($D875="CR01",$C875,0)</f>
        <v>0</v>
      </c>
      <c r="G875" s="8">
        <f>G874+H875</f>
        <v>0</v>
      </c>
      <c r="H875" s="8">
        <f>IF($D875="VISA",$C875,0)</f>
        <v>0</v>
      </c>
      <c r="I875" s="8">
        <f>I874+J875</f>
        <v>0</v>
      </c>
      <c r="J875" s="8">
        <f>IF($D875="ACC",$C875,0)</f>
        <v>0</v>
      </c>
      <c r="K875" s="8">
        <f>K874+L875</f>
        <v>0</v>
      </c>
      <c r="L875" s="8">
        <f>IF($D875="CBB",$C875,0)</f>
        <v>0</v>
      </c>
    </row>
    <row r="876" spans="1:12" x14ac:dyDescent="0.25">
      <c r="A876" s="6"/>
      <c r="C876" s="7"/>
      <c r="E876" s="8">
        <f>E875+F876</f>
        <v>42176</v>
      </c>
      <c r="F876" s="8">
        <f>IF($D876="CR01",$C876,0)</f>
        <v>0</v>
      </c>
      <c r="G876" s="8">
        <f>G875+H876</f>
        <v>0</v>
      </c>
      <c r="H876" s="8">
        <f>IF($D876="VISA",$C876,0)</f>
        <v>0</v>
      </c>
      <c r="I876" s="8">
        <f>I875+J876</f>
        <v>0</v>
      </c>
      <c r="J876" s="8">
        <f>IF($D876="ACC",$C876,0)</f>
        <v>0</v>
      </c>
      <c r="K876" s="8">
        <f>K875+L876</f>
        <v>0</v>
      </c>
      <c r="L876" s="8">
        <f>IF($D876="CBB",$C876,0)</f>
        <v>0</v>
      </c>
    </row>
    <row r="877" spans="1:12" x14ac:dyDescent="0.25">
      <c r="A877" s="6"/>
      <c r="C877" s="7"/>
      <c r="E877" s="8">
        <f>E876+F877</f>
        <v>42176</v>
      </c>
      <c r="F877" s="8">
        <f>IF($D877="CR01",$C877,0)</f>
        <v>0</v>
      </c>
      <c r="G877" s="8">
        <f>G876+H877</f>
        <v>0</v>
      </c>
      <c r="H877" s="8">
        <f>IF($D877="VISA",$C877,0)</f>
        <v>0</v>
      </c>
      <c r="I877" s="8">
        <f>I876+J877</f>
        <v>0</v>
      </c>
      <c r="J877" s="8">
        <f>IF($D877="ACC",$C877,0)</f>
        <v>0</v>
      </c>
      <c r="K877" s="8">
        <f>K876+L877</f>
        <v>0</v>
      </c>
      <c r="L877" s="8">
        <f>IF($D877="CBB",$C877,0)</f>
        <v>0</v>
      </c>
    </row>
    <row r="878" spans="1:12" x14ac:dyDescent="0.25">
      <c r="A878" s="6"/>
      <c r="C878" s="7"/>
      <c r="E878" s="8">
        <f>E877+F878</f>
        <v>42176</v>
      </c>
      <c r="F878" s="8">
        <f>IF($D878="CR01",$C878,0)</f>
        <v>0</v>
      </c>
      <c r="G878" s="8">
        <f>G877+H878</f>
        <v>0</v>
      </c>
      <c r="H878" s="8">
        <f>IF($D878="VISA",$C878,0)</f>
        <v>0</v>
      </c>
      <c r="I878" s="8">
        <f>I877+J878</f>
        <v>0</v>
      </c>
      <c r="J878" s="8">
        <f>IF($D878="ACC",$C878,0)</f>
        <v>0</v>
      </c>
      <c r="K878" s="8">
        <f>K877+L878</f>
        <v>0</v>
      </c>
      <c r="L878" s="8">
        <f>IF($D878="CBB",$C878,0)</f>
        <v>0</v>
      </c>
    </row>
    <row r="879" spans="1:12" x14ac:dyDescent="0.25">
      <c r="A879" s="6"/>
      <c r="C879" s="7"/>
      <c r="E879" s="8">
        <f>E878+F879</f>
        <v>42176</v>
      </c>
      <c r="F879" s="8">
        <f>IF($D879="CR01",$C879,0)</f>
        <v>0</v>
      </c>
      <c r="G879" s="8">
        <f>G878+H879</f>
        <v>0</v>
      </c>
      <c r="H879" s="8">
        <f>IF($D879="VISA",$C879,0)</f>
        <v>0</v>
      </c>
      <c r="I879" s="8">
        <f>I878+J879</f>
        <v>0</v>
      </c>
      <c r="J879" s="8">
        <f>IF($D879="ACC",$C879,0)</f>
        <v>0</v>
      </c>
      <c r="K879" s="8">
        <f>K878+L879</f>
        <v>0</v>
      </c>
      <c r="L879" s="8">
        <f>IF($D879="CBB",$C879,0)</f>
        <v>0</v>
      </c>
    </row>
    <row r="880" spans="1:12" x14ac:dyDescent="0.25">
      <c r="A880" s="6"/>
      <c r="C880" s="7"/>
      <c r="E880" s="8">
        <f>E879+F880</f>
        <v>42176</v>
      </c>
      <c r="F880" s="8">
        <f>IF($D880="CR01",$C880,0)</f>
        <v>0</v>
      </c>
      <c r="G880" s="8">
        <f>G879+H880</f>
        <v>0</v>
      </c>
      <c r="H880" s="8">
        <f>IF($D880="VISA",$C880,0)</f>
        <v>0</v>
      </c>
      <c r="I880" s="8">
        <f>I879+J880</f>
        <v>0</v>
      </c>
      <c r="J880" s="8">
        <f>IF($D880="ACC",$C880,0)</f>
        <v>0</v>
      </c>
      <c r="K880" s="8">
        <f>K879+L880</f>
        <v>0</v>
      </c>
      <c r="L880" s="8">
        <f>IF($D880="CBB",$C880,0)</f>
        <v>0</v>
      </c>
    </row>
    <row r="881" spans="1:12" x14ac:dyDescent="0.25">
      <c r="A881" s="6"/>
      <c r="C881" s="7"/>
      <c r="E881" s="8"/>
      <c r="F881" s="8"/>
      <c r="G881" s="8"/>
      <c r="H881" s="8"/>
      <c r="I881" s="8"/>
      <c r="J881" s="8"/>
      <c r="K881" s="8"/>
      <c r="L881" s="8"/>
    </row>
    <row r="882" spans="1:12" x14ac:dyDescent="0.25">
      <c r="A882" s="6"/>
      <c r="C882" s="7"/>
      <c r="E882" s="8"/>
      <c r="F882" s="8"/>
      <c r="G882" s="8"/>
      <c r="H882" s="8"/>
      <c r="I882" s="8"/>
      <c r="J882" s="8"/>
      <c r="K882" s="8"/>
      <c r="L882" s="8"/>
    </row>
    <row r="883" spans="1:12" x14ac:dyDescent="0.25">
      <c r="A883" s="6"/>
      <c r="C883" s="7"/>
      <c r="E883" s="8"/>
      <c r="F883" s="8"/>
      <c r="G883" s="8"/>
      <c r="H883" s="8"/>
      <c r="I883" s="8"/>
      <c r="J883" s="8"/>
      <c r="K883" s="8"/>
      <c r="L883" s="8"/>
    </row>
    <row r="884" spans="1:12" x14ac:dyDescent="0.25">
      <c r="A884" s="6"/>
      <c r="C884" s="7"/>
      <c r="E884" s="8"/>
      <c r="F884" s="8"/>
      <c r="G884" s="8"/>
      <c r="H884" s="8"/>
      <c r="I884" s="8"/>
      <c r="J884" s="8"/>
      <c r="K884" s="8"/>
      <c r="L884" s="8"/>
    </row>
    <row r="885" spans="1:12" x14ac:dyDescent="0.25">
      <c r="A885" s="6"/>
      <c r="C885" s="7"/>
      <c r="E885" s="8"/>
      <c r="F885" s="8"/>
      <c r="G885" s="8"/>
      <c r="H885" s="8"/>
      <c r="I885" s="8"/>
      <c r="J885" s="8"/>
      <c r="K885" s="8"/>
      <c r="L885" s="8"/>
    </row>
    <row r="886" spans="1:12" x14ac:dyDescent="0.25">
      <c r="A886" s="6"/>
      <c r="C886" s="7"/>
      <c r="E886" s="8"/>
      <c r="F886" s="8"/>
      <c r="G886" s="8"/>
      <c r="H886" s="8"/>
      <c r="I886" s="8"/>
      <c r="J886" s="8"/>
      <c r="K886" s="8"/>
      <c r="L886" s="8"/>
    </row>
    <row r="887" spans="1:12" x14ac:dyDescent="0.25">
      <c r="A887" s="6"/>
      <c r="C887" s="7"/>
      <c r="E887" s="8"/>
      <c r="F887" s="8"/>
      <c r="G887" s="8"/>
      <c r="H887" s="8"/>
      <c r="I887" s="8"/>
      <c r="J887" s="8"/>
      <c r="K887" s="8"/>
      <c r="L887" s="8"/>
    </row>
    <row r="888" spans="1:12" x14ac:dyDescent="0.25">
      <c r="A888" s="6"/>
      <c r="C888" s="7"/>
      <c r="E888" s="8"/>
      <c r="F888" s="8"/>
      <c r="G888" s="8"/>
      <c r="H888" s="8"/>
      <c r="I888" s="8"/>
      <c r="J888" s="8"/>
      <c r="K888" s="8"/>
      <c r="L888" s="8"/>
    </row>
    <row r="889" spans="1:12" x14ac:dyDescent="0.25">
      <c r="A889" s="6"/>
      <c r="C889" s="7"/>
      <c r="E889" s="8"/>
      <c r="F889" s="8"/>
      <c r="G889" s="8"/>
      <c r="H889" s="8"/>
      <c r="I889" s="8"/>
      <c r="J889" s="8"/>
      <c r="K889" s="8"/>
      <c r="L889" s="8"/>
    </row>
    <row r="890" spans="1:12" x14ac:dyDescent="0.25">
      <c r="A890" s="6"/>
      <c r="C890" s="7"/>
      <c r="E890" s="8"/>
      <c r="F890" s="8"/>
      <c r="G890" s="8"/>
      <c r="H890" s="8"/>
      <c r="I890" s="8"/>
      <c r="J890" s="8"/>
      <c r="K890" s="8"/>
      <c r="L890" s="8"/>
    </row>
    <row r="891" spans="1:12" x14ac:dyDescent="0.25">
      <c r="A891" s="6"/>
      <c r="C891" s="7"/>
      <c r="E891" s="8"/>
      <c r="F891" s="8"/>
      <c r="G891" s="8"/>
      <c r="H891" s="8"/>
      <c r="I891" s="8"/>
      <c r="J891" s="8"/>
      <c r="K891" s="8"/>
      <c r="L891" s="8"/>
    </row>
    <row r="892" spans="1:12" x14ac:dyDescent="0.25">
      <c r="A892" s="6"/>
      <c r="C892" s="7"/>
      <c r="E892" s="8"/>
      <c r="F892" s="8"/>
      <c r="G892" s="8"/>
      <c r="H892" s="8"/>
      <c r="I892" s="8"/>
      <c r="J892" s="8"/>
      <c r="K892" s="8"/>
      <c r="L892" s="8"/>
    </row>
    <row r="893" spans="1:12" x14ac:dyDescent="0.25">
      <c r="A893" s="6"/>
      <c r="C893" s="7"/>
      <c r="E893" s="8"/>
      <c r="F893" s="8"/>
      <c r="G893" s="8"/>
      <c r="H893" s="8"/>
      <c r="I893" s="8"/>
      <c r="J893" s="8"/>
      <c r="K893" s="8"/>
      <c r="L893" s="8"/>
    </row>
    <row r="894" spans="1:12" x14ac:dyDescent="0.25">
      <c r="A894" s="6"/>
      <c r="C894" s="7"/>
      <c r="E894" s="8"/>
      <c r="F894" s="8"/>
      <c r="G894" s="8"/>
      <c r="H894" s="8"/>
      <c r="I894" s="8"/>
      <c r="J894" s="8"/>
      <c r="K894" s="8"/>
      <c r="L894" s="8"/>
    </row>
    <row r="895" spans="1:12" x14ac:dyDescent="0.25">
      <c r="A895" s="6"/>
      <c r="C895" s="7"/>
      <c r="E895" s="8"/>
      <c r="F895" s="8"/>
      <c r="G895" s="8"/>
      <c r="H895" s="8"/>
      <c r="I895" s="8"/>
      <c r="J895" s="8"/>
      <c r="K895" s="8"/>
      <c r="L895" s="8"/>
    </row>
    <row r="896" spans="1:12" x14ac:dyDescent="0.25">
      <c r="A896" s="6"/>
      <c r="C896" s="7"/>
      <c r="E896" s="8"/>
      <c r="F896" s="8"/>
      <c r="G896" s="8"/>
      <c r="H896" s="8"/>
      <c r="I896" s="8"/>
      <c r="J896" s="8"/>
      <c r="K896" s="8"/>
      <c r="L896" s="8"/>
    </row>
    <row r="897" spans="1:12" x14ac:dyDescent="0.25">
      <c r="A897" s="6"/>
      <c r="C897" s="7"/>
      <c r="E897" s="8"/>
      <c r="F897" s="8"/>
      <c r="G897" s="8"/>
      <c r="H897" s="8"/>
      <c r="I897" s="8"/>
      <c r="J897" s="8"/>
      <c r="K897" s="8"/>
      <c r="L897" s="8"/>
    </row>
    <row r="898" spans="1:12" x14ac:dyDescent="0.25">
      <c r="A898" s="6"/>
      <c r="C898" s="7"/>
      <c r="E898" s="8"/>
      <c r="F898" s="8"/>
      <c r="G898" s="8"/>
      <c r="H898" s="8"/>
      <c r="I898" s="8"/>
      <c r="J898" s="8"/>
      <c r="K898" s="8"/>
      <c r="L898" s="8"/>
    </row>
    <row r="899" spans="1:12" x14ac:dyDescent="0.25">
      <c r="A899" s="6"/>
      <c r="C899" s="7"/>
      <c r="E899" s="8"/>
      <c r="F899" s="8"/>
      <c r="G899" s="8"/>
      <c r="H899" s="8"/>
      <c r="I899" s="8"/>
      <c r="J899" s="8"/>
      <c r="K899" s="8"/>
      <c r="L899" s="8"/>
    </row>
    <row r="900" spans="1:12" x14ac:dyDescent="0.25">
      <c r="A900" s="6"/>
      <c r="C900" s="7"/>
      <c r="E900" s="8"/>
      <c r="F900" s="8"/>
      <c r="G900" s="8"/>
      <c r="H900" s="8"/>
      <c r="I900" s="8"/>
      <c r="J900" s="8"/>
      <c r="K900" s="8"/>
      <c r="L900" s="8"/>
    </row>
    <row r="901" spans="1:12" x14ac:dyDescent="0.25">
      <c r="A901" s="6"/>
      <c r="C901" s="7"/>
      <c r="E901" s="8"/>
      <c r="F901" s="8"/>
      <c r="G901" s="8"/>
      <c r="H901" s="8"/>
      <c r="I901" s="8"/>
      <c r="J901" s="8"/>
      <c r="K901" s="8"/>
      <c r="L901" s="8"/>
    </row>
    <row r="902" spans="1:12" x14ac:dyDescent="0.25">
      <c r="A902" s="6"/>
      <c r="C902" s="7"/>
      <c r="E902" s="8"/>
      <c r="F902" s="8"/>
      <c r="G902" s="8"/>
      <c r="H902" s="8"/>
      <c r="I902" s="8"/>
      <c r="J902" s="8"/>
      <c r="K902" s="8"/>
      <c r="L902" s="8"/>
    </row>
    <row r="903" spans="1:12" x14ac:dyDescent="0.25">
      <c r="A903" s="6"/>
      <c r="C903" s="7"/>
      <c r="E903" s="8"/>
      <c r="F903" s="8"/>
      <c r="G903" s="8"/>
      <c r="H903" s="8"/>
      <c r="I903" s="8"/>
      <c r="J903" s="8"/>
      <c r="K903" s="8"/>
      <c r="L903" s="8"/>
    </row>
    <row r="904" spans="1:12" x14ac:dyDescent="0.25">
      <c r="A904" s="6"/>
      <c r="C904" s="7"/>
      <c r="E904" s="8"/>
      <c r="F904" s="8"/>
      <c r="G904" s="8"/>
      <c r="H904" s="8"/>
      <c r="I904" s="8"/>
      <c r="J904" s="8"/>
      <c r="K904" s="8"/>
      <c r="L904" s="8"/>
    </row>
    <row r="905" spans="1:12" x14ac:dyDescent="0.25">
      <c r="A905" s="6"/>
      <c r="C905" s="7"/>
      <c r="E905" s="8"/>
      <c r="F905" s="8"/>
      <c r="G905" s="8"/>
      <c r="H905" s="8"/>
      <c r="I905" s="8"/>
      <c r="J905" s="8"/>
      <c r="K905" s="8"/>
      <c r="L905" s="8"/>
    </row>
    <row r="906" spans="1:12" x14ac:dyDescent="0.25">
      <c r="A906" s="6"/>
      <c r="C906" s="7"/>
      <c r="E906" s="8"/>
      <c r="F906" s="8"/>
      <c r="G906" s="8"/>
      <c r="H906" s="8"/>
      <c r="I906" s="8"/>
      <c r="J906" s="8"/>
      <c r="K906" s="8"/>
      <c r="L906" s="8"/>
    </row>
    <row r="907" spans="1:12" x14ac:dyDescent="0.25">
      <c r="A907" s="6"/>
      <c r="C907" s="7"/>
      <c r="E907" s="8"/>
      <c r="F907" s="8"/>
      <c r="G907" s="8"/>
      <c r="H907" s="8"/>
      <c r="I907" s="8"/>
      <c r="J907" s="8"/>
      <c r="K907" s="8"/>
      <c r="L907" s="8"/>
    </row>
    <row r="908" spans="1:12" x14ac:dyDescent="0.25">
      <c r="A908" s="6"/>
      <c r="C908" s="7"/>
      <c r="E908" s="8"/>
      <c r="F908" s="8"/>
      <c r="G908" s="8"/>
      <c r="H908" s="8"/>
      <c r="I908" s="8"/>
      <c r="J908" s="8"/>
      <c r="K908" s="8"/>
      <c r="L908" s="8"/>
    </row>
    <row r="909" spans="1:12" x14ac:dyDescent="0.25">
      <c r="A909" s="6"/>
      <c r="C909" s="7"/>
      <c r="E909" s="8"/>
      <c r="F909" s="8"/>
      <c r="G909" s="8"/>
      <c r="H909" s="8"/>
      <c r="I909" s="8"/>
      <c r="J909" s="8"/>
      <c r="K909" s="8"/>
      <c r="L909" s="8"/>
    </row>
    <row r="910" spans="1:12" x14ac:dyDescent="0.25">
      <c r="A910" s="6"/>
      <c r="C910" s="7"/>
      <c r="E910" s="8"/>
      <c r="F910" s="8"/>
      <c r="G910" s="8"/>
      <c r="H910" s="8"/>
      <c r="I910" s="8"/>
      <c r="J910" s="8"/>
      <c r="K910" s="8"/>
      <c r="L910" s="8"/>
    </row>
    <row r="911" spans="1:12" x14ac:dyDescent="0.25">
      <c r="A911" s="6"/>
      <c r="C911" s="7"/>
      <c r="E911" s="8"/>
      <c r="F911" s="8"/>
      <c r="G911" s="8"/>
      <c r="H911" s="8"/>
      <c r="I911" s="8"/>
      <c r="J911" s="8"/>
      <c r="K911" s="8"/>
      <c r="L911" s="8"/>
    </row>
    <row r="912" spans="1:12" x14ac:dyDescent="0.25">
      <c r="A912" s="6"/>
      <c r="C912" s="7"/>
      <c r="E912" s="8"/>
      <c r="F912" s="8"/>
      <c r="G912" s="8"/>
      <c r="H912" s="8"/>
      <c r="I912" s="8"/>
      <c r="J912" s="8"/>
      <c r="K912" s="8"/>
      <c r="L912" s="8"/>
    </row>
    <row r="913" spans="1:12" x14ac:dyDescent="0.25">
      <c r="A913" s="6"/>
      <c r="C913" s="7"/>
      <c r="E913" s="8"/>
      <c r="F913" s="8"/>
      <c r="G913" s="8"/>
      <c r="H913" s="8"/>
      <c r="I913" s="8"/>
      <c r="J913" s="8"/>
      <c r="K913" s="8"/>
      <c r="L913" s="8"/>
    </row>
    <row r="914" spans="1:12" x14ac:dyDescent="0.25">
      <c r="A914" s="6"/>
      <c r="C914" s="7"/>
      <c r="E914" s="8"/>
      <c r="F914" s="8"/>
      <c r="G914" s="8"/>
      <c r="H914" s="8"/>
      <c r="I914" s="8"/>
      <c r="J914" s="8"/>
      <c r="K914" s="8"/>
      <c r="L914" s="8"/>
    </row>
    <row r="915" spans="1:12" x14ac:dyDescent="0.25">
      <c r="A915" s="6"/>
      <c r="C915" s="7"/>
      <c r="E915" s="8"/>
      <c r="F915" s="8"/>
      <c r="G915" s="8"/>
      <c r="H915" s="8"/>
      <c r="I915" s="8"/>
      <c r="J915" s="8"/>
      <c r="K915" s="8"/>
      <c r="L915" s="8"/>
    </row>
    <row r="916" spans="1:12" x14ac:dyDescent="0.25">
      <c r="A916" s="6"/>
      <c r="C916" s="7"/>
      <c r="E916" s="8"/>
      <c r="F916" s="8"/>
      <c r="G916" s="8"/>
      <c r="H916" s="8"/>
      <c r="I916" s="8"/>
      <c r="J916" s="8"/>
      <c r="K916" s="8"/>
      <c r="L916" s="8"/>
    </row>
    <row r="917" spans="1:12" x14ac:dyDescent="0.25">
      <c r="A917" s="6"/>
      <c r="C917" s="7"/>
      <c r="E917" s="8"/>
      <c r="F917" s="8"/>
      <c r="G917" s="8"/>
      <c r="H917" s="8"/>
      <c r="I917" s="8"/>
      <c r="J917" s="8"/>
      <c r="K917" s="8"/>
      <c r="L917" s="8"/>
    </row>
    <row r="918" spans="1:12" x14ac:dyDescent="0.25">
      <c r="A918" s="6"/>
      <c r="C918" s="7"/>
      <c r="E918" s="8"/>
      <c r="F918" s="8"/>
      <c r="G918" s="8"/>
      <c r="H918" s="8"/>
      <c r="I918" s="8"/>
      <c r="J918" s="8"/>
      <c r="K918" s="8"/>
      <c r="L918" s="8"/>
    </row>
    <row r="919" spans="1:12" x14ac:dyDescent="0.25">
      <c r="A919" s="6"/>
      <c r="C919" s="7"/>
      <c r="E919" s="8"/>
      <c r="F919" s="8"/>
      <c r="G919" s="8"/>
      <c r="H919" s="8"/>
      <c r="I919" s="8"/>
      <c r="J919" s="8"/>
      <c r="K919" s="8"/>
      <c r="L919" s="8"/>
    </row>
    <row r="920" spans="1:12" x14ac:dyDescent="0.25">
      <c r="A920" s="6"/>
      <c r="C920" s="7"/>
      <c r="E920" s="8"/>
      <c r="F920" s="8"/>
      <c r="G920" s="8"/>
      <c r="H920" s="8"/>
      <c r="I920" s="8"/>
      <c r="J920" s="8"/>
      <c r="K920" s="8"/>
      <c r="L920" s="8"/>
    </row>
    <row r="921" spans="1:12" x14ac:dyDescent="0.25">
      <c r="A921" s="6"/>
      <c r="C921" s="7"/>
      <c r="E921" s="8"/>
      <c r="F921" s="8"/>
      <c r="G921" s="8"/>
      <c r="H921" s="8"/>
      <c r="I921" s="8"/>
      <c r="J921" s="8"/>
      <c r="K921" s="8"/>
      <c r="L921" s="8"/>
    </row>
    <row r="922" spans="1:12" x14ac:dyDescent="0.25">
      <c r="A922" s="6"/>
      <c r="C922" s="7"/>
      <c r="E922" s="8"/>
      <c r="F922" s="8"/>
      <c r="G922" s="8"/>
      <c r="H922" s="8"/>
      <c r="I922" s="8"/>
      <c r="J922" s="8"/>
      <c r="K922" s="8"/>
      <c r="L922" s="8"/>
    </row>
    <row r="923" spans="1:12" x14ac:dyDescent="0.25">
      <c r="A923" s="6"/>
      <c r="C923" s="7"/>
      <c r="E923" s="8"/>
      <c r="F923" s="8"/>
      <c r="G923" s="8"/>
      <c r="H923" s="8"/>
      <c r="I923" s="8"/>
      <c r="J923" s="8"/>
      <c r="K923" s="8"/>
      <c r="L923" s="8"/>
    </row>
    <row r="924" spans="1:12" x14ac:dyDescent="0.25">
      <c r="A924" s="6"/>
      <c r="C924" s="7"/>
      <c r="E924" s="8"/>
      <c r="F924" s="8"/>
      <c r="G924" s="8"/>
      <c r="H924" s="8"/>
      <c r="I924" s="8"/>
      <c r="J924" s="8"/>
      <c r="K924" s="8"/>
      <c r="L924" s="8"/>
    </row>
    <row r="925" spans="1:12" x14ac:dyDescent="0.25">
      <c r="A925" s="6"/>
      <c r="C925" s="7"/>
      <c r="E925" s="8"/>
      <c r="F925" s="8"/>
      <c r="G925" s="8"/>
      <c r="H925" s="8"/>
      <c r="I925" s="8"/>
      <c r="J925" s="8"/>
      <c r="K925" s="8"/>
      <c r="L925" s="8"/>
    </row>
    <row r="926" spans="1:12" x14ac:dyDescent="0.25">
      <c r="A926" s="6"/>
      <c r="C926" s="7"/>
      <c r="E926" s="8"/>
      <c r="F926" s="8"/>
      <c r="G926" s="8"/>
      <c r="H926" s="8"/>
      <c r="I926" s="8"/>
      <c r="J926" s="8"/>
      <c r="K926" s="8"/>
      <c r="L926" s="8"/>
    </row>
    <row r="927" spans="1:12" x14ac:dyDescent="0.25">
      <c r="C927" s="7"/>
      <c r="E927" s="8"/>
      <c r="F927" s="8"/>
      <c r="G927" s="8"/>
      <c r="H927" s="8"/>
      <c r="I927" s="8"/>
      <c r="J927" s="8"/>
      <c r="K927" s="8"/>
      <c r="L927" s="8"/>
    </row>
    <row r="928" spans="1:12" x14ac:dyDescent="0.25">
      <c r="C928" s="7"/>
      <c r="E928" s="8"/>
      <c r="F928" s="8"/>
      <c r="G928" s="8"/>
      <c r="H928" s="8"/>
      <c r="I928" s="8"/>
      <c r="J928" s="8"/>
      <c r="K928" s="8"/>
      <c r="L928" s="8"/>
    </row>
    <row r="929" spans="3:12" x14ac:dyDescent="0.25">
      <c r="C929" s="7"/>
      <c r="E929" s="8"/>
      <c r="F929" s="8"/>
      <c r="G929" s="8"/>
      <c r="H929" s="8"/>
      <c r="I929" s="8"/>
      <c r="J929" s="8"/>
      <c r="K929" s="8"/>
      <c r="L929" s="8"/>
    </row>
    <row r="930" spans="3:12" x14ac:dyDescent="0.25">
      <c r="C930" s="7"/>
      <c r="E930" s="8"/>
      <c r="F930" s="8"/>
      <c r="G930" s="8"/>
      <c r="H930" s="8"/>
      <c r="I930" s="8"/>
      <c r="J930" s="8"/>
      <c r="K930" s="8"/>
      <c r="L930" s="8"/>
    </row>
    <row r="931" spans="3:12" x14ac:dyDescent="0.25">
      <c r="C931" s="7"/>
      <c r="E931" s="8"/>
      <c r="F931" s="8"/>
      <c r="G931" s="8"/>
      <c r="H931" s="8"/>
      <c r="I931" s="8"/>
      <c r="J931" s="8"/>
      <c r="K931" s="8"/>
      <c r="L931" s="8"/>
    </row>
    <row r="932" spans="3:12" x14ac:dyDescent="0.25">
      <c r="C932" s="7"/>
      <c r="E932" s="8"/>
      <c r="F932" s="8"/>
      <c r="G932" s="8"/>
      <c r="H932" s="8"/>
      <c r="I932" s="8"/>
      <c r="J932" s="8"/>
      <c r="K932" s="8"/>
      <c r="L932" s="8"/>
    </row>
    <row r="933" spans="3:12" x14ac:dyDescent="0.25">
      <c r="C933" s="7"/>
      <c r="E933" s="8"/>
      <c r="F933" s="8"/>
      <c r="G933" s="8"/>
      <c r="H933" s="8"/>
      <c r="I933" s="8"/>
      <c r="J933" s="8"/>
      <c r="K933" s="8"/>
      <c r="L933" s="8"/>
    </row>
    <row r="934" spans="3:12" x14ac:dyDescent="0.25">
      <c r="C934" s="7"/>
      <c r="E934" s="8"/>
      <c r="F934" s="8"/>
      <c r="G934" s="8"/>
      <c r="H934" s="8"/>
      <c r="I934" s="8"/>
      <c r="J934" s="8"/>
      <c r="K934" s="8"/>
      <c r="L934" s="8"/>
    </row>
    <row r="935" spans="3:12" x14ac:dyDescent="0.25">
      <c r="C935" s="7"/>
      <c r="E935" s="8"/>
      <c r="F935" s="8"/>
      <c r="G935" s="8"/>
      <c r="H935" s="8"/>
      <c r="I935" s="8"/>
      <c r="J935" s="8"/>
      <c r="K935" s="8"/>
      <c r="L935" s="8"/>
    </row>
    <row r="936" spans="3:12" x14ac:dyDescent="0.25">
      <c r="C936" s="7"/>
      <c r="E936" s="8"/>
      <c r="F936" s="8"/>
      <c r="G936" s="8"/>
      <c r="H936" s="8"/>
      <c r="I936" s="8"/>
      <c r="J936" s="8"/>
      <c r="K936" s="8"/>
      <c r="L936" s="8"/>
    </row>
    <row r="937" spans="3:12" x14ac:dyDescent="0.25">
      <c r="C937" s="7"/>
      <c r="E937" s="8"/>
      <c r="F937" s="8"/>
      <c r="G937" s="8"/>
      <c r="H937" s="8"/>
      <c r="I937" s="8"/>
      <c r="J937" s="8"/>
      <c r="K937" s="8"/>
      <c r="L937" s="8"/>
    </row>
    <row r="938" spans="3:12" x14ac:dyDescent="0.25">
      <c r="C938" s="7"/>
      <c r="E938" s="8"/>
      <c r="F938" s="8"/>
      <c r="G938" s="8"/>
      <c r="H938" s="8"/>
      <c r="I938" s="8"/>
      <c r="J938" s="8"/>
      <c r="K938" s="8"/>
      <c r="L938" s="8"/>
    </row>
    <row r="939" spans="3:12" x14ac:dyDescent="0.25">
      <c r="C939" s="7"/>
      <c r="E939" s="8"/>
      <c r="F939" s="8"/>
      <c r="G939" s="8"/>
      <c r="H939" s="8"/>
      <c r="I939" s="8"/>
      <c r="J939" s="8"/>
      <c r="K939" s="8"/>
      <c r="L939" s="8"/>
    </row>
    <row r="940" spans="3:12" x14ac:dyDescent="0.25">
      <c r="C940" s="7"/>
      <c r="E940" s="8"/>
      <c r="F940" s="8"/>
      <c r="G940" s="8"/>
      <c r="H940" s="8"/>
      <c r="I940" s="8"/>
      <c r="J940" s="8"/>
      <c r="K940" s="8"/>
      <c r="L940" s="8"/>
    </row>
    <row r="941" spans="3:12" x14ac:dyDescent="0.25">
      <c r="C941" s="7"/>
      <c r="E941" s="8"/>
      <c r="F941" s="8"/>
      <c r="G941" s="8"/>
      <c r="H941" s="8"/>
      <c r="I941" s="8"/>
      <c r="J941" s="8"/>
      <c r="K941" s="8"/>
      <c r="L941" s="8"/>
    </row>
    <row r="942" spans="3:12" x14ac:dyDescent="0.25">
      <c r="C942" s="7"/>
      <c r="E942" s="8"/>
      <c r="F942" s="8"/>
      <c r="G942" s="8"/>
      <c r="H942" s="8"/>
      <c r="I942" s="8"/>
      <c r="J942" s="8"/>
      <c r="K942" s="8"/>
      <c r="L942" s="8"/>
    </row>
    <row r="943" spans="3:12" x14ac:dyDescent="0.25">
      <c r="C943" s="7"/>
      <c r="E943" s="8"/>
      <c r="F943" s="8"/>
      <c r="G943" s="8"/>
      <c r="H943" s="8"/>
      <c r="I943" s="8"/>
      <c r="J943" s="8"/>
      <c r="K943" s="8"/>
      <c r="L943" s="8"/>
    </row>
    <row r="944" spans="3:12" x14ac:dyDescent="0.25">
      <c r="C944" s="7"/>
      <c r="E944" s="8"/>
      <c r="F944" s="8"/>
      <c r="G944" s="8"/>
      <c r="H944" s="8"/>
      <c r="I944" s="8"/>
      <c r="J944" s="8"/>
      <c r="K944" s="8"/>
      <c r="L944" s="8"/>
    </row>
    <row r="945" spans="3:12" x14ac:dyDescent="0.25">
      <c r="C945" s="7"/>
      <c r="E945" s="8"/>
      <c r="F945" s="8"/>
      <c r="G945" s="8"/>
      <c r="H945" s="8"/>
      <c r="I945" s="8"/>
      <c r="J945" s="8"/>
      <c r="K945" s="8"/>
      <c r="L945" s="8"/>
    </row>
    <row r="946" spans="3:12" x14ac:dyDescent="0.25">
      <c r="C946" s="7"/>
      <c r="E946" s="8"/>
      <c r="F946" s="8"/>
      <c r="G946" s="8"/>
      <c r="H946" s="8"/>
      <c r="I946" s="8"/>
      <c r="J946" s="8"/>
      <c r="K946" s="8"/>
      <c r="L946" s="8"/>
    </row>
    <row r="947" spans="3:12" x14ac:dyDescent="0.25">
      <c r="C947" s="7"/>
      <c r="E947" s="8"/>
      <c r="F947" s="8"/>
      <c r="G947" s="8"/>
      <c r="H947" s="8"/>
      <c r="I947" s="8"/>
      <c r="J947" s="8"/>
      <c r="K947" s="8"/>
      <c r="L947" s="8"/>
    </row>
    <row r="948" spans="3:12" x14ac:dyDescent="0.25">
      <c r="C948" s="7"/>
      <c r="E948" s="8"/>
      <c r="F948" s="8"/>
      <c r="G948" s="8"/>
      <c r="H948" s="8"/>
      <c r="I948" s="8"/>
      <c r="J948" s="8"/>
      <c r="K948" s="8"/>
      <c r="L948" s="8"/>
    </row>
    <row r="949" spans="3:12" x14ac:dyDescent="0.25">
      <c r="C949" s="7"/>
      <c r="E949" s="8"/>
      <c r="F949" s="8"/>
      <c r="G949" s="8"/>
      <c r="H949" s="8"/>
      <c r="I949" s="8"/>
      <c r="J949" s="8"/>
      <c r="K949" s="8"/>
      <c r="L949" s="8"/>
    </row>
    <row r="950" spans="3:12" x14ac:dyDescent="0.25">
      <c r="C950" s="7"/>
      <c r="E950" s="8"/>
      <c r="F950" s="8"/>
      <c r="G950" s="8"/>
      <c r="H950" s="8"/>
      <c r="I950" s="8"/>
      <c r="J950" s="8"/>
      <c r="K950" s="8"/>
      <c r="L950" s="8"/>
    </row>
    <row r="951" spans="3:12" x14ac:dyDescent="0.25">
      <c r="C951" s="7"/>
      <c r="E951" s="8"/>
      <c r="F951" s="8"/>
      <c r="G951" s="8"/>
      <c r="H951" s="8"/>
      <c r="I951" s="8"/>
      <c r="J951" s="8"/>
      <c r="K951" s="8"/>
      <c r="L951" s="8"/>
    </row>
    <row r="952" spans="3:12" x14ac:dyDescent="0.25">
      <c r="C952" s="7"/>
      <c r="E952" s="8"/>
      <c r="F952" s="8"/>
      <c r="G952" s="8"/>
      <c r="H952" s="8"/>
      <c r="I952" s="8"/>
      <c r="J952" s="8"/>
      <c r="K952" s="8"/>
      <c r="L952" s="8"/>
    </row>
    <row r="953" spans="3:12" x14ac:dyDescent="0.25">
      <c r="C953" s="7"/>
      <c r="E953" s="8"/>
      <c r="F953" s="8"/>
      <c r="G953" s="8"/>
      <c r="H953" s="8"/>
      <c r="I953" s="8"/>
      <c r="J953" s="8"/>
      <c r="K953" s="8"/>
      <c r="L953" s="8"/>
    </row>
    <row r="954" spans="3:12" x14ac:dyDescent="0.25">
      <c r="C954" s="7"/>
      <c r="E954" s="8"/>
      <c r="F954" s="8"/>
      <c r="G954" s="8"/>
      <c r="H954" s="8"/>
      <c r="I954" s="8"/>
      <c r="J954" s="8"/>
      <c r="K954" s="8"/>
      <c r="L954" s="8"/>
    </row>
    <row r="955" spans="3:12" x14ac:dyDescent="0.25">
      <c r="C955" s="7"/>
      <c r="E955" s="8"/>
      <c r="F955" s="8"/>
      <c r="G955" s="8"/>
      <c r="H955" s="8"/>
      <c r="I955" s="8"/>
      <c r="J955" s="8"/>
      <c r="K955" s="8"/>
      <c r="L955" s="8"/>
    </row>
    <row r="956" spans="3:12" x14ac:dyDescent="0.25">
      <c r="C956" s="7"/>
      <c r="E956" s="8"/>
      <c r="F956" s="8"/>
      <c r="G956" s="8"/>
      <c r="H956" s="8"/>
      <c r="I956" s="8"/>
      <c r="J956" s="8"/>
      <c r="K956" s="8"/>
      <c r="L956" s="8"/>
    </row>
    <row r="957" spans="3:12" x14ac:dyDescent="0.25">
      <c r="C957" s="7"/>
      <c r="E957" s="8"/>
      <c r="F957" s="8"/>
      <c r="G957" s="8"/>
      <c r="H957" s="8"/>
      <c r="I957" s="8"/>
      <c r="J957" s="8"/>
      <c r="K957" s="8"/>
      <c r="L957" s="8"/>
    </row>
    <row r="958" spans="3:12" x14ac:dyDescent="0.25">
      <c r="C958" s="7"/>
      <c r="E958" s="8"/>
      <c r="F958" s="8"/>
      <c r="G958" s="8"/>
      <c r="H958" s="8"/>
      <c r="I958" s="8"/>
      <c r="J958" s="8"/>
      <c r="K958" s="8"/>
      <c r="L958" s="8"/>
    </row>
    <row r="959" spans="3:12" x14ac:dyDescent="0.25">
      <c r="C959" s="7"/>
      <c r="E959" s="8"/>
      <c r="F959" s="8"/>
      <c r="G959" s="8"/>
      <c r="H959" s="8"/>
      <c r="I959" s="8"/>
      <c r="J959" s="8"/>
      <c r="K959" s="8"/>
      <c r="L959" s="8"/>
    </row>
    <row r="960" spans="3:12" x14ac:dyDescent="0.25">
      <c r="C960" s="7"/>
      <c r="E960" s="8"/>
      <c r="F960" s="8"/>
      <c r="G960" s="8"/>
      <c r="H960" s="8"/>
      <c r="I960" s="8"/>
      <c r="J960" s="8"/>
      <c r="K960" s="8"/>
      <c r="L960" s="8"/>
    </row>
    <row r="961" spans="3:12" x14ac:dyDescent="0.25">
      <c r="C961" s="7"/>
      <c r="E961" s="8"/>
      <c r="F961" s="8"/>
      <c r="G961" s="8"/>
      <c r="H961" s="8"/>
      <c r="I961" s="8"/>
      <c r="J961" s="8"/>
      <c r="K961" s="8"/>
      <c r="L961" s="8"/>
    </row>
    <row r="962" spans="3:12" x14ac:dyDescent="0.25">
      <c r="C962" s="7"/>
      <c r="E962" s="8"/>
      <c r="F962" s="8"/>
      <c r="G962" s="8"/>
      <c r="H962" s="8"/>
      <c r="I962" s="8"/>
      <c r="J962" s="8"/>
      <c r="K962" s="8"/>
      <c r="L962" s="8"/>
    </row>
    <row r="963" spans="3:12" x14ac:dyDescent="0.25">
      <c r="C963" s="7"/>
      <c r="E963" s="8"/>
      <c r="F963" s="8"/>
      <c r="G963" s="8"/>
      <c r="H963" s="8"/>
      <c r="I963" s="8"/>
      <c r="J963" s="8"/>
      <c r="K963" s="8"/>
      <c r="L963" s="8"/>
    </row>
    <row r="964" spans="3:12" x14ac:dyDescent="0.25">
      <c r="C964" s="7"/>
      <c r="E964" s="8"/>
      <c r="F964" s="8"/>
      <c r="G964" s="8"/>
      <c r="H964" s="8"/>
      <c r="I964" s="8"/>
      <c r="J964" s="8"/>
      <c r="K964" s="8"/>
      <c r="L964" s="8"/>
    </row>
    <row r="965" spans="3:12" x14ac:dyDescent="0.25">
      <c r="C965" s="7"/>
      <c r="E965" s="8"/>
      <c r="F965" s="8"/>
      <c r="G965" s="8"/>
      <c r="H965" s="8"/>
      <c r="I965" s="8"/>
      <c r="J965" s="8"/>
      <c r="K965" s="8"/>
      <c r="L965" s="8"/>
    </row>
    <row r="966" spans="3:12" x14ac:dyDescent="0.25">
      <c r="C966" s="7"/>
      <c r="E966" s="8"/>
      <c r="F966" s="8"/>
      <c r="G966" s="8"/>
      <c r="H966" s="8"/>
      <c r="I966" s="8"/>
      <c r="J966" s="8"/>
      <c r="K966" s="8"/>
      <c r="L966" s="8"/>
    </row>
    <row r="967" spans="3:12" x14ac:dyDescent="0.25">
      <c r="C967" s="7"/>
      <c r="E967" s="8"/>
      <c r="F967" s="8"/>
      <c r="G967" s="8"/>
      <c r="H967" s="8"/>
      <c r="I967" s="8"/>
      <c r="J967" s="8"/>
      <c r="K967" s="8"/>
      <c r="L967" s="8"/>
    </row>
    <row r="968" spans="3:12" x14ac:dyDescent="0.25">
      <c r="C968" s="7"/>
      <c r="E968" s="8"/>
      <c r="F968" s="8"/>
      <c r="G968" s="8"/>
      <c r="H968" s="8"/>
      <c r="I968" s="8"/>
      <c r="J968" s="8"/>
      <c r="K968" s="8"/>
      <c r="L968" s="8"/>
    </row>
    <row r="969" spans="3:12" x14ac:dyDescent="0.25">
      <c r="C969" s="7"/>
      <c r="E969" s="8"/>
      <c r="F969" s="8"/>
      <c r="G969" s="8"/>
      <c r="H969" s="8"/>
      <c r="I969" s="8"/>
      <c r="J969" s="8"/>
      <c r="K969" s="8"/>
      <c r="L969" s="8"/>
    </row>
    <row r="970" spans="3:12" x14ac:dyDescent="0.25">
      <c r="C970" s="7"/>
      <c r="E970" s="8"/>
      <c r="F970" s="8"/>
      <c r="G970" s="8"/>
      <c r="H970" s="8"/>
      <c r="I970" s="8"/>
      <c r="J970" s="8"/>
      <c r="K970" s="8"/>
      <c r="L970" s="8"/>
    </row>
    <row r="971" spans="3:12" x14ac:dyDescent="0.25">
      <c r="C971" s="7"/>
      <c r="E971" s="8"/>
      <c r="F971" s="8"/>
      <c r="G971" s="8"/>
      <c r="H971" s="8"/>
      <c r="I971" s="8"/>
      <c r="J971" s="8"/>
      <c r="K971" s="8"/>
      <c r="L971" s="8"/>
    </row>
    <row r="972" spans="3:12" x14ac:dyDescent="0.25">
      <c r="C972" s="7"/>
      <c r="E972" s="8"/>
      <c r="F972" s="8"/>
      <c r="G972" s="8"/>
      <c r="H972" s="8"/>
      <c r="I972" s="8"/>
      <c r="J972" s="8"/>
      <c r="K972" s="8"/>
      <c r="L972" s="8"/>
    </row>
    <row r="973" spans="3:12" x14ac:dyDescent="0.25">
      <c r="C973" s="7"/>
      <c r="E973" s="8"/>
      <c r="F973" s="8"/>
      <c r="G973" s="8"/>
      <c r="H973" s="8"/>
      <c r="I973" s="8"/>
      <c r="J973" s="8"/>
      <c r="K973" s="8"/>
      <c r="L973" s="8"/>
    </row>
    <row r="974" spans="3:12" x14ac:dyDescent="0.25">
      <c r="C974" s="7"/>
      <c r="E974" s="8"/>
      <c r="F974" s="8"/>
      <c r="G974" s="8"/>
      <c r="H974" s="8"/>
      <c r="I974" s="8"/>
      <c r="J974" s="8"/>
      <c r="K974" s="8"/>
      <c r="L974" s="8"/>
    </row>
    <row r="975" spans="3:12" x14ac:dyDescent="0.25">
      <c r="C975" s="7"/>
      <c r="E975" s="8"/>
      <c r="F975" s="8"/>
      <c r="G975" s="8"/>
      <c r="H975" s="8"/>
      <c r="I975" s="8"/>
      <c r="J975" s="8"/>
      <c r="K975" s="8"/>
      <c r="L975" s="8"/>
    </row>
    <row r="976" spans="3:12" x14ac:dyDescent="0.25">
      <c r="C976" s="7"/>
      <c r="E976" s="8"/>
      <c r="F976" s="8"/>
      <c r="G976" s="8"/>
      <c r="H976" s="8"/>
      <c r="I976" s="8"/>
      <c r="J976" s="8"/>
      <c r="K976" s="8"/>
      <c r="L976" s="8"/>
    </row>
    <row r="977" spans="3:12" x14ac:dyDescent="0.25">
      <c r="C977" s="7"/>
      <c r="E977" s="8"/>
      <c r="F977" s="8"/>
      <c r="G977" s="8"/>
      <c r="H977" s="8"/>
      <c r="I977" s="8"/>
      <c r="J977" s="8"/>
      <c r="K977" s="8"/>
      <c r="L977" s="8"/>
    </row>
    <row r="978" spans="3:12" x14ac:dyDescent="0.25">
      <c r="C978" s="7"/>
      <c r="E978" s="8"/>
      <c r="F978" s="8"/>
      <c r="G978" s="8"/>
      <c r="H978" s="8"/>
      <c r="I978" s="8"/>
      <c r="J978" s="8"/>
      <c r="K978" s="8"/>
      <c r="L978" s="8"/>
    </row>
    <row r="979" spans="3:12" x14ac:dyDescent="0.25">
      <c r="C979" s="7"/>
      <c r="E979" s="8"/>
      <c r="F979" s="8"/>
      <c r="G979" s="8"/>
      <c r="H979" s="8"/>
      <c r="I979" s="8"/>
      <c r="J979" s="8"/>
      <c r="K979" s="8"/>
      <c r="L979" s="8"/>
    </row>
    <row r="980" spans="3:12" x14ac:dyDescent="0.25">
      <c r="C980" s="7"/>
      <c r="E980" s="8"/>
      <c r="F980" s="8"/>
      <c r="G980" s="8"/>
      <c r="H980" s="8"/>
      <c r="I980" s="8"/>
      <c r="J980" s="8"/>
      <c r="K980" s="8"/>
      <c r="L980" s="8"/>
    </row>
    <row r="981" spans="3:12" x14ac:dyDescent="0.25">
      <c r="C981" s="7"/>
      <c r="E981" s="8"/>
      <c r="F981" s="8"/>
      <c r="G981" s="8"/>
      <c r="H981" s="8"/>
      <c r="I981" s="8"/>
      <c r="J981" s="8"/>
      <c r="K981" s="8"/>
      <c r="L981" s="8"/>
    </row>
    <row r="982" spans="3:12" x14ac:dyDescent="0.25">
      <c r="C982" s="7"/>
      <c r="E982" s="8"/>
      <c r="F982" s="8"/>
      <c r="G982" s="8"/>
      <c r="H982" s="8"/>
      <c r="I982" s="8"/>
      <c r="J982" s="8"/>
      <c r="K982" s="8"/>
      <c r="L982" s="8"/>
    </row>
    <row r="983" spans="3:12" x14ac:dyDescent="0.25">
      <c r="C983" s="7"/>
      <c r="E983" s="8"/>
      <c r="F983" s="8"/>
      <c r="G983" s="8"/>
      <c r="H983" s="8"/>
      <c r="I983" s="8"/>
      <c r="J983" s="8"/>
      <c r="K983" s="8"/>
      <c r="L983" s="8"/>
    </row>
    <row r="984" spans="3:12" x14ac:dyDescent="0.25">
      <c r="C984" s="7"/>
      <c r="E984" s="8"/>
      <c r="F984" s="8"/>
      <c r="G984" s="8"/>
      <c r="H984" s="8"/>
      <c r="I984" s="8"/>
      <c r="J984" s="8"/>
      <c r="K984" s="8"/>
      <c r="L984" s="8"/>
    </row>
    <row r="985" spans="3:12" x14ac:dyDescent="0.25">
      <c r="C985" s="7"/>
      <c r="E985" s="8"/>
      <c r="F985" s="8"/>
      <c r="G985" s="8"/>
      <c r="H985" s="8"/>
      <c r="I985" s="8"/>
      <c r="J985" s="8"/>
      <c r="K985" s="8"/>
      <c r="L985" s="8"/>
    </row>
    <row r="986" spans="3:12" x14ac:dyDescent="0.25">
      <c r="C986" s="7"/>
      <c r="E986" s="8"/>
      <c r="F986" s="8"/>
      <c r="G986" s="8"/>
      <c r="H986" s="8"/>
      <c r="I986" s="8"/>
      <c r="J986" s="8"/>
      <c r="K986" s="8"/>
      <c r="L986" s="8"/>
    </row>
    <row r="987" spans="3:12" x14ac:dyDescent="0.25">
      <c r="C987" s="7"/>
      <c r="E987" s="8"/>
      <c r="F987" s="8"/>
      <c r="G987" s="8"/>
      <c r="H987" s="8"/>
      <c r="I987" s="8"/>
      <c r="J987" s="8"/>
      <c r="K987" s="8"/>
      <c r="L987" s="8"/>
    </row>
    <row r="988" spans="3:12" x14ac:dyDescent="0.25">
      <c r="C988" s="7"/>
      <c r="E988" s="8"/>
      <c r="F988" s="8"/>
      <c r="G988" s="8"/>
      <c r="H988" s="8"/>
      <c r="I988" s="8"/>
      <c r="J988" s="8"/>
      <c r="K988" s="8"/>
      <c r="L988" s="8"/>
    </row>
    <row r="989" spans="3:12" x14ac:dyDescent="0.25">
      <c r="C989" s="7"/>
      <c r="E989" s="8"/>
      <c r="F989" s="8"/>
      <c r="G989" s="8"/>
      <c r="H989" s="8"/>
      <c r="I989" s="8"/>
      <c r="J989" s="8"/>
      <c r="K989" s="8"/>
      <c r="L989" s="8"/>
    </row>
    <row r="990" spans="3:12" x14ac:dyDescent="0.25">
      <c r="C990" s="7"/>
      <c r="E990" s="8"/>
      <c r="F990" s="8"/>
      <c r="G990" s="8"/>
      <c r="H990" s="8"/>
      <c r="I990" s="8"/>
      <c r="J990" s="8"/>
      <c r="K990" s="8"/>
      <c r="L990" s="8"/>
    </row>
    <row r="991" spans="3:12" x14ac:dyDescent="0.25">
      <c r="C991" s="7"/>
      <c r="E991" s="8"/>
      <c r="F991" s="8"/>
      <c r="G991" s="8"/>
      <c r="H991" s="8"/>
      <c r="I991" s="8"/>
      <c r="J991" s="8"/>
      <c r="K991" s="8"/>
      <c r="L991" s="8"/>
    </row>
    <row r="992" spans="3:12" x14ac:dyDescent="0.25">
      <c r="C992" s="7"/>
      <c r="E992" s="8"/>
      <c r="F992" s="8"/>
      <c r="G992" s="8"/>
      <c r="H992" s="8"/>
      <c r="I992" s="8"/>
      <c r="J992" s="8"/>
      <c r="K992" s="8"/>
      <c r="L992" s="8"/>
    </row>
    <row r="993" spans="3:12" x14ac:dyDescent="0.25">
      <c r="C993" s="7"/>
      <c r="E993" s="8"/>
      <c r="F993" s="8"/>
      <c r="G993" s="8"/>
      <c r="H993" s="8"/>
      <c r="I993" s="8"/>
      <c r="J993" s="8"/>
      <c r="K993" s="8"/>
      <c r="L993" s="8"/>
    </row>
    <row r="994" spans="3:12" x14ac:dyDescent="0.25">
      <c r="C994" s="7"/>
      <c r="E994" s="8"/>
      <c r="F994" s="8"/>
      <c r="G994" s="8"/>
      <c r="H994" s="8"/>
      <c r="I994" s="8"/>
      <c r="J994" s="8"/>
      <c r="K994" s="8"/>
      <c r="L994" s="8"/>
    </row>
    <row r="995" spans="3:12" x14ac:dyDescent="0.25">
      <c r="C995" s="7"/>
      <c r="E995" s="8"/>
      <c r="F995" s="8"/>
      <c r="G995" s="8"/>
      <c r="H995" s="8"/>
      <c r="I995" s="8"/>
      <c r="J995" s="8"/>
      <c r="K995" s="8"/>
      <c r="L995" s="8"/>
    </row>
    <row r="996" spans="3:12" x14ac:dyDescent="0.25">
      <c r="C996" s="7"/>
      <c r="E996" s="8"/>
      <c r="F996" s="8"/>
      <c r="G996" s="8"/>
      <c r="H996" s="8"/>
      <c r="I996" s="8"/>
      <c r="J996" s="8"/>
      <c r="K996" s="8"/>
      <c r="L996" s="8"/>
    </row>
    <row r="997" spans="3:12" x14ac:dyDescent="0.25">
      <c r="C997" s="7"/>
      <c r="E997" s="8"/>
      <c r="F997" s="8"/>
      <c r="G997" s="8"/>
      <c r="H997" s="8"/>
      <c r="I997" s="8"/>
      <c r="J997" s="8"/>
      <c r="K997" s="8"/>
      <c r="L997" s="8"/>
    </row>
    <row r="998" spans="3:12" x14ac:dyDescent="0.25">
      <c r="C998" s="7"/>
      <c r="E998" s="8"/>
      <c r="F998" s="8"/>
      <c r="G998" s="8"/>
      <c r="H998" s="8"/>
      <c r="I998" s="8"/>
      <c r="J998" s="8"/>
      <c r="K998" s="8"/>
      <c r="L998" s="8"/>
    </row>
    <row r="999" spans="3:12" x14ac:dyDescent="0.25">
      <c r="C999" s="7"/>
      <c r="E999" s="8"/>
      <c r="F999" s="8"/>
      <c r="G999" s="8"/>
      <c r="H999" s="8"/>
      <c r="I999" s="8"/>
      <c r="J999" s="8"/>
      <c r="K999" s="8"/>
      <c r="L999" s="8"/>
    </row>
    <row r="1000" spans="3:12" x14ac:dyDescent="0.25">
      <c r="C1000" s="7"/>
      <c r="E1000" s="8"/>
      <c r="F1000" s="8"/>
      <c r="G1000" s="8"/>
      <c r="H1000" s="8"/>
      <c r="I1000" s="8"/>
      <c r="J1000" s="8"/>
      <c r="K1000" s="8"/>
      <c r="L1000" s="8"/>
    </row>
    <row r="1001" spans="3:12" x14ac:dyDescent="0.25">
      <c r="C1001" s="7"/>
      <c r="E1001" s="8"/>
      <c r="F1001" s="8"/>
      <c r="G1001" s="8"/>
      <c r="H1001" s="8"/>
      <c r="I1001" s="8"/>
      <c r="J1001" s="8"/>
      <c r="K1001" s="8"/>
      <c r="L1001" s="8"/>
    </row>
    <row r="1002" spans="3:12" x14ac:dyDescent="0.25">
      <c r="C1002" s="7"/>
      <c r="E1002" s="8"/>
      <c r="F1002" s="8"/>
      <c r="G1002" s="8"/>
      <c r="H1002" s="8"/>
      <c r="I1002" s="8"/>
      <c r="J1002" s="8"/>
      <c r="K1002" s="8"/>
      <c r="L1002" s="8"/>
    </row>
    <row r="1003" spans="3:12" x14ac:dyDescent="0.25">
      <c r="C1003" s="7"/>
      <c r="E1003" s="8"/>
      <c r="F1003" s="8"/>
      <c r="G1003" s="8"/>
      <c r="H1003" s="8"/>
      <c r="I1003" s="8"/>
      <c r="J1003" s="8"/>
      <c r="K1003" s="8"/>
      <c r="L1003" s="8"/>
    </row>
    <row r="1004" spans="3:12" x14ac:dyDescent="0.25">
      <c r="C1004" s="7"/>
      <c r="E1004" s="8"/>
      <c r="F1004" s="8"/>
      <c r="G1004" s="8"/>
      <c r="H1004" s="8"/>
      <c r="I1004" s="8"/>
      <c r="J1004" s="8"/>
      <c r="K1004" s="8"/>
      <c r="L1004" s="8"/>
    </row>
    <row r="1005" spans="3:12" x14ac:dyDescent="0.25">
      <c r="C1005" s="7"/>
      <c r="E1005" s="8"/>
      <c r="F1005" s="8"/>
      <c r="G1005" s="8"/>
      <c r="H1005" s="8"/>
      <c r="I1005" s="8"/>
      <c r="J1005" s="8"/>
      <c r="K1005" s="8"/>
      <c r="L1005" s="8"/>
    </row>
    <row r="1006" spans="3:12" x14ac:dyDescent="0.25">
      <c r="C1006" s="7"/>
      <c r="E1006" s="8"/>
      <c r="F1006" s="8"/>
      <c r="G1006" s="8"/>
      <c r="H1006" s="8"/>
      <c r="I1006" s="8"/>
      <c r="J1006" s="8"/>
      <c r="K1006" s="8"/>
      <c r="L1006" s="8"/>
    </row>
    <row r="1007" spans="3:12" x14ac:dyDescent="0.25">
      <c r="C1007" s="7"/>
      <c r="E1007" s="8"/>
      <c r="F1007" s="8"/>
      <c r="G1007" s="8"/>
      <c r="H1007" s="8"/>
      <c r="I1007" s="8"/>
      <c r="J1007" s="8"/>
      <c r="K1007" s="8"/>
      <c r="L1007" s="8"/>
    </row>
    <row r="1008" spans="3:12" x14ac:dyDescent="0.25">
      <c r="C1008" s="7"/>
      <c r="E1008" s="8"/>
      <c r="F1008" s="8"/>
      <c r="G1008" s="8"/>
      <c r="H1008" s="8"/>
      <c r="I1008" s="8"/>
      <c r="J1008" s="8"/>
      <c r="K1008" s="8"/>
      <c r="L1008" s="8"/>
    </row>
    <row r="1009" spans="3:12" x14ac:dyDescent="0.25">
      <c r="C1009" s="7"/>
      <c r="E1009" s="8"/>
      <c r="F1009" s="8"/>
      <c r="G1009" s="8"/>
      <c r="H1009" s="8"/>
      <c r="I1009" s="8"/>
      <c r="J1009" s="8"/>
      <c r="K1009" s="8"/>
      <c r="L1009" s="8"/>
    </row>
    <row r="1010" spans="3:12" x14ac:dyDescent="0.25">
      <c r="C1010" s="7"/>
      <c r="E1010" s="8"/>
      <c r="F1010" s="8"/>
      <c r="G1010" s="8"/>
      <c r="H1010" s="8"/>
      <c r="I1010" s="8"/>
      <c r="J1010" s="8"/>
      <c r="K1010" s="8"/>
      <c r="L1010" s="8"/>
    </row>
    <row r="1011" spans="3:12" x14ac:dyDescent="0.25">
      <c r="C1011" s="7"/>
      <c r="E1011" s="8"/>
      <c r="F1011" s="8"/>
      <c r="G1011" s="8"/>
      <c r="H1011" s="8"/>
      <c r="I1011" s="8"/>
      <c r="J1011" s="8"/>
      <c r="K1011" s="8"/>
      <c r="L1011" s="8"/>
    </row>
    <row r="1012" spans="3:12" x14ac:dyDescent="0.25">
      <c r="C1012" s="7"/>
      <c r="E1012" s="8"/>
      <c r="F1012" s="8"/>
      <c r="G1012" s="8"/>
      <c r="H1012" s="8"/>
      <c r="I1012" s="8"/>
      <c r="J1012" s="8"/>
      <c r="K1012" s="8"/>
      <c r="L1012" s="8"/>
    </row>
    <row r="1013" spans="3:12" x14ac:dyDescent="0.25">
      <c r="C1013" s="7"/>
      <c r="E1013" s="8"/>
      <c r="F1013" s="8"/>
      <c r="G1013" s="8"/>
      <c r="H1013" s="8"/>
      <c r="I1013" s="8"/>
      <c r="J1013" s="8"/>
      <c r="K1013" s="8"/>
      <c r="L1013" s="8"/>
    </row>
    <row r="1014" spans="3:12" x14ac:dyDescent="0.25">
      <c r="C1014" s="7"/>
      <c r="E1014" s="8"/>
      <c r="F1014" s="8"/>
      <c r="G1014" s="8"/>
      <c r="H1014" s="8"/>
      <c r="I1014" s="8"/>
      <c r="J1014" s="8"/>
      <c r="K1014" s="8"/>
      <c r="L1014" s="8"/>
    </row>
    <row r="1015" spans="3:12" x14ac:dyDescent="0.25">
      <c r="C1015" s="7"/>
      <c r="E1015" s="8"/>
      <c r="F1015" s="8"/>
      <c r="G1015" s="8"/>
      <c r="H1015" s="8"/>
      <c r="I1015" s="8"/>
      <c r="J1015" s="8"/>
      <c r="K1015" s="8"/>
      <c r="L1015" s="8"/>
    </row>
    <row r="1016" spans="3:12" x14ac:dyDescent="0.25">
      <c r="C1016" s="7"/>
      <c r="E1016" s="8"/>
      <c r="F1016" s="8"/>
      <c r="G1016" s="8"/>
      <c r="H1016" s="8"/>
      <c r="I1016" s="8"/>
      <c r="J1016" s="8"/>
      <c r="K1016" s="8"/>
      <c r="L1016" s="8"/>
    </row>
    <row r="1017" spans="3:12" x14ac:dyDescent="0.25">
      <c r="C1017" s="7"/>
      <c r="E1017" s="8"/>
      <c r="F1017" s="8"/>
      <c r="G1017" s="8"/>
      <c r="H1017" s="8"/>
      <c r="I1017" s="8"/>
      <c r="J1017" s="8"/>
      <c r="K1017" s="8"/>
      <c r="L1017" s="8"/>
    </row>
    <row r="1018" spans="3:12" x14ac:dyDescent="0.25">
      <c r="C1018" s="7"/>
      <c r="E1018" s="8"/>
      <c r="F1018" s="8"/>
      <c r="G1018" s="8"/>
      <c r="H1018" s="8"/>
      <c r="I1018" s="8"/>
      <c r="J1018" s="8"/>
      <c r="K1018" s="8"/>
      <c r="L1018" s="8"/>
    </row>
    <row r="1019" spans="3:12" x14ac:dyDescent="0.25">
      <c r="C1019" s="7"/>
      <c r="E1019" s="8"/>
      <c r="F1019" s="8"/>
      <c r="G1019" s="8"/>
      <c r="H1019" s="8"/>
      <c r="I1019" s="8"/>
      <c r="J1019" s="8"/>
      <c r="K1019" s="8"/>
      <c r="L1019" s="8"/>
    </row>
    <row r="1020" spans="3:12" x14ac:dyDescent="0.25">
      <c r="C1020" s="7"/>
      <c r="E1020" s="8"/>
      <c r="F1020" s="8"/>
      <c r="G1020" s="8"/>
      <c r="H1020" s="8"/>
      <c r="I1020" s="8"/>
      <c r="J1020" s="8"/>
      <c r="K1020" s="8"/>
      <c r="L1020" s="8"/>
    </row>
    <row r="1021" spans="3:12" x14ac:dyDescent="0.25">
      <c r="C1021" s="7"/>
      <c r="E1021" s="8"/>
      <c r="F1021" s="8"/>
      <c r="G1021" s="8"/>
      <c r="H1021" s="8"/>
      <c r="I1021" s="8"/>
      <c r="J1021" s="8"/>
      <c r="K1021" s="8"/>
      <c r="L1021" s="8"/>
    </row>
    <row r="1022" spans="3:12" x14ac:dyDescent="0.25">
      <c r="C1022" s="7"/>
      <c r="E1022" s="8"/>
      <c r="F1022" s="8"/>
      <c r="G1022" s="8"/>
      <c r="H1022" s="8"/>
      <c r="I1022" s="8"/>
      <c r="J1022" s="8"/>
      <c r="K1022" s="8"/>
      <c r="L1022" s="8"/>
    </row>
    <row r="1023" spans="3:12" x14ac:dyDescent="0.25">
      <c r="C1023" s="7"/>
      <c r="E1023" s="8"/>
      <c r="F1023" s="8"/>
      <c r="G1023" s="8"/>
      <c r="H1023" s="8"/>
      <c r="I1023" s="8"/>
      <c r="J1023" s="8"/>
      <c r="K1023" s="8"/>
      <c r="L1023" s="8"/>
    </row>
    <row r="1024" spans="3:12" x14ac:dyDescent="0.25">
      <c r="C1024" s="7"/>
      <c r="E1024" s="8"/>
      <c r="F1024" s="8"/>
      <c r="G1024" s="8"/>
      <c r="H1024" s="8"/>
      <c r="I1024" s="8"/>
      <c r="J1024" s="8"/>
      <c r="K1024" s="8"/>
      <c r="L1024" s="8"/>
    </row>
    <row r="1025" spans="3:12" x14ac:dyDescent="0.25">
      <c r="C1025" s="7"/>
      <c r="E1025" s="8"/>
      <c r="F1025" s="8"/>
      <c r="G1025" s="8"/>
      <c r="H1025" s="8"/>
      <c r="I1025" s="8"/>
      <c r="J1025" s="8"/>
      <c r="K1025" s="8"/>
      <c r="L1025" s="8"/>
    </row>
    <row r="1026" spans="3:12" x14ac:dyDescent="0.25">
      <c r="C1026" s="7"/>
      <c r="E1026" s="8"/>
      <c r="F1026" s="8"/>
      <c r="G1026" s="8"/>
      <c r="H1026" s="8"/>
      <c r="I1026" s="8"/>
      <c r="J1026" s="8"/>
      <c r="K1026" s="8"/>
      <c r="L1026" s="8"/>
    </row>
    <row r="1027" spans="3:12" x14ac:dyDescent="0.25">
      <c r="C1027" s="7"/>
      <c r="E1027" s="8"/>
      <c r="F1027" s="8"/>
      <c r="G1027" s="8"/>
      <c r="H1027" s="8"/>
      <c r="I1027" s="8"/>
      <c r="J1027" s="8"/>
      <c r="K1027" s="8"/>
      <c r="L1027" s="8"/>
    </row>
    <row r="1028" spans="3:12" x14ac:dyDescent="0.25">
      <c r="C1028" s="7"/>
      <c r="E1028" s="8"/>
      <c r="F1028" s="8"/>
      <c r="G1028" s="8"/>
      <c r="H1028" s="8"/>
      <c r="I1028" s="8"/>
      <c r="J1028" s="8"/>
      <c r="K1028" s="8"/>
      <c r="L1028" s="8"/>
    </row>
    <row r="1029" spans="3:12" x14ac:dyDescent="0.25">
      <c r="C1029" s="7"/>
      <c r="E1029" s="8"/>
      <c r="F1029" s="8"/>
      <c r="G1029" s="8"/>
      <c r="H1029" s="8"/>
      <c r="I1029" s="8"/>
      <c r="J1029" s="8"/>
      <c r="K1029" s="8"/>
      <c r="L1029" s="8"/>
    </row>
    <row r="1030" spans="3:12" x14ac:dyDescent="0.25">
      <c r="C1030" s="7"/>
      <c r="E1030" s="8"/>
      <c r="F1030" s="8"/>
      <c r="G1030" s="8"/>
      <c r="H1030" s="8"/>
      <c r="I1030" s="8"/>
      <c r="J1030" s="8"/>
      <c r="K1030" s="8"/>
      <c r="L1030" s="8"/>
    </row>
    <row r="1031" spans="3:12" x14ac:dyDescent="0.25">
      <c r="C1031" s="7"/>
      <c r="E1031" s="8"/>
      <c r="F1031" s="8"/>
      <c r="G1031" s="8"/>
      <c r="H1031" s="8"/>
      <c r="I1031" s="8"/>
      <c r="J1031" s="8"/>
      <c r="K1031" s="8"/>
      <c r="L1031" s="8"/>
    </row>
    <row r="1032" spans="3:12" x14ac:dyDescent="0.25">
      <c r="C1032" s="7"/>
      <c r="E1032" s="8"/>
      <c r="F1032" s="8"/>
      <c r="G1032" s="8"/>
      <c r="H1032" s="8"/>
      <c r="I1032" s="8"/>
      <c r="J1032" s="8"/>
      <c r="K1032" s="8"/>
      <c r="L1032" s="8"/>
    </row>
    <row r="1033" spans="3:12" x14ac:dyDescent="0.25">
      <c r="C1033" s="7"/>
      <c r="E1033" s="8"/>
      <c r="F1033" s="8"/>
      <c r="G1033" s="8"/>
      <c r="H1033" s="8"/>
      <c r="I1033" s="8"/>
      <c r="J1033" s="8"/>
      <c r="K1033" s="8"/>
      <c r="L1033" s="8"/>
    </row>
    <row r="1034" spans="3:12" x14ac:dyDescent="0.25">
      <c r="C1034" s="7"/>
      <c r="E1034" s="8"/>
      <c r="F1034" s="8"/>
      <c r="G1034" s="8"/>
      <c r="H1034" s="8"/>
      <c r="I1034" s="8"/>
      <c r="J1034" s="8"/>
      <c r="K1034" s="8"/>
      <c r="L1034" s="8"/>
    </row>
    <row r="1035" spans="3:12" x14ac:dyDescent="0.25">
      <c r="C1035" s="7"/>
      <c r="E1035" s="8"/>
      <c r="F1035" s="8"/>
      <c r="G1035" s="8"/>
      <c r="H1035" s="8"/>
      <c r="I1035" s="8"/>
      <c r="J1035" s="8"/>
      <c r="K1035" s="8"/>
      <c r="L1035" s="8"/>
    </row>
    <row r="1036" spans="3:12" x14ac:dyDescent="0.25">
      <c r="C1036" s="7"/>
      <c r="E1036" s="8"/>
      <c r="F1036" s="8"/>
      <c r="G1036" s="8"/>
      <c r="H1036" s="8"/>
      <c r="I1036" s="8"/>
      <c r="J1036" s="8"/>
      <c r="K1036" s="8"/>
      <c r="L1036" s="8"/>
    </row>
    <row r="1037" spans="3:12" x14ac:dyDescent="0.25">
      <c r="C1037" s="7"/>
      <c r="E1037" s="8"/>
      <c r="F1037" s="8"/>
      <c r="G1037" s="8"/>
      <c r="H1037" s="8"/>
      <c r="I1037" s="8"/>
      <c r="J1037" s="8"/>
      <c r="K1037" s="8"/>
      <c r="L1037" s="8"/>
    </row>
    <row r="1038" spans="3:12" x14ac:dyDescent="0.25">
      <c r="C1038" s="7"/>
      <c r="E1038" s="8"/>
      <c r="F1038" s="8"/>
      <c r="G1038" s="8"/>
      <c r="H1038" s="8"/>
      <c r="I1038" s="8"/>
      <c r="J1038" s="8"/>
      <c r="K1038" s="8"/>
      <c r="L1038" s="8"/>
    </row>
    <row r="1039" spans="3:12" x14ac:dyDescent="0.25">
      <c r="C1039" s="7"/>
      <c r="E1039" s="8"/>
      <c r="F1039" s="8"/>
      <c r="G1039" s="8"/>
      <c r="H1039" s="8"/>
      <c r="I1039" s="8"/>
      <c r="J1039" s="8"/>
      <c r="K1039" s="8"/>
      <c r="L1039" s="8"/>
    </row>
    <row r="1040" spans="3:12" x14ac:dyDescent="0.25">
      <c r="C1040" s="7"/>
      <c r="E1040" s="8"/>
      <c r="F1040" s="8"/>
      <c r="G1040" s="8"/>
      <c r="H1040" s="8"/>
      <c r="I1040" s="8"/>
      <c r="J1040" s="8"/>
      <c r="K1040" s="8"/>
      <c r="L1040" s="8"/>
    </row>
    <row r="1041" spans="3:12" x14ac:dyDescent="0.25">
      <c r="C1041" s="7"/>
      <c r="E1041" s="8"/>
      <c r="F1041" s="8"/>
      <c r="G1041" s="8"/>
      <c r="H1041" s="8"/>
      <c r="I1041" s="8"/>
      <c r="J1041" s="8"/>
      <c r="K1041" s="8"/>
      <c r="L1041" s="8"/>
    </row>
    <row r="1042" spans="3:12" x14ac:dyDescent="0.25">
      <c r="C1042" s="7"/>
      <c r="E1042" s="8"/>
      <c r="F1042" s="8"/>
      <c r="G1042" s="8"/>
      <c r="H1042" s="8"/>
      <c r="I1042" s="8"/>
      <c r="J1042" s="8"/>
      <c r="K1042" s="8"/>
      <c r="L1042" s="8"/>
    </row>
    <row r="1043" spans="3:12" x14ac:dyDescent="0.25">
      <c r="C1043" s="7"/>
      <c r="E1043" s="8"/>
      <c r="F1043" s="8"/>
      <c r="G1043" s="8"/>
      <c r="H1043" s="8"/>
      <c r="I1043" s="8"/>
      <c r="J1043" s="8"/>
      <c r="K1043" s="8"/>
      <c r="L1043" s="8"/>
    </row>
    <row r="1044" spans="3:12" x14ac:dyDescent="0.25">
      <c r="C1044" s="7"/>
      <c r="E1044" s="8"/>
      <c r="F1044" s="8"/>
      <c r="G1044" s="8"/>
      <c r="H1044" s="8"/>
      <c r="I1044" s="8"/>
      <c r="J1044" s="8"/>
      <c r="K1044" s="8"/>
      <c r="L1044" s="8"/>
    </row>
    <row r="1045" spans="3:12" x14ac:dyDescent="0.25">
      <c r="C1045" s="7"/>
      <c r="E1045" s="8"/>
      <c r="F1045" s="8"/>
      <c r="G1045" s="8"/>
      <c r="H1045" s="8"/>
      <c r="I1045" s="8"/>
      <c r="J1045" s="8"/>
      <c r="K1045" s="8"/>
      <c r="L1045" s="8"/>
    </row>
    <row r="1046" spans="3:12" x14ac:dyDescent="0.25">
      <c r="C1046" s="7"/>
      <c r="E1046" s="8"/>
      <c r="F1046" s="8"/>
      <c r="G1046" s="8"/>
      <c r="H1046" s="8"/>
      <c r="I1046" s="8"/>
      <c r="J1046" s="8"/>
      <c r="K1046" s="8"/>
      <c r="L1046" s="8"/>
    </row>
    <row r="1047" spans="3:12" x14ac:dyDescent="0.25">
      <c r="C1047" s="7"/>
      <c r="E1047" s="8"/>
      <c r="F1047" s="8"/>
      <c r="G1047" s="8"/>
      <c r="H1047" s="8"/>
      <c r="I1047" s="8"/>
      <c r="J1047" s="8"/>
      <c r="K1047" s="8"/>
      <c r="L1047" s="8"/>
    </row>
    <row r="1048" spans="3:12" x14ac:dyDescent="0.25">
      <c r="C1048" s="7"/>
      <c r="E1048" s="8"/>
      <c r="F1048" s="8"/>
      <c r="G1048" s="8"/>
      <c r="H1048" s="8"/>
      <c r="I1048" s="8"/>
      <c r="J1048" s="8"/>
      <c r="K1048" s="8"/>
      <c r="L1048" s="8"/>
    </row>
    <row r="1049" spans="3:12" x14ac:dyDescent="0.25">
      <c r="C1049" s="7"/>
      <c r="E1049" s="8"/>
      <c r="F1049" s="8"/>
      <c r="G1049" s="8"/>
      <c r="H1049" s="8"/>
      <c r="I1049" s="8"/>
      <c r="J1049" s="8"/>
      <c r="K1049" s="8"/>
      <c r="L1049" s="8"/>
    </row>
    <row r="1050" spans="3:12" x14ac:dyDescent="0.25">
      <c r="C1050" s="7"/>
      <c r="E1050" s="8"/>
      <c r="F1050" s="8"/>
      <c r="G1050" s="8"/>
      <c r="H1050" s="8"/>
      <c r="I1050" s="8"/>
      <c r="J1050" s="8"/>
      <c r="K1050" s="8"/>
      <c r="L1050" s="8"/>
    </row>
    <row r="1051" spans="3:12" x14ac:dyDescent="0.25">
      <c r="C1051" s="7"/>
      <c r="E1051" s="8"/>
      <c r="F1051" s="8"/>
      <c r="G1051" s="8"/>
      <c r="H1051" s="8"/>
      <c r="I1051" s="8"/>
      <c r="J1051" s="8"/>
      <c r="K1051" s="8"/>
      <c r="L1051" s="8"/>
    </row>
    <row r="1052" spans="3:12" x14ac:dyDescent="0.25">
      <c r="C1052" s="7"/>
      <c r="E1052" s="8"/>
      <c r="F1052" s="8"/>
      <c r="G1052" s="8"/>
      <c r="H1052" s="8"/>
      <c r="I1052" s="8"/>
      <c r="J1052" s="8"/>
      <c r="K1052" s="8"/>
      <c r="L1052" s="8"/>
    </row>
    <row r="1053" spans="3:12" x14ac:dyDescent="0.25">
      <c r="C1053" s="7"/>
      <c r="E1053" s="8"/>
      <c r="F1053" s="8"/>
      <c r="G1053" s="8"/>
      <c r="H1053" s="8"/>
      <c r="I1053" s="8"/>
      <c r="J1053" s="8"/>
      <c r="K1053" s="8"/>
      <c r="L1053" s="8"/>
    </row>
    <row r="1054" spans="3:12" x14ac:dyDescent="0.25">
      <c r="C1054" s="7"/>
      <c r="E1054" s="8"/>
      <c r="F1054" s="8"/>
      <c r="G1054" s="8"/>
      <c r="H1054" s="8"/>
      <c r="I1054" s="8"/>
      <c r="J1054" s="8"/>
      <c r="K1054" s="8"/>
      <c r="L1054" s="8"/>
    </row>
    <row r="1055" spans="3:12" x14ac:dyDescent="0.25">
      <c r="C1055" s="7"/>
      <c r="E1055" s="8"/>
      <c r="F1055" s="8"/>
      <c r="G1055" s="8"/>
      <c r="H1055" s="8"/>
      <c r="I1055" s="8"/>
      <c r="J1055" s="8"/>
      <c r="K1055" s="8"/>
      <c r="L1055" s="8"/>
    </row>
    <row r="1056" spans="3:12" x14ac:dyDescent="0.25">
      <c r="C1056" s="7"/>
      <c r="E1056" s="8"/>
      <c r="F1056" s="8"/>
      <c r="G1056" s="8"/>
      <c r="H1056" s="8"/>
      <c r="I1056" s="8"/>
      <c r="J1056" s="8"/>
      <c r="K1056" s="8"/>
      <c r="L1056" s="8"/>
    </row>
    <row r="1057" spans="3:12" x14ac:dyDescent="0.25">
      <c r="C1057" s="7"/>
      <c r="E1057" s="8"/>
      <c r="F1057" s="8"/>
      <c r="G1057" s="8"/>
      <c r="H1057" s="8"/>
      <c r="I1057" s="8"/>
      <c r="J1057" s="8"/>
      <c r="K1057" s="8"/>
      <c r="L1057" s="8"/>
    </row>
    <row r="1058" spans="3:12" x14ac:dyDescent="0.25">
      <c r="C1058" s="7"/>
      <c r="E1058" s="8"/>
      <c r="F1058" s="8"/>
      <c r="G1058" s="8"/>
      <c r="H1058" s="8"/>
      <c r="I1058" s="8"/>
      <c r="J1058" s="8"/>
      <c r="K1058" s="8"/>
      <c r="L1058" s="8"/>
    </row>
    <row r="1059" spans="3:12" x14ac:dyDescent="0.25">
      <c r="C1059" s="7"/>
      <c r="E1059" s="8"/>
      <c r="F1059" s="8"/>
      <c r="G1059" s="8"/>
      <c r="H1059" s="8"/>
      <c r="I1059" s="8"/>
      <c r="J1059" s="8"/>
      <c r="K1059" s="8"/>
      <c r="L1059" s="8"/>
    </row>
    <row r="1060" spans="3:12" x14ac:dyDescent="0.25">
      <c r="C1060" s="7"/>
      <c r="E1060" s="8"/>
      <c r="F1060" s="8"/>
      <c r="G1060" s="8"/>
      <c r="H1060" s="8"/>
      <c r="I1060" s="8"/>
      <c r="J1060" s="8"/>
      <c r="K1060" s="8"/>
      <c r="L1060" s="8"/>
    </row>
    <row r="1061" spans="3:12" x14ac:dyDescent="0.25">
      <c r="C1061" s="7"/>
      <c r="E1061" s="8"/>
      <c r="F1061" s="8"/>
      <c r="G1061" s="8"/>
      <c r="H1061" s="8"/>
      <c r="I1061" s="8"/>
      <c r="J1061" s="8"/>
      <c r="K1061" s="8"/>
      <c r="L1061" s="8"/>
    </row>
    <row r="1062" spans="3:12" x14ac:dyDescent="0.25">
      <c r="C1062" s="7"/>
      <c r="E1062" s="8"/>
      <c r="F1062" s="8"/>
      <c r="G1062" s="8"/>
      <c r="H1062" s="8"/>
      <c r="I1062" s="8"/>
      <c r="J1062" s="8"/>
      <c r="K1062" s="8"/>
      <c r="L1062" s="8"/>
    </row>
    <row r="1063" spans="3:12" x14ac:dyDescent="0.25">
      <c r="C1063" s="7"/>
      <c r="E1063" s="8"/>
      <c r="F1063" s="8"/>
      <c r="G1063" s="8"/>
      <c r="H1063" s="8"/>
      <c r="I1063" s="8"/>
      <c r="J1063" s="8"/>
      <c r="K1063" s="8"/>
      <c r="L1063" s="8"/>
    </row>
    <row r="1064" spans="3:12" x14ac:dyDescent="0.25">
      <c r="C1064" s="7"/>
      <c r="E1064" s="8"/>
      <c r="F1064" s="8"/>
      <c r="G1064" s="8"/>
      <c r="H1064" s="8"/>
      <c r="I1064" s="8"/>
      <c r="J1064" s="8"/>
      <c r="K1064" s="8"/>
      <c r="L1064" s="8"/>
    </row>
    <row r="1065" spans="3:12" x14ac:dyDescent="0.25">
      <c r="C1065" s="7"/>
      <c r="E1065" s="8"/>
      <c r="F1065" s="8"/>
      <c r="G1065" s="8"/>
      <c r="H1065" s="8"/>
      <c r="I1065" s="8"/>
      <c r="J1065" s="8"/>
      <c r="K1065" s="8"/>
      <c r="L1065" s="8"/>
    </row>
    <row r="1066" spans="3:12" x14ac:dyDescent="0.25">
      <c r="C1066" s="7"/>
      <c r="E1066" s="8"/>
      <c r="F1066" s="8"/>
      <c r="G1066" s="8"/>
      <c r="H1066" s="8"/>
      <c r="I1066" s="8"/>
      <c r="J1066" s="8"/>
      <c r="K1066" s="8"/>
      <c r="L1066" s="8"/>
    </row>
    <row r="1067" spans="3:12" x14ac:dyDescent="0.25">
      <c r="C1067" s="7"/>
      <c r="E1067" s="8"/>
      <c r="F1067" s="8"/>
      <c r="G1067" s="8"/>
      <c r="H1067" s="8"/>
      <c r="I1067" s="8"/>
      <c r="J1067" s="8"/>
      <c r="K1067" s="8"/>
      <c r="L1067" s="8"/>
    </row>
    <row r="1068" spans="3:12" x14ac:dyDescent="0.25">
      <c r="C1068" s="7"/>
      <c r="E1068" s="8"/>
      <c r="F1068" s="8"/>
      <c r="G1068" s="8"/>
      <c r="H1068" s="8"/>
      <c r="I1068" s="8"/>
      <c r="J1068" s="8"/>
      <c r="K1068" s="8"/>
      <c r="L1068" s="8"/>
    </row>
    <row r="1069" spans="3:12" x14ac:dyDescent="0.25">
      <c r="C1069" s="7"/>
      <c r="E1069" s="8"/>
      <c r="F1069" s="8"/>
      <c r="G1069" s="8"/>
      <c r="H1069" s="8"/>
      <c r="I1069" s="8"/>
      <c r="J1069" s="8"/>
      <c r="K1069" s="8"/>
      <c r="L1069" s="8"/>
    </row>
    <row r="1070" spans="3:12" x14ac:dyDescent="0.25">
      <c r="C1070" s="7"/>
      <c r="E1070" s="8"/>
      <c r="F1070" s="8"/>
      <c r="G1070" s="8"/>
      <c r="H1070" s="8"/>
      <c r="I1070" s="8"/>
      <c r="J1070" s="8"/>
      <c r="K1070" s="8"/>
      <c r="L1070" s="8"/>
    </row>
    <row r="1071" spans="3:12" x14ac:dyDescent="0.25">
      <c r="C1071" s="7"/>
      <c r="E1071" s="8"/>
      <c r="F1071" s="8"/>
      <c r="G1071" s="8"/>
      <c r="H1071" s="8"/>
      <c r="I1071" s="8"/>
      <c r="J1071" s="8"/>
      <c r="K1071" s="8"/>
      <c r="L1071" s="8"/>
    </row>
    <row r="1072" spans="3:12" x14ac:dyDescent="0.25">
      <c r="C1072" s="7"/>
      <c r="E1072" s="8"/>
      <c r="F1072" s="8"/>
      <c r="G1072" s="8"/>
      <c r="H1072" s="8"/>
      <c r="I1072" s="8"/>
      <c r="J1072" s="8"/>
      <c r="K1072" s="8"/>
      <c r="L1072" s="8"/>
    </row>
    <row r="1073" spans="3:12" x14ac:dyDescent="0.25">
      <c r="C1073" s="7"/>
      <c r="E1073" s="8"/>
      <c r="F1073" s="8"/>
      <c r="G1073" s="8"/>
      <c r="H1073" s="8"/>
      <c r="I1073" s="8"/>
      <c r="J1073" s="8"/>
      <c r="K1073" s="8"/>
      <c r="L1073" s="8"/>
    </row>
    <row r="1074" spans="3:12" x14ac:dyDescent="0.25">
      <c r="C1074" s="7"/>
      <c r="E1074" s="8"/>
      <c r="F1074" s="8"/>
      <c r="G1074" s="8"/>
      <c r="H1074" s="8"/>
      <c r="I1074" s="8"/>
      <c r="J1074" s="8"/>
      <c r="K1074" s="8"/>
      <c r="L1074" s="8"/>
    </row>
    <row r="1075" spans="3:12" x14ac:dyDescent="0.25">
      <c r="C1075" s="7"/>
      <c r="E1075" s="8"/>
      <c r="F1075" s="8"/>
      <c r="G1075" s="8"/>
      <c r="H1075" s="8"/>
      <c r="I1075" s="8"/>
      <c r="J1075" s="8"/>
      <c r="K1075" s="8"/>
      <c r="L1075" s="8"/>
    </row>
    <row r="1076" spans="3:12" x14ac:dyDescent="0.25">
      <c r="C1076" s="7"/>
      <c r="E1076" s="8"/>
      <c r="F1076" s="8"/>
      <c r="G1076" s="8"/>
      <c r="H1076" s="8"/>
      <c r="I1076" s="8"/>
      <c r="J1076" s="8"/>
      <c r="K1076" s="8"/>
      <c r="L1076" s="8"/>
    </row>
    <row r="1077" spans="3:12" x14ac:dyDescent="0.25">
      <c r="C1077" s="7"/>
      <c r="E1077" s="8"/>
      <c r="F1077" s="8"/>
      <c r="G1077" s="8"/>
      <c r="H1077" s="8"/>
      <c r="I1077" s="8"/>
      <c r="J1077" s="8"/>
      <c r="K1077" s="8"/>
      <c r="L1077" s="8"/>
    </row>
    <row r="1078" spans="3:12" x14ac:dyDescent="0.25">
      <c r="C1078" s="7"/>
      <c r="E1078" s="8"/>
      <c r="F1078" s="8"/>
      <c r="G1078" s="8"/>
      <c r="H1078" s="8"/>
      <c r="I1078" s="8"/>
      <c r="J1078" s="8"/>
      <c r="K1078" s="8"/>
      <c r="L1078" s="8"/>
    </row>
    <row r="1079" spans="3:12" x14ac:dyDescent="0.25">
      <c r="C1079" s="7"/>
      <c r="E1079" s="8"/>
      <c r="F1079" s="8"/>
      <c r="G1079" s="8"/>
      <c r="H1079" s="8"/>
      <c r="I1079" s="8"/>
      <c r="J1079" s="8"/>
      <c r="K1079" s="8"/>
      <c r="L1079" s="8"/>
    </row>
    <row r="1080" spans="3:12" x14ac:dyDescent="0.25">
      <c r="C1080" s="7"/>
      <c r="E1080" s="8"/>
      <c r="F1080" s="8"/>
      <c r="G1080" s="8"/>
      <c r="H1080" s="8"/>
      <c r="I1080" s="8"/>
      <c r="J1080" s="8"/>
      <c r="K1080" s="8"/>
      <c r="L1080" s="8"/>
    </row>
    <row r="1081" spans="3:12" x14ac:dyDescent="0.25">
      <c r="C1081" s="7"/>
      <c r="E1081" s="8"/>
      <c r="F1081" s="8"/>
      <c r="G1081" s="8"/>
      <c r="H1081" s="8"/>
      <c r="I1081" s="8"/>
      <c r="J1081" s="8"/>
      <c r="K1081" s="8"/>
      <c r="L1081" s="8"/>
    </row>
    <row r="1082" spans="3:12" x14ac:dyDescent="0.25">
      <c r="C1082" s="7"/>
      <c r="E1082" s="8"/>
      <c r="F1082" s="8"/>
      <c r="G1082" s="8"/>
      <c r="H1082" s="8"/>
      <c r="I1082" s="8"/>
      <c r="J1082" s="8"/>
      <c r="K1082" s="8"/>
      <c r="L1082" s="8"/>
    </row>
    <row r="1083" spans="3:12" x14ac:dyDescent="0.25">
      <c r="C1083" s="7"/>
      <c r="E1083" s="8"/>
      <c r="F1083" s="8"/>
      <c r="G1083" s="8"/>
      <c r="H1083" s="8"/>
      <c r="I1083" s="8"/>
      <c r="J1083" s="8"/>
      <c r="K1083" s="8"/>
      <c r="L1083" s="8"/>
    </row>
    <row r="1084" spans="3:12" x14ac:dyDescent="0.25">
      <c r="C1084" s="7"/>
      <c r="E1084" s="8"/>
      <c r="F1084" s="8"/>
      <c r="G1084" s="8"/>
      <c r="H1084" s="8"/>
      <c r="I1084" s="8"/>
      <c r="J1084" s="8"/>
      <c r="K1084" s="8"/>
      <c r="L1084" s="8"/>
    </row>
    <row r="1085" spans="3:12" x14ac:dyDescent="0.25">
      <c r="C1085" s="7"/>
      <c r="E1085" s="8"/>
      <c r="F1085" s="8"/>
      <c r="G1085" s="8"/>
      <c r="H1085" s="8"/>
      <c r="I1085" s="8"/>
      <c r="J1085" s="8"/>
      <c r="K1085" s="8"/>
      <c r="L1085" s="8"/>
    </row>
    <row r="1086" spans="3:12" x14ac:dyDescent="0.25">
      <c r="C1086" s="7"/>
      <c r="E1086" s="8"/>
      <c r="F1086" s="8"/>
      <c r="G1086" s="8"/>
      <c r="H1086" s="8"/>
      <c r="I1086" s="8"/>
      <c r="J1086" s="8"/>
      <c r="K1086" s="8"/>
      <c r="L1086" s="8"/>
    </row>
    <row r="1087" spans="3:12" x14ac:dyDescent="0.25">
      <c r="C1087" s="7"/>
      <c r="E1087" s="8"/>
      <c r="F1087" s="8"/>
      <c r="G1087" s="8"/>
      <c r="H1087" s="8"/>
      <c r="I1087" s="8"/>
      <c r="J1087" s="8"/>
      <c r="K1087" s="8"/>
      <c r="L1087" s="8"/>
    </row>
    <row r="1088" spans="3:12" x14ac:dyDescent="0.25">
      <c r="C1088" s="7"/>
      <c r="E1088" s="8"/>
      <c r="F1088" s="8"/>
      <c r="G1088" s="8"/>
      <c r="H1088" s="8"/>
      <c r="I1088" s="8"/>
      <c r="J1088" s="8"/>
      <c r="K1088" s="8"/>
      <c r="L1088" s="8"/>
    </row>
    <row r="1089" spans="3:12" x14ac:dyDescent="0.25">
      <c r="C1089" s="7"/>
      <c r="E1089" s="8"/>
      <c r="F1089" s="8"/>
      <c r="G1089" s="8"/>
      <c r="H1089" s="8"/>
      <c r="I1089" s="8"/>
      <c r="J1089" s="8"/>
      <c r="K1089" s="8"/>
      <c r="L1089" s="8"/>
    </row>
    <row r="1090" spans="3:12" x14ac:dyDescent="0.25">
      <c r="C1090" s="7"/>
      <c r="E1090" s="8"/>
      <c r="F1090" s="8"/>
      <c r="G1090" s="8"/>
      <c r="H1090" s="8"/>
      <c r="I1090" s="8"/>
      <c r="J1090" s="8"/>
      <c r="K1090" s="8"/>
      <c r="L1090" s="8"/>
    </row>
    <row r="1091" spans="3:12" x14ac:dyDescent="0.25">
      <c r="C1091" s="7"/>
      <c r="E1091" s="8"/>
      <c r="F1091" s="8"/>
      <c r="G1091" s="8"/>
      <c r="H1091" s="8"/>
      <c r="I1091" s="8"/>
      <c r="J1091" s="8"/>
      <c r="K1091" s="8"/>
      <c r="L1091" s="8"/>
    </row>
    <row r="1092" spans="3:12" x14ac:dyDescent="0.25">
      <c r="C1092" s="7"/>
      <c r="E1092" s="8"/>
      <c r="F1092" s="8"/>
      <c r="G1092" s="8"/>
      <c r="H1092" s="8"/>
      <c r="I1092" s="8"/>
      <c r="J1092" s="8"/>
      <c r="K1092" s="8"/>
      <c r="L1092" s="8"/>
    </row>
    <row r="1093" spans="3:12" x14ac:dyDescent="0.25">
      <c r="C1093" s="7"/>
      <c r="E1093" s="8"/>
      <c r="F1093" s="8"/>
      <c r="G1093" s="8"/>
      <c r="H1093" s="8"/>
      <c r="I1093" s="8"/>
      <c r="J1093" s="8"/>
      <c r="K1093" s="8"/>
      <c r="L1093" s="8"/>
    </row>
    <row r="1094" spans="3:12" x14ac:dyDescent="0.25">
      <c r="C1094" s="7"/>
      <c r="E1094" s="8"/>
      <c r="F1094" s="8"/>
      <c r="G1094" s="8"/>
      <c r="H1094" s="8"/>
      <c r="I1094" s="8"/>
      <c r="J1094" s="8"/>
      <c r="K1094" s="8"/>
      <c r="L1094" s="8"/>
    </row>
    <row r="1095" spans="3:12" x14ac:dyDescent="0.25">
      <c r="C1095" s="7"/>
      <c r="E1095" s="8"/>
      <c r="F1095" s="8"/>
      <c r="G1095" s="8"/>
      <c r="H1095" s="8"/>
      <c r="I1095" s="8"/>
      <c r="J1095" s="8"/>
      <c r="K1095" s="8"/>
      <c r="L1095" s="8"/>
    </row>
    <row r="1096" spans="3:12" x14ac:dyDescent="0.25">
      <c r="C1096" s="7"/>
      <c r="E1096" s="8"/>
      <c r="F1096" s="8"/>
      <c r="G1096" s="8"/>
      <c r="H1096" s="8"/>
      <c r="I1096" s="8"/>
      <c r="J1096" s="8"/>
      <c r="K1096" s="8"/>
      <c r="L1096" s="8"/>
    </row>
    <row r="1097" spans="3:12" x14ac:dyDescent="0.25">
      <c r="C1097" s="7"/>
      <c r="E1097" s="8"/>
      <c r="F1097" s="8"/>
      <c r="G1097" s="8"/>
      <c r="H1097" s="8"/>
      <c r="I1097" s="8"/>
      <c r="J1097" s="8"/>
      <c r="K1097" s="8"/>
      <c r="L1097" s="8"/>
    </row>
    <row r="1098" spans="3:12" x14ac:dyDescent="0.25">
      <c r="C1098" s="7"/>
      <c r="E1098" s="8"/>
      <c r="F1098" s="8"/>
      <c r="G1098" s="8"/>
      <c r="H1098" s="8"/>
      <c r="I1098" s="8"/>
      <c r="J1098" s="8"/>
      <c r="K1098" s="8"/>
      <c r="L1098" s="8"/>
    </row>
    <row r="1099" spans="3:12" x14ac:dyDescent="0.25">
      <c r="C1099" s="7"/>
      <c r="E1099" s="8"/>
      <c r="F1099" s="8"/>
      <c r="G1099" s="8"/>
      <c r="H1099" s="8"/>
      <c r="I1099" s="8"/>
      <c r="J1099" s="8"/>
      <c r="K1099" s="8"/>
      <c r="L1099" s="8"/>
    </row>
    <row r="1100" spans="3:12" x14ac:dyDescent="0.25">
      <c r="C1100" s="7"/>
      <c r="E1100" s="8"/>
      <c r="F1100" s="8"/>
      <c r="G1100" s="8"/>
      <c r="H1100" s="8"/>
      <c r="I1100" s="8"/>
      <c r="J1100" s="8"/>
      <c r="K1100" s="8"/>
      <c r="L1100" s="8"/>
    </row>
    <row r="1101" spans="3:12" x14ac:dyDescent="0.25">
      <c r="C1101" s="7"/>
      <c r="E1101" s="8"/>
      <c r="F1101" s="8"/>
      <c r="G1101" s="8"/>
      <c r="H1101" s="8"/>
      <c r="I1101" s="8"/>
      <c r="J1101" s="8"/>
      <c r="K1101" s="8"/>
      <c r="L1101" s="8"/>
    </row>
    <row r="1102" spans="3:12" x14ac:dyDescent="0.25">
      <c r="C1102" s="7"/>
      <c r="E1102" s="8"/>
      <c r="F1102" s="8"/>
      <c r="G1102" s="8"/>
      <c r="H1102" s="8"/>
      <c r="I1102" s="8"/>
      <c r="J1102" s="8"/>
      <c r="K1102" s="8"/>
      <c r="L1102" s="8"/>
    </row>
    <row r="1103" spans="3:12" x14ac:dyDescent="0.25">
      <c r="C1103" s="7"/>
      <c r="E1103" s="8"/>
      <c r="F1103" s="8"/>
      <c r="G1103" s="8"/>
      <c r="H1103" s="8"/>
      <c r="I1103" s="8"/>
      <c r="J1103" s="8"/>
      <c r="K1103" s="8"/>
      <c r="L1103" s="8"/>
    </row>
    <row r="1104" spans="3:12" x14ac:dyDescent="0.25">
      <c r="C1104" s="7"/>
      <c r="E1104" s="8"/>
      <c r="F1104" s="8"/>
      <c r="G1104" s="8"/>
      <c r="H1104" s="8"/>
      <c r="I1104" s="8"/>
      <c r="J1104" s="8"/>
      <c r="K1104" s="8"/>
      <c r="L1104" s="8"/>
    </row>
    <row r="1105" spans="3:12" x14ac:dyDescent="0.25">
      <c r="C1105" s="7"/>
      <c r="E1105" s="8"/>
      <c r="F1105" s="8"/>
      <c r="G1105" s="8"/>
      <c r="H1105" s="8"/>
      <c r="I1105" s="8"/>
      <c r="J1105" s="8"/>
      <c r="K1105" s="8"/>
      <c r="L1105" s="8"/>
    </row>
    <row r="1106" spans="3:12" x14ac:dyDescent="0.25">
      <c r="C1106" s="7"/>
      <c r="E1106" s="8"/>
      <c r="F1106" s="8"/>
      <c r="G1106" s="8"/>
      <c r="H1106" s="8"/>
      <c r="I1106" s="8"/>
      <c r="J1106" s="8"/>
      <c r="K1106" s="8"/>
      <c r="L1106" s="8"/>
    </row>
    <row r="1107" spans="3:12" x14ac:dyDescent="0.25">
      <c r="C1107" s="7"/>
      <c r="E1107" s="8"/>
      <c r="F1107" s="8"/>
      <c r="G1107" s="8"/>
      <c r="H1107" s="8"/>
      <c r="I1107" s="8"/>
      <c r="J1107" s="8"/>
      <c r="K1107" s="8"/>
      <c r="L1107" s="8"/>
    </row>
    <row r="1108" spans="3:12" x14ac:dyDescent="0.25">
      <c r="C1108" s="7"/>
      <c r="E1108" s="8"/>
      <c r="F1108" s="8"/>
      <c r="G1108" s="8"/>
      <c r="H1108" s="8"/>
      <c r="I1108" s="8"/>
      <c r="J1108" s="8"/>
      <c r="K1108" s="8"/>
      <c r="L1108" s="8"/>
    </row>
    <row r="1109" spans="3:12" x14ac:dyDescent="0.25">
      <c r="C1109" s="7"/>
      <c r="E1109" s="8"/>
      <c r="F1109" s="8"/>
      <c r="G1109" s="8"/>
      <c r="H1109" s="8"/>
      <c r="I1109" s="8"/>
      <c r="J1109" s="8"/>
      <c r="K1109" s="8"/>
      <c r="L1109" s="8"/>
    </row>
    <row r="1110" spans="3:12" x14ac:dyDescent="0.25">
      <c r="C1110" s="7"/>
      <c r="E1110" s="8"/>
      <c r="F1110" s="8"/>
      <c r="G1110" s="8"/>
      <c r="H1110" s="8"/>
      <c r="I1110" s="8"/>
      <c r="J1110" s="8"/>
      <c r="K1110" s="8"/>
      <c r="L1110" s="8"/>
    </row>
    <row r="1111" spans="3:12" x14ac:dyDescent="0.25">
      <c r="C1111" s="7"/>
      <c r="E1111" s="8"/>
      <c r="F1111" s="8"/>
      <c r="G1111" s="8"/>
      <c r="H1111" s="8"/>
      <c r="I1111" s="8"/>
      <c r="J1111" s="8"/>
      <c r="K1111" s="8"/>
      <c r="L1111" s="8"/>
    </row>
    <row r="1112" spans="3:12" x14ac:dyDescent="0.25">
      <c r="C1112" s="7"/>
      <c r="E1112" s="8"/>
      <c r="F1112" s="8"/>
      <c r="G1112" s="8"/>
      <c r="H1112" s="8"/>
      <c r="I1112" s="8"/>
      <c r="J1112" s="8"/>
      <c r="K1112" s="8"/>
      <c r="L1112" s="8"/>
    </row>
    <row r="1113" spans="3:12" x14ac:dyDescent="0.25">
      <c r="C1113" s="7"/>
      <c r="E1113" s="8"/>
      <c r="F1113" s="8"/>
      <c r="G1113" s="8"/>
      <c r="H1113" s="8"/>
      <c r="I1113" s="8"/>
      <c r="J1113" s="8"/>
      <c r="K1113" s="8"/>
      <c r="L1113" s="8"/>
    </row>
    <row r="1114" spans="3:12" x14ac:dyDescent="0.25">
      <c r="C1114" s="7"/>
      <c r="E1114" s="8"/>
      <c r="F1114" s="8"/>
      <c r="G1114" s="8"/>
      <c r="H1114" s="8"/>
      <c r="I1114" s="8"/>
      <c r="J1114" s="8"/>
      <c r="K1114" s="8"/>
      <c r="L1114" s="8"/>
    </row>
    <row r="1115" spans="3:12" x14ac:dyDescent="0.25">
      <c r="C1115" s="7"/>
      <c r="E1115" s="8"/>
      <c r="F1115" s="8"/>
      <c r="G1115" s="8"/>
      <c r="H1115" s="8"/>
      <c r="I1115" s="8"/>
      <c r="J1115" s="8"/>
      <c r="K1115" s="8"/>
      <c r="L1115" s="8"/>
    </row>
    <row r="1116" spans="3:12" x14ac:dyDescent="0.25">
      <c r="C1116" s="7"/>
      <c r="E1116" s="8"/>
      <c r="F1116" s="8"/>
      <c r="G1116" s="8"/>
      <c r="H1116" s="8"/>
      <c r="I1116" s="8"/>
      <c r="J1116" s="8"/>
      <c r="K1116" s="8"/>
      <c r="L1116" s="8"/>
    </row>
    <row r="1117" spans="3:12" x14ac:dyDescent="0.25">
      <c r="C1117" s="7"/>
      <c r="E1117" s="8"/>
      <c r="F1117" s="8"/>
      <c r="G1117" s="8"/>
      <c r="H1117" s="8"/>
      <c r="I1117" s="8"/>
      <c r="J1117" s="8"/>
      <c r="K1117" s="8"/>
      <c r="L1117" s="8"/>
    </row>
    <row r="1118" spans="3:12" x14ac:dyDescent="0.25">
      <c r="C1118" s="7"/>
      <c r="E1118" s="8"/>
      <c r="F1118" s="8"/>
      <c r="G1118" s="8"/>
      <c r="H1118" s="8"/>
      <c r="I1118" s="8"/>
      <c r="J1118" s="8"/>
      <c r="K1118" s="8"/>
      <c r="L1118" s="8"/>
    </row>
    <row r="1119" spans="3:12" x14ac:dyDescent="0.25">
      <c r="C1119" s="7"/>
      <c r="E1119" s="8"/>
      <c r="F1119" s="8"/>
      <c r="G1119" s="8"/>
      <c r="H1119" s="8"/>
      <c r="I1119" s="8"/>
      <c r="J1119" s="8"/>
      <c r="K1119" s="8"/>
      <c r="L1119" s="8"/>
    </row>
    <row r="1120" spans="3:12" x14ac:dyDescent="0.25">
      <c r="C1120" s="7"/>
      <c r="E1120" s="8"/>
      <c r="F1120" s="8"/>
      <c r="G1120" s="8"/>
      <c r="H1120" s="8"/>
      <c r="I1120" s="8"/>
      <c r="J1120" s="8"/>
      <c r="K1120" s="8"/>
      <c r="L1120" s="8"/>
    </row>
    <row r="1121" spans="3:12" x14ac:dyDescent="0.25">
      <c r="C1121" s="7"/>
      <c r="E1121" s="8"/>
      <c r="F1121" s="8"/>
      <c r="G1121" s="8"/>
      <c r="H1121" s="8"/>
      <c r="I1121" s="8"/>
      <c r="J1121" s="8"/>
      <c r="K1121" s="8"/>
      <c r="L1121" s="8"/>
    </row>
    <row r="1122" spans="3:12" x14ac:dyDescent="0.25">
      <c r="C1122" s="7"/>
      <c r="E1122" s="8"/>
      <c r="F1122" s="8"/>
      <c r="G1122" s="8"/>
      <c r="H1122" s="8"/>
      <c r="I1122" s="8"/>
      <c r="J1122" s="8"/>
      <c r="K1122" s="8"/>
      <c r="L1122" s="8"/>
    </row>
    <row r="1123" spans="3:12" x14ac:dyDescent="0.25">
      <c r="C1123" s="7"/>
      <c r="E1123" s="8"/>
      <c r="F1123" s="8"/>
      <c r="G1123" s="8"/>
      <c r="H1123" s="8"/>
      <c r="I1123" s="8"/>
      <c r="J1123" s="8"/>
      <c r="K1123" s="8"/>
      <c r="L1123" s="8"/>
    </row>
    <row r="1124" spans="3:12" x14ac:dyDescent="0.25">
      <c r="C1124" s="7"/>
      <c r="E1124" s="8"/>
      <c r="F1124" s="8"/>
      <c r="G1124" s="8"/>
      <c r="H1124" s="8"/>
      <c r="I1124" s="8"/>
      <c r="J1124" s="8"/>
      <c r="K1124" s="8"/>
      <c r="L1124" s="8"/>
    </row>
    <row r="1125" spans="3:12" x14ac:dyDescent="0.25">
      <c r="C1125" s="7"/>
      <c r="E1125" s="8"/>
      <c r="F1125" s="8"/>
      <c r="G1125" s="8"/>
      <c r="H1125" s="8"/>
      <c r="I1125" s="8"/>
      <c r="J1125" s="8"/>
      <c r="K1125" s="8"/>
      <c r="L1125" s="8"/>
    </row>
    <row r="1126" spans="3:12" x14ac:dyDescent="0.25">
      <c r="C1126" s="7"/>
      <c r="E1126" s="8"/>
      <c r="F1126" s="8"/>
      <c r="G1126" s="8"/>
      <c r="H1126" s="8"/>
      <c r="I1126" s="8"/>
      <c r="J1126" s="8"/>
      <c r="K1126" s="8"/>
      <c r="L1126" s="8"/>
    </row>
    <row r="1127" spans="3:12" x14ac:dyDescent="0.25">
      <c r="C1127" s="7"/>
      <c r="E1127" s="8"/>
      <c r="F1127" s="8"/>
      <c r="G1127" s="8"/>
      <c r="H1127" s="8"/>
      <c r="I1127" s="8"/>
      <c r="J1127" s="8"/>
      <c r="K1127" s="8"/>
      <c r="L1127" s="8"/>
    </row>
    <row r="1128" spans="3:12" x14ac:dyDescent="0.25">
      <c r="C1128" s="7"/>
      <c r="E1128" s="8"/>
      <c r="F1128" s="8"/>
      <c r="G1128" s="8"/>
      <c r="H1128" s="8"/>
      <c r="I1128" s="8"/>
      <c r="J1128" s="8"/>
      <c r="K1128" s="8"/>
      <c r="L1128" s="8"/>
    </row>
    <row r="1129" spans="3:12" x14ac:dyDescent="0.25">
      <c r="C1129" s="7"/>
      <c r="E1129" s="8"/>
      <c r="F1129" s="8"/>
      <c r="G1129" s="8"/>
      <c r="H1129" s="8"/>
      <c r="I1129" s="8"/>
      <c r="J1129" s="8"/>
      <c r="K1129" s="8"/>
      <c r="L1129" s="8"/>
    </row>
    <row r="1130" spans="3:12" x14ac:dyDescent="0.25">
      <c r="C1130" s="7"/>
      <c r="E1130" s="8"/>
      <c r="F1130" s="8"/>
      <c r="G1130" s="8"/>
      <c r="H1130" s="8"/>
      <c r="I1130" s="8"/>
      <c r="J1130" s="8"/>
      <c r="K1130" s="8"/>
      <c r="L1130" s="8"/>
    </row>
    <row r="1131" spans="3:12" x14ac:dyDescent="0.25">
      <c r="C1131" s="7"/>
      <c r="E1131" s="8"/>
      <c r="F1131" s="8"/>
      <c r="G1131" s="8"/>
      <c r="H1131" s="8"/>
      <c r="I1131" s="8"/>
      <c r="J1131" s="8"/>
      <c r="K1131" s="8"/>
      <c r="L1131" s="8"/>
    </row>
    <row r="1132" spans="3:12" x14ac:dyDescent="0.25">
      <c r="C1132" s="7"/>
      <c r="E1132" s="8"/>
      <c r="F1132" s="8"/>
      <c r="G1132" s="8"/>
      <c r="H1132" s="8"/>
      <c r="I1132" s="8"/>
      <c r="J1132" s="8"/>
      <c r="K1132" s="8"/>
      <c r="L1132" s="8"/>
    </row>
    <row r="1133" spans="3:12" x14ac:dyDescent="0.25">
      <c r="C1133" s="7"/>
      <c r="E1133" s="8"/>
      <c r="F1133" s="8"/>
      <c r="G1133" s="8"/>
      <c r="H1133" s="8"/>
      <c r="I1133" s="8"/>
      <c r="J1133" s="8"/>
      <c r="K1133" s="8"/>
      <c r="L1133" s="8"/>
    </row>
    <row r="1134" spans="3:12" x14ac:dyDescent="0.25">
      <c r="C1134" s="7"/>
      <c r="E1134" s="8"/>
      <c r="F1134" s="8"/>
      <c r="G1134" s="8"/>
      <c r="H1134" s="8"/>
      <c r="I1134" s="8"/>
      <c r="J1134" s="8"/>
      <c r="K1134" s="8"/>
      <c r="L1134" s="8"/>
    </row>
    <row r="1135" spans="3:12" x14ac:dyDescent="0.25">
      <c r="C1135" s="7"/>
      <c r="E1135" s="8"/>
      <c r="F1135" s="8"/>
      <c r="G1135" s="8"/>
      <c r="H1135" s="8"/>
      <c r="I1135" s="8"/>
      <c r="J1135" s="8"/>
      <c r="K1135" s="8"/>
      <c r="L1135" s="8"/>
    </row>
    <row r="1136" spans="3:12" x14ac:dyDescent="0.25">
      <c r="C1136" s="7"/>
      <c r="E1136" s="8"/>
      <c r="F1136" s="8"/>
      <c r="G1136" s="8"/>
      <c r="H1136" s="8"/>
      <c r="I1136" s="8"/>
      <c r="J1136" s="8"/>
      <c r="K1136" s="8"/>
      <c r="L1136" s="8"/>
    </row>
    <row r="1137" spans="3:12" x14ac:dyDescent="0.25">
      <c r="C1137" s="7"/>
      <c r="E1137" s="8"/>
      <c r="F1137" s="8"/>
      <c r="G1137" s="8"/>
      <c r="H1137" s="8"/>
      <c r="I1137" s="8"/>
      <c r="J1137" s="8"/>
      <c r="K1137" s="8"/>
      <c r="L1137" s="8"/>
    </row>
    <row r="1138" spans="3:12" x14ac:dyDescent="0.25">
      <c r="C1138" s="7"/>
      <c r="E1138" s="8"/>
      <c r="F1138" s="8"/>
      <c r="G1138" s="8"/>
      <c r="H1138" s="8"/>
      <c r="I1138" s="8"/>
      <c r="J1138" s="8"/>
      <c r="K1138" s="8"/>
      <c r="L1138" s="8"/>
    </row>
    <row r="1139" spans="3:12" x14ac:dyDescent="0.25">
      <c r="C1139" s="7"/>
      <c r="E1139" s="8"/>
      <c r="F1139" s="8"/>
      <c r="G1139" s="8"/>
      <c r="H1139" s="8"/>
      <c r="I1139" s="8"/>
      <c r="J1139" s="8"/>
      <c r="K1139" s="8"/>
      <c r="L1139" s="8"/>
    </row>
    <row r="1140" spans="3:12" x14ac:dyDescent="0.25">
      <c r="C1140" s="7"/>
      <c r="E1140" s="8"/>
      <c r="F1140" s="8"/>
      <c r="G1140" s="8"/>
      <c r="H1140" s="8"/>
      <c r="I1140" s="8"/>
      <c r="J1140" s="8"/>
      <c r="K1140" s="8"/>
      <c r="L1140" s="8"/>
    </row>
    <row r="1141" spans="3:12" x14ac:dyDescent="0.25">
      <c r="C1141" s="7"/>
      <c r="E1141" s="8"/>
      <c r="F1141" s="8"/>
      <c r="G1141" s="8"/>
      <c r="H1141" s="8"/>
      <c r="I1141" s="8"/>
      <c r="J1141" s="8"/>
      <c r="K1141" s="8"/>
      <c r="L1141" s="8"/>
    </row>
    <row r="1142" spans="3:12" x14ac:dyDescent="0.25">
      <c r="C1142" s="7"/>
      <c r="E1142" s="8"/>
      <c r="F1142" s="8"/>
      <c r="G1142" s="8"/>
      <c r="H1142" s="8"/>
      <c r="I1142" s="8"/>
      <c r="J1142" s="8"/>
      <c r="K1142" s="8"/>
      <c r="L1142" s="8"/>
    </row>
    <row r="1143" spans="3:12" x14ac:dyDescent="0.25">
      <c r="C1143" s="7"/>
      <c r="E1143" s="8"/>
      <c r="F1143" s="8"/>
      <c r="G1143" s="8"/>
      <c r="H1143" s="8"/>
      <c r="I1143" s="8"/>
      <c r="J1143" s="8"/>
      <c r="K1143" s="8"/>
      <c r="L1143" s="8"/>
    </row>
    <row r="1144" spans="3:12" x14ac:dyDescent="0.25">
      <c r="C1144" s="7"/>
      <c r="E1144" s="8"/>
      <c r="F1144" s="8"/>
      <c r="G1144" s="8"/>
      <c r="H1144" s="8"/>
      <c r="I1144" s="8"/>
      <c r="J1144" s="8"/>
      <c r="K1144" s="8"/>
      <c r="L1144" s="8"/>
    </row>
    <row r="1145" spans="3:12" x14ac:dyDescent="0.25">
      <c r="C1145" s="7"/>
      <c r="E1145" s="8"/>
      <c r="F1145" s="8"/>
      <c r="G1145" s="8"/>
      <c r="H1145" s="8"/>
      <c r="I1145" s="8"/>
      <c r="J1145" s="8"/>
      <c r="K1145" s="8"/>
      <c r="L1145" s="8"/>
    </row>
    <row r="1146" spans="3:12" x14ac:dyDescent="0.25">
      <c r="C1146" s="7"/>
      <c r="E1146" s="8"/>
      <c r="F1146" s="8"/>
      <c r="G1146" s="8"/>
      <c r="H1146" s="8"/>
      <c r="I1146" s="8"/>
      <c r="J1146" s="8"/>
      <c r="K1146" s="8"/>
      <c r="L1146" s="8"/>
    </row>
    <row r="1147" spans="3:12" x14ac:dyDescent="0.25">
      <c r="C1147" s="7"/>
      <c r="E1147" s="8"/>
      <c r="F1147" s="8"/>
      <c r="G1147" s="8"/>
      <c r="H1147" s="8"/>
      <c r="I1147" s="8"/>
      <c r="J1147" s="8"/>
      <c r="K1147" s="8"/>
      <c r="L1147" s="8"/>
    </row>
    <row r="1148" spans="3:12" x14ac:dyDescent="0.25">
      <c r="C1148" s="7"/>
      <c r="E1148" s="8"/>
      <c r="F1148" s="8"/>
      <c r="G1148" s="8"/>
      <c r="H1148" s="8"/>
      <c r="I1148" s="8"/>
      <c r="J1148" s="8"/>
      <c r="K1148" s="8"/>
      <c r="L1148" s="8"/>
    </row>
    <row r="1149" spans="3:12" x14ac:dyDescent="0.25">
      <c r="C1149" s="7"/>
      <c r="E1149" s="8"/>
      <c r="F1149" s="8"/>
      <c r="G1149" s="8"/>
      <c r="H1149" s="8"/>
      <c r="I1149" s="8"/>
      <c r="J1149" s="8"/>
      <c r="K1149" s="8"/>
      <c r="L1149" s="8"/>
    </row>
    <row r="1150" spans="3:12" x14ac:dyDescent="0.25">
      <c r="C1150" s="7"/>
      <c r="E1150" s="8"/>
      <c r="F1150" s="8"/>
      <c r="G1150" s="8"/>
      <c r="H1150" s="8"/>
      <c r="I1150" s="8"/>
      <c r="J1150" s="8"/>
      <c r="K1150" s="8"/>
      <c r="L1150" s="8"/>
    </row>
    <row r="1151" spans="3:12" x14ac:dyDescent="0.25">
      <c r="C1151" s="7"/>
      <c r="E1151" s="8"/>
      <c r="F1151" s="8"/>
      <c r="G1151" s="8"/>
      <c r="H1151" s="8"/>
      <c r="I1151" s="8"/>
      <c r="J1151" s="8"/>
      <c r="K1151" s="8"/>
      <c r="L1151" s="8"/>
    </row>
    <row r="1152" spans="3:12" x14ac:dyDescent="0.25">
      <c r="C1152" s="7"/>
      <c r="E1152" s="8"/>
      <c r="F1152" s="8"/>
      <c r="G1152" s="8"/>
      <c r="H1152" s="8"/>
      <c r="I1152" s="8"/>
      <c r="J1152" s="8"/>
      <c r="K1152" s="8"/>
      <c r="L1152" s="8"/>
    </row>
    <row r="1153" spans="3:12" x14ac:dyDescent="0.25">
      <c r="C1153" s="7"/>
      <c r="E1153" s="8"/>
      <c r="F1153" s="8"/>
      <c r="G1153" s="8"/>
      <c r="H1153" s="8"/>
      <c r="I1153" s="8"/>
      <c r="J1153" s="8"/>
      <c r="K1153" s="8"/>
      <c r="L1153" s="8"/>
    </row>
    <row r="1154" spans="3:12" x14ac:dyDescent="0.25">
      <c r="C1154" s="7"/>
      <c r="E1154" s="8"/>
      <c r="F1154" s="8"/>
      <c r="G1154" s="8"/>
      <c r="H1154" s="8"/>
      <c r="I1154" s="8"/>
      <c r="J1154" s="8"/>
      <c r="K1154" s="8"/>
      <c r="L1154" s="8"/>
    </row>
    <row r="1155" spans="3:12" x14ac:dyDescent="0.25">
      <c r="C1155" s="7"/>
      <c r="E1155" s="8"/>
      <c r="F1155" s="8"/>
      <c r="G1155" s="8"/>
      <c r="H1155" s="8"/>
      <c r="I1155" s="8"/>
      <c r="J1155" s="8"/>
      <c r="K1155" s="8"/>
      <c r="L1155" s="8"/>
    </row>
    <row r="1156" spans="3:12" x14ac:dyDescent="0.25">
      <c r="C1156" s="7"/>
      <c r="E1156" s="8"/>
      <c r="F1156" s="8"/>
      <c r="G1156" s="8"/>
      <c r="H1156" s="8"/>
      <c r="I1156" s="8"/>
      <c r="J1156" s="8"/>
      <c r="K1156" s="8"/>
      <c r="L1156" s="8"/>
    </row>
    <row r="1157" spans="3:12" x14ac:dyDescent="0.25">
      <c r="C1157" s="7"/>
      <c r="E1157" s="8"/>
      <c r="F1157" s="8"/>
      <c r="G1157" s="8"/>
      <c r="H1157" s="8"/>
      <c r="I1157" s="8"/>
      <c r="J1157" s="8"/>
      <c r="K1157" s="8"/>
      <c r="L1157" s="8"/>
    </row>
    <row r="1158" spans="3:12" x14ac:dyDescent="0.25">
      <c r="C1158" s="7"/>
      <c r="E1158" s="8"/>
      <c r="F1158" s="8"/>
      <c r="G1158" s="8"/>
      <c r="H1158" s="8"/>
      <c r="I1158" s="8"/>
      <c r="J1158" s="8"/>
      <c r="K1158" s="8"/>
      <c r="L1158" s="8"/>
    </row>
    <row r="1159" spans="3:12" x14ac:dyDescent="0.25">
      <c r="C1159" s="7"/>
      <c r="E1159" s="8"/>
      <c r="F1159" s="8"/>
      <c r="G1159" s="8"/>
      <c r="H1159" s="8"/>
      <c r="I1159" s="8"/>
      <c r="J1159" s="8"/>
      <c r="K1159" s="8"/>
      <c r="L1159" s="8"/>
    </row>
    <row r="1160" spans="3:12" x14ac:dyDescent="0.25">
      <c r="C1160" s="7"/>
      <c r="E1160" s="8"/>
      <c r="F1160" s="8"/>
      <c r="G1160" s="8"/>
      <c r="H1160" s="8"/>
      <c r="I1160" s="8"/>
      <c r="J1160" s="8"/>
      <c r="K1160" s="8"/>
      <c r="L1160" s="8"/>
    </row>
    <row r="1161" spans="3:12" x14ac:dyDescent="0.25">
      <c r="C1161" s="7"/>
      <c r="E1161" s="8"/>
      <c r="F1161" s="8"/>
      <c r="G1161" s="8"/>
      <c r="H1161" s="8"/>
      <c r="I1161" s="8"/>
      <c r="J1161" s="8"/>
      <c r="K1161" s="8"/>
      <c r="L1161" s="8"/>
    </row>
    <row r="1162" spans="3:12" x14ac:dyDescent="0.25">
      <c r="C1162" s="7"/>
      <c r="E1162" s="8"/>
      <c r="F1162" s="8"/>
      <c r="G1162" s="8"/>
      <c r="H1162" s="8"/>
      <c r="I1162" s="8"/>
      <c r="J1162" s="8"/>
      <c r="K1162" s="8"/>
      <c r="L1162" s="8"/>
    </row>
    <row r="1163" spans="3:12" x14ac:dyDescent="0.25">
      <c r="C1163" s="7"/>
      <c r="E1163" s="8"/>
      <c r="F1163" s="8"/>
      <c r="G1163" s="8"/>
      <c r="H1163" s="8"/>
      <c r="I1163" s="8"/>
      <c r="J1163" s="8"/>
      <c r="K1163" s="8"/>
      <c r="L1163" s="8"/>
    </row>
    <row r="1164" spans="3:12" x14ac:dyDescent="0.25">
      <c r="C1164" s="7"/>
      <c r="E1164" s="8"/>
      <c r="F1164" s="8"/>
      <c r="G1164" s="8"/>
      <c r="H1164" s="8"/>
      <c r="I1164" s="8"/>
      <c r="J1164" s="8"/>
      <c r="K1164" s="8"/>
      <c r="L1164" s="8"/>
    </row>
    <row r="1165" spans="3:12" x14ac:dyDescent="0.25">
      <c r="C1165" s="7"/>
      <c r="E1165" s="8"/>
      <c r="F1165" s="8"/>
      <c r="G1165" s="8"/>
      <c r="H1165" s="8"/>
      <c r="I1165" s="8"/>
      <c r="J1165" s="8"/>
      <c r="K1165" s="8"/>
      <c r="L1165" s="8"/>
    </row>
    <row r="1166" spans="3:12" x14ac:dyDescent="0.25">
      <c r="C1166" s="7"/>
      <c r="E1166" s="8"/>
      <c r="F1166" s="8"/>
      <c r="G1166" s="8"/>
      <c r="H1166" s="8"/>
      <c r="I1166" s="8"/>
      <c r="J1166" s="8"/>
      <c r="K1166" s="8"/>
      <c r="L1166" s="8"/>
    </row>
    <row r="1167" spans="3:12" x14ac:dyDescent="0.25">
      <c r="C1167" s="7"/>
      <c r="E1167" s="8"/>
      <c r="F1167" s="8"/>
      <c r="G1167" s="8"/>
      <c r="H1167" s="8"/>
      <c r="I1167" s="8"/>
      <c r="J1167" s="8"/>
      <c r="K1167" s="8"/>
      <c r="L1167" s="8"/>
    </row>
    <row r="1168" spans="3:12" x14ac:dyDescent="0.25">
      <c r="C1168" s="7"/>
      <c r="E1168" s="8"/>
      <c r="F1168" s="8"/>
      <c r="G1168" s="8"/>
      <c r="H1168" s="8"/>
      <c r="I1168" s="8"/>
      <c r="J1168" s="8"/>
      <c r="K1168" s="8"/>
      <c r="L1168" s="8"/>
    </row>
    <row r="1169" spans="3:12" x14ac:dyDescent="0.25">
      <c r="C1169" s="7"/>
      <c r="E1169" s="8"/>
      <c r="F1169" s="8"/>
      <c r="G1169" s="8"/>
      <c r="H1169" s="8"/>
      <c r="I1169" s="8"/>
      <c r="J1169" s="8"/>
      <c r="K1169" s="8"/>
      <c r="L1169" s="8"/>
    </row>
    <row r="1170" spans="3:12" x14ac:dyDescent="0.25">
      <c r="C1170" s="7"/>
      <c r="E1170" s="8"/>
      <c r="F1170" s="8"/>
      <c r="G1170" s="8"/>
      <c r="H1170" s="8"/>
      <c r="I1170" s="8"/>
      <c r="J1170" s="8"/>
      <c r="K1170" s="8"/>
      <c r="L1170" s="8"/>
    </row>
    <row r="1171" spans="3:12" x14ac:dyDescent="0.25">
      <c r="C1171" s="7"/>
      <c r="E1171" s="8"/>
      <c r="F1171" s="8"/>
      <c r="G1171" s="8"/>
      <c r="H1171" s="8"/>
      <c r="I1171" s="8"/>
      <c r="J1171" s="8"/>
      <c r="K1171" s="8"/>
      <c r="L1171" s="8"/>
    </row>
    <row r="1172" spans="3:12" x14ac:dyDescent="0.25">
      <c r="C1172" s="7"/>
      <c r="E1172" s="8"/>
      <c r="F1172" s="8"/>
      <c r="G1172" s="8"/>
      <c r="H1172" s="8"/>
      <c r="I1172" s="8"/>
      <c r="J1172" s="8"/>
      <c r="K1172" s="8"/>
      <c r="L1172" s="8"/>
    </row>
    <row r="1173" spans="3:12" x14ac:dyDescent="0.25">
      <c r="C1173" s="7"/>
      <c r="E1173" s="8"/>
      <c r="F1173" s="8"/>
      <c r="G1173" s="8"/>
      <c r="H1173" s="8"/>
      <c r="I1173" s="8"/>
      <c r="J1173" s="8"/>
      <c r="K1173" s="8"/>
      <c r="L1173" s="8"/>
    </row>
    <row r="1174" spans="3:12" x14ac:dyDescent="0.25">
      <c r="C1174" s="7"/>
      <c r="E1174" s="8"/>
      <c r="F1174" s="8"/>
      <c r="G1174" s="8"/>
      <c r="H1174" s="8"/>
      <c r="I1174" s="8"/>
      <c r="J1174" s="8"/>
      <c r="K1174" s="8"/>
      <c r="L1174" s="8"/>
    </row>
    <row r="1175" spans="3:12" x14ac:dyDescent="0.25">
      <c r="C1175" s="7"/>
      <c r="E1175" s="8"/>
      <c r="F1175" s="8"/>
      <c r="G1175" s="8"/>
      <c r="H1175" s="8"/>
      <c r="I1175" s="8"/>
      <c r="J1175" s="8"/>
      <c r="K1175" s="8"/>
      <c r="L1175" s="8"/>
    </row>
    <row r="1176" spans="3:12" x14ac:dyDescent="0.25">
      <c r="C1176" s="7"/>
      <c r="E1176" s="8"/>
      <c r="F1176" s="8"/>
      <c r="G1176" s="8"/>
      <c r="H1176" s="8"/>
      <c r="I1176" s="8"/>
      <c r="J1176" s="8"/>
      <c r="K1176" s="8"/>
      <c r="L1176" s="8"/>
    </row>
    <row r="1177" spans="3:12" x14ac:dyDescent="0.25">
      <c r="C1177" s="7"/>
      <c r="E1177" s="8"/>
      <c r="F1177" s="8"/>
      <c r="G1177" s="8"/>
      <c r="H1177" s="8"/>
      <c r="I1177" s="8"/>
      <c r="J1177" s="8"/>
      <c r="K1177" s="8"/>
      <c r="L1177" s="8"/>
    </row>
    <row r="1178" spans="3:12" x14ac:dyDescent="0.25">
      <c r="C1178" s="7"/>
      <c r="E1178" s="8"/>
      <c r="F1178" s="8"/>
      <c r="G1178" s="8"/>
      <c r="H1178" s="8"/>
      <c r="I1178" s="8"/>
      <c r="J1178" s="8"/>
      <c r="K1178" s="8"/>
      <c r="L1178" s="8"/>
    </row>
    <row r="1179" spans="3:12" x14ac:dyDescent="0.25">
      <c r="C1179" s="7"/>
      <c r="E1179" s="8"/>
      <c r="F1179" s="8"/>
      <c r="G1179" s="8"/>
      <c r="H1179" s="8"/>
      <c r="I1179" s="8"/>
      <c r="J1179" s="8"/>
      <c r="K1179" s="8"/>
      <c r="L1179" s="8"/>
    </row>
    <row r="1180" spans="3:12" x14ac:dyDescent="0.25">
      <c r="C1180" s="7"/>
      <c r="E1180" s="8"/>
      <c r="F1180" s="8"/>
      <c r="G1180" s="8"/>
      <c r="H1180" s="8"/>
      <c r="I1180" s="8"/>
      <c r="J1180" s="8"/>
      <c r="K1180" s="8"/>
      <c r="L1180" s="8"/>
    </row>
    <row r="1181" spans="3:12" x14ac:dyDescent="0.25">
      <c r="C1181" s="7"/>
      <c r="E1181" s="8"/>
      <c r="F1181" s="8"/>
      <c r="G1181" s="8"/>
      <c r="H1181" s="8"/>
      <c r="I1181" s="8"/>
      <c r="J1181" s="8"/>
      <c r="K1181" s="8"/>
      <c r="L1181" s="8"/>
    </row>
    <row r="1182" spans="3:12" x14ac:dyDescent="0.25">
      <c r="C1182" s="7"/>
      <c r="E1182" s="8"/>
      <c r="F1182" s="8"/>
      <c r="G1182" s="8"/>
      <c r="H1182" s="8"/>
      <c r="I1182" s="8"/>
      <c r="J1182" s="8"/>
      <c r="K1182" s="8"/>
      <c r="L1182" s="8"/>
    </row>
    <row r="1183" spans="3:12" x14ac:dyDescent="0.25">
      <c r="C1183" s="7"/>
      <c r="E1183" s="8"/>
      <c r="F1183" s="8"/>
      <c r="G1183" s="8"/>
      <c r="H1183" s="8"/>
      <c r="I1183" s="8"/>
      <c r="J1183" s="8"/>
      <c r="K1183" s="8"/>
      <c r="L1183" s="8"/>
    </row>
    <row r="1184" spans="3:12" x14ac:dyDescent="0.25">
      <c r="C1184" s="7"/>
      <c r="E1184" s="8"/>
      <c r="F1184" s="8"/>
      <c r="G1184" s="8"/>
      <c r="H1184" s="8"/>
      <c r="I1184" s="8"/>
      <c r="J1184" s="8"/>
      <c r="K1184" s="8"/>
      <c r="L1184" s="8"/>
    </row>
    <row r="1185" spans="3:12" x14ac:dyDescent="0.25">
      <c r="C1185" s="7"/>
      <c r="E1185" s="8"/>
      <c r="F1185" s="8"/>
      <c r="G1185" s="8"/>
      <c r="H1185" s="8"/>
      <c r="I1185" s="8"/>
      <c r="J1185" s="8"/>
      <c r="K1185" s="8"/>
      <c r="L1185" s="8"/>
    </row>
    <row r="1186" spans="3:12" x14ac:dyDescent="0.25">
      <c r="C1186" s="7"/>
      <c r="E1186" s="8"/>
      <c r="F1186" s="8"/>
      <c r="G1186" s="8"/>
      <c r="H1186" s="8"/>
      <c r="I1186" s="8"/>
      <c r="J1186" s="8"/>
      <c r="K1186" s="8"/>
      <c r="L1186" s="8"/>
    </row>
    <row r="1187" spans="3:12" x14ac:dyDescent="0.25">
      <c r="C1187" s="7"/>
      <c r="E1187" s="8"/>
      <c r="F1187" s="8"/>
      <c r="G1187" s="8"/>
      <c r="H1187" s="8"/>
      <c r="I1187" s="8"/>
      <c r="J1187" s="8"/>
      <c r="K1187" s="8"/>
      <c r="L1187" s="8"/>
    </row>
    <row r="1188" spans="3:12" x14ac:dyDescent="0.25">
      <c r="C1188" s="7"/>
      <c r="E1188" s="8"/>
      <c r="F1188" s="8"/>
      <c r="G1188" s="8"/>
      <c r="H1188" s="8"/>
      <c r="I1188" s="8"/>
      <c r="J1188" s="8"/>
      <c r="K1188" s="8"/>
      <c r="L1188" s="8"/>
    </row>
    <row r="1189" spans="3:12" x14ac:dyDescent="0.25">
      <c r="C1189" s="7"/>
      <c r="E1189" s="8"/>
      <c r="F1189" s="8"/>
      <c r="G1189" s="8"/>
      <c r="H1189" s="8"/>
      <c r="I1189" s="8"/>
      <c r="J1189" s="8"/>
      <c r="K1189" s="8"/>
      <c r="L1189" s="8"/>
    </row>
    <row r="1190" spans="3:12" x14ac:dyDescent="0.25">
      <c r="C1190" s="7"/>
      <c r="E1190" s="8"/>
      <c r="F1190" s="8"/>
      <c r="G1190" s="8"/>
      <c r="H1190" s="8"/>
      <c r="I1190" s="8"/>
      <c r="J1190" s="8"/>
      <c r="K1190" s="8"/>
      <c r="L1190" s="8"/>
    </row>
    <row r="1191" spans="3:12" x14ac:dyDescent="0.25">
      <c r="C1191" s="7"/>
      <c r="E1191" s="8"/>
      <c r="F1191" s="8"/>
      <c r="G1191" s="8"/>
      <c r="H1191" s="8"/>
      <c r="I1191" s="8"/>
      <c r="J1191" s="8"/>
      <c r="K1191" s="8"/>
      <c r="L1191" s="8"/>
    </row>
    <row r="1192" spans="3:12" x14ac:dyDescent="0.25">
      <c r="C1192" s="7"/>
      <c r="E1192" s="8"/>
      <c r="F1192" s="8"/>
      <c r="G1192" s="8"/>
      <c r="H1192" s="8"/>
      <c r="I1192" s="8"/>
      <c r="J1192" s="8"/>
      <c r="K1192" s="8"/>
      <c r="L1192" s="8"/>
    </row>
    <row r="1193" spans="3:12" x14ac:dyDescent="0.25">
      <c r="C1193" s="7"/>
      <c r="E1193" s="8"/>
      <c r="F1193" s="8"/>
      <c r="G1193" s="8"/>
      <c r="H1193" s="8"/>
      <c r="I1193" s="8"/>
      <c r="J1193" s="8"/>
      <c r="K1193" s="8"/>
      <c r="L1193" s="8"/>
    </row>
    <row r="1194" spans="3:12" x14ac:dyDescent="0.25">
      <c r="C1194" s="7"/>
      <c r="E1194" s="8"/>
      <c r="F1194" s="8"/>
      <c r="G1194" s="8"/>
      <c r="H1194" s="8"/>
      <c r="I1194" s="8"/>
      <c r="J1194" s="8"/>
      <c r="K1194" s="8"/>
      <c r="L1194" s="8"/>
    </row>
    <row r="1195" spans="3:12" x14ac:dyDescent="0.25">
      <c r="C1195" s="7"/>
      <c r="E1195" s="8"/>
      <c r="F1195" s="8"/>
      <c r="G1195" s="8"/>
      <c r="H1195" s="8"/>
      <c r="I1195" s="8"/>
      <c r="J1195" s="8"/>
      <c r="K1195" s="8"/>
      <c r="L1195" s="8"/>
    </row>
    <row r="1196" spans="3:12" x14ac:dyDescent="0.25">
      <c r="C1196" s="7"/>
      <c r="E1196" s="8"/>
      <c r="F1196" s="8"/>
      <c r="G1196" s="8"/>
      <c r="H1196" s="8"/>
      <c r="I1196" s="8"/>
      <c r="J1196" s="8"/>
      <c r="K1196" s="8"/>
      <c r="L1196" s="8"/>
    </row>
    <row r="1197" spans="3:12" x14ac:dyDescent="0.25">
      <c r="C1197" s="7"/>
      <c r="E1197" s="8"/>
      <c r="F1197" s="8"/>
      <c r="G1197" s="8"/>
      <c r="H1197" s="8"/>
      <c r="I1197" s="8"/>
      <c r="J1197" s="8"/>
      <c r="K1197" s="8"/>
      <c r="L1197" s="8"/>
    </row>
    <row r="1198" spans="3:12" x14ac:dyDescent="0.25">
      <c r="C1198" s="7"/>
      <c r="E1198" s="8"/>
      <c r="F1198" s="8"/>
      <c r="G1198" s="8"/>
      <c r="H1198" s="8"/>
      <c r="I1198" s="8"/>
      <c r="J1198" s="8"/>
      <c r="K1198" s="8"/>
      <c r="L1198" s="8"/>
    </row>
    <row r="1199" spans="3:12" x14ac:dyDescent="0.25">
      <c r="C1199" s="7"/>
      <c r="E1199" s="8"/>
      <c r="F1199" s="8"/>
      <c r="G1199" s="8"/>
      <c r="H1199" s="8"/>
      <c r="I1199" s="8"/>
      <c r="J1199" s="8"/>
      <c r="K1199" s="8"/>
      <c r="L1199" s="8"/>
    </row>
    <row r="1200" spans="3:12" x14ac:dyDescent="0.25">
      <c r="C1200" s="7"/>
      <c r="E1200" s="8"/>
      <c r="F1200" s="8"/>
      <c r="G1200" s="8"/>
      <c r="H1200" s="8"/>
      <c r="I1200" s="8"/>
      <c r="J1200" s="8"/>
      <c r="K1200" s="8"/>
      <c r="L1200" s="8"/>
    </row>
    <row r="1201" spans="3:12" x14ac:dyDescent="0.25">
      <c r="C1201" s="7"/>
      <c r="E1201" s="8"/>
      <c r="F1201" s="8"/>
      <c r="G1201" s="8"/>
      <c r="H1201" s="8"/>
      <c r="I1201" s="8"/>
      <c r="J1201" s="8"/>
      <c r="K1201" s="8"/>
      <c r="L1201" s="8"/>
    </row>
    <row r="1202" spans="3:12" x14ac:dyDescent="0.25">
      <c r="C1202" s="7"/>
      <c r="E1202" s="8"/>
      <c r="F1202" s="8"/>
      <c r="G1202" s="8"/>
      <c r="H1202" s="8"/>
      <c r="I1202" s="8"/>
      <c r="J1202" s="8"/>
      <c r="K1202" s="8"/>
      <c r="L1202" s="8"/>
    </row>
    <row r="1203" spans="3:12" x14ac:dyDescent="0.25">
      <c r="C1203" s="7"/>
      <c r="E1203" s="8"/>
      <c r="F1203" s="8"/>
      <c r="G1203" s="8"/>
      <c r="H1203" s="8"/>
      <c r="I1203" s="8"/>
      <c r="J1203" s="8"/>
      <c r="K1203" s="8"/>
      <c r="L1203" s="8"/>
    </row>
    <row r="1204" spans="3:12" x14ac:dyDescent="0.25">
      <c r="C1204" s="7"/>
      <c r="E1204" s="8"/>
      <c r="F1204" s="8"/>
      <c r="G1204" s="8"/>
      <c r="H1204" s="8"/>
      <c r="I1204" s="8"/>
      <c r="J1204" s="8"/>
      <c r="K1204" s="8"/>
      <c r="L1204" s="8"/>
    </row>
    <row r="1205" spans="3:12" x14ac:dyDescent="0.25">
      <c r="C1205" s="7"/>
      <c r="E1205" s="8"/>
      <c r="F1205" s="8"/>
      <c r="G1205" s="8"/>
      <c r="H1205" s="8"/>
      <c r="I1205" s="8"/>
      <c r="J1205" s="8"/>
      <c r="K1205" s="8"/>
      <c r="L1205" s="8"/>
    </row>
    <row r="1206" spans="3:12" x14ac:dyDescent="0.25">
      <c r="C1206" s="7"/>
      <c r="E1206" s="8"/>
      <c r="F1206" s="8"/>
      <c r="G1206" s="8"/>
      <c r="H1206" s="8"/>
      <c r="I1206" s="8"/>
      <c r="J1206" s="8"/>
      <c r="K1206" s="8"/>
      <c r="L1206" s="8"/>
    </row>
    <row r="1207" spans="3:12" x14ac:dyDescent="0.25">
      <c r="C1207" s="7"/>
      <c r="E1207" s="8"/>
      <c r="F1207" s="8"/>
      <c r="G1207" s="8"/>
      <c r="H1207" s="8"/>
      <c r="I1207" s="8"/>
      <c r="J1207" s="8"/>
      <c r="K1207" s="8"/>
      <c r="L1207" s="8"/>
    </row>
    <row r="1208" spans="3:12" x14ac:dyDescent="0.25">
      <c r="C1208" s="7"/>
      <c r="E1208" s="8"/>
      <c r="F1208" s="8"/>
      <c r="G1208" s="8"/>
      <c r="H1208" s="8"/>
      <c r="I1208" s="8"/>
      <c r="J1208" s="8"/>
      <c r="K1208" s="8"/>
      <c r="L1208" s="8"/>
    </row>
    <row r="1209" spans="3:12" x14ac:dyDescent="0.25">
      <c r="C1209" s="7"/>
      <c r="E1209" s="8"/>
      <c r="F1209" s="8"/>
      <c r="G1209" s="8"/>
      <c r="H1209" s="8"/>
      <c r="I1209" s="8"/>
      <c r="J1209" s="8"/>
      <c r="K1209" s="8"/>
      <c r="L1209" s="8"/>
    </row>
    <row r="1210" spans="3:12" x14ac:dyDescent="0.25">
      <c r="C1210" s="7"/>
      <c r="E1210" s="8"/>
      <c r="F1210" s="8"/>
      <c r="G1210" s="8"/>
      <c r="H1210" s="8"/>
      <c r="I1210" s="8"/>
      <c r="J1210" s="8"/>
      <c r="K1210" s="8"/>
      <c r="L1210" s="8"/>
    </row>
    <row r="1211" spans="3:12" x14ac:dyDescent="0.25">
      <c r="C1211" s="7"/>
      <c r="E1211" s="8"/>
      <c r="F1211" s="8"/>
      <c r="G1211" s="8"/>
      <c r="H1211" s="8"/>
      <c r="I1211" s="8"/>
      <c r="J1211" s="8"/>
      <c r="K1211" s="8"/>
      <c r="L1211" s="8"/>
    </row>
    <row r="1212" spans="3:12" x14ac:dyDescent="0.25">
      <c r="C1212" s="7"/>
      <c r="E1212" s="8"/>
      <c r="F1212" s="8"/>
      <c r="G1212" s="8"/>
      <c r="H1212" s="8"/>
      <c r="I1212" s="8"/>
      <c r="J1212" s="8"/>
      <c r="K1212" s="8"/>
      <c r="L1212" s="8"/>
    </row>
    <row r="1213" spans="3:12" x14ac:dyDescent="0.25">
      <c r="C1213" s="7"/>
      <c r="E1213" s="8"/>
      <c r="F1213" s="8"/>
      <c r="G1213" s="8"/>
      <c r="H1213" s="8"/>
      <c r="I1213" s="8"/>
      <c r="J1213" s="8"/>
      <c r="K1213" s="8"/>
      <c r="L1213" s="8"/>
    </row>
    <row r="1214" spans="3:12" x14ac:dyDescent="0.25">
      <c r="C1214" s="7"/>
      <c r="E1214" s="8"/>
      <c r="F1214" s="8"/>
      <c r="G1214" s="8"/>
      <c r="H1214" s="8"/>
      <c r="I1214" s="8"/>
      <c r="J1214" s="8"/>
      <c r="K1214" s="8"/>
      <c r="L1214" s="8"/>
    </row>
    <row r="1215" spans="3:12" x14ac:dyDescent="0.25">
      <c r="C1215" s="7"/>
      <c r="E1215" s="8"/>
      <c r="F1215" s="8"/>
      <c r="G1215" s="8"/>
      <c r="H1215" s="8"/>
      <c r="I1215" s="8"/>
      <c r="J1215" s="8"/>
      <c r="K1215" s="8"/>
      <c r="L1215" s="8"/>
    </row>
    <row r="1216" spans="3:12" x14ac:dyDescent="0.25">
      <c r="C1216" s="7"/>
      <c r="E1216" s="8"/>
      <c r="F1216" s="8"/>
      <c r="G1216" s="8"/>
      <c r="H1216" s="8"/>
      <c r="I1216" s="8"/>
      <c r="J1216" s="8"/>
      <c r="K1216" s="8"/>
      <c r="L1216" s="8"/>
    </row>
    <row r="1217" spans="3:12" x14ac:dyDescent="0.25">
      <c r="C1217" s="7"/>
      <c r="E1217" s="8"/>
      <c r="F1217" s="8"/>
      <c r="G1217" s="8"/>
      <c r="H1217" s="8"/>
      <c r="I1217" s="8"/>
      <c r="J1217" s="8"/>
      <c r="K1217" s="8"/>
      <c r="L1217" s="8"/>
    </row>
    <row r="1218" spans="3:12" x14ac:dyDescent="0.25">
      <c r="C1218" s="7"/>
      <c r="E1218" s="8"/>
      <c r="F1218" s="8"/>
      <c r="G1218" s="8"/>
      <c r="H1218" s="8"/>
      <c r="I1218" s="8"/>
      <c r="J1218" s="8"/>
      <c r="K1218" s="8"/>
      <c r="L1218" s="8"/>
    </row>
    <row r="1219" spans="3:12" x14ac:dyDescent="0.25">
      <c r="C1219" s="7"/>
      <c r="E1219" s="8"/>
      <c r="F1219" s="8"/>
      <c r="G1219" s="8"/>
      <c r="H1219" s="8"/>
      <c r="I1219" s="8"/>
      <c r="J1219" s="8"/>
      <c r="K1219" s="8"/>
      <c r="L1219" s="8"/>
    </row>
    <row r="1220" spans="3:12" x14ac:dyDescent="0.25">
      <c r="C1220" s="7"/>
      <c r="E1220" s="8"/>
      <c r="F1220" s="8"/>
      <c r="G1220" s="8"/>
      <c r="H1220" s="8"/>
      <c r="I1220" s="8"/>
      <c r="J1220" s="8"/>
      <c r="K1220" s="8"/>
      <c r="L1220" s="8"/>
    </row>
    <row r="1221" spans="3:12" x14ac:dyDescent="0.25">
      <c r="C1221" s="7"/>
      <c r="E1221" s="8"/>
      <c r="F1221" s="8"/>
      <c r="G1221" s="8"/>
      <c r="H1221" s="8"/>
      <c r="I1221" s="8"/>
      <c r="J1221" s="8"/>
      <c r="K1221" s="8"/>
      <c r="L1221" s="8"/>
    </row>
    <row r="1222" spans="3:12" x14ac:dyDescent="0.25">
      <c r="C1222" s="7"/>
      <c r="E1222" s="8"/>
      <c r="F1222" s="8"/>
      <c r="G1222" s="8"/>
      <c r="H1222" s="8"/>
      <c r="I1222" s="8"/>
      <c r="J1222" s="8"/>
      <c r="K1222" s="8"/>
      <c r="L1222" s="8"/>
    </row>
    <row r="1223" spans="3:12" x14ac:dyDescent="0.25">
      <c r="C1223" s="7"/>
      <c r="E1223" s="8"/>
      <c r="F1223" s="8"/>
      <c r="G1223" s="8"/>
      <c r="H1223" s="8"/>
      <c r="I1223" s="8"/>
      <c r="J1223" s="8"/>
      <c r="K1223" s="8"/>
      <c r="L1223" s="8"/>
    </row>
    <row r="1224" spans="3:12" x14ac:dyDescent="0.25">
      <c r="C1224" s="7"/>
      <c r="E1224" s="8"/>
      <c r="F1224" s="8"/>
      <c r="G1224" s="8"/>
      <c r="H1224" s="8"/>
      <c r="I1224" s="8"/>
      <c r="J1224" s="8"/>
      <c r="K1224" s="8"/>
      <c r="L1224" s="8"/>
    </row>
    <row r="1225" spans="3:12" x14ac:dyDescent="0.25">
      <c r="C1225" s="7"/>
      <c r="E1225" s="8"/>
      <c r="F1225" s="8"/>
      <c r="G1225" s="8"/>
      <c r="H1225" s="8"/>
      <c r="I1225" s="8"/>
      <c r="J1225" s="8"/>
      <c r="K1225" s="8"/>
      <c r="L1225" s="8"/>
    </row>
    <row r="1226" spans="3:12" x14ac:dyDescent="0.25">
      <c r="C1226" s="7"/>
      <c r="E1226" s="8"/>
      <c r="F1226" s="8"/>
      <c r="G1226" s="8"/>
      <c r="H1226" s="8"/>
      <c r="I1226" s="8"/>
      <c r="J1226" s="8"/>
      <c r="K1226" s="8"/>
      <c r="L1226" s="8"/>
    </row>
    <row r="1227" spans="3:12" x14ac:dyDescent="0.25">
      <c r="C1227" s="7"/>
      <c r="E1227" s="8"/>
      <c r="F1227" s="8"/>
      <c r="G1227" s="8"/>
      <c r="H1227" s="8"/>
      <c r="I1227" s="8"/>
      <c r="J1227" s="8"/>
      <c r="K1227" s="8"/>
      <c r="L1227" s="8"/>
    </row>
    <row r="1228" spans="3:12" x14ac:dyDescent="0.25">
      <c r="C1228" s="7"/>
      <c r="E1228" s="8"/>
      <c r="F1228" s="8"/>
      <c r="G1228" s="8"/>
      <c r="H1228" s="8"/>
      <c r="I1228" s="8"/>
      <c r="J1228" s="8"/>
      <c r="K1228" s="8"/>
      <c r="L1228" s="8"/>
    </row>
    <row r="1229" spans="3:12" x14ac:dyDescent="0.25">
      <c r="C1229" s="7"/>
      <c r="E1229" s="8"/>
      <c r="F1229" s="8"/>
      <c r="G1229" s="8"/>
      <c r="H1229" s="8"/>
      <c r="I1229" s="8"/>
      <c r="J1229" s="8"/>
      <c r="K1229" s="8"/>
      <c r="L1229" s="8"/>
    </row>
    <row r="1230" spans="3:12" x14ac:dyDescent="0.25">
      <c r="C1230" s="7"/>
      <c r="E1230" s="8"/>
      <c r="F1230" s="8"/>
      <c r="G1230" s="8"/>
      <c r="H1230" s="8"/>
      <c r="I1230" s="8"/>
      <c r="J1230" s="8"/>
      <c r="K1230" s="8"/>
      <c r="L1230" s="8"/>
    </row>
    <row r="1231" spans="3:12" x14ac:dyDescent="0.25">
      <c r="C1231" s="7"/>
      <c r="E1231" s="8"/>
      <c r="F1231" s="8"/>
      <c r="G1231" s="8"/>
      <c r="H1231" s="8"/>
      <c r="I1231" s="8"/>
      <c r="J1231" s="8"/>
      <c r="K1231" s="8"/>
      <c r="L1231" s="8"/>
    </row>
    <row r="1232" spans="3:12" x14ac:dyDescent="0.25">
      <c r="C1232" s="7"/>
      <c r="E1232" s="8"/>
      <c r="F1232" s="8"/>
      <c r="G1232" s="8"/>
      <c r="H1232" s="8"/>
      <c r="I1232" s="8"/>
      <c r="J1232" s="8"/>
      <c r="K1232" s="8"/>
      <c r="L1232" s="8"/>
    </row>
    <row r="1233" spans="3:12" x14ac:dyDescent="0.25">
      <c r="C1233" s="7"/>
      <c r="E1233" s="8"/>
      <c r="F1233" s="8"/>
      <c r="G1233" s="8"/>
      <c r="H1233" s="8"/>
      <c r="I1233" s="8"/>
      <c r="J1233" s="8"/>
      <c r="K1233" s="8"/>
      <c r="L1233" s="8"/>
    </row>
    <row r="1234" spans="3:12" x14ac:dyDescent="0.25">
      <c r="C1234" s="7"/>
      <c r="E1234" s="8"/>
      <c r="F1234" s="8"/>
      <c r="G1234" s="8"/>
      <c r="H1234" s="8"/>
      <c r="I1234" s="8"/>
      <c r="J1234" s="8"/>
      <c r="K1234" s="8"/>
      <c r="L1234" s="8"/>
    </row>
    <row r="1235" spans="3:12" x14ac:dyDescent="0.25">
      <c r="C1235" s="7"/>
      <c r="E1235" s="8"/>
      <c r="F1235" s="8"/>
      <c r="G1235" s="8"/>
      <c r="H1235" s="8"/>
      <c r="I1235" s="8"/>
      <c r="J1235" s="8"/>
      <c r="K1235" s="8"/>
      <c r="L1235" s="8"/>
    </row>
    <row r="1236" spans="3:12" x14ac:dyDescent="0.25">
      <c r="C1236" s="7"/>
      <c r="E1236" s="8"/>
      <c r="F1236" s="8"/>
      <c r="G1236" s="8"/>
      <c r="H1236" s="8"/>
      <c r="I1236" s="8"/>
      <c r="J1236" s="8"/>
      <c r="K1236" s="8"/>
      <c r="L1236" s="8"/>
    </row>
    <row r="1237" spans="3:12" x14ac:dyDescent="0.25">
      <c r="C1237" s="7"/>
      <c r="E1237" s="8"/>
      <c r="F1237" s="8"/>
      <c r="G1237" s="8"/>
      <c r="H1237" s="8"/>
      <c r="I1237" s="8"/>
      <c r="J1237" s="8"/>
      <c r="K1237" s="8"/>
      <c r="L1237" s="8"/>
    </row>
    <row r="1238" spans="3:12" x14ac:dyDescent="0.25">
      <c r="C1238" s="7"/>
      <c r="E1238" s="8"/>
      <c r="F1238" s="8"/>
      <c r="G1238" s="8"/>
      <c r="H1238" s="8"/>
      <c r="I1238" s="8"/>
      <c r="J1238" s="8"/>
      <c r="K1238" s="8"/>
      <c r="L1238" s="8"/>
    </row>
    <row r="1239" spans="3:12" x14ac:dyDescent="0.25">
      <c r="C1239" s="7"/>
      <c r="E1239" s="8"/>
      <c r="F1239" s="8"/>
      <c r="G1239" s="8"/>
      <c r="H1239" s="8"/>
      <c r="I1239" s="8"/>
      <c r="J1239" s="8"/>
      <c r="K1239" s="8"/>
      <c r="L1239" s="8"/>
    </row>
    <row r="1240" spans="3:12" x14ac:dyDescent="0.25">
      <c r="C1240" s="7"/>
      <c r="E1240" s="8"/>
      <c r="F1240" s="8"/>
      <c r="G1240" s="8"/>
      <c r="H1240" s="8"/>
      <c r="I1240" s="8"/>
      <c r="J1240" s="8"/>
      <c r="K1240" s="8"/>
      <c r="L1240" s="8"/>
    </row>
    <row r="1241" spans="3:12" x14ac:dyDescent="0.25">
      <c r="C1241" s="7"/>
      <c r="E1241" s="8"/>
      <c r="F1241" s="8"/>
      <c r="G1241" s="8"/>
      <c r="H1241" s="8"/>
      <c r="I1241" s="8"/>
      <c r="J1241" s="8"/>
      <c r="K1241" s="8"/>
      <c r="L1241" s="8"/>
    </row>
    <row r="1242" spans="3:12" x14ac:dyDescent="0.25">
      <c r="C1242" s="7"/>
      <c r="E1242" s="8"/>
      <c r="F1242" s="8"/>
      <c r="G1242" s="8"/>
      <c r="H1242" s="8"/>
      <c r="I1242" s="8"/>
      <c r="J1242" s="8"/>
      <c r="K1242" s="8"/>
      <c r="L1242" s="8"/>
    </row>
    <row r="1243" spans="3:12" x14ac:dyDescent="0.25">
      <c r="C1243" s="7"/>
      <c r="E1243" s="8"/>
      <c r="F1243" s="8"/>
      <c r="G1243" s="8"/>
      <c r="H1243" s="8"/>
      <c r="I1243" s="8"/>
      <c r="J1243" s="8"/>
      <c r="K1243" s="8"/>
      <c r="L1243" s="8"/>
    </row>
    <row r="1244" spans="3:12" x14ac:dyDescent="0.25">
      <c r="C1244" s="7"/>
      <c r="E1244" s="8"/>
      <c r="F1244" s="8"/>
      <c r="G1244" s="8"/>
      <c r="H1244" s="8"/>
      <c r="I1244" s="8"/>
      <c r="J1244" s="8"/>
      <c r="K1244" s="8"/>
      <c r="L1244" s="8"/>
    </row>
    <row r="1245" spans="3:12" x14ac:dyDescent="0.25">
      <c r="C1245" s="7"/>
      <c r="E1245" s="8"/>
      <c r="F1245" s="8"/>
      <c r="G1245" s="8"/>
      <c r="H1245" s="8"/>
      <c r="I1245" s="8"/>
      <c r="J1245" s="8"/>
      <c r="K1245" s="8"/>
      <c r="L1245" s="8"/>
    </row>
    <row r="1246" spans="3:12" x14ac:dyDescent="0.25">
      <c r="C1246" s="7"/>
      <c r="E1246" s="8"/>
      <c r="F1246" s="8"/>
      <c r="G1246" s="8"/>
      <c r="H1246" s="8"/>
      <c r="I1246" s="8"/>
      <c r="J1246" s="8"/>
      <c r="K1246" s="8"/>
      <c r="L1246" s="8"/>
    </row>
    <row r="1247" spans="3:12" x14ac:dyDescent="0.25">
      <c r="C1247" s="7"/>
      <c r="E1247" s="8"/>
      <c r="F1247" s="8"/>
      <c r="G1247" s="8"/>
      <c r="H1247" s="8"/>
      <c r="I1247" s="8"/>
      <c r="J1247" s="8"/>
      <c r="K1247" s="8"/>
      <c r="L1247" s="8"/>
    </row>
    <row r="1248" spans="3:12" x14ac:dyDescent="0.25">
      <c r="C1248" s="7"/>
      <c r="E1248" s="8"/>
      <c r="F1248" s="8"/>
      <c r="G1248" s="8"/>
      <c r="H1248" s="8"/>
      <c r="I1248" s="8"/>
      <c r="J1248" s="8"/>
      <c r="K1248" s="8"/>
      <c r="L1248" s="8"/>
    </row>
    <row r="1249" spans="3:12" x14ac:dyDescent="0.25">
      <c r="C1249" s="7"/>
      <c r="E1249" s="8"/>
      <c r="F1249" s="8"/>
      <c r="G1249" s="8"/>
      <c r="H1249" s="8"/>
      <c r="I1249" s="8"/>
      <c r="J1249" s="8"/>
      <c r="K1249" s="8"/>
      <c r="L1249" s="8"/>
    </row>
    <row r="1250" spans="3:12" x14ac:dyDescent="0.25">
      <c r="C1250" s="7"/>
      <c r="E1250" s="8"/>
      <c r="F1250" s="8"/>
      <c r="G1250" s="8"/>
      <c r="H1250" s="8"/>
      <c r="I1250" s="8"/>
      <c r="J1250" s="8"/>
      <c r="K1250" s="8"/>
      <c r="L1250" s="8"/>
    </row>
    <row r="1251" spans="3:12" x14ac:dyDescent="0.25">
      <c r="C1251" s="7"/>
      <c r="E1251" s="8"/>
      <c r="F1251" s="8"/>
      <c r="G1251" s="8"/>
      <c r="H1251" s="8"/>
      <c r="I1251" s="8"/>
      <c r="J1251" s="8"/>
      <c r="K1251" s="8"/>
      <c r="L1251" s="8"/>
    </row>
    <row r="1252" spans="3:12" x14ac:dyDescent="0.25">
      <c r="C1252" s="7"/>
      <c r="E1252" s="8"/>
      <c r="F1252" s="8"/>
      <c r="G1252" s="8"/>
      <c r="H1252" s="8"/>
      <c r="I1252" s="8"/>
      <c r="J1252" s="8"/>
      <c r="K1252" s="8"/>
      <c r="L1252" s="8"/>
    </row>
    <row r="1253" spans="3:12" x14ac:dyDescent="0.25">
      <c r="C1253" s="7"/>
      <c r="E1253" s="8"/>
      <c r="F1253" s="8"/>
      <c r="G1253" s="8"/>
      <c r="H1253" s="8"/>
      <c r="I1253" s="8"/>
      <c r="J1253" s="8"/>
      <c r="K1253" s="8"/>
      <c r="L1253" s="8"/>
    </row>
    <row r="1254" spans="3:12" x14ac:dyDescent="0.25">
      <c r="C1254" s="7"/>
      <c r="E1254" s="8"/>
      <c r="F1254" s="8"/>
      <c r="G1254" s="8"/>
      <c r="H1254" s="8"/>
      <c r="I1254" s="8"/>
      <c r="J1254" s="8"/>
      <c r="K1254" s="8"/>
      <c r="L1254" s="8"/>
    </row>
    <row r="1255" spans="3:12" x14ac:dyDescent="0.25">
      <c r="C1255" s="7"/>
      <c r="E1255" s="8"/>
      <c r="F1255" s="8"/>
      <c r="G1255" s="8"/>
      <c r="H1255" s="8"/>
      <c r="I1255" s="8"/>
      <c r="J1255" s="8"/>
      <c r="K1255" s="8"/>
      <c r="L1255" s="8"/>
    </row>
    <row r="1256" spans="3:12" x14ac:dyDescent="0.25">
      <c r="C1256" s="7"/>
      <c r="E1256" s="8"/>
      <c r="F1256" s="8"/>
      <c r="G1256" s="8"/>
      <c r="H1256" s="8"/>
      <c r="I1256" s="8"/>
      <c r="J1256" s="8"/>
      <c r="K1256" s="8"/>
      <c r="L1256" s="8"/>
    </row>
    <row r="1257" spans="3:12" x14ac:dyDescent="0.25">
      <c r="C1257" s="7"/>
      <c r="E1257" s="8"/>
      <c r="F1257" s="8"/>
      <c r="G1257" s="8"/>
      <c r="H1257" s="8"/>
      <c r="I1257" s="8"/>
      <c r="J1257" s="8"/>
      <c r="K1257" s="8"/>
      <c r="L1257" s="8"/>
    </row>
    <row r="1258" spans="3:12" x14ac:dyDescent="0.25">
      <c r="C1258" s="7"/>
      <c r="E1258" s="8"/>
      <c r="F1258" s="8"/>
      <c r="G1258" s="8"/>
      <c r="H1258" s="8"/>
      <c r="I1258" s="8"/>
      <c r="J1258" s="8"/>
      <c r="K1258" s="8"/>
      <c r="L1258" s="8"/>
    </row>
    <row r="1259" spans="3:12" x14ac:dyDescent="0.25">
      <c r="C1259" s="7"/>
      <c r="E1259" s="8"/>
      <c r="F1259" s="8"/>
      <c r="G1259" s="8"/>
      <c r="H1259" s="8"/>
      <c r="I1259" s="8"/>
      <c r="J1259" s="8"/>
      <c r="K1259" s="8"/>
      <c r="L1259" s="8"/>
    </row>
    <row r="1260" spans="3:12" x14ac:dyDescent="0.25">
      <c r="C1260" s="7"/>
      <c r="E1260" s="8"/>
      <c r="F1260" s="8"/>
      <c r="G1260" s="8"/>
      <c r="H1260" s="8"/>
      <c r="I1260" s="8"/>
      <c r="J1260" s="8"/>
      <c r="K1260" s="8"/>
      <c r="L1260" s="8"/>
    </row>
    <row r="1261" spans="3:12" x14ac:dyDescent="0.25">
      <c r="C1261" s="7"/>
      <c r="E1261" s="8"/>
      <c r="F1261" s="8"/>
      <c r="G1261" s="8"/>
      <c r="H1261" s="8"/>
      <c r="I1261" s="8"/>
      <c r="J1261" s="8"/>
      <c r="K1261" s="8"/>
      <c r="L1261" s="8"/>
    </row>
    <row r="1262" spans="3:12" x14ac:dyDescent="0.25">
      <c r="C1262" s="7"/>
      <c r="E1262" s="8"/>
      <c r="F1262" s="8"/>
      <c r="G1262" s="8"/>
      <c r="H1262" s="8"/>
      <c r="I1262" s="8"/>
      <c r="J1262" s="8"/>
      <c r="K1262" s="8"/>
      <c r="L1262" s="8"/>
    </row>
    <row r="1263" spans="3:12" x14ac:dyDescent="0.25">
      <c r="C1263" s="7"/>
      <c r="E1263" s="8"/>
      <c r="F1263" s="8"/>
      <c r="G1263" s="8"/>
      <c r="H1263" s="8"/>
      <c r="I1263" s="8"/>
      <c r="J1263" s="8"/>
      <c r="K1263" s="8"/>
      <c r="L1263" s="8"/>
    </row>
    <row r="1264" spans="3:12" x14ac:dyDescent="0.25">
      <c r="C1264" s="7"/>
      <c r="E1264" s="8"/>
      <c r="F1264" s="8"/>
      <c r="G1264" s="8"/>
      <c r="H1264" s="8"/>
      <c r="I1264" s="8"/>
      <c r="J1264" s="8"/>
      <c r="K1264" s="8"/>
      <c r="L1264" s="8"/>
    </row>
    <row r="1265" spans="3:12" x14ac:dyDescent="0.25">
      <c r="C1265" s="7"/>
      <c r="E1265" s="8"/>
      <c r="F1265" s="8"/>
      <c r="G1265" s="8"/>
      <c r="H1265" s="8"/>
      <c r="I1265" s="8"/>
      <c r="J1265" s="8"/>
      <c r="K1265" s="8"/>
      <c r="L1265" s="8"/>
    </row>
    <row r="1266" spans="3:12" x14ac:dyDescent="0.25">
      <c r="C1266" s="7"/>
      <c r="E1266" s="8"/>
      <c r="F1266" s="8"/>
      <c r="G1266" s="8"/>
      <c r="H1266" s="8"/>
      <c r="I1266" s="8"/>
      <c r="J1266" s="8"/>
      <c r="K1266" s="8"/>
      <c r="L1266" s="8"/>
    </row>
    <row r="1267" spans="3:12" x14ac:dyDescent="0.25">
      <c r="C1267" s="7"/>
      <c r="E1267" s="8"/>
      <c r="F1267" s="8"/>
      <c r="G1267" s="8"/>
      <c r="H1267" s="8"/>
      <c r="I1267" s="8"/>
      <c r="J1267" s="8"/>
      <c r="K1267" s="8"/>
      <c r="L1267" s="8"/>
    </row>
    <row r="1268" spans="3:12" x14ac:dyDescent="0.25">
      <c r="C1268" s="7"/>
      <c r="E1268" s="8"/>
      <c r="F1268" s="8"/>
      <c r="G1268" s="8"/>
      <c r="H1268" s="8"/>
      <c r="I1268" s="8"/>
      <c r="J1268" s="8"/>
      <c r="K1268" s="8"/>
      <c r="L1268" s="8"/>
    </row>
    <row r="1269" spans="3:12" x14ac:dyDescent="0.25">
      <c r="C1269" s="7"/>
      <c r="E1269" s="8"/>
      <c r="F1269" s="8"/>
      <c r="G1269" s="8"/>
      <c r="H1269" s="8"/>
      <c r="I1269" s="8"/>
      <c r="J1269" s="8"/>
      <c r="K1269" s="8"/>
      <c r="L1269" s="8"/>
    </row>
    <row r="1270" spans="3:12" x14ac:dyDescent="0.25">
      <c r="C1270" s="7"/>
      <c r="E1270" s="8"/>
      <c r="F1270" s="8"/>
      <c r="G1270" s="8"/>
      <c r="H1270" s="8"/>
      <c r="I1270" s="8"/>
      <c r="J1270" s="8"/>
      <c r="K1270" s="8"/>
      <c r="L1270" s="8"/>
    </row>
    <row r="1271" spans="3:12" x14ac:dyDescent="0.25">
      <c r="C1271" s="7"/>
      <c r="E1271" s="8"/>
      <c r="F1271" s="8"/>
      <c r="G1271" s="8"/>
      <c r="H1271" s="8"/>
      <c r="I1271" s="8"/>
      <c r="J1271" s="8"/>
      <c r="K1271" s="8"/>
      <c r="L1271" s="8"/>
    </row>
    <row r="1272" spans="3:12" x14ac:dyDescent="0.25">
      <c r="C1272" s="7"/>
      <c r="E1272" s="8"/>
      <c r="F1272" s="8"/>
      <c r="G1272" s="8"/>
      <c r="H1272" s="8"/>
      <c r="I1272" s="8"/>
      <c r="J1272" s="8"/>
      <c r="K1272" s="8"/>
      <c r="L1272" s="8"/>
    </row>
    <row r="1273" spans="3:12" x14ac:dyDescent="0.25">
      <c r="C1273" s="7"/>
      <c r="E1273" s="8"/>
      <c r="F1273" s="8"/>
      <c r="G1273" s="8"/>
      <c r="H1273" s="8"/>
      <c r="I1273" s="8"/>
      <c r="J1273" s="8"/>
      <c r="K1273" s="8"/>
      <c r="L1273" s="8"/>
    </row>
    <row r="1274" spans="3:12" x14ac:dyDescent="0.25">
      <c r="C1274" s="7"/>
      <c r="E1274" s="8"/>
      <c r="F1274" s="8"/>
      <c r="G1274" s="8"/>
      <c r="H1274" s="8"/>
      <c r="I1274" s="8"/>
      <c r="J1274" s="8"/>
      <c r="K1274" s="8"/>
      <c r="L1274" s="8"/>
    </row>
    <row r="1275" spans="3:12" x14ac:dyDescent="0.25">
      <c r="C1275" s="7"/>
      <c r="E1275" s="8"/>
      <c r="F1275" s="8"/>
      <c r="G1275" s="8"/>
      <c r="H1275" s="8"/>
      <c r="I1275" s="8"/>
      <c r="J1275" s="8"/>
      <c r="K1275" s="8"/>
      <c r="L1275" s="8"/>
    </row>
    <row r="1276" spans="3:12" x14ac:dyDescent="0.25">
      <c r="C1276" s="7"/>
      <c r="E1276" s="8"/>
      <c r="F1276" s="8"/>
      <c r="G1276" s="8"/>
      <c r="H1276" s="8"/>
      <c r="I1276" s="8"/>
      <c r="J1276" s="8"/>
      <c r="K1276" s="8"/>
      <c r="L1276" s="8"/>
    </row>
    <row r="1277" spans="3:12" x14ac:dyDescent="0.25">
      <c r="C1277" s="7"/>
      <c r="E1277" s="8"/>
      <c r="F1277" s="8"/>
      <c r="G1277" s="8"/>
      <c r="H1277" s="8"/>
      <c r="I1277" s="8"/>
      <c r="J1277" s="8"/>
      <c r="K1277" s="8"/>
      <c r="L1277" s="8"/>
    </row>
    <row r="1278" spans="3:12" x14ac:dyDescent="0.25">
      <c r="C1278" s="7"/>
      <c r="E1278" s="8"/>
      <c r="F1278" s="8"/>
      <c r="G1278" s="8"/>
      <c r="H1278" s="8"/>
      <c r="I1278" s="8"/>
      <c r="J1278" s="8"/>
      <c r="K1278" s="8"/>
      <c r="L1278" s="8"/>
    </row>
    <row r="1279" spans="3:12" x14ac:dyDescent="0.25">
      <c r="C1279" s="7"/>
      <c r="E1279" s="8"/>
      <c r="F1279" s="8"/>
      <c r="G1279" s="8"/>
      <c r="H1279" s="8"/>
      <c r="I1279" s="8"/>
      <c r="J1279" s="8"/>
      <c r="K1279" s="8"/>
      <c r="L1279" s="8"/>
    </row>
    <row r="1280" spans="3:12" x14ac:dyDescent="0.25">
      <c r="C1280" s="7"/>
      <c r="E1280" s="8"/>
      <c r="F1280" s="8"/>
      <c r="G1280" s="8"/>
      <c r="H1280" s="8"/>
      <c r="I1280" s="8"/>
      <c r="J1280" s="8"/>
      <c r="K1280" s="8"/>
      <c r="L1280" s="8"/>
    </row>
    <row r="1281" spans="3:12" x14ac:dyDescent="0.25">
      <c r="C1281" s="7"/>
      <c r="E1281" s="8"/>
      <c r="F1281" s="8"/>
      <c r="G1281" s="8"/>
      <c r="H1281" s="8"/>
      <c r="I1281" s="8"/>
      <c r="J1281" s="8"/>
      <c r="K1281" s="8"/>
      <c r="L1281" s="8"/>
    </row>
    <row r="1282" spans="3:12" x14ac:dyDescent="0.25">
      <c r="C1282" s="7"/>
      <c r="E1282" s="8"/>
      <c r="F1282" s="8"/>
      <c r="G1282" s="8"/>
      <c r="H1282" s="8"/>
      <c r="I1282" s="8"/>
      <c r="J1282" s="8"/>
      <c r="K1282" s="8"/>
      <c r="L1282" s="8"/>
    </row>
    <row r="1283" spans="3:12" x14ac:dyDescent="0.25">
      <c r="C1283" s="7"/>
      <c r="E1283" s="8"/>
      <c r="F1283" s="8"/>
      <c r="G1283" s="8"/>
      <c r="H1283" s="8"/>
      <c r="I1283" s="8"/>
      <c r="J1283" s="8"/>
      <c r="K1283" s="8"/>
      <c r="L1283" s="8"/>
    </row>
    <row r="1284" spans="3:12" x14ac:dyDescent="0.25">
      <c r="C1284" s="7"/>
      <c r="E1284" s="8"/>
      <c r="F1284" s="8"/>
      <c r="G1284" s="8"/>
      <c r="H1284" s="8"/>
      <c r="I1284" s="8"/>
      <c r="J1284" s="8"/>
      <c r="K1284" s="8"/>
      <c r="L1284" s="8"/>
    </row>
    <row r="1285" spans="3:12" x14ac:dyDescent="0.25">
      <c r="C1285" s="7"/>
      <c r="E1285" s="8"/>
      <c r="F1285" s="8"/>
      <c r="G1285" s="8"/>
      <c r="H1285" s="8"/>
      <c r="I1285" s="8"/>
      <c r="J1285" s="8"/>
      <c r="K1285" s="8"/>
      <c r="L1285" s="8"/>
    </row>
    <row r="1286" spans="3:12" x14ac:dyDescent="0.25">
      <c r="C1286" s="7"/>
      <c r="E1286" s="8"/>
      <c r="F1286" s="8"/>
      <c r="G1286" s="8"/>
      <c r="H1286" s="8"/>
      <c r="I1286" s="8"/>
      <c r="J1286" s="8"/>
      <c r="K1286" s="8"/>
      <c r="L1286" s="8"/>
    </row>
    <row r="1287" spans="3:12" x14ac:dyDescent="0.25">
      <c r="C1287" s="7"/>
      <c r="E1287" s="8"/>
      <c r="F1287" s="8"/>
      <c r="G1287" s="8"/>
      <c r="H1287" s="8"/>
      <c r="I1287" s="8"/>
      <c r="J1287" s="8"/>
      <c r="K1287" s="8"/>
      <c r="L1287" s="8"/>
    </row>
    <row r="1288" spans="3:12" x14ac:dyDescent="0.25">
      <c r="C1288" s="7"/>
      <c r="E1288" s="8"/>
      <c r="F1288" s="8"/>
      <c r="G1288" s="8"/>
      <c r="H1288" s="8"/>
      <c r="I1288" s="8"/>
      <c r="J1288" s="8"/>
      <c r="K1288" s="8"/>
      <c r="L1288" s="8"/>
    </row>
    <row r="1289" spans="3:12" x14ac:dyDescent="0.25">
      <c r="C1289" s="7"/>
      <c r="E1289" s="8"/>
      <c r="F1289" s="8"/>
      <c r="G1289" s="8"/>
      <c r="H1289" s="8"/>
      <c r="I1289" s="8"/>
      <c r="J1289" s="8"/>
      <c r="K1289" s="8"/>
      <c r="L1289" s="8"/>
    </row>
    <row r="1290" spans="3:12" x14ac:dyDescent="0.25">
      <c r="C1290" s="7"/>
      <c r="E1290" s="8"/>
      <c r="F1290" s="8"/>
      <c r="G1290" s="8"/>
      <c r="H1290" s="8"/>
      <c r="I1290" s="8"/>
      <c r="J1290" s="8"/>
      <c r="K1290" s="8"/>
      <c r="L1290" s="8"/>
    </row>
    <row r="1291" spans="3:12" x14ac:dyDescent="0.25">
      <c r="C1291" s="7"/>
      <c r="E1291" s="8"/>
      <c r="F1291" s="8"/>
      <c r="G1291" s="8"/>
      <c r="H1291" s="8"/>
      <c r="I1291" s="8"/>
      <c r="J1291" s="8"/>
      <c r="K1291" s="8"/>
      <c r="L1291" s="8"/>
    </row>
    <row r="1292" spans="3:12" x14ac:dyDescent="0.25">
      <c r="C1292" s="7"/>
      <c r="E1292" s="8"/>
      <c r="F1292" s="8"/>
      <c r="G1292" s="8"/>
      <c r="H1292" s="8"/>
      <c r="I1292" s="8"/>
      <c r="J1292" s="8"/>
      <c r="K1292" s="8"/>
      <c r="L1292" s="8"/>
    </row>
    <row r="1293" spans="3:12" x14ac:dyDescent="0.25">
      <c r="C1293" s="7"/>
      <c r="E1293" s="8"/>
      <c r="F1293" s="8"/>
      <c r="G1293" s="8"/>
      <c r="H1293" s="8"/>
      <c r="I1293" s="8"/>
      <c r="J1293" s="8"/>
      <c r="K1293" s="8"/>
      <c r="L1293" s="8"/>
    </row>
    <row r="1294" spans="3:12" x14ac:dyDescent="0.25">
      <c r="C1294" s="7"/>
      <c r="E1294" s="8"/>
      <c r="F1294" s="8"/>
      <c r="G1294" s="8"/>
      <c r="H1294" s="8"/>
      <c r="I1294" s="8"/>
      <c r="J1294" s="8"/>
      <c r="K1294" s="8"/>
      <c r="L1294" s="8"/>
    </row>
    <row r="1295" spans="3:12" x14ac:dyDescent="0.25">
      <c r="C1295" s="7"/>
      <c r="E1295" s="8"/>
      <c r="F1295" s="8"/>
      <c r="G1295" s="8"/>
      <c r="H1295" s="8"/>
      <c r="I1295" s="8"/>
      <c r="J1295" s="8"/>
      <c r="K1295" s="8"/>
      <c r="L1295" s="8"/>
    </row>
    <row r="1296" spans="3:12" x14ac:dyDescent="0.25">
      <c r="C1296" s="7"/>
      <c r="E1296" s="8"/>
      <c r="F1296" s="8"/>
      <c r="G1296" s="8"/>
      <c r="H1296" s="8"/>
      <c r="I1296" s="8"/>
      <c r="J1296" s="8"/>
      <c r="K1296" s="8"/>
      <c r="L1296" s="8"/>
    </row>
    <row r="1297" spans="3:12" x14ac:dyDescent="0.25">
      <c r="C1297" s="7"/>
      <c r="E1297" s="8"/>
      <c r="F1297" s="8"/>
      <c r="G1297" s="8"/>
      <c r="H1297" s="8"/>
      <c r="I1297" s="8"/>
      <c r="J1297" s="8"/>
      <c r="K1297" s="8"/>
      <c r="L1297" s="8"/>
    </row>
    <row r="1298" spans="3:12" x14ac:dyDescent="0.25">
      <c r="C1298" s="7"/>
      <c r="E1298" s="8"/>
      <c r="F1298" s="8"/>
      <c r="G1298" s="8"/>
      <c r="H1298" s="8"/>
      <c r="I1298" s="8"/>
      <c r="J1298" s="8"/>
      <c r="K1298" s="8"/>
      <c r="L1298" s="8"/>
    </row>
    <row r="1299" spans="3:12" x14ac:dyDescent="0.25">
      <c r="C1299" s="7"/>
      <c r="E1299" s="8"/>
      <c r="F1299" s="8"/>
      <c r="G1299" s="8"/>
      <c r="H1299" s="8"/>
      <c r="I1299" s="8"/>
      <c r="J1299" s="8"/>
      <c r="K1299" s="8"/>
      <c r="L1299" s="8"/>
    </row>
    <row r="1300" spans="3:12" x14ac:dyDescent="0.25">
      <c r="C1300" s="7"/>
      <c r="E1300" s="8"/>
      <c r="F1300" s="8"/>
      <c r="G1300" s="8"/>
      <c r="H1300" s="8"/>
      <c r="I1300" s="8"/>
      <c r="J1300" s="8"/>
      <c r="K1300" s="8"/>
      <c r="L1300" s="8"/>
    </row>
    <row r="1301" spans="3:12" x14ac:dyDescent="0.25">
      <c r="C1301" s="7"/>
      <c r="E1301" s="8"/>
      <c r="F1301" s="8"/>
      <c r="G1301" s="8"/>
      <c r="H1301" s="8"/>
      <c r="I1301" s="8"/>
      <c r="J1301" s="8"/>
      <c r="K1301" s="8"/>
      <c r="L1301" s="8"/>
    </row>
    <row r="1302" spans="3:12" x14ac:dyDescent="0.25">
      <c r="C1302" s="7"/>
      <c r="E1302" s="8"/>
      <c r="F1302" s="8"/>
      <c r="G1302" s="8"/>
      <c r="H1302" s="8"/>
      <c r="I1302" s="8"/>
      <c r="J1302" s="8"/>
      <c r="K1302" s="8"/>
      <c r="L1302" s="8"/>
    </row>
    <row r="1303" spans="3:12" x14ac:dyDescent="0.25">
      <c r="C1303" s="7"/>
      <c r="E1303" s="8"/>
      <c r="F1303" s="8"/>
      <c r="G1303" s="8"/>
      <c r="H1303" s="8"/>
      <c r="I1303" s="8"/>
      <c r="J1303" s="8"/>
      <c r="K1303" s="8"/>
      <c r="L1303" s="8"/>
    </row>
    <row r="1304" spans="3:12" x14ac:dyDescent="0.25">
      <c r="C1304" s="7"/>
      <c r="E1304" s="8"/>
      <c r="F1304" s="8"/>
      <c r="G1304" s="8"/>
      <c r="H1304" s="8"/>
      <c r="I1304" s="8"/>
      <c r="J1304" s="8"/>
      <c r="K1304" s="8"/>
      <c r="L1304" s="8"/>
    </row>
    <row r="1305" spans="3:12" x14ac:dyDescent="0.25">
      <c r="C1305" s="7"/>
      <c r="E1305" s="8"/>
      <c r="F1305" s="8"/>
      <c r="G1305" s="8"/>
      <c r="H1305" s="8"/>
      <c r="I1305" s="8"/>
      <c r="J1305" s="8"/>
      <c r="K1305" s="8"/>
      <c r="L1305" s="8"/>
    </row>
    <row r="1306" spans="3:12" x14ac:dyDescent="0.25">
      <c r="C1306" s="7"/>
      <c r="E1306" s="8"/>
      <c r="F1306" s="8"/>
      <c r="G1306" s="8"/>
      <c r="H1306" s="8"/>
      <c r="I1306" s="8"/>
      <c r="J1306" s="8"/>
      <c r="K1306" s="8"/>
      <c r="L1306" s="8"/>
    </row>
    <row r="1307" spans="3:12" x14ac:dyDescent="0.25">
      <c r="C1307" s="7"/>
      <c r="E1307" s="8"/>
      <c r="F1307" s="8"/>
      <c r="G1307" s="8"/>
      <c r="H1307" s="8"/>
      <c r="I1307" s="8"/>
      <c r="J1307" s="8"/>
      <c r="K1307" s="8"/>
      <c r="L1307" s="8"/>
    </row>
    <row r="1308" spans="3:12" x14ac:dyDescent="0.25">
      <c r="C1308" s="7"/>
      <c r="E1308" s="8"/>
      <c r="F1308" s="8"/>
      <c r="G1308" s="8"/>
      <c r="H1308" s="8"/>
      <c r="I1308" s="8"/>
      <c r="J1308" s="8"/>
      <c r="K1308" s="8"/>
      <c r="L1308" s="8"/>
    </row>
    <row r="1309" spans="3:12" x14ac:dyDescent="0.25">
      <c r="C1309" s="7"/>
      <c r="E1309" s="8"/>
      <c r="F1309" s="8"/>
      <c r="G1309" s="8"/>
      <c r="H1309" s="8"/>
      <c r="I1309" s="8"/>
      <c r="J1309" s="8"/>
      <c r="K1309" s="8"/>
      <c r="L1309" s="8"/>
    </row>
    <row r="1310" spans="3:12" x14ac:dyDescent="0.25">
      <c r="C1310" s="7"/>
      <c r="E1310" s="8"/>
      <c r="F1310" s="8"/>
      <c r="G1310" s="8"/>
      <c r="H1310" s="8"/>
      <c r="I1310" s="8"/>
      <c r="J1310" s="8"/>
      <c r="K1310" s="8"/>
      <c r="L1310" s="8"/>
    </row>
    <row r="1311" spans="3:12" x14ac:dyDescent="0.25">
      <c r="C1311" s="7"/>
      <c r="E1311" s="8"/>
      <c r="F1311" s="8"/>
      <c r="G1311" s="8"/>
      <c r="H1311" s="8"/>
      <c r="I1311" s="8"/>
      <c r="J1311" s="8"/>
      <c r="K1311" s="8"/>
      <c r="L1311" s="8"/>
    </row>
    <row r="1312" spans="3:12" x14ac:dyDescent="0.25">
      <c r="C1312" s="7"/>
      <c r="E1312" s="8"/>
      <c r="F1312" s="8"/>
      <c r="G1312" s="8"/>
      <c r="H1312" s="8"/>
      <c r="I1312" s="8"/>
      <c r="J1312" s="8"/>
      <c r="K1312" s="8"/>
      <c r="L1312" s="8"/>
    </row>
    <row r="1313" spans="3:12" x14ac:dyDescent="0.25">
      <c r="C1313" s="7"/>
      <c r="E1313" s="8"/>
      <c r="F1313" s="8"/>
      <c r="G1313" s="8"/>
      <c r="H1313" s="8"/>
      <c r="I1313" s="8"/>
      <c r="J1313" s="8"/>
      <c r="K1313" s="8"/>
      <c r="L1313" s="8"/>
    </row>
    <row r="1314" spans="3:12" x14ac:dyDescent="0.25">
      <c r="C1314" s="7"/>
      <c r="E1314" s="8"/>
      <c r="F1314" s="8"/>
      <c r="G1314" s="8"/>
      <c r="H1314" s="8"/>
      <c r="I1314" s="8"/>
      <c r="J1314" s="8"/>
      <c r="K1314" s="8"/>
      <c r="L1314" s="8"/>
    </row>
    <row r="1315" spans="3:12" x14ac:dyDescent="0.25">
      <c r="C1315" s="7"/>
      <c r="E1315" s="8"/>
      <c r="F1315" s="8"/>
      <c r="G1315" s="8"/>
      <c r="H1315" s="8"/>
      <c r="I1315" s="8"/>
      <c r="J1315" s="8"/>
      <c r="K1315" s="8"/>
      <c r="L1315" s="8"/>
    </row>
    <row r="1316" spans="3:12" x14ac:dyDescent="0.25">
      <c r="C1316" s="7"/>
      <c r="E1316" s="8"/>
      <c r="F1316" s="8"/>
      <c r="G1316" s="8"/>
      <c r="H1316" s="8"/>
      <c r="I1316" s="8"/>
      <c r="J1316" s="8"/>
      <c r="K1316" s="8"/>
      <c r="L1316" s="8"/>
    </row>
    <row r="1317" spans="3:12" x14ac:dyDescent="0.25">
      <c r="C1317" s="7"/>
      <c r="E1317" s="8"/>
      <c r="F1317" s="8"/>
      <c r="G1317" s="8"/>
      <c r="H1317" s="8"/>
      <c r="I1317" s="8"/>
      <c r="J1317" s="8"/>
      <c r="K1317" s="8"/>
      <c r="L1317" s="8"/>
    </row>
    <row r="1318" spans="3:12" x14ac:dyDescent="0.25">
      <c r="C1318" s="7"/>
      <c r="E1318" s="8"/>
      <c r="F1318" s="8"/>
      <c r="G1318" s="8"/>
      <c r="H1318" s="8"/>
      <c r="I1318" s="8"/>
      <c r="J1318" s="8"/>
      <c r="K1318" s="8"/>
      <c r="L1318" s="8"/>
    </row>
    <row r="1319" spans="3:12" x14ac:dyDescent="0.25">
      <c r="C1319" s="7"/>
      <c r="E1319" s="8"/>
      <c r="F1319" s="8"/>
      <c r="G1319" s="8"/>
      <c r="H1319" s="8"/>
      <c r="I1319" s="8"/>
      <c r="J1319" s="8"/>
      <c r="K1319" s="8"/>
      <c r="L1319" s="8"/>
    </row>
    <row r="1320" spans="3:12" x14ac:dyDescent="0.25">
      <c r="C1320" s="7"/>
      <c r="E1320" s="8"/>
      <c r="F1320" s="8"/>
      <c r="G1320" s="8"/>
      <c r="H1320" s="8"/>
      <c r="I1320" s="8"/>
      <c r="J1320" s="8"/>
      <c r="K1320" s="8"/>
      <c r="L1320" s="8"/>
    </row>
    <row r="1321" spans="3:12" x14ac:dyDescent="0.25">
      <c r="C1321" s="7"/>
      <c r="E1321" s="8"/>
      <c r="F1321" s="8"/>
      <c r="G1321" s="8"/>
      <c r="H1321" s="8"/>
      <c r="I1321" s="8"/>
      <c r="J1321" s="8"/>
      <c r="K1321" s="8"/>
      <c r="L1321" s="8"/>
    </row>
    <row r="1322" spans="3:12" x14ac:dyDescent="0.25">
      <c r="C1322" s="7"/>
      <c r="E1322" s="8"/>
      <c r="F1322" s="8"/>
      <c r="G1322" s="8"/>
      <c r="H1322" s="8"/>
      <c r="I1322" s="8"/>
      <c r="J1322" s="8"/>
      <c r="K1322" s="8"/>
      <c r="L1322" s="8"/>
    </row>
    <row r="1323" spans="3:12" x14ac:dyDescent="0.25">
      <c r="C1323" s="7"/>
      <c r="E1323" s="8"/>
      <c r="F1323" s="8"/>
      <c r="G1323" s="8"/>
      <c r="H1323" s="8"/>
      <c r="I1323" s="8"/>
      <c r="J1323" s="8"/>
      <c r="K1323" s="8"/>
      <c r="L1323" s="8"/>
    </row>
    <row r="1324" spans="3:12" x14ac:dyDescent="0.25">
      <c r="C1324" s="7"/>
      <c r="E1324" s="8"/>
      <c r="F1324" s="8"/>
      <c r="G1324" s="8"/>
      <c r="H1324" s="8"/>
      <c r="I1324" s="8"/>
      <c r="J1324" s="8"/>
      <c r="K1324" s="8"/>
      <c r="L1324" s="8"/>
    </row>
    <row r="1325" spans="3:12" x14ac:dyDescent="0.25">
      <c r="C1325" s="7"/>
      <c r="E1325" s="8"/>
      <c r="F1325" s="8"/>
      <c r="G1325" s="8"/>
      <c r="H1325" s="8"/>
      <c r="I1325" s="8"/>
      <c r="J1325" s="8"/>
      <c r="K1325" s="8"/>
      <c r="L1325" s="8"/>
    </row>
    <row r="1326" spans="3:12" x14ac:dyDescent="0.25">
      <c r="C1326" s="7"/>
      <c r="E1326" s="8"/>
      <c r="F1326" s="8"/>
      <c r="G1326" s="8"/>
      <c r="H1326" s="8"/>
      <c r="I1326" s="8"/>
      <c r="J1326" s="8"/>
      <c r="K1326" s="8"/>
      <c r="L1326" s="8"/>
    </row>
    <row r="1327" spans="3:12" x14ac:dyDescent="0.25">
      <c r="C1327" s="7"/>
      <c r="E1327" s="8"/>
      <c r="F1327" s="8"/>
      <c r="G1327" s="8"/>
      <c r="H1327" s="8"/>
      <c r="I1327" s="8"/>
      <c r="J1327" s="8"/>
      <c r="K1327" s="8"/>
      <c r="L1327" s="8"/>
    </row>
    <row r="1328" spans="3:12" x14ac:dyDescent="0.25">
      <c r="C1328" s="7"/>
      <c r="E1328" s="8"/>
      <c r="F1328" s="8"/>
      <c r="G1328" s="8"/>
      <c r="H1328" s="8"/>
      <c r="I1328" s="8"/>
      <c r="J1328" s="8"/>
      <c r="K1328" s="8"/>
      <c r="L1328" s="8"/>
    </row>
    <row r="1329" spans="3:12" x14ac:dyDescent="0.25">
      <c r="C1329" s="7"/>
      <c r="E1329" s="8"/>
      <c r="F1329" s="8"/>
      <c r="G1329" s="8"/>
      <c r="H1329" s="8"/>
      <c r="I1329" s="8"/>
      <c r="J1329" s="8"/>
      <c r="K1329" s="8"/>
      <c r="L1329" s="8"/>
    </row>
    <row r="1330" spans="3:12" x14ac:dyDescent="0.25">
      <c r="C1330" s="7"/>
      <c r="E1330" s="8"/>
      <c r="F1330" s="8"/>
      <c r="G1330" s="8"/>
      <c r="H1330" s="8"/>
      <c r="I1330" s="8"/>
      <c r="J1330" s="8"/>
      <c r="K1330" s="8"/>
      <c r="L1330" s="8"/>
    </row>
    <row r="1331" spans="3:12" x14ac:dyDescent="0.25">
      <c r="C1331" s="7"/>
      <c r="E1331" s="8"/>
      <c r="F1331" s="8"/>
      <c r="G1331" s="8"/>
      <c r="H1331" s="8"/>
      <c r="I1331" s="8"/>
      <c r="J1331" s="8"/>
      <c r="K1331" s="8"/>
      <c r="L1331" s="8"/>
    </row>
    <row r="1332" spans="3:12" x14ac:dyDescent="0.25">
      <c r="C1332" s="7"/>
      <c r="E1332" s="8"/>
      <c r="F1332" s="8"/>
      <c r="G1332" s="8"/>
      <c r="H1332" s="8"/>
      <c r="I1332" s="8"/>
      <c r="J1332" s="8"/>
      <c r="K1332" s="8"/>
      <c r="L1332" s="8"/>
    </row>
    <row r="1333" spans="3:12" x14ac:dyDescent="0.25">
      <c r="C1333" s="7"/>
      <c r="E1333" s="8"/>
      <c r="F1333" s="8"/>
      <c r="G1333" s="8"/>
      <c r="H1333" s="8"/>
      <c r="I1333" s="8"/>
      <c r="J1333" s="8"/>
      <c r="K1333" s="8"/>
      <c r="L1333" s="8"/>
    </row>
    <row r="1334" spans="3:12" x14ac:dyDescent="0.25">
      <c r="C1334" s="7"/>
      <c r="E1334" s="8"/>
      <c r="F1334" s="8"/>
      <c r="G1334" s="8"/>
      <c r="H1334" s="8"/>
      <c r="I1334" s="8"/>
      <c r="J1334" s="8"/>
      <c r="K1334" s="8"/>
      <c r="L1334" s="8"/>
    </row>
    <row r="1335" spans="3:12" x14ac:dyDescent="0.25">
      <c r="C1335" s="7"/>
      <c r="E1335" s="8"/>
      <c r="F1335" s="8"/>
      <c r="G1335" s="8"/>
      <c r="H1335" s="8"/>
      <c r="I1335" s="8"/>
      <c r="J1335" s="8"/>
      <c r="K1335" s="8"/>
      <c r="L1335" s="8"/>
    </row>
    <row r="1336" spans="3:12" x14ac:dyDescent="0.25">
      <c r="C1336" s="7"/>
      <c r="E1336" s="8"/>
      <c r="F1336" s="8"/>
      <c r="G1336" s="8"/>
      <c r="H1336" s="8"/>
      <c r="I1336" s="8"/>
      <c r="J1336" s="8"/>
      <c r="K1336" s="8"/>
      <c r="L1336" s="8"/>
    </row>
    <row r="1337" spans="3:12" x14ac:dyDescent="0.25">
      <c r="C1337" s="7"/>
      <c r="E1337" s="8"/>
      <c r="F1337" s="8"/>
      <c r="G1337" s="8"/>
      <c r="H1337" s="8"/>
      <c r="I1337" s="8"/>
      <c r="J1337" s="8"/>
      <c r="K1337" s="8"/>
      <c r="L1337" s="8"/>
    </row>
    <row r="1338" spans="3:12" x14ac:dyDescent="0.25">
      <c r="C1338" s="7"/>
      <c r="E1338" s="8"/>
      <c r="F1338" s="8"/>
      <c r="G1338" s="8"/>
      <c r="H1338" s="8"/>
      <c r="I1338" s="8"/>
      <c r="J1338" s="8"/>
      <c r="K1338" s="8"/>
      <c r="L1338" s="8"/>
    </row>
    <row r="1339" spans="3:12" x14ac:dyDescent="0.25">
      <c r="C1339" s="7"/>
      <c r="E1339" s="8"/>
      <c r="F1339" s="8"/>
      <c r="G1339" s="8"/>
      <c r="H1339" s="8"/>
      <c r="I1339" s="8"/>
      <c r="J1339" s="8"/>
      <c r="K1339" s="8"/>
      <c r="L1339" s="8"/>
    </row>
    <row r="1340" spans="3:12" x14ac:dyDescent="0.25">
      <c r="C1340" s="7"/>
      <c r="E1340" s="8"/>
      <c r="F1340" s="8"/>
      <c r="G1340" s="8"/>
      <c r="H1340" s="8"/>
      <c r="I1340" s="8"/>
      <c r="J1340" s="8"/>
      <c r="K1340" s="8"/>
      <c r="L1340" s="8"/>
    </row>
    <row r="1341" spans="3:12" x14ac:dyDescent="0.25">
      <c r="C1341" s="7"/>
      <c r="E1341" s="8"/>
      <c r="F1341" s="8"/>
      <c r="G1341" s="8"/>
      <c r="H1341" s="8"/>
      <c r="I1341" s="8"/>
      <c r="J1341" s="8"/>
      <c r="K1341" s="8"/>
      <c r="L1341" s="8"/>
    </row>
    <row r="1342" spans="3:12" x14ac:dyDescent="0.25">
      <c r="C1342" s="7"/>
      <c r="E1342" s="8"/>
      <c r="F1342" s="8"/>
      <c r="G1342" s="8"/>
      <c r="H1342" s="8"/>
      <c r="I1342" s="8"/>
      <c r="J1342" s="8"/>
      <c r="K1342" s="8"/>
      <c r="L1342" s="8"/>
    </row>
    <row r="1343" spans="3:12" x14ac:dyDescent="0.25">
      <c r="C1343" s="7"/>
      <c r="E1343" s="8"/>
      <c r="F1343" s="8"/>
      <c r="G1343" s="8"/>
      <c r="H1343" s="8"/>
      <c r="I1343" s="8"/>
      <c r="J1343" s="8"/>
      <c r="K1343" s="8"/>
      <c r="L1343" s="8"/>
    </row>
    <row r="1344" spans="3:12" x14ac:dyDescent="0.25">
      <c r="C1344" s="7"/>
      <c r="E1344" s="8"/>
      <c r="F1344" s="8"/>
      <c r="G1344" s="8"/>
      <c r="H1344" s="8"/>
      <c r="I1344" s="8"/>
      <c r="J1344" s="8"/>
      <c r="K1344" s="8"/>
      <c r="L1344" s="8"/>
    </row>
    <row r="1345" spans="3:12" x14ac:dyDescent="0.25">
      <c r="C1345" s="7"/>
      <c r="E1345" s="8"/>
      <c r="F1345" s="8"/>
      <c r="G1345" s="8"/>
      <c r="H1345" s="8"/>
      <c r="I1345" s="8"/>
      <c r="J1345" s="8"/>
      <c r="K1345" s="8"/>
      <c r="L1345" s="8"/>
    </row>
    <row r="1346" spans="3:12" x14ac:dyDescent="0.25">
      <c r="C1346" s="7"/>
      <c r="E1346" s="8"/>
      <c r="F1346" s="8"/>
      <c r="G1346" s="8"/>
      <c r="H1346" s="8"/>
      <c r="I1346" s="8"/>
      <c r="J1346" s="8"/>
      <c r="K1346" s="8"/>
      <c r="L1346" s="8"/>
    </row>
    <row r="1347" spans="3:12" x14ac:dyDescent="0.25">
      <c r="C1347" s="7"/>
      <c r="E1347" s="8"/>
      <c r="F1347" s="8"/>
      <c r="G1347" s="8"/>
      <c r="H1347" s="8"/>
      <c r="I1347" s="8"/>
      <c r="J1347" s="8"/>
      <c r="K1347" s="8"/>
      <c r="L1347" s="8"/>
    </row>
    <row r="1348" spans="3:12" x14ac:dyDescent="0.25">
      <c r="C1348" s="7"/>
      <c r="E1348" s="8"/>
      <c r="F1348" s="8"/>
      <c r="G1348" s="8"/>
      <c r="H1348" s="8"/>
      <c r="I1348" s="8"/>
      <c r="J1348" s="8"/>
      <c r="K1348" s="8"/>
      <c r="L1348" s="8"/>
    </row>
    <row r="1349" spans="3:12" x14ac:dyDescent="0.25">
      <c r="C1349" s="7"/>
      <c r="E1349" s="8"/>
      <c r="F1349" s="8"/>
      <c r="G1349" s="8"/>
      <c r="H1349" s="8"/>
      <c r="I1349" s="8"/>
      <c r="J1349" s="8"/>
      <c r="K1349" s="8"/>
      <c r="L1349" s="8"/>
    </row>
    <row r="1350" spans="3:12" x14ac:dyDescent="0.25">
      <c r="C1350" s="7"/>
      <c r="E1350" s="8"/>
      <c r="F1350" s="8"/>
      <c r="G1350" s="8"/>
      <c r="H1350" s="8"/>
      <c r="I1350" s="8"/>
      <c r="J1350" s="8"/>
      <c r="K1350" s="8"/>
      <c r="L1350" s="8"/>
    </row>
    <row r="1351" spans="3:12" x14ac:dyDescent="0.25">
      <c r="C1351" s="7"/>
      <c r="E1351" s="8"/>
      <c r="F1351" s="8"/>
      <c r="G1351" s="8"/>
      <c r="H1351" s="8"/>
      <c r="I1351" s="8"/>
      <c r="J1351" s="8"/>
      <c r="K1351" s="8"/>
      <c r="L1351" s="8"/>
    </row>
    <row r="1352" spans="3:12" x14ac:dyDescent="0.25">
      <c r="C1352" s="7"/>
      <c r="E1352" s="8"/>
      <c r="F1352" s="8"/>
      <c r="G1352" s="8"/>
      <c r="H1352" s="8"/>
      <c r="I1352" s="8"/>
      <c r="J1352" s="8"/>
      <c r="K1352" s="8"/>
      <c r="L1352" s="8"/>
    </row>
    <row r="1353" spans="3:12" x14ac:dyDescent="0.25">
      <c r="C1353" s="7"/>
      <c r="E1353" s="8"/>
      <c r="F1353" s="8"/>
      <c r="G1353" s="8"/>
      <c r="H1353" s="8"/>
      <c r="I1353" s="8"/>
      <c r="J1353" s="8"/>
      <c r="K1353" s="8"/>
      <c r="L1353" s="8"/>
    </row>
    <row r="1354" spans="3:12" x14ac:dyDescent="0.25">
      <c r="C1354" s="7"/>
      <c r="E1354" s="8"/>
      <c r="F1354" s="8"/>
      <c r="G1354" s="8"/>
      <c r="H1354" s="8"/>
      <c r="I1354" s="8"/>
      <c r="J1354" s="8"/>
      <c r="K1354" s="8"/>
      <c r="L1354" s="8"/>
    </row>
    <row r="1355" spans="3:12" x14ac:dyDescent="0.25">
      <c r="C1355" s="7"/>
      <c r="E1355" s="8"/>
      <c r="F1355" s="8"/>
      <c r="G1355" s="8"/>
      <c r="H1355" s="8"/>
      <c r="I1355" s="8"/>
      <c r="J1355" s="8"/>
      <c r="K1355" s="8"/>
      <c r="L1355" s="8"/>
    </row>
    <row r="1356" spans="3:12" x14ac:dyDescent="0.25">
      <c r="C1356" s="7"/>
      <c r="E1356" s="8"/>
      <c r="F1356" s="8"/>
      <c r="G1356" s="8"/>
      <c r="H1356" s="8"/>
      <c r="I1356" s="8"/>
      <c r="J1356" s="8"/>
      <c r="K1356" s="8"/>
      <c r="L1356" s="8"/>
    </row>
    <row r="1357" spans="3:12" x14ac:dyDescent="0.25">
      <c r="C1357" s="7"/>
      <c r="E1357" s="8"/>
      <c r="F1357" s="8"/>
      <c r="G1357" s="8"/>
      <c r="H1357" s="8"/>
      <c r="I1357" s="8"/>
      <c r="J1357" s="8"/>
      <c r="K1357" s="8"/>
      <c r="L1357" s="8"/>
    </row>
    <row r="1358" spans="3:12" x14ac:dyDescent="0.25">
      <c r="C1358" s="7"/>
      <c r="E1358" s="8"/>
      <c r="F1358" s="8"/>
      <c r="G1358" s="8"/>
      <c r="H1358" s="8"/>
      <c r="I1358" s="8"/>
      <c r="J1358" s="8"/>
      <c r="K1358" s="8"/>
      <c r="L1358" s="8"/>
    </row>
    <row r="1359" spans="3:12" x14ac:dyDescent="0.25">
      <c r="C1359" s="7"/>
      <c r="E1359" s="8"/>
      <c r="F1359" s="8"/>
      <c r="G1359" s="8"/>
      <c r="H1359" s="8"/>
      <c r="I1359" s="8"/>
      <c r="J1359" s="8"/>
      <c r="K1359" s="8"/>
      <c r="L1359" s="8"/>
    </row>
    <row r="1360" spans="3:12" x14ac:dyDescent="0.25">
      <c r="C1360" s="7"/>
      <c r="E1360" s="8"/>
      <c r="F1360" s="8"/>
      <c r="G1360" s="8"/>
      <c r="H1360" s="8"/>
      <c r="I1360" s="8"/>
      <c r="J1360" s="8"/>
      <c r="K1360" s="8"/>
      <c r="L1360" s="8"/>
    </row>
    <row r="1361" spans="3:12" x14ac:dyDescent="0.25">
      <c r="C1361" s="7"/>
      <c r="E1361" s="8"/>
      <c r="F1361" s="8"/>
      <c r="G1361" s="8"/>
      <c r="H1361" s="8"/>
      <c r="I1361" s="8"/>
      <c r="J1361" s="8"/>
      <c r="K1361" s="8"/>
      <c r="L1361" s="8"/>
    </row>
    <row r="1362" spans="3:12" x14ac:dyDescent="0.25">
      <c r="C1362" s="7"/>
      <c r="E1362" s="8"/>
      <c r="F1362" s="8"/>
      <c r="G1362" s="8"/>
      <c r="H1362" s="8"/>
      <c r="I1362" s="8"/>
      <c r="J1362" s="8"/>
      <c r="K1362" s="8"/>
      <c r="L1362" s="8"/>
    </row>
    <row r="1363" spans="3:12" x14ac:dyDescent="0.25">
      <c r="C1363" s="7"/>
      <c r="E1363" s="8"/>
      <c r="F1363" s="8"/>
      <c r="G1363" s="8"/>
      <c r="H1363" s="8"/>
      <c r="I1363" s="8"/>
      <c r="J1363" s="8"/>
      <c r="K1363" s="8"/>
      <c r="L1363" s="8"/>
    </row>
    <row r="1364" spans="3:12" x14ac:dyDescent="0.25">
      <c r="C1364" s="7"/>
      <c r="E1364" s="8"/>
      <c r="F1364" s="8"/>
      <c r="G1364" s="8"/>
      <c r="H1364" s="8"/>
      <c r="I1364" s="8"/>
      <c r="J1364" s="8"/>
      <c r="K1364" s="8"/>
      <c r="L1364" s="8"/>
    </row>
    <row r="1365" spans="3:12" x14ac:dyDescent="0.25">
      <c r="C1365" s="7"/>
      <c r="E1365" s="8"/>
      <c r="F1365" s="8"/>
      <c r="G1365" s="8"/>
      <c r="H1365" s="8"/>
      <c r="I1365" s="8"/>
      <c r="J1365" s="8"/>
      <c r="K1365" s="8"/>
      <c r="L1365" s="8"/>
    </row>
    <row r="1366" spans="3:12" x14ac:dyDescent="0.25">
      <c r="C1366" s="7"/>
      <c r="E1366" s="8"/>
      <c r="F1366" s="8"/>
      <c r="G1366" s="8"/>
      <c r="H1366" s="8"/>
      <c r="I1366" s="8"/>
      <c r="J1366" s="8"/>
      <c r="K1366" s="8"/>
      <c r="L1366" s="8"/>
    </row>
    <row r="1367" spans="3:12" x14ac:dyDescent="0.25">
      <c r="C1367" s="7"/>
      <c r="E1367" s="8"/>
      <c r="F1367" s="8"/>
      <c r="G1367" s="8"/>
      <c r="H1367" s="8"/>
      <c r="I1367" s="8"/>
      <c r="J1367" s="8"/>
      <c r="K1367" s="8"/>
      <c r="L1367" s="8"/>
    </row>
    <row r="1368" spans="3:12" x14ac:dyDescent="0.25">
      <c r="C1368" s="7"/>
      <c r="E1368" s="8"/>
      <c r="F1368" s="8"/>
      <c r="G1368" s="8"/>
      <c r="H1368" s="8"/>
      <c r="I1368" s="8"/>
      <c r="J1368" s="8"/>
      <c r="K1368" s="8"/>
      <c r="L1368" s="8"/>
    </row>
    <row r="1369" spans="3:12" x14ac:dyDescent="0.25">
      <c r="C1369" s="7"/>
      <c r="E1369" s="8"/>
      <c r="F1369" s="8"/>
      <c r="G1369" s="8"/>
      <c r="H1369" s="8"/>
      <c r="I1369" s="8"/>
      <c r="J1369" s="8"/>
      <c r="K1369" s="8"/>
      <c r="L1369" s="8"/>
    </row>
    <row r="1370" spans="3:12" x14ac:dyDescent="0.25">
      <c r="C1370" s="7"/>
      <c r="E1370" s="8"/>
      <c r="F1370" s="8"/>
      <c r="G1370" s="8"/>
      <c r="H1370" s="8"/>
      <c r="I1370" s="8"/>
      <c r="J1370" s="8"/>
      <c r="K1370" s="8"/>
      <c r="L1370" s="8"/>
    </row>
    <row r="1371" spans="3:12" x14ac:dyDescent="0.25">
      <c r="C1371" s="7"/>
      <c r="E1371" s="8"/>
      <c r="F1371" s="8"/>
      <c r="G1371" s="8"/>
      <c r="H1371" s="8"/>
      <c r="I1371" s="8"/>
      <c r="J1371" s="8"/>
      <c r="K1371" s="8"/>
      <c r="L1371" s="8"/>
    </row>
    <row r="1372" spans="3:12" x14ac:dyDescent="0.25">
      <c r="C1372" s="7"/>
      <c r="E1372" s="8"/>
      <c r="F1372" s="8"/>
      <c r="G1372" s="8"/>
      <c r="H1372" s="8"/>
      <c r="I1372" s="8"/>
      <c r="J1372" s="8"/>
      <c r="K1372" s="8"/>
      <c r="L1372" s="8"/>
    </row>
    <row r="1373" spans="3:12" x14ac:dyDescent="0.25">
      <c r="C1373" s="7"/>
      <c r="E1373" s="8"/>
      <c r="F1373" s="8"/>
      <c r="G1373" s="8"/>
      <c r="H1373" s="8"/>
      <c r="I1373" s="8"/>
      <c r="J1373" s="8"/>
      <c r="K1373" s="8"/>
      <c r="L1373" s="8"/>
    </row>
    <row r="1374" spans="3:12" x14ac:dyDescent="0.25">
      <c r="C1374" s="7"/>
      <c r="E1374" s="8"/>
      <c r="F1374" s="8"/>
      <c r="G1374" s="8"/>
      <c r="H1374" s="8"/>
      <c r="I1374" s="8"/>
      <c r="J1374" s="8"/>
      <c r="K1374" s="8"/>
      <c r="L1374" s="8"/>
    </row>
    <row r="1375" spans="3:12" x14ac:dyDescent="0.25">
      <c r="C1375" s="7"/>
      <c r="E1375" s="8"/>
      <c r="F1375" s="8"/>
      <c r="G1375" s="8"/>
      <c r="H1375" s="8"/>
      <c r="I1375" s="8"/>
      <c r="J1375" s="8"/>
      <c r="K1375" s="8"/>
      <c r="L1375" s="8"/>
    </row>
    <row r="1376" spans="3:12" x14ac:dyDescent="0.25">
      <c r="C1376" s="7"/>
      <c r="E1376" s="8"/>
      <c r="F1376" s="8"/>
      <c r="G1376" s="8"/>
      <c r="H1376" s="8"/>
      <c r="I1376" s="8"/>
      <c r="J1376" s="8"/>
      <c r="K1376" s="8"/>
      <c r="L1376" s="8"/>
    </row>
    <row r="1377" spans="3:12" x14ac:dyDescent="0.25">
      <c r="C1377" s="7"/>
      <c r="E1377" s="8"/>
      <c r="F1377" s="8"/>
      <c r="G1377" s="8"/>
      <c r="H1377" s="8"/>
      <c r="I1377" s="8"/>
      <c r="J1377" s="8"/>
      <c r="K1377" s="8"/>
      <c r="L1377" s="8"/>
    </row>
    <row r="1378" spans="3:12" x14ac:dyDescent="0.25">
      <c r="C1378" s="7"/>
      <c r="E1378" s="8"/>
      <c r="F1378" s="8"/>
      <c r="G1378" s="8"/>
      <c r="H1378" s="8"/>
      <c r="I1378" s="8"/>
      <c r="J1378" s="8"/>
      <c r="K1378" s="8"/>
      <c r="L1378" s="8"/>
    </row>
    <row r="1379" spans="3:12" x14ac:dyDescent="0.25">
      <c r="C1379" s="7"/>
      <c r="E1379" s="8"/>
      <c r="F1379" s="8"/>
      <c r="G1379" s="8"/>
      <c r="H1379" s="8"/>
      <c r="I1379" s="8"/>
      <c r="J1379" s="8"/>
      <c r="K1379" s="8"/>
      <c r="L1379" s="8"/>
    </row>
    <row r="1380" spans="3:12" x14ac:dyDescent="0.25">
      <c r="C1380" s="7"/>
      <c r="E1380" s="8"/>
      <c r="F1380" s="8"/>
      <c r="G1380" s="8"/>
      <c r="H1380" s="8"/>
      <c r="I1380" s="8"/>
      <c r="J1380" s="8"/>
      <c r="K1380" s="8"/>
      <c r="L1380" s="8"/>
    </row>
    <row r="1381" spans="3:12" x14ac:dyDescent="0.25">
      <c r="C1381" s="7"/>
      <c r="E1381" s="8"/>
      <c r="F1381" s="8"/>
      <c r="G1381" s="8"/>
      <c r="H1381" s="8"/>
      <c r="I1381" s="8"/>
      <c r="J1381" s="8"/>
      <c r="K1381" s="8"/>
      <c r="L1381" s="8"/>
    </row>
    <row r="1382" spans="3:12" x14ac:dyDescent="0.25">
      <c r="C1382" s="7"/>
      <c r="E1382" s="8"/>
      <c r="F1382" s="8"/>
      <c r="G1382" s="8"/>
      <c r="H1382" s="8"/>
      <c r="I1382" s="8"/>
      <c r="J1382" s="8"/>
      <c r="K1382" s="8"/>
      <c r="L1382" s="8"/>
    </row>
    <row r="1383" spans="3:12" x14ac:dyDescent="0.25">
      <c r="C1383" s="7"/>
      <c r="E1383" s="8"/>
      <c r="F1383" s="8"/>
      <c r="G1383" s="8"/>
      <c r="H1383" s="8"/>
      <c r="I1383" s="8"/>
      <c r="J1383" s="8"/>
      <c r="K1383" s="8"/>
      <c r="L1383" s="8"/>
    </row>
    <row r="1384" spans="3:12" x14ac:dyDescent="0.25">
      <c r="C1384" s="7"/>
      <c r="E1384" s="8"/>
      <c r="F1384" s="8"/>
      <c r="G1384" s="8"/>
      <c r="H1384" s="8"/>
      <c r="I1384" s="8"/>
      <c r="J1384" s="8"/>
      <c r="K1384" s="8"/>
      <c r="L1384" s="8"/>
    </row>
    <row r="1385" spans="3:12" x14ac:dyDescent="0.25">
      <c r="C1385" s="7"/>
      <c r="E1385" s="8"/>
      <c r="F1385" s="8"/>
      <c r="G1385" s="8"/>
      <c r="H1385" s="8"/>
      <c r="I1385" s="8"/>
      <c r="J1385" s="8"/>
      <c r="K1385" s="8"/>
      <c r="L1385" s="8"/>
    </row>
    <row r="1386" spans="3:12" x14ac:dyDescent="0.25">
      <c r="C1386" s="7"/>
      <c r="E1386" s="8"/>
      <c r="F1386" s="8"/>
      <c r="G1386" s="8"/>
      <c r="H1386" s="8"/>
      <c r="I1386" s="8"/>
      <c r="J1386" s="8"/>
      <c r="K1386" s="8"/>
      <c r="L1386" s="8"/>
    </row>
    <row r="1387" spans="3:12" x14ac:dyDescent="0.25">
      <c r="C1387" s="7"/>
      <c r="E1387" s="8"/>
      <c r="F1387" s="8"/>
      <c r="G1387" s="8"/>
      <c r="H1387" s="8"/>
      <c r="I1387" s="8"/>
      <c r="J1387" s="8"/>
      <c r="K1387" s="8"/>
      <c r="L1387" s="8"/>
    </row>
    <row r="1388" spans="3:12" x14ac:dyDescent="0.25">
      <c r="C1388" s="7"/>
      <c r="E1388" s="8"/>
      <c r="F1388" s="8"/>
      <c r="G1388" s="8"/>
      <c r="H1388" s="8"/>
      <c r="I1388" s="8"/>
      <c r="J1388" s="8"/>
      <c r="K1388" s="8"/>
      <c r="L1388" s="8"/>
    </row>
    <row r="1389" spans="3:12" x14ac:dyDescent="0.25">
      <c r="C1389" s="7"/>
      <c r="E1389" s="8"/>
      <c r="F1389" s="8"/>
      <c r="G1389" s="8"/>
      <c r="H1389" s="8"/>
      <c r="I1389" s="8"/>
      <c r="J1389" s="8"/>
      <c r="K1389" s="8"/>
      <c r="L1389" s="8"/>
    </row>
    <row r="1390" spans="3:12" x14ac:dyDescent="0.25">
      <c r="C1390" s="7"/>
      <c r="E1390" s="8"/>
      <c r="F1390" s="8"/>
      <c r="G1390" s="8"/>
      <c r="H1390" s="8"/>
      <c r="I1390" s="8"/>
      <c r="J1390" s="8"/>
      <c r="K1390" s="8"/>
      <c r="L1390" s="8"/>
    </row>
    <row r="1391" spans="3:12" x14ac:dyDescent="0.25">
      <c r="C1391" s="7"/>
      <c r="E1391" s="8"/>
      <c r="F1391" s="8"/>
      <c r="G1391" s="8"/>
      <c r="H1391" s="8"/>
      <c r="I1391" s="8"/>
      <c r="J1391" s="8"/>
      <c r="K1391" s="8"/>
      <c r="L1391" s="8"/>
    </row>
    <row r="1392" spans="3:12" x14ac:dyDescent="0.25">
      <c r="C1392" s="7"/>
      <c r="E1392" s="8"/>
      <c r="F1392" s="8"/>
      <c r="G1392" s="8"/>
      <c r="H1392" s="8"/>
      <c r="I1392" s="8"/>
      <c r="J1392" s="8"/>
      <c r="K1392" s="8"/>
      <c r="L1392" s="8"/>
    </row>
    <row r="1393" spans="3:12" x14ac:dyDescent="0.25">
      <c r="C1393" s="7"/>
      <c r="E1393" s="8"/>
      <c r="F1393" s="8"/>
      <c r="G1393" s="8"/>
      <c r="H1393" s="8"/>
      <c r="I1393" s="8"/>
      <c r="J1393" s="8"/>
      <c r="K1393" s="8"/>
      <c r="L1393" s="8"/>
    </row>
    <row r="1394" spans="3:12" x14ac:dyDescent="0.25">
      <c r="C1394" s="7"/>
      <c r="E1394" s="8"/>
      <c r="F1394" s="8"/>
      <c r="G1394" s="8"/>
      <c r="H1394" s="8"/>
      <c r="I1394" s="8"/>
      <c r="J1394" s="8"/>
      <c r="K1394" s="8"/>
      <c r="L1394" s="8"/>
    </row>
    <row r="1395" spans="3:12" x14ac:dyDescent="0.25">
      <c r="C1395" s="7"/>
      <c r="E1395" s="8"/>
      <c r="F1395" s="8"/>
      <c r="G1395" s="8"/>
      <c r="H1395" s="8"/>
      <c r="I1395" s="8"/>
      <c r="J1395" s="8"/>
      <c r="K1395" s="8"/>
      <c r="L1395" s="8"/>
    </row>
    <row r="1396" spans="3:12" x14ac:dyDescent="0.25">
      <c r="C1396" s="7"/>
      <c r="E1396" s="8"/>
      <c r="F1396" s="8"/>
      <c r="G1396" s="8"/>
      <c r="H1396" s="8"/>
      <c r="I1396" s="8"/>
      <c r="J1396" s="8"/>
      <c r="K1396" s="8"/>
      <c r="L1396" s="8"/>
    </row>
    <row r="1397" spans="3:12" x14ac:dyDescent="0.25">
      <c r="C1397" s="7"/>
      <c r="E1397" s="8"/>
      <c r="F1397" s="8"/>
      <c r="G1397" s="8"/>
      <c r="H1397" s="8"/>
      <c r="I1397" s="8"/>
      <c r="J1397" s="8"/>
      <c r="K1397" s="8"/>
      <c r="L1397" s="8"/>
    </row>
    <row r="1398" spans="3:12" x14ac:dyDescent="0.25">
      <c r="C1398" s="7"/>
      <c r="E1398" s="8"/>
      <c r="F1398" s="8"/>
      <c r="G1398" s="8"/>
      <c r="H1398" s="8"/>
      <c r="I1398" s="8"/>
      <c r="J1398" s="8"/>
      <c r="K1398" s="8"/>
      <c r="L1398" s="8"/>
    </row>
    <row r="1399" spans="3:12" x14ac:dyDescent="0.25">
      <c r="C1399" s="7"/>
      <c r="E1399" s="8"/>
      <c r="F1399" s="8"/>
      <c r="G1399" s="8"/>
      <c r="H1399" s="8"/>
      <c r="I1399" s="8"/>
      <c r="J1399" s="8"/>
      <c r="K1399" s="8"/>
      <c r="L1399" s="8"/>
    </row>
    <row r="1400" spans="3:12" x14ac:dyDescent="0.25">
      <c r="C1400" s="7"/>
      <c r="E1400" s="8"/>
      <c r="F1400" s="8"/>
      <c r="G1400" s="8"/>
      <c r="H1400" s="8"/>
      <c r="I1400" s="8"/>
      <c r="J1400" s="8"/>
      <c r="K1400" s="8"/>
      <c r="L1400" s="8"/>
    </row>
    <row r="1401" spans="3:12" x14ac:dyDescent="0.25">
      <c r="C1401" s="7"/>
      <c r="E1401" s="8"/>
      <c r="F1401" s="8"/>
      <c r="G1401" s="8"/>
      <c r="H1401" s="8"/>
      <c r="I1401" s="8"/>
      <c r="J1401" s="8"/>
      <c r="K1401" s="8"/>
      <c r="L1401" s="8"/>
    </row>
    <row r="1402" spans="3:12" x14ac:dyDescent="0.25">
      <c r="C1402" s="7"/>
      <c r="E1402" s="8"/>
      <c r="F1402" s="8"/>
      <c r="G1402" s="8"/>
      <c r="H1402" s="8"/>
      <c r="I1402" s="8"/>
      <c r="J1402" s="8"/>
      <c r="K1402" s="8"/>
      <c r="L1402" s="8"/>
    </row>
    <row r="1403" spans="3:12" x14ac:dyDescent="0.25">
      <c r="C1403" s="7"/>
      <c r="E1403" s="8"/>
      <c r="F1403" s="8"/>
      <c r="G1403" s="8"/>
      <c r="H1403" s="8"/>
      <c r="I1403" s="8"/>
      <c r="J1403" s="8"/>
      <c r="K1403" s="8"/>
      <c r="L1403" s="8"/>
    </row>
    <row r="1404" spans="3:12" x14ac:dyDescent="0.25">
      <c r="C1404" s="7"/>
      <c r="E1404" s="8"/>
      <c r="F1404" s="8"/>
      <c r="G1404" s="8"/>
      <c r="H1404" s="8"/>
      <c r="I1404" s="8"/>
      <c r="J1404" s="8"/>
      <c r="K1404" s="8"/>
      <c r="L1404" s="8"/>
    </row>
    <row r="1405" spans="3:12" x14ac:dyDescent="0.25">
      <c r="C1405" s="7"/>
      <c r="E1405" s="8"/>
      <c r="F1405" s="8"/>
      <c r="G1405" s="8"/>
      <c r="H1405" s="8"/>
      <c r="I1405" s="8"/>
      <c r="J1405" s="8"/>
      <c r="K1405" s="8"/>
      <c r="L1405" s="8"/>
    </row>
    <row r="1406" spans="3:12" x14ac:dyDescent="0.25">
      <c r="C1406" s="7"/>
      <c r="E1406" s="8"/>
      <c r="F1406" s="8"/>
      <c r="G1406" s="8"/>
      <c r="H1406" s="8"/>
      <c r="I1406" s="8"/>
      <c r="J1406" s="8"/>
      <c r="K1406" s="8"/>
      <c r="L1406" s="8"/>
    </row>
    <row r="1407" spans="3:12" x14ac:dyDescent="0.25">
      <c r="C1407" s="7"/>
      <c r="E1407" s="8"/>
      <c r="F1407" s="8"/>
      <c r="G1407" s="8"/>
      <c r="H1407" s="8"/>
      <c r="I1407" s="8"/>
      <c r="J1407" s="8"/>
      <c r="K1407" s="8"/>
      <c r="L1407" s="8"/>
    </row>
    <row r="1408" spans="3:12" x14ac:dyDescent="0.25">
      <c r="C1408" s="7"/>
      <c r="E1408" s="8"/>
      <c r="F1408" s="8"/>
      <c r="G1408" s="8"/>
      <c r="H1408" s="8"/>
      <c r="I1408" s="8"/>
      <c r="J1408" s="8"/>
      <c r="K1408" s="8"/>
      <c r="L1408" s="8"/>
    </row>
    <row r="1409" spans="3:12" x14ac:dyDescent="0.25">
      <c r="C1409" s="7"/>
      <c r="E1409" s="8"/>
      <c r="F1409" s="8"/>
      <c r="G1409" s="8"/>
      <c r="H1409" s="8"/>
      <c r="I1409" s="8"/>
      <c r="J1409" s="8"/>
      <c r="K1409" s="8"/>
      <c r="L1409" s="8"/>
    </row>
    <row r="1410" spans="3:12" x14ac:dyDescent="0.25">
      <c r="C1410" s="7"/>
      <c r="E1410" s="8"/>
      <c r="F1410" s="8"/>
      <c r="G1410" s="8"/>
      <c r="H1410" s="8"/>
      <c r="I1410" s="8"/>
      <c r="J1410" s="8"/>
      <c r="K1410" s="8"/>
      <c r="L1410" s="8"/>
    </row>
    <row r="1411" spans="3:12" x14ac:dyDescent="0.25">
      <c r="C1411" s="7"/>
      <c r="E1411" s="8"/>
      <c r="F1411" s="8"/>
      <c r="G1411" s="8"/>
      <c r="H1411" s="8"/>
      <c r="I1411" s="8"/>
      <c r="J1411" s="8"/>
      <c r="K1411" s="8"/>
      <c r="L1411" s="8"/>
    </row>
    <row r="1412" spans="3:12" x14ac:dyDescent="0.25">
      <c r="C1412" s="7"/>
      <c r="E1412" s="8"/>
      <c r="F1412" s="8"/>
      <c r="G1412" s="8"/>
      <c r="H1412" s="8"/>
      <c r="I1412" s="8"/>
      <c r="J1412" s="8"/>
      <c r="K1412" s="8"/>
      <c r="L1412" s="8"/>
    </row>
    <row r="1413" spans="3:12" x14ac:dyDescent="0.25">
      <c r="C1413" s="7"/>
      <c r="E1413" s="8"/>
      <c r="F1413" s="8"/>
      <c r="G1413" s="8"/>
      <c r="H1413" s="8"/>
      <c r="I1413" s="8"/>
      <c r="J1413" s="8"/>
      <c r="K1413" s="8"/>
      <c r="L1413" s="8"/>
    </row>
    <row r="1414" spans="3:12" x14ac:dyDescent="0.25">
      <c r="C1414" s="7"/>
      <c r="E1414" s="8"/>
      <c r="F1414" s="8"/>
      <c r="G1414" s="8"/>
      <c r="H1414" s="8"/>
      <c r="I1414" s="8"/>
      <c r="J1414" s="8"/>
      <c r="K1414" s="8"/>
      <c r="L1414" s="8"/>
    </row>
    <row r="1415" spans="3:12" x14ac:dyDescent="0.25">
      <c r="C1415" s="7"/>
      <c r="E1415" s="8"/>
      <c r="F1415" s="8"/>
      <c r="G1415" s="8"/>
      <c r="H1415" s="8"/>
      <c r="I1415" s="8"/>
      <c r="J1415" s="8"/>
      <c r="K1415" s="8"/>
      <c r="L1415" s="8"/>
    </row>
    <row r="1416" spans="3:12" x14ac:dyDescent="0.25">
      <c r="C1416" s="7"/>
      <c r="E1416" s="8"/>
      <c r="F1416" s="8"/>
      <c r="G1416" s="8"/>
      <c r="H1416" s="8"/>
      <c r="I1416" s="8"/>
      <c r="J1416" s="8"/>
      <c r="K1416" s="8"/>
      <c r="L1416" s="8"/>
    </row>
    <row r="1417" spans="3:12" x14ac:dyDescent="0.25">
      <c r="C1417" s="7"/>
      <c r="E1417" s="8"/>
      <c r="F1417" s="8"/>
      <c r="G1417" s="8"/>
      <c r="H1417" s="8"/>
      <c r="I1417" s="8"/>
      <c r="J1417" s="8"/>
      <c r="K1417" s="8"/>
      <c r="L1417" s="8"/>
    </row>
    <row r="1418" spans="3:12" x14ac:dyDescent="0.25">
      <c r="C1418" s="7"/>
      <c r="E1418" s="8"/>
      <c r="F1418" s="8"/>
      <c r="G1418" s="8"/>
      <c r="H1418" s="8"/>
      <c r="I1418" s="8"/>
      <c r="J1418" s="8"/>
      <c r="K1418" s="8"/>
      <c r="L1418" s="8"/>
    </row>
    <row r="1419" spans="3:12" x14ac:dyDescent="0.25">
      <c r="C1419" s="7"/>
      <c r="E1419" s="8"/>
      <c r="F1419" s="8"/>
      <c r="G1419" s="8"/>
      <c r="H1419" s="8"/>
      <c r="I1419" s="8"/>
      <c r="J1419" s="8"/>
      <c r="K1419" s="8"/>
      <c r="L1419" s="8"/>
    </row>
    <row r="1420" spans="3:12" x14ac:dyDescent="0.25">
      <c r="C1420" s="7"/>
      <c r="E1420" s="8"/>
      <c r="F1420" s="8"/>
      <c r="G1420" s="8"/>
      <c r="H1420" s="8"/>
      <c r="I1420" s="8"/>
      <c r="J1420" s="8"/>
      <c r="K1420" s="8"/>
      <c r="L1420" s="8"/>
    </row>
    <row r="1421" spans="3:12" x14ac:dyDescent="0.25">
      <c r="C1421" s="7"/>
      <c r="E1421" s="8"/>
      <c r="F1421" s="8"/>
      <c r="G1421" s="8"/>
      <c r="H1421" s="8"/>
      <c r="I1421" s="8"/>
      <c r="J1421" s="8"/>
      <c r="K1421" s="8"/>
      <c r="L1421" s="8"/>
    </row>
    <row r="1422" spans="3:12" x14ac:dyDescent="0.25">
      <c r="C1422" s="7"/>
      <c r="E1422" s="8"/>
      <c r="F1422" s="8"/>
      <c r="G1422" s="8"/>
      <c r="H1422" s="8"/>
      <c r="I1422" s="8"/>
      <c r="J1422" s="8"/>
      <c r="K1422" s="8"/>
      <c r="L1422" s="8"/>
    </row>
    <row r="1423" spans="3:12" x14ac:dyDescent="0.25">
      <c r="C1423" s="7"/>
      <c r="E1423" s="8"/>
      <c r="F1423" s="8"/>
      <c r="G1423" s="8"/>
      <c r="H1423" s="8"/>
      <c r="I1423" s="8"/>
      <c r="J1423" s="8"/>
      <c r="K1423" s="8"/>
      <c r="L1423" s="8"/>
    </row>
    <row r="1424" spans="3:12" x14ac:dyDescent="0.25">
      <c r="C1424" s="7"/>
      <c r="E1424" s="8"/>
      <c r="F1424" s="8"/>
      <c r="G1424" s="8"/>
      <c r="H1424" s="8"/>
      <c r="I1424" s="8"/>
      <c r="J1424" s="8"/>
      <c r="K1424" s="8"/>
      <c r="L1424" s="8"/>
    </row>
    <row r="1425" spans="3:12" x14ac:dyDescent="0.25">
      <c r="C1425" s="7"/>
      <c r="E1425" s="8"/>
      <c r="F1425" s="8"/>
      <c r="G1425" s="8"/>
      <c r="H1425" s="8"/>
      <c r="I1425" s="8"/>
      <c r="J1425" s="8"/>
      <c r="K1425" s="8"/>
      <c r="L1425" s="8"/>
    </row>
    <row r="1426" spans="3:12" x14ac:dyDescent="0.25">
      <c r="C1426" s="7"/>
      <c r="E1426" s="8"/>
      <c r="F1426" s="8"/>
      <c r="G1426" s="8"/>
      <c r="H1426" s="8"/>
      <c r="I1426" s="8"/>
      <c r="J1426" s="8"/>
      <c r="K1426" s="8"/>
      <c r="L1426" s="8"/>
    </row>
    <row r="1427" spans="3:12" x14ac:dyDescent="0.25">
      <c r="C1427" s="7"/>
      <c r="E1427" s="8"/>
      <c r="F1427" s="8"/>
      <c r="G1427" s="8"/>
      <c r="H1427" s="8"/>
      <c r="I1427" s="8"/>
      <c r="J1427" s="8"/>
      <c r="K1427" s="8"/>
      <c r="L1427" s="8"/>
    </row>
    <row r="1428" spans="3:12" x14ac:dyDescent="0.25">
      <c r="C1428" s="7"/>
      <c r="E1428" s="8"/>
      <c r="F1428" s="8"/>
      <c r="G1428" s="8"/>
      <c r="H1428" s="8"/>
      <c r="I1428" s="8"/>
      <c r="J1428" s="8"/>
      <c r="K1428" s="8"/>
      <c r="L1428" s="8"/>
    </row>
    <row r="1429" spans="3:12" x14ac:dyDescent="0.25">
      <c r="C1429" s="7"/>
      <c r="E1429" s="8"/>
      <c r="F1429" s="8"/>
      <c r="G1429" s="8"/>
      <c r="H1429" s="8"/>
      <c r="I1429" s="8"/>
      <c r="J1429" s="8"/>
      <c r="K1429" s="8"/>
      <c r="L1429" s="8"/>
    </row>
    <row r="1430" spans="3:12" x14ac:dyDescent="0.25">
      <c r="C1430" s="7"/>
      <c r="E1430" s="8"/>
      <c r="F1430" s="8"/>
      <c r="G1430" s="8"/>
      <c r="H1430" s="8"/>
      <c r="I1430" s="8"/>
      <c r="J1430" s="8"/>
      <c r="K1430" s="8"/>
      <c r="L1430" s="8"/>
    </row>
    <row r="1431" spans="3:12" x14ac:dyDescent="0.25">
      <c r="C1431" s="7"/>
      <c r="E1431" s="8"/>
      <c r="F1431" s="8"/>
      <c r="G1431" s="8"/>
      <c r="H1431" s="8"/>
      <c r="I1431" s="8"/>
      <c r="J1431" s="8"/>
      <c r="K1431" s="8"/>
      <c r="L1431" s="8"/>
    </row>
    <row r="1432" spans="3:12" x14ac:dyDescent="0.25">
      <c r="C1432" s="7"/>
      <c r="E1432" s="8"/>
      <c r="F1432" s="8"/>
      <c r="G1432" s="8"/>
      <c r="H1432" s="8"/>
      <c r="I1432" s="8"/>
      <c r="J1432" s="8"/>
      <c r="K1432" s="8"/>
      <c r="L1432" s="8"/>
    </row>
    <row r="1433" spans="3:12" x14ac:dyDescent="0.25">
      <c r="C1433" s="7"/>
      <c r="E1433" s="8"/>
      <c r="F1433" s="8"/>
      <c r="G1433" s="8"/>
      <c r="H1433" s="8"/>
      <c r="I1433" s="8"/>
      <c r="J1433" s="8"/>
      <c r="K1433" s="8"/>
      <c r="L1433" s="8"/>
    </row>
    <row r="1434" spans="3:12" x14ac:dyDescent="0.25">
      <c r="C1434" s="7"/>
      <c r="E1434" s="8"/>
      <c r="F1434" s="8"/>
      <c r="G1434" s="8"/>
      <c r="H1434" s="8"/>
      <c r="I1434" s="8"/>
      <c r="J1434" s="8"/>
      <c r="K1434" s="8"/>
      <c r="L1434" s="8"/>
    </row>
    <row r="1435" spans="3:12" x14ac:dyDescent="0.25">
      <c r="C1435" s="7"/>
      <c r="E1435" s="8"/>
      <c r="F1435" s="8"/>
      <c r="G1435" s="8"/>
      <c r="H1435" s="8"/>
      <c r="I1435" s="8"/>
      <c r="J1435" s="8"/>
      <c r="K1435" s="8"/>
      <c r="L1435" s="8"/>
    </row>
    <row r="1436" spans="3:12" x14ac:dyDescent="0.25">
      <c r="C1436" s="7"/>
      <c r="E1436" s="8"/>
      <c r="F1436" s="8"/>
      <c r="G1436" s="8"/>
      <c r="H1436" s="8"/>
      <c r="I1436" s="8"/>
      <c r="J1436" s="8"/>
      <c r="K1436" s="8"/>
      <c r="L1436" s="8"/>
    </row>
    <row r="1437" spans="3:12" x14ac:dyDescent="0.25">
      <c r="C1437" s="7"/>
      <c r="E1437" s="8"/>
      <c r="F1437" s="8"/>
      <c r="G1437" s="8"/>
      <c r="H1437" s="8"/>
      <c r="I1437" s="8"/>
      <c r="J1437" s="8"/>
      <c r="K1437" s="8"/>
      <c r="L1437" s="8"/>
    </row>
    <row r="1438" spans="3:12" x14ac:dyDescent="0.25">
      <c r="C1438" s="7"/>
      <c r="E1438" s="8"/>
      <c r="F1438" s="8"/>
      <c r="G1438" s="8"/>
      <c r="H1438" s="8"/>
      <c r="I1438" s="8"/>
      <c r="J1438" s="8"/>
      <c r="K1438" s="8"/>
      <c r="L1438" s="8"/>
    </row>
    <row r="1439" spans="3:12" x14ac:dyDescent="0.25">
      <c r="C1439" s="7"/>
      <c r="E1439" s="8"/>
      <c r="F1439" s="8"/>
      <c r="G1439" s="8"/>
      <c r="H1439" s="8"/>
      <c r="I1439" s="8"/>
      <c r="J1439" s="8"/>
      <c r="K1439" s="8"/>
      <c r="L1439" s="8"/>
    </row>
    <row r="1440" spans="3:12" x14ac:dyDescent="0.25">
      <c r="C1440" s="7"/>
      <c r="E1440" s="8"/>
      <c r="F1440" s="8"/>
      <c r="G1440" s="8"/>
      <c r="H1440" s="8"/>
      <c r="I1440" s="8"/>
      <c r="J1440" s="8"/>
      <c r="K1440" s="8"/>
      <c r="L1440" s="8"/>
    </row>
    <row r="1441" spans="3:12" x14ac:dyDescent="0.25">
      <c r="C1441" s="7"/>
      <c r="E1441" s="8"/>
      <c r="F1441" s="8"/>
      <c r="G1441" s="8"/>
      <c r="H1441" s="8"/>
      <c r="I1441" s="8"/>
      <c r="J1441" s="8"/>
      <c r="K1441" s="8"/>
      <c r="L1441" s="8"/>
    </row>
    <row r="1442" spans="3:12" x14ac:dyDescent="0.25">
      <c r="C1442" s="7"/>
      <c r="E1442" s="8"/>
      <c r="F1442" s="8"/>
      <c r="G1442" s="8"/>
      <c r="H1442" s="8"/>
      <c r="I1442" s="8"/>
      <c r="J1442" s="8"/>
      <c r="K1442" s="8"/>
      <c r="L1442" s="8"/>
    </row>
    <row r="1443" spans="3:12" x14ac:dyDescent="0.25">
      <c r="C1443" s="7"/>
      <c r="E1443" s="8"/>
      <c r="F1443" s="8"/>
      <c r="G1443" s="8"/>
      <c r="H1443" s="8"/>
      <c r="I1443" s="8"/>
      <c r="J1443" s="8"/>
      <c r="K1443" s="8"/>
      <c r="L1443" s="8"/>
    </row>
    <row r="1444" spans="3:12" x14ac:dyDescent="0.25">
      <c r="C1444" s="7"/>
      <c r="E1444" s="8"/>
      <c r="F1444" s="8"/>
      <c r="G1444" s="8"/>
      <c r="H1444" s="8"/>
      <c r="I1444" s="8"/>
      <c r="J1444" s="8"/>
      <c r="K1444" s="8"/>
      <c r="L1444" s="8"/>
    </row>
    <row r="1445" spans="3:12" x14ac:dyDescent="0.25">
      <c r="C1445" s="7"/>
      <c r="E1445" s="8"/>
      <c r="F1445" s="8"/>
      <c r="G1445" s="8"/>
      <c r="H1445" s="8"/>
      <c r="I1445" s="8"/>
      <c r="J1445" s="8"/>
      <c r="K1445" s="8"/>
      <c r="L1445" s="8"/>
    </row>
    <row r="1446" spans="3:12" x14ac:dyDescent="0.25">
      <c r="C1446" s="7"/>
      <c r="E1446" s="8"/>
      <c r="F1446" s="8"/>
      <c r="G1446" s="8"/>
      <c r="H1446" s="8"/>
      <c r="I1446" s="8"/>
      <c r="J1446" s="8"/>
      <c r="K1446" s="8"/>
      <c r="L1446" s="8"/>
    </row>
    <row r="1447" spans="3:12" x14ac:dyDescent="0.25">
      <c r="C1447" s="7"/>
      <c r="E1447" s="8"/>
      <c r="F1447" s="8"/>
      <c r="G1447" s="8"/>
      <c r="H1447" s="8"/>
      <c r="I1447" s="8"/>
      <c r="J1447" s="8"/>
      <c r="K1447" s="8"/>
      <c r="L1447" s="8"/>
    </row>
    <row r="1448" spans="3:12" x14ac:dyDescent="0.25">
      <c r="C1448" s="7"/>
      <c r="E1448" s="8"/>
      <c r="F1448" s="8"/>
      <c r="G1448" s="8"/>
      <c r="H1448" s="8"/>
      <c r="I1448" s="8"/>
      <c r="J1448" s="8"/>
      <c r="K1448" s="8"/>
      <c r="L1448" s="8"/>
    </row>
    <row r="1449" spans="3:12" x14ac:dyDescent="0.25">
      <c r="C1449" s="7"/>
      <c r="E1449" s="8"/>
      <c r="F1449" s="8"/>
      <c r="G1449" s="8"/>
      <c r="H1449" s="8"/>
      <c r="I1449" s="8"/>
      <c r="J1449" s="8"/>
      <c r="K1449" s="8"/>
      <c r="L1449" s="8"/>
    </row>
    <row r="1450" spans="3:12" x14ac:dyDescent="0.25">
      <c r="C1450" s="7"/>
      <c r="E1450" s="8"/>
      <c r="F1450" s="8"/>
      <c r="G1450" s="8"/>
      <c r="H1450" s="8"/>
      <c r="I1450" s="8"/>
      <c r="J1450" s="8"/>
      <c r="K1450" s="8"/>
      <c r="L1450" s="8"/>
    </row>
    <row r="1451" spans="3:12" x14ac:dyDescent="0.25">
      <c r="C1451" s="7"/>
      <c r="E1451" s="8"/>
      <c r="F1451" s="8"/>
      <c r="G1451" s="8"/>
      <c r="H1451" s="8"/>
      <c r="I1451" s="8"/>
      <c r="J1451" s="8"/>
      <c r="K1451" s="8"/>
      <c r="L1451" s="8"/>
    </row>
    <row r="1452" spans="3:12" x14ac:dyDescent="0.25">
      <c r="C1452" s="7"/>
      <c r="E1452" s="8"/>
      <c r="F1452" s="8"/>
      <c r="G1452" s="8"/>
      <c r="H1452" s="8"/>
      <c r="I1452" s="8"/>
      <c r="J1452" s="8"/>
      <c r="K1452" s="8"/>
      <c r="L1452" s="8"/>
    </row>
    <row r="1453" spans="3:12" x14ac:dyDescent="0.25">
      <c r="C1453" s="7"/>
      <c r="E1453" s="8"/>
      <c r="F1453" s="8"/>
      <c r="G1453" s="8"/>
      <c r="H1453" s="8"/>
      <c r="I1453" s="8"/>
      <c r="J1453" s="8"/>
      <c r="K1453" s="8"/>
      <c r="L1453" s="8"/>
    </row>
    <row r="1454" spans="3:12" x14ac:dyDescent="0.25">
      <c r="C1454" s="7"/>
      <c r="E1454" s="8"/>
      <c r="F1454" s="8"/>
      <c r="G1454" s="8"/>
      <c r="H1454" s="8"/>
      <c r="I1454" s="8"/>
      <c r="J1454" s="8"/>
      <c r="K1454" s="8"/>
      <c r="L1454" s="8"/>
    </row>
    <row r="1455" spans="3:12" x14ac:dyDescent="0.25">
      <c r="C1455" s="7"/>
      <c r="E1455" s="8"/>
      <c r="F1455" s="8"/>
      <c r="G1455" s="8"/>
      <c r="H1455" s="8"/>
      <c r="I1455" s="8"/>
      <c r="J1455" s="8"/>
      <c r="K1455" s="8"/>
      <c r="L1455" s="8"/>
    </row>
    <row r="1456" spans="3:12" x14ac:dyDescent="0.25">
      <c r="C1456" s="7"/>
      <c r="E1456" s="8"/>
      <c r="F1456" s="8"/>
      <c r="G1456" s="8"/>
      <c r="H1456" s="8"/>
      <c r="I1456" s="8"/>
      <c r="J1456" s="8"/>
      <c r="K1456" s="8"/>
      <c r="L1456" s="8"/>
    </row>
    <row r="1457" spans="3:12" x14ac:dyDescent="0.25">
      <c r="C1457" s="7"/>
      <c r="E1457" s="8"/>
      <c r="F1457" s="8"/>
      <c r="G1457" s="8"/>
      <c r="H1457" s="8"/>
      <c r="I1457" s="8"/>
      <c r="J1457" s="8"/>
      <c r="K1457" s="8"/>
      <c r="L1457" s="8"/>
    </row>
    <row r="1458" spans="3:12" x14ac:dyDescent="0.25">
      <c r="C1458" s="7"/>
      <c r="E1458" s="8"/>
      <c r="F1458" s="8"/>
      <c r="G1458" s="8"/>
      <c r="H1458" s="8"/>
      <c r="I1458" s="8"/>
      <c r="J1458" s="8"/>
      <c r="K1458" s="8"/>
      <c r="L1458" s="8"/>
    </row>
    <row r="1459" spans="3:12" x14ac:dyDescent="0.25">
      <c r="C1459" s="7"/>
      <c r="E1459" s="8"/>
      <c r="F1459" s="8"/>
      <c r="G1459" s="8"/>
      <c r="H1459" s="8"/>
      <c r="I1459" s="8"/>
      <c r="J1459" s="8"/>
      <c r="K1459" s="8"/>
      <c r="L1459" s="8"/>
    </row>
    <row r="1460" spans="3:12" x14ac:dyDescent="0.25">
      <c r="C1460" s="7"/>
      <c r="E1460" s="8"/>
      <c r="F1460" s="8"/>
      <c r="G1460" s="8"/>
      <c r="H1460" s="8"/>
      <c r="I1460" s="8"/>
      <c r="J1460" s="8"/>
      <c r="K1460" s="8"/>
      <c r="L1460" s="8"/>
    </row>
    <row r="1461" spans="3:12" x14ac:dyDescent="0.25">
      <c r="C1461" s="7"/>
      <c r="E1461" s="8"/>
      <c r="F1461" s="8"/>
      <c r="G1461" s="8"/>
      <c r="H1461" s="8"/>
      <c r="I1461" s="8"/>
      <c r="J1461" s="8"/>
      <c r="K1461" s="8"/>
      <c r="L1461" s="8"/>
    </row>
    <row r="1462" spans="3:12" x14ac:dyDescent="0.25">
      <c r="C1462" s="7"/>
      <c r="E1462" s="8"/>
      <c r="F1462" s="8"/>
      <c r="G1462" s="8"/>
      <c r="H1462" s="8"/>
      <c r="I1462" s="8"/>
      <c r="J1462" s="8"/>
      <c r="K1462" s="8"/>
      <c r="L1462" s="8"/>
    </row>
    <row r="1463" spans="3:12" x14ac:dyDescent="0.25">
      <c r="C1463" s="7"/>
      <c r="E1463" s="8"/>
      <c r="F1463" s="8"/>
      <c r="G1463" s="8"/>
      <c r="H1463" s="8"/>
      <c r="I1463" s="8"/>
      <c r="J1463" s="8"/>
      <c r="K1463" s="8"/>
      <c r="L1463" s="8"/>
    </row>
    <row r="1464" spans="3:12" x14ac:dyDescent="0.25">
      <c r="C1464" s="7"/>
      <c r="E1464" s="8"/>
      <c r="F1464" s="8"/>
      <c r="G1464" s="8"/>
      <c r="H1464" s="8"/>
      <c r="I1464" s="8"/>
      <c r="J1464" s="8"/>
      <c r="K1464" s="8"/>
      <c r="L1464" s="8"/>
    </row>
    <row r="1465" spans="3:12" x14ac:dyDescent="0.25">
      <c r="C1465" s="7"/>
      <c r="E1465" s="8"/>
      <c r="F1465" s="8"/>
      <c r="G1465" s="8"/>
      <c r="H1465" s="8"/>
      <c r="I1465" s="8"/>
      <c r="J1465" s="8"/>
      <c r="K1465" s="8"/>
      <c r="L1465" s="8"/>
    </row>
    <row r="1466" spans="3:12" x14ac:dyDescent="0.25">
      <c r="C1466" s="7"/>
      <c r="E1466" s="8"/>
      <c r="F1466" s="8"/>
      <c r="G1466" s="8"/>
      <c r="H1466" s="8"/>
      <c r="I1466" s="8"/>
      <c r="J1466" s="8"/>
      <c r="K1466" s="8"/>
      <c r="L1466" s="8"/>
    </row>
    <row r="1467" spans="3:12" x14ac:dyDescent="0.25">
      <c r="C1467" s="7"/>
      <c r="E1467" s="8"/>
      <c r="F1467" s="8"/>
      <c r="G1467" s="8"/>
      <c r="H1467" s="8"/>
      <c r="I1467" s="8"/>
      <c r="J1467" s="8"/>
      <c r="K1467" s="8"/>
      <c r="L1467" s="8"/>
    </row>
    <row r="1468" spans="3:12" x14ac:dyDescent="0.25">
      <c r="C1468" s="7"/>
      <c r="E1468" s="8"/>
      <c r="F1468" s="8"/>
      <c r="G1468" s="8"/>
      <c r="H1468" s="8"/>
      <c r="I1468" s="8"/>
      <c r="J1468" s="8"/>
      <c r="K1468" s="8"/>
      <c r="L1468" s="8"/>
    </row>
    <row r="1469" spans="3:12" x14ac:dyDescent="0.25">
      <c r="C1469" s="7"/>
      <c r="E1469" s="8"/>
      <c r="F1469" s="8"/>
      <c r="G1469" s="8"/>
      <c r="H1469" s="8"/>
      <c r="I1469" s="8"/>
      <c r="J1469" s="8"/>
      <c r="K1469" s="8"/>
      <c r="L1469" s="8"/>
    </row>
    <row r="1470" spans="3:12" x14ac:dyDescent="0.25">
      <c r="C1470" s="7"/>
      <c r="E1470" s="8"/>
      <c r="F1470" s="8"/>
      <c r="G1470" s="8"/>
      <c r="H1470" s="8"/>
      <c r="I1470" s="8"/>
      <c r="J1470" s="8"/>
      <c r="K1470" s="8"/>
      <c r="L1470" s="8"/>
    </row>
    <row r="1471" spans="3:12" x14ac:dyDescent="0.25">
      <c r="C1471" s="7"/>
      <c r="E1471" s="8"/>
      <c r="F1471" s="8"/>
      <c r="G1471" s="8"/>
      <c r="H1471" s="8"/>
      <c r="I1471" s="8"/>
      <c r="J1471" s="8"/>
      <c r="K1471" s="8"/>
      <c r="L1471" s="8"/>
    </row>
    <row r="1472" spans="3:12" x14ac:dyDescent="0.25">
      <c r="C1472" s="7"/>
      <c r="E1472" s="8"/>
      <c r="F1472" s="8"/>
      <c r="G1472" s="8"/>
      <c r="H1472" s="8"/>
      <c r="I1472" s="8"/>
      <c r="J1472" s="8"/>
      <c r="K1472" s="8"/>
      <c r="L1472" s="8"/>
    </row>
    <row r="1473" spans="3:12" x14ac:dyDescent="0.25">
      <c r="C1473" s="7"/>
      <c r="E1473" s="8"/>
      <c r="F1473" s="8"/>
      <c r="G1473" s="8"/>
      <c r="H1473" s="8"/>
      <c r="I1473" s="8"/>
      <c r="J1473" s="8"/>
      <c r="K1473" s="8"/>
      <c r="L1473" s="8"/>
    </row>
    <row r="1474" spans="3:12" x14ac:dyDescent="0.25">
      <c r="C1474" s="7"/>
      <c r="E1474" s="8"/>
      <c r="F1474" s="8"/>
      <c r="G1474" s="8"/>
      <c r="H1474" s="8"/>
      <c r="I1474" s="8"/>
      <c r="J1474" s="8"/>
      <c r="K1474" s="8"/>
      <c r="L1474" s="8"/>
    </row>
    <row r="1475" spans="3:12" x14ac:dyDescent="0.25">
      <c r="C1475" s="7"/>
      <c r="E1475" s="8"/>
      <c r="F1475" s="8"/>
      <c r="G1475" s="8"/>
      <c r="H1475" s="8"/>
      <c r="I1475" s="8"/>
      <c r="J1475" s="8"/>
      <c r="K1475" s="8"/>
      <c r="L1475" s="8"/>
    </row>
    <row r="1476" spans="3:12" x14ac:dyDescent="0.25">
      <c r="C1476" s="7"/>
      <c r="E1476" s="8"/>
      <c r="F1476" s="8"/>
      <c r="G1476" s="8"/>
      <c r="H1476" s="8"/>
      <c r="I1476" s="8"/>
      <c r="J1476" s="8"/>
      <c r="K1476" s="8"/>
      <c r="L1476" s="8"/>
    </row>
    <row r="1477" spans="3:12" x14ac:dyDescent="0.25">
      <c r="C1477" s="7"/>
      <c r="E1477" s="8"/>
      <c r="F1477" s="8"/>
      <c r="G1477" s="8"/>
      <c r="H1477" s="8"/>
      <c r="I1477" s="8"/>
      <c r="J1477" s="8"/>
      <c r="K1477" s="8"/>
      <c r="L1477" s="8"/>
    </row>
    <row r="1478" spans="3:12" x14ac:dyDescent="0.25">
      <c r="C1478" s="7"/>
      <c r="E1478" s="8"/>
      <c r="F1478" s="8"/>
      <c r="G1478" s="8"/>
      <c r="H1478" s="8"/>
      <c r="I1478" s="8"/>
      <c r="J1478" s="8"/>
      <c r="K1478" s="8"/>
      <c r="L1478" s="8"/>
    </row>
    <row r="1479" spans="3:12" x14ac:dyDescent="0.25">
      <c r="C1479" s="7"/>
      <c r="E1479" s="8"/>
      <c r="F1479" s="8"/>
      <c r="G1479" s="8"/>
      <c r="H1479" s="8"/>
      <c r="I1479" s="8"/>
      <c r="J1479" s="8"/>
      <c r="K1479" s="8"/>
      <c r="L1479" s="8"/>
    </row>
    <row r="1480" spans="3:12" x14ac:dyDescent="0.25">
      <c r="C1480" s="7"/>
      <c r="E1480" s="8"/>
      <c r="F1480" s="8"/>
      <c r="G1480" s="8"/>
      <c r="H1480" s="8"/>
      <c r="I1480" s="8"/>
      <c r="J1480" s="8"/>
      <c r="K1480" s="8"/>
      <c r="L1480" s="8"/>
    </row>
    <row r="1481" spans="3:12" x14ac:dyDescent="0.25">
      <c r="C1481" s="7"/>
      <c r="E1481" s="8"/>
      <c r="F1481" s="8"/>
      <c r="G1481" s="8"/>
      <c r="H1481" s="8"/>
      <c r="I1481" s="8"/>
      <c r="J1481" s="8"/>
      <c r="K1481" s="8"/>
      <c r="L1481" s="8"/>
    </row>
    <row r="1482" spans="3:12" x14ac:dyDescent="0.25">
      <c r="C1482" s="7"/>
      <c r="E1482" s="8"/>
      <c r="F1482" s="8"/>
      <c r="G1482" s="8"/>
      <c r="H1482" s="8"/>
      <c r="I1482" s="8"/>
      <c r="J1482" s="8"/>
      <c r="K1482" s="8"/>
      <c r="L1482" s="8"/>
    </row>
    <row r="1483" spans="3:12" x14ac:dyDescent="0.25">
      <c r="C1483" s="7"/>
      <c r="E1483" s="8"/>
      <c r="F1483" s="8"/>
      <c r="G1483" s="8"/>
      <c r="H1483" s="8"/>
      <c r="I1483" s="8"/>
      <c r="J1483" s="8"/>
      <c r="K1483" s="8"/>
      <c r="L1483" s="8"/>
    </row>
    <row r="1484" spans="3:12" x14ac:dyDescent="0.25">
      <c r="C1484" s="7"/>
      <c r="E1484" s="8"/>
      <c r="F1484" s="8"/>
      <c r="G1484" s="8"/>
      <c r="H1484" s="8"/>
      <c r="I1484" s="8"/>
      <c r="J1484" s="8"/>
      <c r="K1484" s="8"/>
      <c r="L1484" s="8"/>
    </row>
    <row r="1485" spans="3:12" x14ac:dyDescent="0.25">
      <c r="C1485" s="7"/>
      <c r="E1485" s="8"/>
      <c r="F1485" s="8"/>
      <c r="G1485" s="8"/>
      <c r="H1485" s="8"/>
      <c r="I1485" s="8"/>
      <c r="J1485" s="8"/>
      <c r="K1485" s="8"/>
      <c r="L1485" s="8"/>
    </row>
    <row r="1486" spans="3:12" x14ac:dyDescent="0.25">
      <c r="C1486" s="7"/>
      <c r="E1486" s="8"/>
      <c r="F1486" s="8"/>
      <c r="G1486" s="8"/>
      <c r="H1486" s="8"/>
      <c r="I1486" s="8"/>
      <c r="J1486" s="8"/>
      <c r="K1486" s="8"/>
      <c r="L1486" s="8"/>
    </row>
    <row r="1487" spans="3:12" x14ac:dyDescent="0.25">
      <c r="C1487" s="7"/>
      <c r="E1487" s="8"/>
      <c r="F1487" s="8"/>
      <c r="G1487" s="8"/>
      <c r="H1487" s="8"/>
      <c r="I1487" s="8"/>
      <c r="J1487" s="8"/>
      <c r="K1487" s="8"/>
      <c r="L1487" s="8"/>
    </row>
    <row r="1488" spans="3:12" x14ac:dyDescent="0.25">
      <c r="C1488" s="7"/>
      <c r="E1488" s="8"/>
      <c r="F1488" s="8"/>
      <c r="G1488" s="8"/>
      <c r="H1488" s="8"/>
      <c r="I1488" s="8"/>
      <c r="J1488" s="8"/>
      <c r="K1488" s="8"/>
      <c r="L1488" s="8"/>
    </row>
    <row r="1489" spans="3:12" x14ac:dyDescent="0.25">
      <c r="C1489" s="7"/>
      <c r="E1489" s="8"/>
      <c r="F1489" s="8"/>
      <c r="G1489" s="8"/>
      <c r="H1489" s="8"/>
      <c r="I1489" s="8"/>
      <c r="J1489" s="8"/>
      <c r="K1489" s="8"/>
      <c r="L1489" s="8"/>
    </row>
    <row r="1490" spans="3:12" x14ac:dyDescent="0.25">
      <c r="C1490" s="7"/>
      <c r="E1490" s="8"/>
      <c r="F1490" s="8"/>
      <c r="G1490" s="8"/>
      <c r="H1490" s="8"/>
      <c r="I1490" s="8"/>
      <c r="J1490" s="8"/>
      <c r="K1490" s="8"/>
      <c r="L1490" s="8"/>
    </row>
    <row r="1491" spans="3:12" x14ac:dyDescent="0.25">
      <c r="C1491" s="7"/>
      <c r="E1491" s="8"/>
      <c r="F1491" s="8"/>
      <c r="G1491" s="8"/>
      <c r="H1491" s="8"/>
      <c r="I1491" s="8"/>
      <c r="J1491" s="8"/>
      <c r="K1491" s="8"/>
      <c r="L1491" s="8"/>
    </row>
    <row r="1492" spans="3:12" x14ac:dyDescent="0.25">
      <c r="C1492" s="7"/>
      <c r="E1492" s="8"/>
      <c r="F1492" s="8"/>
      <c r="G1492" s="8"/>
      <c r="H1492" s="8"/>
      <c r="I1492" s="8"/>
      <c r="J1492" s="8"/>
      <c r="K1492" s="8"/>
      <c r="L1492" s="8"/>
    </row>
    <row r="1493" spans="3:12" x14ac:dyDescent="0.25">
      <c r="C1493" s="7"/>
      <c r="E1493" s="8"/>
      <c r="F1493" s="8"/>
      <c r="G1493" s="8"/>
      <c r="H1493" s="8"/>
      <c r="I1493" s="8"/>
      <c r="J1493" s="8"/>
      <c r="K1493" s="8"/>
      <c r="L1493" s="8"/>
    </row>
    <row r="1494" spans="3:12" x14ac:dyDescent="0.25">
      <c r="C1494" s="7"/>
      <c r="E1494" s="8"/>
      <c r="F1494" s="8"/>
      <c r="G1494" s="8"/>
      <c r="H1494" s="8"/>
      <c r="I1494" s="8"/>
      <c r="J1494" s="8"/>
      <c r="K1494" s="8"/>
      <c r="L1494" s="8"/>
    </row>
    <row r="1495" spans="3:12" x14ac:dyDescent="0.25">
      <c r="C1495" s="7"/>
      <c r="E1495" s="8"/>
      <c r="F1495" s="8"/>
      <c r="G1495" s="8"/>
      <c r="H1495" s="8"/>
      <c r="I1495" s="8"/>
      <c r="J1495" s="8"/>
      <c r="K1495" s="8"/>
      <c r="L1495" s="8"/>
    </row>
    <row r="1496" spans="3:12" x14ac:dyDescent="0.25">
      <c r="C1496" s="7"/>
      <c r="E1496" s="8"/>
      <c r="F1496" s="8"/>
      <c r="G1496" s="8"/>
      <c r="H1496" s="8"/>
      <c r="I1496" s="8"/>
      <c r="J1496" s="8"/>
      <c r="K1496" s="8"/>
      <c r="L1496" s="8"/>
    </row>
    <row r="1497" spans="3:12" x14ac:dyDescent="0.25">
      <c r="C1497" s="7"/>
      <c r="E1497" s="8"/>
      <c r="F1497" s="8"/>
      <c r="G1497" s="8"/>
      <c r="H1497" s="8"/>
      <c r="I1497" s="8"/>
      <c r="J1497" s="8"/>
      <c r="K1497" s="8"/>
      <c r="L1497" s="8"/>
    </row>
    <row r="1498" spans="3:12" x14ac:dyDescent="0.25">
      <c r="C1498" s="7"/>
      <c r="E1498" s="8"/>
      <c r="F1498" s="8"/>
      <c r="G1498" s="8"/>
      <c r="H1498" s="8"/>
      <c r="I1498" s="8"/>
      <c r="J1498" s="8"/>
      <c r="K1498" s="8"/>
      <c r="L1498" s="8"/>
    </row>
    <row r="1499" spans="3:12" x14ac:dyDescent="0.25">
      <c r="C1499" s="7"/>
      <c r="E1499" s="8"/>
      <c r="F1499" s="8"/>
      <c r="G1499" s="8"/>
      <c r="H1499" s="8"/>
      <c r="I1499" s="8"/>
      <c r="J1499" s="8"/>
      <c r="K1499" s="8"/>
      <c r="L1499" s="8"/>
    </row>
    <row r="1500" spans="3:12" x14ac:dyDescent="0.25">
      <c r="C1500" s="7"/>
      <c r="E1500" s="8"/>
      <c r="F1500" s="8"/>
      <c r="G1500" s="8"/>
      <c r="H1500" s="8"/>
      <c r="I1500" s="8"/>
      <c r="J1500" s="8"/>
      <c r="K1500" s="8"/>
      <c r="L1500" s="8"/>
    </row>
    <row r="1501" spans="3:12" x14ac:dyDescent="0.25">
      <c r="C1501" s="7"/>
      <c r="E1501" s="8"/>
      <c r="F1501" s="8"/>
      <c r="G1501" s="8"/>
      <c r="H1501" s="8"/>
      <c r="I1501" s="8"/>
      <c r="J1501" s="8"/>
      <c r="K1501" s="8"/>
      <c r="L1501" s="8"/>
    </row>
    <row r="1502" spans="3:12" x14ac:dyDescent="0.25">
      <c r="C1502" s="7"/>
      <c r="E1502" s="8"/>
      <c r="F1502" s="8"/>
      <c r="G1502" s="8"/>
      <c r="H1502" s="8"/>
      <c r="I1502" s="8"/>
      <c r="J1502" s="8"/>
      <c r="K1502" s="8"/>
      <c r="L1502" s="8"/>
    </row>
    <row r="1503" spans="3:12" x14ac:dyDescent="0.25">
      <c r="C1503" s="7"/>
      <c r="E1503" s="8"/>
      <c r="F1503" s="8"/>
      <c r="G1503" s="8"/>
      <c r="H1503" s="8"/>
      <c r="I1503" s="8"/>
      <c r="J1503" s="8"/>
      <c r="K1503" s="8"/>
      <c r="L1503" s="8"/>
    </row>
    <row r="1504" spans="3:12" x14ac:dyDescent="0.25">
      <c r="C1504" s="7"/>
      <c r="E1504" s="8"/>
      <c r="F1504" s="8"/>
      <c r="G1504" s="8"/>
      <c r="H1504" s="8"/>
      <c r="I1504" s="8"/>
      <c r="J1504" s="8"/>
      <c r="K1504" s="8"/>
      <c r="L1504" s="8"/>
    </row>
    <row r="1505" spans="3:12" x14ac:dyDescent="0.25">
      <c r="C1505" s="7"/>
      <c r="E1505" s="8"/>
      <c r="F1505" s="8"/>
      <c r="G1505" s="8"/>
      <c r="H1505" s="8"/>
      <c r="I1505" s="8"/>
      <c r="J1505" s="8"/>
      <c r="K1505" s="8"/>
      <c r="L1505" s="8"/>
    </row>
    <row r="1506" spans="3:12" x14ac:dyDescent="0.25">
      <c r="C1506" s="7"/>
      <c r="E1506" s="8"/>
      <c r="F1506" s="8"/>
      <c r="G1506" s="8"/>
      <c r="H1506" s="8"/>
      <c r="I1506" s="8"/>
      <c r="J1506" s="8"/>
      <c r="K1506" s="8"/>
      <c r="L1506" s="8"/>
    </row>
    <row r="1507" spans="3:12" x14ac:dyDescent="0.25">
      <c r="C1507" s="7"/>
      <c r="E1507" s="8"/>
      <c r="F1507" s="8"/>
      <c r="G1507" s="8"/>
      <c r="H1507" s="8"/>
      <c r="I1507" s="8"/>
      <c r="J1507" s="8"/>
      <c r="K1507" s="8"/>
      <c r="L1507" s="8"/>
    </row>
    <row r="1508" spans="3:12" x14ac:dyDescent="0.25">
      <c r="C1508" s="7"/>
      <c r="E1508" s="8"/>
      <c r="F1508" s="8"/>
      <c r="G1508" s="8"/>
      <c r="H1508" s="8"/>
      <c r="I1508" s="8"/>
      <c r="J1508" s="8"/>
      <c r="K1508" s="8"/>
      <c r="L1508" s="8"/>
    </row>
    <row r="1509" spans="3:12" x14ac:dyDescent="0.25">
      <c r="C1509" s="7"/>
      <c r="E1509" s="8"/>
      <c r="F1509" s="8"/>
      <c r="G1509" s="8"/>
      <c r="H1509" s="8"/>
      <c r="I1509" s="8"/>
      <c r="J1509" s="8"/>
      <c r="K1509" s="8"/>
      <c r="L1509" s="8"/>
    </row>
    <row r="1510" spans="3:12" x14ac:dyDescent="0.25">
      <c r="C1510" s="7"/>
      <c r="E1510" s="8"/>
      <c r="F1510" s="8"/>
      <c r="G1510" s="8"/>
      <c r="H1510" s="8"/>
      <c r="I1510" s="8"/>
      <c r="J1510" s="8"/>
      <c r="K1510" s="8"/>
      <c r="L1510" s="8"/>
    </row>
    <row r="1511" spans="3:12" x14ac:dyDescent="0.25">
      <c r="C1511" s="7"/>
      <c r="E1511" s="8"/>
      <c r="F1511" s="8"/>
      <c r="G1511" s="8"/>
      <c r="H1511" s="8"/>
      <c r="I1511" s="8"/>
      <c r="J1511" s="8"/>
      <c r="K1511" s="8"/>
      <c r="L1511" s="8"/>
    </row>
    <row r="1512" spans="3:12" x14ac:dyDescent="0.25">
      <c r="C1512" s="7"/>
      <c r="E1512" s="8"/>
      <c r="F1512" s="8"/>
      <c r="G1512" s="8"/>
      <c r="H1512" s="8"/>
      <c r="I1512" s="8"/>
      <c r="J1512" s="8"/>
      <c r="K1512" s="8"/>
      <c r="L1512" s="8"/>
    </row>
    <row r="1513" spans="3:12" x14ac:dyDescent="0.25">
      <c r="C1513" s="7"/>
      <c r="E1513" s="8"/>
      <c r="F1513" s="8"/>
      <c r="G1513" s="8"/>
      <c r="H1513" s="8"/>
      <c r="I1513" s="8"/>
      <c r="J1513" s="8"/>
      <c r="K1513" s="8"/>
      <c r="L1513" s="8"/>
    </row>
    <row r="1514" spans="3:12" x14ac:dyDescent="0.25">
      <c r="C1514" s="7"/>
      <c r="E1514" s="8"/>
      <c r="F1514" s="8"/>
      <c r="G1514" s="8"/>
      <c r="H1514" s="8"/>
      <c r="I1514" s="8"/>
      <c r="J1514" s="8"/>
      <c r="K1514" s="8"/>
      <c r="L1514" s="8"/>
    </row>
    <row r="1515" spans="3:12" x14ac:dyDescent="0.25">
      <c r="C1515" s="7"/>
      <c r="E1515" s="8"/>
      <c r="F1515" s="8"/>
      <c r="G1515" s="8"/>
      <c r="H1515" s="8"/>
      <c r="I1515" s="8"/>
      <c r="J1515" s="8"/>
      <c r="K1515" s="8"/>
      <c r="L1515" s="8"/>
    </row>
    <row r="1516" spans="3:12" x14ac:dyDescent="0.25">
      <c r="C1516" s="7"/>
      <c r="E1516" s="8"/>
      <c r="F1516" s="8"/>
      <c r="G1516" s="8"/>
      <c r="H1516" s="8"/>
      <c r="I1516" s="8"/>
      <c r="J1516" s="8"/>
      <c r="K1516" s="8"/>
      <c r="L1516" s="8"/>
    </row>
    <row r="1517" spans="3:12" x14ac:dyDescent="0.25">
      <c r="C1517" s="7"/>
      <c r="E1517" s="8"/>
      <c r="F1517" s="8"/>
      <c r="G1517" s="8"/>
      <c r="H1517" s="8"/>
      <c r="I1517" s="8"/>
      <c r="J1517" s="8"/>
      <c r="K1517" s="8"/>
      <c r="L1517" s="8"/>
    </row>
    <row r="1518" spans="3:12" x14ac:dyDescent="0.25">
      <c r="C1518" s="7"/>
      <c r="E1518" s="8"/>
      <c r="F1518" s="8"/>
      <c r="G1518" s="8"/>
      <c r="H1518" s="8"/>
      <c r="I1518" s="8"/>
      <c r="J1518" s="8"/>
      <c r="K1518" s="8"/>
      <c r="L1518" s="8"/>
    </row>
    <row r="1519" spans="3:12" x14ac:dyDescent="0.25">
      <c r="C1519" s="7"/>
      <c r="E1519" s="8"/>
      <c r="F1519" s="8"/>
      <c r="G1519" s="8"/>
      <c r="H1519" s="8"/>
      <c r="I1519" s="8"/>
      <c r="J1519" s="8"/>
      <c r="K1519" s="8"/>
      <c r="L1519" s="8"/>
    </row>
    <row r="1520" spans="3:12" x14ac:dyDescent="0.25">
      <c r="C1520" s="7"/>
      <c r="E1520" s="8"/>
      <c r="F1520" s="8"/>
      <c r="G1520" s="8"/>
      <c r="H1520" s="8"/>
      <c r="I1520" s="8"/>
      <c r="J1520" s="8"/>
      <c r="K1520" s="8"/>
      <c r="L1520" s="8"/>
    </row>
    <row r="1521" spans="3:12" x14ac:dyDescent="0.25">
      <c r="C1521" s="7"/>
      <c r="E1521" s="8"/>
      <c r="F1521" s="8"/>
      <c r="G1521" s="8"/>
      <c r="H1521" s="8"/>
      <c r="I1521" s="8"/>
      <c r="J1521" s="8"/>
      <c r="K1521" s="8"/>
      <c r="L1521" s="8"/>
    </row>
    <row r="1522" spans="3:12" x14ac:dyDescent="0.25">
      <c r="C1522" s="7"/>
      <c r="E1522" s="8"/>
      <c r="F1522" s="8"/>
      <c r="G1522" s="8"/>
      <c r="H1522" s="8"/>
      <c r="I1522" s="8"/>
      <c r="J1522" s="8"/>
      <c r="K1522" s="8"/>
      <c r="L1522" s="8"/>
    </row>
    <row r="1523" spans="3:12" x14ac:dyDescent="0.25">
      <c r="C1523" s="7"/>
      <c r="E1523" s="8"/>
      <c r="F1523" s="8"/>
      <c r="G1523" s="8"/>
      <c r="H1523" s="8"/>
      <c r="I1523" s="8"/>
      <c r="J1523" s="8"/>
      <c r="K1523" s="8"/>
      <c r="L1523" s="8"/>
    </row>
    <row r="1524" spans="3:12" x14ac:dyDescent="0.25">
      <c r="C1524" s="7"/>
      <c r="E1524" s="8"/>
      <c r="F1524" s="8"/>
      <c r="G1524" s="8"/>
      <c r="H1524" s="8"/>
      <c r="I1524" s="8"/>
      <c r="J1524" s="8"/>
      <c r="K1524" s="8"/>
      <c r="L1524" s="8"/>
    </row>
    <row r="1525" spans="3:12" x14ac:dyDescent="0.25">
      <c r="C1525" s="7"/>
      <c r="E1525" s="8"/>
      <c r="F1525" s="8"/>
      <c r="G1525" s="8"/>
      <c r="H1525" s="8"/>
      <c r="I1525" s="8"/>
      <c r="J1525" s="8"/>
      <c r="K1525" s="8"/>
      <c r="L1525" s="8"/>
    </row>
    <row r="1526" spans="3:12" x14ac:dyDescent="0.25">
      <c r="C1526" s="7"/>
      <c r="E1526" s="8"/>
      <c r="F1526" s="8"/>
      <c r="G1526" s="8"/>
      <c r="H1526" s="8"/>
      <c r="I1526" s="8"/>
      <c r="J1526" s="8"/>
      <c r="K1526" s="8"/>
      <c r="L1526" s="8"/>
    </row>
    <row r="1527" spans="3:12" x14ac:dyDescent="0.25">
      <c r="C1527" s="7"/>
      <c r="E1527" s="8"/>
      <c r="F1527" s="8"/>
      <c r="G1527" s="8"/>
      <c r="H1527" s="8"/>
      <c r="I1527" s="8"/>
      <c r="J1527" s="8"/>
      <c r="K1527" s="8"/>
      <c r="L1527" s="8"/>
    </row>
    <row r="1528" spans="3:12" x14ac:dyDescent="0.25">
      <c r="C1528" s="7"/>
      <c r="E1528" s="8"/>
      <c r="F1528" s="8"/>
      <c r="G1528" s="8"/>
      <c r="H1528" s="8"/>
      <c r="I1528" s="8"/>
      <c r="J1528" s="8"/>
      <c r="K1528" s="8"/>
      <c r="L1528" s="8"/>
    </row>
    <row r="1529" spans="3:12" x14ac:dyDescent="0.25">
      <c r="C1529" s="7"/>
      <c r="E1529" s="8"/>
      <c r="F1529" s="8"/>
      <c r="G1529" s="8"/>
      <c r="H1529" s="8"/>
      <c r="I1529" s="8"/>
      <c r="J1529" s="8"/>
      <c r="K1529" s="8"/>
      <c r="L1529" s="8"/>
    </row>
    <row r="1530" spans="3:12" x14ac:dyDescent="0.25">
      <c r="C1530" s="7"/>
      <c r="E1530" s="8"/>
      <c r="F1530" s="8"/>
      <c r="G1530" s="8"/>
      <c r="H1530" s="8"/>
      <c r="I1530" s="8"/>
      <c r="J1530" s="8"/>
      <c r="K1530" s="8"/>
      <c r="L1530" s="8"/>
    </row>
    <row r="1531" spans="3:12" x14ac:dyDescent="0.25">
      <c r="C1531" s="7"/>
      <c r="E1531" s="8"/>
      <c r="F1531" s="8"/>
      <c r="G1531" s="8"/>
      <c r="H1531" s="8"/>
      <c r="I1531" s="8"/>
      <c r="J1531" s="8"/>
      <c r="K1531" s="8"/>
      <c r="L1531" s="8"/>
    </row>
    <row r="1532" spans="3:12" x14ac:dyDescent="0.25">
      <c r="C1532" s="7"/>
      <c r="E1532" s="8"/>
      <c r="F1532" s="8"/>
      <c r="G1532" s="8"/>
      <c r="H1532" s="8"/>
      <c r="I1532" s="8"/>
      <c r="J1532" s="8"/>
      <c r="K1532" s="8"/>
      <c r="L1532" s="8"/>
    </row>
    <row r="1533" spans="3:12" x14ac:dyDescent="0.25">
      <c r="C1533" s="7"/>
      <c r="E1533" s="8"/>
      <c r="F1533" s="8"/>
      <c r="G1533" s="8"/>
      <c r="H1533" s="8"/>
      <c r="I1533" s="8"/>
      <c r="J1533" s="8"/>
      <c r="K1533" s="8"/>
      <c r="L1533" s="8"/>
    </row>
    <row r="1534" spans="3:12" x14ac:dyDescent="0.25">
      <c r="C1534" s="7"/>
      <c r="E1534" s="8"/>
      <c r="F1534" s="8"/>
      <c r="G1534" s="8"/>
      <c r="H1534" s="8"/>
      <c r="I1534" s="8"/>
      <c r="J1534" s="8"/>
      <c r="K1534" s="8"/>
      <c r="L1534" s="8"/>
    </row>
    <row r="1535" spans="3:12" x14ac:dyDescent="0.25">
      <c r="C1535" s="7"/>
      <c r="E1535" s="8"/>
      <c r="F1535" s="8"/>
      <c r="G1535" s="8"/>
      <c r="H1535" s="8"/>
      <c r="I1535" s="8"/>
      <c r="J1535" s="8"/>
      <c r="K1535" s="8"/>
      <c r="L1535" s="8"/>
    </row>
    <row r="1536" spans="3:12" x14ac:dyDescent="0.25">
      <c r="C1536" s="7"/>
      <c r="E1536" s="8"/>
      <c r="F1536" s="8"/>
      <c r="G1536" s="8"/>
      <c r="H1536" s="8"/>
      <c r="I1536" s="8"/>
      <c r="J1536" s="8"/>
      <c r="K1536" s="8"/>
      <c r="L1536" s="8"/>
    </row>
    <row r="1537" spans="3:12" x14ac:dyDescent="0.25">
      <c r="C1537" s="7"/>
      <c r="E1537" s="8"/>
      <c r="F1537" s="8"/>
      <c r="G1537" s="8"/>
      <c r="H1537" s="8"/>
      <c r="I1537" s="8"/>
      <c r="J1537" s="8"/>
      <c r="K1537" s="8"/>
      <c r="L1537" s="8"/>
    </row>
    <row r="1538" spans="3:12" x14ac:dyDescent="0.25">
      <c r="C1538" s="7"/>
      <c r="E1538" s="8"/>
      <c r="F1538" s="8"/>
      <c r="G1538" s="8"/>
      <c r="H1538" s="8"/>
      <c r="I1538" s="8"/>
      <c r="J1538" s="8"/>
      <c r="K1538" s="8"/>
      <c r="L1538" s="8"/>
    </row>
    <row r="1539" spans="3:12" x14ac:dyDescent="0.25">
      <c r="C1539" s="7"/>
      <c r="E1539" s="8"/>
      <c r="F1539" s="8"/>
      <c r="G1539" s="8"/>
      <c r="H1539" s="8"/>
      <c r="I1539" s="8"/>
      <c r="J1539" s="8"/>
      <c r="K1539" s="8"/>
      <c r="L1539" s="8"/>
    </row>
    <row r="1540" spans="3:12" x14ac:dyDescent="0.25">
      <c r="C1540" s="7"/>
      <c r="E1540" s="8"/>
      <c r="F1540" s="8"/>
      <c r="G1540" s="8"/>
      <c r="H1540" s="8"/>
      <c r="I1540" s="8"/>
      <c r="J1540" s="8"/>
      <c r="K1540" s="8"/>
      <c r="L1540" s="8"/>
    </row>
    <row r="1541" spans="3:12" x14ac:dyDescent="0.25">
      <c r="C1541" s="7"/>
      <c r="E1541" s="8"/>
      <c r="F1541" s="8"/>
      <c r="G1541" s="8"/>
      <c r="H1541" s="8"/>
      <c r="I1541" s="8"/>
      <c r="J1541" s="8"/>
      <c r="K1541" s="8"/>
      <c r="L1541" s="8"/>
    </row>
    <row r="1542" spans="3:12" x14ac:dyDescent="0.25">
      <c r="C1542" s="7"/>
      <c r="E1542" s="8"/>
      <c r="F1542" s="8"/>
      <c r="G1542" s="8"/>
      <c r="H1542" s="8"/>
      <c r="I1542" s="8"/>
      <c r="J1542" s="8"/>
      <c r="K1542" s="8"/>
      <c r="L1542" s="8"/>
    </row>
    <row r="1543" spans="3:12" x14ac:dyDescent="0.25">
      <c r="C1543" s="7"/>
      <c r="E1543" s="8"/>
      <c r="F1543" s="8"/>
      <c r="G1543" s="8"/>
      <c r="H1543" s="8"/>
      <c r="I1543" s="8"/>
      <c r="J1543" s="8"/>
      <c r="K1543" s="8"/>
      <c r="L1543" s="8"/>
    </row>
    <row r="1544" spans="3:12" x14ac:dyDescent="0.25">
      <c r="C1544" s="7"/>
      <c r="E1544" s="8"/>
      <c r="F1544" s="8"/>
      <c r="G1544" s="8"/>
      <c r="H1544" s="8"/>
      <c r="I1544" s="8"/>
      <c r="J1544" s="8"/>
      <c r="K1544" s="8"/>
      <c r="L1544" s="8"/>
    </row>
    <row r="1545" spans="3:12" x14ac:dyDescent="0.25">
      <c r="C1545" s="7"/>
      <c r="E1545" s="8"/>
      <c r="F1545" s="8"/>
      <c r="G1545" s="8"/>
      <c r="H1545" s="8"/>
      <c r="I1545" s="8"/>
      <c r="J1545" s="8"/>
      <c r="K1545" s="8"/>
      <c r="L1545" s="8"/>
    </row>
    <row r="1546" spans="3:12" x14ac:dyDescent="0.25">
      <c r="C1546" s="7"/>
      <c r="E1546" s="8"/>
      <c r="F1546" s="8"/>
      <c r="G1546" s="8"/>
      <c r="H1546" s="8"/>
      <c r="I1546" s="8"/>
      <c r="J1546" s="8"/>
      <c r="K1546" s="8"/>
      <c r="L1546" s="8"/>
    </row>
    <row r="1547" spans="3:12" x14ac:dyDescent="0.25">
      <c r="C1547" s="7"/>
      <c r="E1547" s="8"/>
      <c r="F1547" s="8"/>
      <c r="G1547" s="8"/>
      <c r="H1547" s="8"/>
      <c r="I1547" s="8"/>
      <c r="J1547" s="8"/>
      <c r="K1547" s="8"/>
      <c r="L1547" s="8"/>
    </row>
    <row r="1548" spans="3:12" x14ac:dyDescent="0.25">
      <c r="C1548" s="7"/>
      <c r="E1548" s="8"/>
      <c r="F1548" s="8"/>
      <c r="G1548" s="8"/>
      <c r="H1548" s="8"/>
      <c r="I1548" s="8"/>
      <c r="J1548" s="8"/>
      <c r="K1548" s="8"/>
      <c r="L1548" s="8"/>
    </row>
    <row r="1549" spans="3:12" x14ac:dyDescent="0.25">
      <c r="C1549" s="7"/>
      <c r="E1549" s="8"/>
      <c r="F1549" s="8"/>
      <c r="G1549" s="8"/>
      <c r="H1549" s="8"/>
      <c r="I1549" s="8"/>
      <c r="J1549" s="8"/>
      <c r="K1549" s="8"/>
      <c r="L1549" s="8"/>
    </row>
    <row r="1550" spans="3:12" x14ac:dyDescent="0.25">
      <c r="C1550" s="7"/>
      <c r="E1550" s="8"/>
      <c r="F1550" s="8"/>
      <c r="G1550" s="8"/>
      <c r="H1550" s="8"/>
      <c r="I1550" s="8"/>
      <c r="J1550" s="8"/>
      <c r="K1550" s="8"/>
      <c r="L1550" s="8"/>
    </row>
    <row r="1551" spans="3:12" x14ac:dyDescent="0.25">
      <c r="C1551" s="7"/>
      <c r="E1551" s="8"/>
      <c r="F1551" s="8"/>
      <c r="G1551" s="8"/>
      <c r="H1551" s="8"/>
      <c r="I1551" s="8"/>
      <c r="J1551" s="8"/>
      <c r="K1551" s="8"/>
      <c r="L1551" s="8"/>
    </row>
    <row r="1552" spans="3:12" x14ac:dyDescent="0.25">
      <c r="C1552" s="7"/>
      <c r="E1552" s="8"/>
      <c r="F1552" s="8"/>
      <c r="G1552" s="8"/>
      <c r="H1552" s="8"/>
      <c r="I1552" s="8"/>
      <c r="J1552" s="8"/>
      <c r="K1552" s="8"/>
      <c r="L1552" s="8"/>
    </row>
    <row r="1553" spans="3:12" x14ac:dyDescent="0.25">
      <c r="C1553" s="7"/>
      <c r="E1553" s="8"/>
      <c r="F1553" s="8"/>
      <c r="G1553" s="8"/>
      <c r="H1553" s="8"/>
      <c r="I1553" s="8"/>
      <c r="J1553" s="8"/>
      <c r="K1553" s="8"/>
      <c r="L1553" s="8"/>
    </row>
    <row r="1554" spans="3:12" x14ac:dyDescent="0.25">
      <c r="C1554" s="7"/>
      <c r="E1554" s="8"/>
      <c r="F1554" s="8"/>
      <c r="G1554" s="8"/>
      <c r="H1554" s="8"/>
      <c r="I1554" s="8"/>
      <c r="J1554" s="8"/>
      <c r="K1554" s="8"/>
      <c r="L1554" s="8"/>
    </row>
    <row r="1555" spans="3:12" x14ac:dyDescent="0.25">
      <c r="C1555" s="7"/>
      <c r="E1555" s="8"/>
      <c r="F1555" s="8"/>
      <c r="G1555" s="8"/>
      <c r="H1555" s="8"/>
      <c r="I1555" s="8"/>
      <c r="J1555" s="8"/>
      <c r="K1555" s="8"/>
      <c r="L1555" s="8"/>
    </row>
    <row r="1556" spans="3:12" x14ac:dyDescent="0.25">
      <c r="C1556" s="7"/>
      <c r="E1556" s="8"/>
      <c r="F1556" s="8"/>
      <c r="G1556" s="8"/>
      <c r="H1556" s="8"/>
      <c r="I1556" s="8"/>
      <c r="J1556" s="8"/>
      <c r="K1556" s="8"/>
      <c r="L1556" s="8"/>
    </row>
    <row r="1557" spans="3:12" x14ac:dyDescent="0.25">
      <c r="C1557" s="7"/>
      <c r="E1557" s="8"/>
      <c r="F1557" s="8"/>
      <c r="G1557" s="8"/>
      <c r="H1557" s="8"/>
      <c r="I1557" s="8"/>
      <c r="J1557" s="8"/>
      <c r="K1557" s="8"/>
      <c r="L1557" s="8"/>
    </row>
    <row r="1558" spans="3:12" x14ac:dyDescent="0.25">
      <c r="C1558" s="7"/>
      <c r="E1558" s="8"/>
      <c r="F1558" s="8"/>
      <c r="G1558" s="8"/>
      <c r="H1558" s="8"/>
      <c r="I1558" s="8"/>
      <c r="J1558" s="8"/>
      <c r="K1558" s="8"/>
      <c r="L1558" s="8"/>
    </row>
    <row r="1559" spans="3:12" x14ac:dyDescent="0.25">
      <c r="C1559" s="7"/>
      <c r="E1559" s="8"/>
      <c r="F1559" s="8"/>
      <c r="G1559" s="8"/>
      <c r="H1559" s="8"/>
      <c r="I1559" s="8"/>
      <c r="J1559" s="8"/>
      <c r="K1559" s="8"/>
      <c r="L1559" s="8"/>
    </row>
    <row r="1560" spans="3:12" x14ac:dyDescent="0.25">
      <c r="C1560" s="7"/>
      <c r="E1560" s="8"/>
      <c r="F1560" s="8"/>
      <c r="G1560" s="8"/>
      <c r="H1560" s="8"/>
      <c r="I1560" s="8"/>
      <c r="J1560" s="8"/>
      <c r="K1560" s="8"/>
      <c r="L1560" s="8"/>
    </row>
    <row r="1561" spans="3:12" x14ac:dyDescent="0.25">
      <c r="C1561" s="7"/>
      <c r="E1561" s="8"/>
      <c r="F1561" s="8"/>
      <c r="G1561" s="8"/>
      <c r="H1561" s="8"/>
      <c r="I1561" s="8"/>
      <c r="J1561" s="8"/>
      <c r="K1561" s="8"/>
      <c r="L1561" s="8"/>
    </row>
    <row r="1562" spans="3:12" x14ac:dyDescent="0.25">
      <c r="C1562" s="7"/>
      <c r="E1562" s="8"/>
      <c r="F1562" s="8"/>
      <c r="G1562" s="8"/>
      <c r="H1562" s="8"/>
      <c r="I1562" s="8"/>
      <c r="J1562" s="8"/>
      <c r="K1562" s="8"/>
      <c r="L1562" s="8"/>
    </row>
    <row r="1563" spans="3:12" x14ac:dyDescent="0.25">
      <c r="C1563" s="7"/>
      <c r="E1563" s="8"/>
      <c r="F1563" s="8"/>
      <c r="G1563" s="8"/>
      <c r="H1563" s="8"/>
      <c r="I1563" s="8"/>
      <c r="J1563" s="8"/>
      <c r="K1563" s="8"/>
      <c r="L1563" s="8"/>
    </row>
    <row r="1564" spans="3:12" x14ac:dyDescent="0.25">
      <c r="C1564" s="7"/>
      <c r="E1564" s="8"/>
      <c r="F1564" s="8"/>
      <c r="G1564" s="8"/>
      <c r="H1564" s="8"/>
      <c r="I1564" s="8"/>
      <c r="J1564" s="8"/>
      <c r="K1564" s="8"/>
      <c r="L1564" s="8"/>
    </row>
    <row r="1565" spans="3:12" x14ac:dyDescent="0.25">
      <c r="C1565" s="7"/>
      <c r="E1565" s="8"/>
      <c r="F1565" s="8"/>
      <c r="G1565" s="8"/>
      <c r="H1565" s="8"/>
      <c r="I1565" s="8"/>
      <c r="J1565" s="8"/>
      <c r="K1565" s="8"/>
      <c r="L1565" s="8"/>
    </row>
    <row r="1566" spans="3:12" x14ac:dyDescent="0.25">
      <c r="C1566" s="7"/>
      <c r="E1566" s="8"/>
      <c r="F1566" s="8"/>
      <c r="G1566" s="8"/>
      <c r="H1566" s="8"/>
      <c r="I1566" s="8"/>
      <c r="J1566" s="8"/>
      <c r="K1566" s="8"/>
      <c r="L1566" s="8"/>
    </row>
    <row r="1567" spans="3:12" x14ac:dyDescent="0.25">
      <c r="C1567" s="7"/>
      <c r="E1567" s="8"/>
      <c r="F1567" s="8"/>
      <c r="G1567" s="8"/>
      <c r="H1567" s="8"/>
      <c r="I1567" s="8"/>
      <c r="J1567" s="8"/>
      <c r="K1567" s="8"/>
      <c r="L1567" s="8"/>
    </row>
    <row r="1568" spans="3:12" x14ac:dyDescent="0.25">
      <c r="C1568" s="7"/>
      <c r="E1568" s="8"/>
      <c r="F1568" s="8"/>
      <c r="G1568" s="8"/>
      <c r="H1568" s="8"/>
      <c r="I1568" s="8"/>
      <c r="J1568" s="8"/>
      <c r="K1568" s="8"/>
      <c r="L1568" s="8"/>
    </row>
    <row r="1569" spans="3:12" x14ac:dyDescent="0.25">
      <c r="C1569" s="7"/>
      <c r="E1569" s="8"/>
      <c r="F1569" s="8"/>
      <c r="G1569" s="8"/>
      <c r="H1569" s="8"/>
      <c r="I1569" s="8"/>
      <c r="J1569" s="8"/>
      <c r="K1569" s="8"/>
      <c r="L1569" s="8"/>
    </row>
    <row r="1570" spans="3:12" x14ac:dyDescent="0.25">
      <c r="C1570" s="7"/>
      <c r="E1570" s="8"/>
      <c r="F1570" s="8"/>
      <c r="G1570" s="8"/>
      <c r="H1570" s="8"/>
      <c r="I1570" s="8"/>
      <c r="J1570" s="8"/>
      <c r="K1570" s="8"/>
      <c r="L1570" s="8"/>
    </row>
    <row r="1571" spans="3:12" x14ac:dyDescent="0.25">
      <c r="C1571" s="7"/>
      <c r="E1571" s="8"/>
      <c r="F1571" s="8"/>
      <c r="G1571" s="8"/>
      <c r="H1571" s="8"/>
      <c r="I1571" s="8"/>
      <c r="J1571" s="8"/>
      <c r="K1571" s="8"/>
      <c r="L1571" s="8"/>
    </row>
    <row r="1572" spans="3:12" x14ac:dyDescent="0.25">
      <c r="C1572" s="7"/>
      <c r="E1572" s="8"/>
      <c r="F1572" s="8"/>
      <c r="G1572" s="8"/>
      <c r="H1572" s="8"/>
      <c r="I1572" s="8"/>
      <c r="J1572" s="8"/>
      <c r="K1572" s="8"/>
      <c r="L1572" s="8"/>
    </row>
    <row r="1573" spans="3:12" x14ac:dyDescent="0.25">
      <c r="C1573" s="7"/>
      <c r="E1573" s="8"/>
      <c r="F1573" s="8"/>
      <c r="G1573" s="8"/>
      <c r="H1573" s="8"/>
      <c r="I1573" s="8"/>
      <c r="J1573" s="8"/>
      <c r="K1573" s="8"/>
      <c r="L1573" s="8"/>
    </row>
    <row r="1574" spans="3:12" x14ac:dyDescent="0.25">
      <c r="C1574" s="7"/>
      <c r="E1574" s="8"/>
      <c r="F1574" s="8"/>
      <c r="G1574" s="8"/>
      <c r="H1574" s="8"/>
      <c r="I1574" s="8"/>
      <c r="J1574" s="8"/>
      <c r="K1574" s="8"/>
      <c r="L1574" s="8"/>
    </row>
    <row r="1575" spans="3:12" x14ac:dyDescent="0.25">
      <c r="C1575" s="7"/>
      <c r="E1575" s="8"/>
      <c r="F1575" s="8"/>
      <c r="G1575" s="8"/>
      <c r="H1575" s="8"/>
      <c r="I1575" s="8"/>
      <c r="J1575" s="8"/>
      <c r="K1575" s="8"/>
      <c r="L1575" s="8"/>
    </row>
    <row r="1576" spans="3:12" x14ac:dyDescent="0.25">
      <c r="C1576" s="7"/>
      <c r="E1576" s="8"/>
      <c r="F1576" s="8"/>
      <c r="G1576" s="8"/>
      <c r="H1576" s="8"/>
      <c r="I1576" s="8"/>
      <c r="J1576" s="8"/>
      <c r="K1576" s="8"/>
      <c r="L1576" s="8"/>
    </row>
    <row r="1577" spans="3:12" x14ac:dyDescent="0.25">
      <c r="C1577" s="7"/>
      <c r="E1577" s="8"/>
      <c r="F1577" s="8"/>
      <c r="G1577" s="8"/>
      <c r="H1577" s="8"/>
      <c r="I1577" s="8"/>
      <c r="J1577" s="8"/>
      <c r="K1577" s="8"/>
      <c r="L1577" s="8"/>
    </row>
    <row r="1578" spans="3:12" x14ac:dyDescent="0.25">
      <c r="C1578" s="7"/>
      <c r="E1578" s="8"/>
      <c r="F1578" s="8"/>
      <c r="G1578" s="8"/>
      <c r="H1578" s="8"/>
      <c r="I1578" s="8"/>
      <c r="J1578" s="8"/>
      <c r="K1578" s="8"/>
      <c r="L1578" s="8"/>
    </row>
    <row r="1579" spans="3:12" x14ac:dyDescent="0.25">
      <c r="C1579" s="7"/>
      <c r="E1579" s="8"/>
      <c r="F1579" s="8"/>
      <c r="G1579" s="8"/>
      <c r="H1579" s="8"/>
      <c r="I1579" s="8"/>
      <c r="J1579" s="8"/>
      <c r="K1579" s="8"/>
      <c r="L1579" s="8"/>
    </row>
    <row r="1580" spans="3:12" x14ac:dyDescent="0.25">
      <c r="C1580" s="7"/>
      <c r="E1580" s="8"/>
      <c r="F1580" s="8"/>
      <c r="G1580" s="8"/>
      <c r="H1580" s="8"/>
      <c r="I1580" s="8"/>
      <c r="J1580" s="8"/>
      <c r="K1580" s="8"/>
      <c r="L1580" s="8"/>
    </row>
    <row r="1581" spans="3:12" x14ac:dyDescent="0.25">
      <c r="C1581" s="7"/>
      <c r="E1581" s="8"/>
      <c r="F1581" s="8"/>
      <c r="G1581" s="8"/>
      <c r="H1581" s="8"/>
      <c r="I1581" s="8"/>
      <c r="J1581" s="8"/>
      <c r="K1581" s="8"/>
      <c r="L1581" s="8"/>
    </row>
    <row r="1582" spans="3:12" x14ac:dyDescent="0.25">
      <c r="C1582" s="7"/>
      <c r="E1582" s="8"/>
      <c r="F1582" s="8"/>
      <c r="G1582" s="8"/>
      <c r="H1582" s="8"/>
      <c r="I1582" s="8"/>
      <c r="J1582" s="8"/>
      <c r="K1582" s="8"/>
      <c r="L1582" s="8"/>
    </row>
    <row r="1583" spans="3:12" x14ac:dyDescent="0.25">
      <c r="C1583" s="7"/>
      <c r="E1583" s="8"/>
      <c r="F1583" s="8"/>
      <c r="G1583" s="8"/>
      <c r="H1583" s="8"/>
      <c r="I1583" s="8"/>
      <c r="J1583" s="8"/>
      <c r="K1583" s="8"/>
      <c r="L1583" s="8"/>
    </row>
    <row r="1584" spans="3:12" x14ac:dyDescent="0.25">
      <c r="C1584" s="7"/>
      <c r="E1584" s="8"/>
      <c r="F1584" s="8"/>
      <c r="G1584" s="8"/>
      <c r="H1584" s="8"/>
      <c r="I1584" s="8"/>
      <c r="J1584" s="8"/>
      <c r="K1584" s="8"/>
      <c r="L1584" s="8"/>
    </row>
    <row r="1585" spans="3:12" x14ac:dyDescent="0.25">
      <c r="C1585" s="7"/>
      <c r="E1585" s="8"/>
      <c r="F1585" s="8"/>
      <c r="G1585" s="8"/>
      <c r="H1585" s="8"/>
      <c r="I1585" s="8"/>
      <c r="J1585" s="8"/>
      <c r="K1585" s="8"/>
      <c r="L1585" s="8"/>
    </row>
    <row r="1586" spans="3:12" x14ac:dyDescent="0.25">
      <c r="C1586" s="7"/>
      <c r="E1586" s="8"/>
      <c r="F1586" s="8"/>
      <c r="G1586" s="8"/>
      <c r="H1586" s="8"/>
      <c r="I1586" s="8"/>
      <c r="J1586" s="8"/>
      <c r="K1586" s="8"/>
      <c r="L1586" s="8"/>
    </row>
    <row r="1587" spans="3:12" x14ac:dyDescent="0.25">
      <c r="C1587" s="7"/>
      <c r="E1587" s="8"/>
      <c r="F1587" s="8"/>
      <c r="G1587" s="8"/>
      <c r="H1587" s="8"/>
      <c r="I1587" s="8"/>
      <c r="J1587" s="8"/>
      <c r="K1587" s="8"/>
      <c r="L1587" s="8"/>
    </row>
    <row r="1588" spans="3:12" x14ac:dyDescent="0.25">
      <c r="C1588" s="7"/>
      <c r="E1588" s="8"/>
      <c r="F1588" s="8"/>
      <c r="G1588" s="8"/>
      <c r="H1588" s="8"/>
      <c r="I1588" s="8"/>
      <c r="J1588" s="8"/>
      <c r="K1588" s="8"/>
      <c r="L1588" s="8"/>
    </row>
    <row r="1589" spans="3:12" x14ac:dyDescent="0.25">
      <c r="C1589" s="7"/>
      <c r="E1589" s="8"/>
      <c r="F1589" s="8"/>
      <c r="G1589" s="8"/>
      <c r="H1589" s="8"/>
      <c r="I1589" s="8"/>
      <c r="J1589" s="8"/>
      <c r="K1589" s="8"/>
      <c r="L1589" s="8"/>
    </row>
    <row r="1590" spans="3:12" x14ac:dyDescent="0.25">
      <c r="C1590" s="7"/>
      <c r="E1590" s="8"/>
      <c r="F1590" s="8"/>
      <c r="G1590" s="8"/>
      <c r="H1590" s="8"/>
      <c r="I1590" s="8"/>
      <c r="J1590" s="8"/>
      <c r="K1590" s="8"/>
      <c r="L1590" s="8"/>
    </row>
    <row r="1591" spans="3:12" x14ac:dyDescent="0.25">
      <c r="C1591" s="7"/>
      <c r="E1591" s="8"/>
      <c r="F1591" s="8"/>
      <c r="G1591" s="8"/>
      <c r="H1591" s="8"/>
      <c r="I1591" s="8"/>
      <c r="J1591" s="8"/>
      <c r="K1591" s="8"/>
      <c r="L1591" s="8"/>
    </row>
    <row r="1592" spans="3:12" x14ac:dyDescent="0.25">
      <c r="C1592" s="7"/>
      <c r="E1592" s="8"/>
      <c r="F1592" s="8"/>
      <c r="G1592" s="8"/>
      <c r="H1592" s="8"/>
      <c r="I1592" s="8"/>
      <c r="J1592" s="8"/>
      <c r="K1592" s="8"/>
      <c r="L1592" s="8"/>
    </row>
    <row r="1593" spans="3:12" x14ac:dyDescent="0.25">
      <c r="C1593" s="7"/>
      <c r="E1593" s="8"/>
      <c r="F1593" s="8"/>
      <c r="G1593" s="8"/>
      <c r="H1593" s="8"/>
      <c r="I1593" s="8"/>
      <c r="J1593" s="8"/>
      <c r="K1593" s="8"/>
      <c r="L1593" s="8"/>
    </row>
    <row r="1594" spans="3:12" x14ac:dyDescent="0.25">
      <c r="C1594" s="7"/>
      <c r="E1594" s="8"/>
      <c r="F1594" s="8"/>
      <c r="G1594" s="8"/>
      <c r="H1594" s="8"/>
      <c r="I1594" s="8"/>
      <c r="J1594" s="8"/>
      <c r="K1594" s="8"/>
      <c r="L1594" s="8"/>
    </row>
    <row r="1595" spans="3:12" x14ac:dyDescent="0.25">
      <c r="C1595" s="7"/>
      <c r="E1595" s="8"/>
      <c r="F1595" s="8"/>
      <c r="G1595" s="8"/>
      <c r="H1595" s="8"/>
      <c r="I1595" s="8"/>
      <c r="J1595" s="8"/>
      <c r="K1595" s="8"/>
      <c r="L1595" s="8"/>
    </row>
    <row r="1596" spans="3:12" x14ac:dyDescent="0.25">
      <c r="C1596" s="7"/>
      <c r="E1596" s="8"/>
      <c r="F1596" s="8"/>
      <c r="G1596" s="8"/>
      <c r="H1596" s="8"/>
      <c r="I1596" s="8"/>
      <c r="J1596" s="8"/>
      <c r="K1596" s="8"/>
      <c r="L1596" s="8"/>
    </row>
    <row r="1597" spans="3:12" x14ac:dyDescent="0.25">
      <c r="C1597" s="7"/>
      <c r="E1597" s="8"/>
      <c r="F1597" s="8"/>
      <c r="G1597" s="8"/>
      <c r="H1597" s="8"/>
      <c r="I1597" s="8"/>
      <c r="J1597" s="8"/>
      <c r="K1597" s="8"/>
      <c r="L1597" s="8"/>
    </row>
    <row r="1598" spans="3:12" x14ac:dyDescent="0.25">
      <c r="C1598" s="7"/>
      <c r="E1598" s="8"/>
      <c r="F1598" s="8"/>
      <c r="G1598" s="8"/>
      <c r="H1598" s="8"/>
      <c r="I1598" s="8"/>
      <c r="J1598" s="8"/>
      <c r="K1598" s="8"/>
      <c r="L1598" s="8"/>
    </row>
    <row r="1599" spans="3:12" x14ac:dyDescent="0.25">
      <c r="C1599" s="7"/>
      <c r="E1599" s="8"/>
      <c r="F1599" s="8"/>
      <c r="G1599" s="8"/>
      <c r="H1599" s="8"/>
      <c r="I1599" s="8"/>
      <c r="J1599" s="8"/>
      <c r="K1599" s="8"/>
      <c r="L1599" s="8"/>
    </row>
    <row r="1600" spans="3:12" x14ac:dyDescent="0.25">
      <c r="C1600" s="7"/>
      <c r="E1600" s="8"/>
      <c r="F1600" s="8"/>
      <c r="G1600" s="8"/>
      <c r="H1600" s="8"/>
      <c r="I1600" s="8"/>
      <c r="J1600" s="8"/>
      <c r="K1600" s="8"/>
      <c r="L1600" s="8"/>
    </row>
    <row r="1601" spans="3:12" x14ac:dyDescent="0.25">
      <c r="C1601" s="7"/>
      <c r="E1601" s="8"/>
      <c r="F1601" s="8"/>
      <c r="G1601" s="8"/>
      <c r="H1601" s="8"/>
      <c r="I1601" s="8"/>
      <c r="J1601" s="8"/>
      <c r="K1601" s="8"/>
      <c r="L1601" s="8"/>
    </row>
    <row r="1602" spans="3:12" x14ac:dyDescent="0.25">
      <c r="C1602" s="7"/>
      <c r="E1602" s="8"/>
      <c r="F1602" s="8"/>
      <c r="G1602" s="8"/>
      <c r="H1602" s="8"/>
      <c r="I1602" s="8"/>
      <c r="J1602" s="8"/>
      <c r="K1602" s="8"/>
      <c r="L1602" s="8"/>
    </row>
    <row r="1603" spans="3:12" x14ac:dyDescent="0.25">
      <c r="C1603" s="7"/>
      <c r="E1603" s="8"/>
      <c r="F1603" s="8"/>
      <c r="G1603" s="8"/>
      <c r="H1603" s="8"/>
      <c r="I1603" s="8"/>
      <c r="J1603" s="8"/>
      <c r="K1603" s="8"/>
      <c r="L1603" s="8"/>
    </row>
    <row r="1604" spans="3:12" x14ac:dyDescent="0.25">
      <c r="C1604" s="7"/>
      <c r="E1604" s="8"/>
      <c r="F1604" s="8"/>
      <c r="G1604" s="8"/>
      <c r="H1604" s="8"/>
      <c r="I1604" s="8"/>
      <c r="J1604" s="8"/>
      <c r="K1604" s="8"/>
      <c r="L1604" s="8"/>
    </row>
    <row r="1605" spans="3:12" x14ac:dyDescent="0.25">
      <c r="C1605" s="7"/>
      <c r="E1605" s="8"/>
      <c r="F1605" s="8"/>
      <c r="G1605" s="8"/>
      <c r="H1605" s="8"/>
      <c r="I1605" s="8"/>
      <c r="J1605" s="8"/>
      <c r="K1605" s="8"/>
      <c r="L1605" s="8"/>
    </row>
    <row r="1606" spans="3:12" x14ac:dyDescent="0.25">
      <c r="C1606" s="7"/>
      <c r="E1606" s="8"/>
      <c r="F1606" s="8"/>
      <c r="G1606" s="8"/>
      <c r="H1606" s="8"/>
      <c r="I1606" s="8"/>
      <c r="J1606" s="8"/>
      <c r="K1606" s="8"/>
      <c r="L1606" s="8"/>
    </row>
    <row r="1607" spans="3:12" x14ac:dyDescent="0.25">
      <c r="C1607" s="7"/>
      <c r="E1607" s="8"/>
      <c r="F1607" s="8"/>
      <c r="G1607" s="8"/>
      <c r="H1607" s="8"/>
      <c r="I1607" s="8"/>
      <c r="J1607" s="8"/>
      <c r="K1607" s="8"/>
      <c r="L1607" s="8"/>
    </row>
    <row r="1608" spans="3:12" x14ac:dyDescent="0.25">
      <c r="C1608" s="7"/>
      <c r="E1608" s="8"/>
      <c r="F1608" s="8"/>
      <c r="G1608" s="8"/>
      <c r="H1608" s="8"/>
      <c r="I1608" s="8"/>
      <c r="J1608" s="8"/>
      <c r="K1608" s="8"/>
      <c r="L1608" s="8"/>
    </row>
    <row r="1609" spans="3:12" x14ac:dyDescent="0.25">
      <c r="C1609" s="7"/>
      <c r="E1609" s="8"/>
      <c r="F1609" s="8"/>
      <c r="G1609" s="8"/>
      <c r="H1609" s="8"/>
      <c r="I1609" s="8"/>
      <c r="J1609" s="8"/>
      <c r="K1609" s="8"/>
      <c r="L1609" s="8"/>
    </row>
    <row r="1610" spans="3:12" x14ac:dyDescent="0.25">
      <c r="C1610" s="7"/>
      <c r="E1610" s="8"/>
      <c r="F1610" s="8"/>
      <c r="G1610" s="8"/>
      <c r="H1610" s="8"/>
      <c r="I1610" s="8"/>
      <c r="J1610" s="8"/>
      <c r="K1610" s="8"/>
      <c r="L1610" s="8"/>
    </row>
    <row r="1611" spans="3:12" x14ac:dyDescent="0.25">
      <c r="C1611" s="7"/>
      <c r="E1611" s="8"/>
      <c r="F1611" s="8"/>
      <c r="G1611" s="8"/>
      <c r="H1611" s="8"/>
      <c r="I1611" s="8"/>
      <c r="J1611" s="8"/>
      <c r="K1611" s="8"/>
      <c r="L1611" s="8"/>
    </row>
    <row r="1612" spans="3:12" x14ac:dyDescent="0.25">
      <c r="C1612" s="7"/>
      <c r="E1612" s="8"/>
      <c r="F1612" s="8"/>
      <c r="G1612" s="8"/>
      <c r="H1612" s="8"/>
      <c r="I1612" s="8"/>
      <c r="J1612" s="8"/>
      <c r="K1612" s="8"/>
      <c r="L1612" s="8"/>
    </row>
    <row r="1613" spans="3:12" x14ac:dyDescent="0.25">
      <c r="C1613" s="7"/>
      <c r="E1613" s="8"/>
      <c r="F1613" s="8"/>
      <c r="G1613" s="8"/>
      <c r="H1613" s="8"/>
      <c r="I1613" s="8"/>
      <c r="J1613" s="8"/>
      <c r="K1613" s="8"/>
      <c r="L1613" s="8"/>
    </row>
    <row r="1614" spans="3:12" x14ac:dyDescent="0.25">
      <c r="C1614" s="7"/>
      <c r="E1614" s="8"/>
      <c r="F1614" s="8"/>
      <c r="G1614" s="8"/>
      <c r="H1614" s="8"/>
      <c r="I1614" s="8"/>
      <c r="J1614" s="8"/>
      <c r="K1614" s="8"/>
      <c r="L1614" s="8"/>
    </row>
    <row r="1615" spans="3:12" x14ac:dyDescent="0.25">
      <c r="C1615" s="7"/>
      <c r="E1615" s="8"/>
      <c r="F1615" s="8"/>
      <c r="G1615" s="8"/>
      <c r="H1615" s="8"/>
      <c r="I1615" s="8"/>
      <c r="J1615" s="8"/>
      <c r="K1615" s="8"/>
      <c r="L1615" s="8"/>
    </row>
    <row r="1616" spans="3:12" x14ac:dyDescent="0.25">
      <c r="C1616" s="7"/>
      <c r="E1616" s="8"/>
      <c r="F1616" s="8"/>
      <c r="G1616" s="8"/>
      <c r="H1616" s="8"/>
      <c r="I1616" s="8"/>
      <c r="J1616" s="8"/>
      <c r="K1616" s="8"/>
      <c r="L1616" s="8"/>
    </row>
    <row r="1617" spans="3:12" x14ac:dyDescent="0.25">
      <c r="C1617" s="7"/>
      <c r="E1617" s="8"/>
      <c r="F1617" s="8"/>
      <c r="G1617" s="8"/>
      <c r="H1617" s="8"/>
      <c r="I1617" s="8"/>
      <c r="J1617" s="8"/>
      <c r="K1617" s="8"/>
      <c r="L1617" s="8"/>
    </row>
    <row r="1618" spans="3:12" x14ac:dyDescent="0.25">
      <c r="C1618" s="7"/>
      <c r="E1618" s="8"/>
      <c r="F1618" s="8"/>
      <c r="G1618" s="8"/>
      <c r="H1618" s="8"/>
      <c r="I1618" s="8"/>
      <c r="J1618" s="8"/>
      <c r="K1618" s="8"/>
      <c r="L1618" s="8"/>
    </row>
    <row r="1619" spans="3:12" x14ac:dyDescent="0.25">
      <c r="C1619" s="7"/>
      <c r="E1619" s="8"/>
      <c r="F1619" s="8"/>
      <c r="G1619" s="8"/>
      <c r="H1619" s="8"/>
      <c r="I1619" s="8"/>
      <c r="J1619" s="8"/>
      <c r="K1619" s="8"/>
      <c r="L1619" s="8"/>
    </row>
    <row r="1620" spans="3:12" x14ac:dyDescent="0.25">
      <c r="C1620" s="7"/>
      <c r="E1620" s="8"/>
      <c r="F1620" s="8"/>
      <c r="G1620" s="8"/>
      <c r="H1620" s="8"/>
      <c r="I1620" s="8"/>
      <c r="J1620" s="8"/>
      <c r="K1620" s="8"/>
      <c r="L1620" s="8"/>
    </row>
    <row r="1621" spans="3:12" x14ac:dyDescent="0.25">
      <c r="C1621" s="7"/>
      <c r="E1621" s="8"/>
      <c r="F1621" s="8"/>
      <c r="G1621" s="8"/>
      <c r="H1621" s="8"/>
      <c r="I1621" s="8"/>
      <c r="J1621" s="8"/>
      <c r="K1621" s="8"/>
      <c r="L1621" s="8"/>
    </row>
    <row r="1622" spans="3:12" x14ac:dyDescent="0.25">
      <c r="C1622" s="7"/>
      <c r="E1622" s="8"/>
      <c r="F1622" s="8"/>
      <c r="G1622" s="8"/>
      <c r="H1622" s="8"/>
      <c r="I1622" s="8"/>
      <c r="J1622" s="8"/>
      <c r="K1622" s="8"/>
      <c r="L1622" s="8"/>
    </row>
    <row r="1623" spans="3:12" x14ac:dyDescent="0.25">
      <c r="C1623" s="7"/>
      <c r="E1623" s="8"/>
      <c r="F1623" s="8"/>
      <c r="G1623" s="8"/>
      <c r="H1623" s="8"/>
      <c r="I1623" s="8"/>
      <c r="J1623" s="8"/>
      <c r="K1623" s="8"/>
      <c r="L1623" s="8"/>
    </row>
    <row r="1624" spans="3:12" x14ac:dyDescent="0.25">
      <c r="C1624" s="7"/>
      <c r="E1624" s="8"/>
      <c r="F1624" s="8"/>
      <c r="G1624" s="8"/>
      <c r="H1624" s="8"/>
      <c r="I1624" s="8"/>
      <c r="J1624" s="8"/>
      <c r="K1624" s="8"/>
      <c r="L1624" s="8"/>
    </row>
    <row r="1625" spans="3:12" x14ac:dyDescent="0.25">
      <c r="C1625" s="7"/>
      <c r="E1625" s="8"/>
      <c r="F1625" s="8"/>
      <c r="G1625" s="8"/>
      <c r="H1625" s="8"/>
      <c r="I1625" s="8"/>
      <c r="J1625" s="8"/>
      <c r="K1625" s="8"/>
      <c r="L1625" s="8"/>
    </row>
    <row r="1626" spans="3:12" x14ac:dyDescent="0.25">
      <c r="C1626" s="7"/>
      <c r="E1626" s="8"/>
      <c r="F1626" s="8"/>
      <c r="G1626" s="8"/>
      <c r="H1626" s="8"/>
      <c r="I1626" s="8"/>
      <c r="J1626" s="8"/>
      <c r="K1626" s="8"/>
      <c r="L1626" s="8"/>
    </row>
    <row r="1627" spans="3:12" x14ac:dyDescent="0.25">
      <c r="C1627" s="7"/>
      <c r="E1627" s="8"/>
      <c r="F1627" s="8"/>
      <c r="G1627" s="8"/>
      <c r="H1627" s="8"/>
      <c r="I1627" s="8"/>
      <c r="J1627" s="8"/>
      <c r="K1627" s="8"/>
      <c r="L1627" s="8"/>
    </row>
    <row r="1628" spans="3:12" x14ac:dyDescent="0.25">
      <c r="C1628" s="7"/>
      <c r="E1628" s="8"/>
      <c r="F1628" s="8"/>
      <c r="G1628" s="8"/>
      <c r="H1628" s="8"/>
      <c r="I1628" s="8"/>
      <c r="J1628" s="8"/>
      <c r="K1628" s="8"/>
      <c r="L1628" s="8"/>
    </row>
    <row r="1629" spans="3:12" x14ac:dyDescent="0.25">
      <c r="C1629" s="7"/>
      <c r="E1629" s="8"/>
      <c r="F1629" s="8"/>
      <c r="G1629" s="8"/>
      <c r="H1629" s="8"/>
      <c r="I1629" s="8"/>
      <c r="J1629" s="8"/>
      <c r="K1629" s="8"/>
      <c r="L1629" s="8"/>
    </row>
    <row r="1630" spans="3:12" x14ac:dyDescent="0.25">
      <c r="C1630" s="7"/>
      <c r="E1630" s="8"/>
      <c r="F1630" s="8"/>
      <c r="G1630" s="8"/>
      <c r="H1630" s="8"/>
      <c r="I1630" s="8"/>
      <c r="J1630" s="8"/>
      <c r="K1630" s="8"/>
      <c r="L1630" s="8"/>
    </row>
    <row r="1631" spans="3:12" x14ac:dyDescent="0.25">
      <c r="C1631" s="7"/>
      <c r="E1631" s="8"/>
      <c r="F1631" s="8"/>
      <c r="G1631" s="8"/>
      <c r="H1631" s="8"/>
      <c r="I1631" s="8"/>
      <c r="J1631" s="8"/>
      <c r="K1631" s="8"/>
      <c r="L1631" s="8"/>
    </row>
    <row r="1632" spans="3:12" x14ac:dyDescent="0.25">
      <c r="C1632" s="7"/>
      <c r="E1632" s="8"/>
      <c r="F1632" s="8"/>
      <c r="G1632" s="8"/>
      <c r="H1632" s="8"/>
      <c r="I1632" s="8"/>
      <c r="J1632" s="8"/>
      <c r="K1632" s="8"/>
      <c r="L1632" s="8"/>
    </row>
    <row r="1633" spans="3:12" x14ac:dyDescent="0.25">
      <c r="C1633" s="7"/>
      <c r="E1633" s="8"/>
      <c r="F1633" s="8"/>
      <c r="G1633" s="8"/>
      <c r="H1633" s="8"/>
      <c r="I1633" s="8"/>
      <c r="J1633" s="8"/>
      <c r="K1633" s="8"/>
      <c r="L1633" s="8"/>
    </row>
    <row r="1634" spans="3:12" x14ac:dyDescent="0.25">
      <c r="C1634" s="7"/>
      <c r="E1634" s="8"/>
      <c r="F1634" s="8"/>
      <c r="G1634" s="8"/>
      <c r="H1634" s="8"/>
      <c r="I1634" s="8"/>
      <c r="J1634" s="8"/>
      <c r="K1634" s="8"/>
      <c r="L1634" s="8"/>
    </row>
    <row r="1635" spans="3:12" x14ac:dyDescent="0.25">
      <c r="C1635" s="7"/>
      <c r="E1635" s="8"/>
      <c r="F1635" s="8"/>
      <c r="G1635" s="8"/>
      <c r="H1635" s="8"/>
      <c r="I1635" s="8"/>
      <c r="J1635" s="8"/>
      <c r="K1635" s="8"/>
      <c r="L1635" s="8"/>
    </row>
    <row r="1636" spans="3:12" x14ac:dyDescent="0.25">
      <c r="C1636" s="7"/>
      <c r="E1636" s="8"/>
      <c r="F1636" s="8"/>
      <c r="G1636" s="8"/>
      <c r="H1636" s="8"/>
      <c r="I1636" s="8"/>
      <c r="J1636" s="8"/>
      <c r="K1636" s="8"/>
      <c r="L1636" s="8"/>
    </row>
    <row r="1637" spans="3:12" x14ac:dyDescent="0.25">
      <c r="C1637" s="7"/>
      <c r="E1637" s="8"/>
      <c r="F1637" s="8"/>
      <c r="G1637" s="8"/>
      <c r="H1637" s="8"/>
      <c r="I1637" s="8"/>
      <c r="J1637" s="8"/>
      <c r="K1637" s="8"/>
      <c r="L1637" s="8"/>
    </row>
    <row r="1638" spans="3:12" x14ac:dyDescent="0.25">
      <c r="C1638" s="7"/>
      <c r="E1638" s="8"/>
      <c r="F1638" s="8"/>
      <c r="G1638" s="8"/>
      <c r="H1638" s="8"/>
      <c r="I1638" s="8"/>
      <c r="J1638" s="8"/>
      <c r="K1638" s="8"/>
      <c r="L1638" s="8"/>
    </row>
    <row r="1639" spans="3:12" x14ac:dyDescent="0.25">
      <c r="C1639" s="7"/>
      <c r="E1639" s="8"/>
      <c r="F1639" s="8"/>
      <c r="G1639" s="8"/>
      <c r="H1639" s="8"/>
      <c r="I1639" s="8"/>
      <c r="J1639" s="8"/>
      <c r="K1639" s="8"/>
      <c r="L1639" s="8"/>
    </row>
    <row r="1640" spans="3:12" x14ac:dyDescent="0.25">
      <c r="C1640" s="7"/>
      <c r="E1640" s="8"/>
      <c r="F1640" s="8"/>
      <c r="G1640" s="8"/>
      <c r="H1640" s="8"/>
      <c r="I1640" s="8"/>
      <c r="J1640" s="8"/>
      <c r="K1640" s="8"/>
      <c r="L1640" s="8"/>
    </row>
    <row r="1641" spans="3:12" x14ac:dyDescent="0.25">
      <c r="C1641" s="7"/>
      <c r="E1641" s="8"/>
      <c r="F1641" s="8"/>
      <c r="G1641" s="8"/>
      <c r="H1641" s="8"/>
      <c r="I1641" s="8"/>
      <c r="J1641" s="8"/>
      <c r="K1641" s="8"/>
      <c r="L1641" s="8"/>
    </row>
    <row r="1642" spans="3:12" x14ac:dyDescent="0.25">
      <c r="C1642" s="7"/>
      <c r="E1642" s="8"/>
      <c r="F1642" s="8"/>
      <c r="G1642" s="8"/>
      <c r="H1642" s="8"/>
      <c r="I1642" s="8"/>
      <c r="J1642" s="8"/>
      <c r="K1642" s="8"/>
      <c r="L1642" s="8"/>
    </row>
    <row r="1643" spans="3:12" x14ac:dyDescent="0.25">
      <c r="C1643" s="7"/>
      <c r="E1643" s="8"/>
      <c r="F1643" s="8"/>
      <c r="G1643" s="8"/>
      <c r="H1643" s="8"/>
      <c r="I1643" s="8"/>
      <c r="J1643" s="8"/>
      <c r="K1643" s="8"/>
      <c r="L1643" s="8"/>
    </row>
    <row r="1644" spans="3:12" x14ac:dyDescent="0.25">
      <c r="C1644" s="7"/>
      <c r="E1644" s="8"/>
      <c r="F1644" s="8"/>
      <c r="G1644" s="8"/>
      <c r="H1644" s="8"/>
      <c r="I1644" s="8"/>
      <c r="J1644" s="8"/>
      <c r="K1644" s="8"/>
      <c r="L1644" s="8"/>
    </row>
    <row r="1645" spans="3:12" x14ac:dyDescent="0.25">
      <c r="C1645" s="7"/>
      <c r="E1645" s="8"/>
      <c r="F1645" s="8"/>
      <c r="G1645" s="8"/>
      <c r="H1645" s="8"/>
      <c r="I1645" s="8"/>
      <c r="J1645" s="8"/>
      <c r="K1645" s="8"/>
      <c r="L1645" s="8"/>
    </row>
    <row r="1646" spans="3:12" x14ac:dyDescent="0.25">
      <c r="C1646" s="7"/>
      <c r="E1646" s="8"/>
      <c r="F1646" s="8"/>
      <c r="G1646" s="8"/>
      <c r="H1646" s="8"/>
      <c r="I1646" s="8"/>
      <c r="J1646" s="8"/>
      <c r="K1646" s="8"/>
      <c r="L1646" s="8"/>
    </row>
    <row r="1647" spans="3:12" x14ac:dyDescent="0.25">
      <c r="C1647" s="7"/>
      <c r="E1647" s="8"/>
      <c r="F1647" s="8"/>
      <c r="G1647" s="8"/>
      <c r="H1647" s="8"/>
      <c r="I1647" s="8"/>
      <c r="J1647" s="8"/>
      <c r="K1647" s="8"/>
      <c r="L1647" s="8"/>
    </row>
    <row r="1648" spans="3:12" x14ac:dyDescent="0.25">
      <c r="C1648" s="7"/>
      <c r="E1648" s="8"/>
      <c r="F1648" s="8"/>
      <c r="G1648" s="8"/>
      <c r="H1648" s="8"/>
      <c r="I1648" s="8"/>
      <c r="J1648" s="8"/>
      <c r="K1648" s="8"/>
      <c r="L1648" s="8"/>
    </row>
    <row r="1649" spans="3:12" x14ac:dyDescent="0.25">
      <c r="C1649" s="7"/>
      <c r="E1649" s="8"/>
      <c r="F1649" s="8"/>
      <c r="G1649" s="8"/>
      <c r="H1649" s="8"/>
      <c r="I1649" s="8"/>
      <c r="J1649" s="8"/>
      <c r="K1649" s="8"/>
      <c r="L1649" s="8"/>
    </row>
    <row r="1650" spans="3:12" x14ac:dyDescent="0.25">
      <c r="C1650" s="7"/>
      <c r="E1650" s="8"/>
      <c r="F1650" s="8"/>
      <c r="G1650" s="8"/>
      <c r="H1650" s="8"/>
      <c r="I1650" s="8"/>
      <c r="J1650" s="8"/>
      <c r="K1650" s="8"/>
      <c r="L1650" s="8"/>
    </row>
    <row r="1651" spans="3:12" x14ac:dyDescent="0.25">
      <c r="C1651" s="7"/>
      <c r="E1651" s="8"/>
      <c r="F1651" s="8"/>
      <c r="G1651" s="8"/>
      <c r="H1651" s="8"/>
      <c r="I1651" s="8"/>
      <c r="J1651" s="8"/>
      <c r="K1651" s="8"/>
      <c r="L1651" s="8"/>
    </row>
    <row r="1652" spans="3:12" x14ac:dyDescent="0.25">
      <c r="C1652" s="7"/>
      <c r="E1652" s="8"/>
      <c r="F1652" s="8"/>
      <c r="G1652" s="8"/>
      <c r="H1652" s="8"/>
      <c r="I1652" s="8"/>
      <c r="J1652" s="8"/>
      <c r="K1652" s="8"/>
      <c r="L1652" s="8"/>
    </row>
    <row r="1653" spans="3:12" x14ac:dyDescent="0.25">
      <c r="C1653" s="7"/>
      <c r="E1653" s="8"/>
      <c r="F1653" s="8"/>
      <c r="G1653" s="8"/>
      <c r="H1653" s="8"/>
      <c r="I1653" s="8"/>
      <c r="J1653" s="8"/>
      <c r="K1653" s="8"/>
      <c r="L1653" s="8"/>
    </row>
    <row r="1654" spans="3:12" x14ac:dyDescent="0.25">
      <c r="C1654" s="7"/>
      <c r="E1654" s="8"/>
      <c r="F1654" s="8"/>
      <c r="G1654" s="8"/>
      <c r="H1654" s="8"/>
      <c r="I1654" s="8"/>
      <c r="J1654" s="8"/>
      <c r="K1654" s="8"/>
      <c r="L1654" s="8"/>
    </row>
    <row r="1655" spans="3:12" x14ac:dyDescent="0.25">
      <c r="C1655" s="7"/>
      <c r="E1655" s="8"/>
      <c r="F1655" s="8"/>
      <c r="G1655" s="8"/>
      <c r="H1655" s="8"/>
      <c r="I1655" s="8"/>
      <c r="J1655" s="8"/>
      <c r="K1655" s="8"/>
      <c r="L1655" s="8"/>
    </row>
    <row r="1656" spans="3:12" x14ac:dyDescent="0.25">
      <c r="C1656" s="7"/>
      <c r="E1656" s="8"/>
      <c r="F1656" s="8"/>
      <c r="G1656" s="8"/>
      <c r="H1656" s="8"/>
      <c r="I1656" s="8"/>
      <c r="J1656" s="8"/>
      <c r="K1656" s="8"/>
      <c r="L1656" s="8"/>
    </row>
    <row r="1657" spans="3:12" x14ac:dyDescent="0.25">
      <c r="C1657" s="7"/>
      <c r="E1657" s="8"/>
      <c r="F1657" s="8"/>
      <c r="G1657" s="8"/>
      <c r="H1657" s="8"/>
      <c r="I1657" s="8"/>
      <c r="J1657" s="8"/>
      <c r="K1657" s="8"/>
      <c r="L1657" s="8"/>
    </row>
    <row r="1658" spans="3:12" x14ac:dyDescent="0.25">
      <c r="C1658" s="7"/>
      <c r="E1658" s="8"/>
      <c r="F1658" s="8"/>
      <c r="G1658" s="8"/>
      <c r="H1658" s="8"/>
      <c r="I1658" s="8"/>
      <c r="J1658" s="8"/>
      <c r="K1658" s="8"/>
      <c r="L1658" s="8"/>
    </row>
    <row r="1659" spans="3:12" x14ac:dyDescent="0.25">
      <c r="C1659" s="7"/>
      <c r="E1659" s="8"/>
      <c r="F1659" s="8"/>
      <c r="G1659" s="8"/>
      <c r="H1659" s="8"/>
      <c r="I1659" s="8"/>
      <c r="J1659" s="8"/>
      <c r="K1659" s="8"/>
      <c r="L1659" s="8"/>
    </row>
    <row r="1660" spans="3:12" x14ac:dyDescent="0.25">
      <c r="C1660" s="7"/>
      <c r="E1660" s="8"/>
      <c r="F1660" s="8"/>
      <c r="G1660" s="8"/>
      <c r="H1660" s="8"/>
      <c r="I1660" s="8"/>
      <c r="J1660" s="8"/>
      <c r="K1660" s="8"/>
      <c r="L1660" s="8"/>
    </row>
    <row r="1661" spans="3:12" x14ac:dyDescent="0.25">
      <c r="C1661" s="7"/>
      <c r="E1661" s="8"/>
      <c r="F1661" s="8"/>
      <c r="G1661" s="8"/>
      <c r="H1661" s="8"/>
      <c r="I1661" s="8"/>
      <c r="J1661" s="8"/>
      <c r="K1661" s="8"/>
      <c r="L1661" s="8"/>
    </row>
    <row r="1662" spans="3:12" x14ac:dyDescent="0.25">
      <c r="C1662" s="7"/>
      <c r="E1662" s="8"/>
      <c r="F1662" s="8"/>
      <c r="G1662" s="8"/>
      <c r="H1662" s="8"/>
      <c r="I1662" s="8"/>
      <c r="J1662" s="8"/>
      <c r="K1662" s="8"/>
      <c r="L1662" s="8"/>
    </row>
    <row r="1663" spans="3:12" x14ac:dyDescent="0.25">
      <c r="C1663" s="7"/>
      <c r="E1663" s="8"/>
      <c r="F1663" s="8"/>
      <c r="G1663" s="8"/>
      <c r="H1663" s="8"/>
      <c r="I1663" s="8"/>
      <c r="J1663" s="8"/>
      <c r="K1663" s="8"/>
      <c r="L1663" s="8"/>
    </row>
    <row r="1664" spans="3:12" x14ac:dyDescent="0.25">
      <c r="C1664" s="7"/>
      <c r="E1664" s="8"/>
      <c r="F1664" s="8"/>
      <c r="G1664" s="8"/>
      <c r="H1664" s="8"/>
      <c r="I1664" s="8"/>
      <c r="J1664" s="8"/>
      <c r="K1664" s="8"/>
      <c r="L1664" s="8"/>
    </row>
    <row r="1665" spans="3:12" x14ac:dyDescent="0.25">
      <c r="C1665" s="7"/>
      <c r="E1665" s="8"/>
      <c r="F1665" s="8"/>
      <c r="G1665" s="8"/>
      <c r="H1665" s="8"/>
      <c r="I1665" s="8"/>
      <c r="J1665" s="8"/>
      <c r="K1665" s="8"/>
      <c r="L1665" s="8"/>
    </row>
    <row r="1666" spans="3:12" x14ac:dyDescent="0.25">
      <c r="C1666" s="7"/>
      <c r="E1666" s="8"/>
      <c r="F1666" s="8"/>
      <c r="G1666" s="8"/>
      <c r="H1666" s="8"/>
      <c r="I1666" s="8"/>
      <c r="J1666" s="8"/>
      <c r="K1666" s="8"/>
      <c r="L1666" s="8"/>
    </row>
    <row r="1667" spans="3:12" x14ac:dyDescent="0.25">
      <c r="C1667" s="7"/>
      <c r="E1667" s="8"/>
      <c r="F1667" s="8"/>
      <c r="G1667" s="8"/>
      <c r="H1667" s="8"/>
      <c r="I1667" s="8"/>
      <c r="J1667" s="8"/>
      <c r="K1667" s="8"/>
      <c r="L1667" s="8"/>
    </row>
    <row r="1668" spans="3:12" x14ac:dyDescent="0.25">
      <c r="C1668" s="7"/>
      <c r="E1668" s="8"/>
      <c r="F1668" s="8"/>
      <c r="G1668" s="8"/>
      <c r="H1668" s="8"/>
      <c r="I1668" s="8"/>
      <c r="J1668" s="8"/>
      <c r="K1668" s="8"/>
      <c r="L1668" s="8"/>
    </row>
    <row r="1669" spans="3:12" x14ac:dyDescent="0.25">
      <c r="C1669" s="7"/>
      <c r="E1669" s="8"/>
      <c r="F1669" s="8"/>
      <c r="G1669" s="8"/>
      <c r="H1669" s="8"/>
      <c r="I1669" s="8"/>
      <c r="J1669" s="8"/>
      <c r="K1669" s="8"/>
      <c r="L1669" s="8"/>
    </row>
    <row r="1670" spans="3:12" x14ac:dyDescent="0.25">
      <c r="C1670" s="7"/>
      <c r="E1670" s="8"/>
      <c r="F1670" s="8"/>
      <c r="G1670" s="8"/>
      <c r="H1670" s="8"/>
      <c r="I1670" s="8"/>
      <c r="J1670" s="8"/>
      <c r="K1670" s="8"/>
      <c r="L1670" s="8"/>
    </row>
    <row r="1671" spans="3:12" x14ac:dyDescent="0.25">
      <c r="C1671" s="7"/>
      <c r="E1671" s="8"/>
      <c r="F1671" s="8"/>
      <c r="G1671" s="8"/>
      <c r="H1671" s="8"/>
      <c r="I1671" s="8"/>
      <c r="J1671" s="8"/>
      <c r="K1671" s="8"/>
      <c r="L1671" s="8"/>
    </row>
    <row r="1672" spans="3:12" x14ac:dyDescent="0.25">
      <c r="C1672" s="7"/>
      <c r="E1672" s="8"/>
      <c r="F1672" s="8"/>
      <c r="G1672" s="8"/>
      <c r="H1672" s="8"/>
      <c r="I1672" s="8"/>
      <c r="J1672" s="8"/>
      <c r="K1672" s="8"/>
      <c r="L1672" s="8"/>
    </row>
    <row r="1673" spans="3:12" x14ac:dyDescent="0.25">
      <c r="C1673" s="7"/>
      <c r="E1673" s="8"/>
      <c r="F1673" s="8"/>
      <c r="G1673" s="8"/>
      <c r="H1673" s="8"/>
      <c r="I1673" s="8"/>
      <c r="J1673" s="8"/>
      <c r="K1673" s="8"/>
      <c r="L1673" s="8"/>
    </row>
    <row r="1674" spans="3:12" x14ac:dyDescent="0.25">
      <c r="C1674" s="7"/>
      <c r="E1674" s="8"/>
      <c r="F1674" s="8"/>
      <c r="G1674" s="8"/>
      <c r="H1674" s="8"/>
      <c r="I1674" s="8"/>
      <c r="J1674" s="8"/>
      <c r="K1674" s="8"/>
      <c r="L1674" s="8"/>
    </row>
    <row r="1675" spans="3:12" x14ac:dyDescent="0.25">
      <c r="C1675" s="7"/>
      <c r="E1675" s="8"/>
      <c r="F1675" s="8"/>
      <c r="G1675" s="8"/>
      <c r="H1675" s="8"/>
      <c r="I1675" s="8"/>
      <c r="J1675" s="8"/>
      <c r="K1675" s="8"/>
      <c r="L1675" s="8"/>
    </row>
    <row r="1676" spans="3:12" x14ac:dyDescent="0.25">
      <c r="C1676" s="7"/>
      <c r="E1676" s="8"/>
      <c r="F1676" s="8"/>
      <c r="G1676" s="8"/>
      <c r="H1676" s="8"/>
      <c r="I1676" s="8"/>
      <c r="J1676" s="8"/>
      <c r="K1676" s="8"/>
      <c r="L1676" s="8"/>
    </row>
    <row r="1677" spans="3:12" x14ac:dyDescent="0.25">
      <c r="C1677" s="7"/>
      <c r="E1677" s="8"/>
      <c r="F1677" s="8"/>
      <c r="G1677" s="8"/>
      <c r="H1677" s="8"/>
      <c r="I1677" s="8"/>
      <c r="J1677" s="8"/>
      <c r="K1677" s="8"/>
      <c r="L1677" s="8"/>
    </row>
    <row r="1678" spans="3:12" x14ac:dyDescent="0.25">
      <c r="C1678" s="7"/>
      <c r="E1678" s="8"/>
      <c r="F1678" s="8"/>
      <c r="G1678" s="8"/>
      <c r="H1678" s="8"/>
      <c r="I1678" s="8"/>
      <c r="J1678" s="8"/>
      <c r="K1678" s="8"/>
      <c r="L1678" s="8"/>
    </row>
    <row r="1679" spans="3:12" x14ac:dyDescent="0.25">
      <c r="C1679" s="7"/>
      <c r="E1679" s="8"/>
      <c r="F1679" s="8"/>
      <c r="G1679" s="8"/>
      <c r="H1679" s="8"/>
      <c r="I1679" s="8"/>
      <c r="J1679" s="8"/>
      <c r="K1679" s="8"/>
      <c r="L1679" s="8"/>
    </row>
    <row r="1680" spans="3:12" x14ac:dyDescent="0.25">
      <c r="C1680" s="7"/>
      <c r="E1680" s="8"/>
      <c r="F1680" s="8"/>
      <c r="G1680" s="8"/>
      <c r="H1680" s="8"/>
      <c r="I1680" s="8"/>
      <c r="J1680" s="8"/>
      <c r="K1680" s="8"/>
      <c r="L1680" s="8"/>
    </row>
    <row r="1681" spans="3:12" x14ac:dyDescent="0.25">
      <c r="C1681" s="7"/>
      <c r="E1681" s="8"/>
      <c r="F1681" s="8"/>
      <c r="G1681" s="8"/>
      <c r="H1681" s="8"/>
      <c r="I1681" s="8"/>
      <c r="J1681" s="8"/>
      <c r="K1681" s="8"/>
      <c r="L1681" s="8"/>
    </row>
    <row r="1682" spans="3:12" x14ac:dyDescent="0.25">
      <c r="C1682" s="7"/>
      <c r="E1682" s="8"/>
      <c r="F1682" s="8"/>
      <c r="G1682" s="8"/>
      <c r="H1682" s="8"/>
      <c r="I1682" s="8"/>
      <c r="J1682" s="8"/>
      <c r="K1682" s="8"/>
      <c r="L1682" s="8"/>
    </row>
    <row r="1683" spans="3:12" x14ac:dyDescent="0.25">
      <c r="C1683" s="7"/>
      <c r="E1683" s="8"/>
      <c r="F1683" s="8"/>
      <c r="G1683" s="8"/>
      <c r="H1683" s="8"/>
      <c r="I1683" s="8"/>
      <c r="J1683" s="8"/>
      <c r="K1683" s="8"/>
      <c r="L1683" s="8"/>
    </row>
    <row r="1684" spans="3:12" x14ac:dyDescent="0.25">
      <c r="C1684" s="7"/>
      <c r="E1684" s="8"/>
      <c r="F1684" s="8"/>
      <c r="G1684" s="8"/>
      <c r="H1684" s="8"/>
      <c r="I1684" s="8"/>
      <c r="J1684" s="8"/>
      <c r="K1684" s="8"/>
      <c r="L1684" s="8"/>
    </row>
    <row r="1685" spans="3:12" x14ac:dyDescent="0.25">
      <c r="C1685" s="7"/>
      <c r="E1685" s="8"/>
      <c r="F1685" s="8"/>
      <c r="G1685" s="8"/>
      <c r="H1685" s="8"/>
      <c r="I1685" s="8"/>
      <c r="J1685" s="8"/>
      <c r="K1685" s="8"/>
      <c r="L1685" s="8"/>
    </row>
    <row r="1686" spans="3:12" x14ac:dyDescent="0.25">
      <c r="C1686" s="7"/>
      <c r="E1686" s="8"/>
      <c r="F1686" s="8"/>
      <c r="G1686" s="8"/>
      <c r="H1686" s="8"/>
      <c r="I1686" s="8"/>
      <c r="J1686" s="8"/>
      <c r="K1686" s="8"/>
      <c r="L1686" s="8"/>
    </row>
    <row r="1687" spans="3:12" x14ac:dyDescent="0.25">
      <c r="C1687" s="7"/>
      <c r="E1687" s="8"/>
      <c r="F1687" s="8"/>
      <c r="G1687" s="8"/>
      <c r="H1687" s="8"/>
      <c r="I1687" s="8"/>
      <c r="J1687" s="8"/>
      <c r="K1687" s="8"/>
      <c r="L1687" s="8"/>
    </row>
    <row r="1688" spans="3:12" x14ac:dyDescent="0.25">
      <c r="C1688" s="7"/>
      <c r="E1688" s="8"/>
      <c r="F1688" s="8"/>
      <c r="G1688" s="8"/>
      <c r="H1688" s="8"/>
      <c r="I1688" s="8"/>
      <c r="J1688" s="8"/>
      <c r="K1688" s="8"/>
      <c r="L1688" s="8"/>
    </row>
    <row r="1689" spans="3:12" x14ac:dyDescent="0.25">
      <c r="C1689" s="7"/>
      <c r="E1689" s="8"/>
      <c r="F1689" s="8"/>
      <c r="G1689" s="8"/>
      <c r="H1689" s="8"/>
      <c r="I1689" s="8"/>
      <c r="J1689" s="8"/>
      <c r="K1689" s="8"/>
      <c r="L1689" s="8"/>
    </row>
    <row r="1690" spans="3:12" x14ac:dyDescent="0.25">
      <c r="C1690" s="7"/>
      <c r="E1690" s="8"/>
      <c r="F1690" s="8"/>
      <c r="G1690" s="8"/>
      <c r="H1690" s="8"/>
      <c r="I1690" s="8"/>
      <c r="J1690" s="8"/>
      <c r="K1690" s="8"/>
      <c r="L1690" s="8"/>
    </row>
    <row r="1691" spans="3:12" x14ac:dyDescent="0.25">
      <c r="C1691" s="7"/>
      <c r="E1691" s="8"/>
      <c r="F1691" s="8"/>
      <c r="G1691" s="8"/>
      <c r="H1691" s="8"/>
      <c r="I1691" s="8"/>
      <c r="J1691" s="8"/>
      <c r="K1691" s="8"/>
      <c r="L1691" s="8"/>
    </row>
    <row r="1692" spans="3:12" x14ac:dyDescent="0.25">
      <c r="C1692" s="7"/>
      <c r="E1692" s="8"/>
      <c r="F1692" s="8"/>
      <c r="G1692" s="8"/>
      <c r="H1692" s="8"/>
      <c r="I1692" s="8"/>
      <c r="J1692" s="8"/>
      <c r="K1692" s="8"/>
      <c r="L1692" s="8"/>
    </row>
    <row r="1693" spans="3:12" x14ac:dyDescent="0.25">
      <c r="C1693" s="7"/>
      <c r="E1693" s="8"/>
      <c r="F1693" s="8"/>
      <c r="G1693" s="8"/>
      <c r="H1693" s="8"/>
      <c r="I1693" s="8"/>
      <c r="J1693" s="8"/>
      <c r="K1693" s="8"/>
      <c r="L1693" s="8"/>
    </row>
    <row r="1694" spans="3:12" x14ac:dyDescent="0.25">
      <c r="C1694" s="7"/>
      <c r="E1694" s="8"/>
      <c r="F1694" s="8"/>
      <c r="G1694" s="8"/>
      <c r="H1694" s="8"/>
      <c r="I1694" s="8"/>
      <c r="J1694" s="8"/>
      <c r="K1694" s="8"/>
      <c r="L1694" s="8"/>
    </row>
    <row r="1695" spans="3:12" x14ac:dyDescent="0.25">
      <c r="C1695" s="7"/>
      <c r="E1695" s="8"/>
      <c r="F1695" s="8"/>
      <c r="G1695" s="8"/>
      <c r="H1695" s="8"/>
      <c r="I1695" s="8"/>
      <c r="J1695" s="8"/>
      <c r="K1695" s="8"/>
      <c r="L1695" s="8"/>
    </row>
    <row r="1696" spans="3:12" x14ac:dyDescent="0.25">
      <c r="C1696" s="7"/>
      <c r="E1696" s="8"/>
      <c r="F1696" s="8"/>
      <c r="G1696" s="8"/>
      <c r="H1696" s="8"/>
      <c r="I1696" s="8"/>
      <c r="J1696" s="8"/>
      <c r="K1696" s="8"/>
      <c r="L1696" s="8"/>
    </row>
    <row r="1697" spans="3:12" x14ac:dyDescent="0.25">
      <c r="C1697" s="7"/>
      <c r="E1697" s="8"/>
      <c r="F1697" s="8"/>
      <c r="G1697" s="8"/>
      <c r="H1697" s="8"/>
      <c r="I1697" s="8"/>
      <c r="J1697" s="8"/>
      <c r="K1697" s="8"/>
      <c r="L1697" s="8"/>
    </row>
    <row r="1698" spans="3:12" x14ac:dyDescent="0.25">
      <c r="C1698" s="7"/>
      <c r="E1698" s="8"/>
      <c r="F1698" s="8"/>
      <c r="G1698" s="8"/>
      <c r="H1698" s="8"/>
      <c r="I1698" s="8"/>
      <c r="J1698" s="8"/>
      <c r="K1698" s="8"/>
      <c r="L1698" s="8"/>
    </row>
    <row r="1699" spans="3:12" x14ac:dyDescent="0.25">
      <c r="C1699" s="7"/>
      <c r="E1699" s="8"/>
      <c r="F1699" s="8"/>
      <c r="G1699" s="8"/>
      <c r="H1699" s="8"/>
      <c r="I1699" s="8"/>
      <c r="J1699" s="8"/>
      <c r="K1699" s="8"/>
      <c r="L1699" s="8"/>
    </row>
    <row r="1700" spans="3:12" x14ac:dyDescent="0.25">
      <c r="C1700" s="7"/>
      <c r="E1700" s="8"/>
      <c r="F1700" s="8"/>
      <c r="G1700" s="8"/>
      <c r="H1700" s="8"/>
      <c r="I1700" s="8"/>
      <c r="J1700" s="8"/>
      <c r="K1700" s="8"/>
      <c r="L1700" s="8"/>
    </row>
    <row r="1701" spans="3:12" x14ac:dyDescent="0.25">
      <c r="C1701" s="7"/>
      <c r="E1701" s="8"/>
      <c r="F1701" s="8"/>
      <c r="G1701" s="8"/>
      <c r="H1701" s="8"/>
      <c r="I1701" s="8"/>
      <c r="J1701" s="8"/>
      <c r="K1701" s="8"/>
      <c r="L1701" s="8"/>
    </row>
    <row r="1702" spans="3:12" x14ac:dyDescent="0.25">
      <c r="C1702" s="7"/>
      <c r="E1702" s="8"/>
      <c r="F1702" s="8"/>
      <c r="G1702" s="8"/>
      <c r="H1702" s="8"/>
      <c r="I1702" s="8"/>
      <c r="J1702" s="8"/>
      <c r="K1702" s="8"/>
      <c r="L1702" s="8"/>
    </row>
    <row r="1703" spans="3:12" x14ac:dyDescent="0.25">
      <c r="C1703" s="7"/>
      <c r="E1703" s="8"/>
      <c r="F1703" s="8"/>
      <c r="G1703" s="8"/>
      <c r="H1703" s="8"/>
      <c r="I1703" s="8"/>
      <c r="J1703" s="8"/>
      <c r="K1703" s="8"/>
      <c r="L1703" s="8"/>
    </row>
    <row r="1704" spans="3:12" x14ac:dyDescent="0.25">
      <c r="C1704" s="7"/>
      <c r="E1704" s="8"/>
      <c r="F1704" s="8"/>
      <c r="G1704" s="8"/>
      <c r="H1704" s="8"/>
      <c r="I1704" s="8"/>
      <c r="J1704" s="8"/>
      <c r="K1704" s="8"/>
      <c r="L1704" s="8"/>
    </row>
    <row r="1705" spans="3:12" x14ac:dyDescent="0.25">
      <c r="C1705" s="7"/>
      <c r="E1705" s="8"/>
      <c r="F1705" s="8"/>
      <c r="G1705" s="8"/>
      <c r="H1705" s="8"/>
      <c r="I1705" s="8"/>
      <c r="J1705" s="8"/>
      <c r="K1705" s="8"/>
      <c r="L1705" s="8"/>
    </row>
    <row r="1706" spans="3:12" x14ac:dyDescent="0.25">
      <c r="C1706" s="7"/>
      <c r="E1706" s="8"/>
      <c r="F1706" s="8"/>
      <c r="G1706" s="8"/>
      <c r="H1706" s="8"/>
      <c r="I1706" s="8"/>
      <c r="J1706" s="8"/>
      <c r="K1706" s="8"/>
      <c r="L1706" s="8"/>
    </row>
    <row r="1707" spans="3:12" x14ac:dyDescent="0.25">
      <c r="C1707" s="7"/>
      <c r="E1707" s="8"/>
      <c r="F1707" s="8"/>
      <c r="G1707" s="8"/>
      <c r="H1707" s="8"/>
      <c r="I1707" s="8"/>
      <c r="J1707" s="8"/>
      <c r="K1707" s="8"/>
      <c r="L1707" s="8"/>
    </row>
    <row r="1708" spans="3:12" x14ac:dyDescent="0.25">
      <c r="C1708" s="7"/>
      <c r="E1708" s="8"/>
      <c r="F1708" s="8"/>
      <c r="G1708" s="8"/>
      <c r="H1708" s="8"/>
      <c r="I1708" s="8"/>
      <c r="J1708" s="8"/>
      <c r="K1708" s="8"/>
      <c r="L1708" s="8"/>
    </row>
    <row r="1709" spans="3:12" x14ac:dyDescent="0.25">
      <c r="C1709" s="7"/>
      <c r="E1709" s="8"/>
      <c r="F1709" s="8"/>
      <c r="G1709" s="8"/>
      <c r="H1709" s="8"/>
      <c r="I1709" s="8"/>
      <c r="J1709" s="8"/>
      <c r="K1709" s="8"/>
      <c r="L1709" s="8"/>
    </row>
    <row r="1710" spans="3:12" x14ac:dyDescent="0.25">
      <c r="C1710" s="7"/>
      <c r="E1710" s="8"/>
      <c r="F1710" s="8"/>
      <c r="G1710" s="8"/>
      <c r="H1710" s="8"/>
      <c r="I1710" s="8"/>
      <c r="J1710" s="8"/>
      <c r="K1710" s="8"/>
      <c r="L1710" s="8"/>
    </row>
    <row r="1711" spans="3:12" x14ac:dyDescent="0.25">
      <c r="C1711" s="7"/>
      <c r="E1711" s="8"/>
      <c r="F1711" s="8"/>
      <c r="G1711" s="8"/>
      <c r="H1711" s="8"/>
      <c r="I1711" s="8"/>
      <c r="J1711" s="8"/>
      <c r="K1711" s="8"/>
      <c r="L1711" s="8"/>
    </row>
    <row r="1712" spans="3:12" x14ac:dyDescent="0.25">
      <c r="C1712" s="7"/>
      <c r="E1712" s="8"/>
      <c r="F1712" s="8"/>
      <c r="G1712" s="8"/>
      <c r="H1712" s="8"/>
      <c r="I1712" s="8"/>
      <c r="J1712" s="8"/>
      <c r="K1712" s="8"/>
      <c r="L1712" s="8"/>
    </row>
    <row r="1713" spans="3:12" x14ac:dyDescent="0.25">
      <c r="C1713" s="7"/>
      <c r="E1713" s="8"/>
      <c r="F1713" s="8"/>
      <c r="G1713" s="8"/>
      <c r="H1713" s="8"/>
      <c r="I1713" s="8"/>
      <c r="J1713" s="8"/>
      <c r="K1713" s="8"/>
      <c r="L1713" s="8"/>
    </row>
    <row r="1714" spans="3:12" x14ac:dyDescent="0.25">
      <c r="C1714" s="7"/>
      <c r="E1714" s="8"/>
      <c r="F1714" s="8"/>
      <c r="G1714" s="8"/>
      <c r="H1714" s="8"/>
      <c r="I1714" s="8"/>
      <c r="J1714" s="8"/>
      <c r="K1714" s="8"/>
      <c r="L1714" s="8"/>
    </row>
    <row r="1715" spans="3:12" x14ac:dyDescent="0.25">
      <c r="C1715" s="7"/>
      <c r="E1715" s="8"/>
      <c r="F1715" s="8"/>
      <c r="G1715" s="8"/>
      <c r="H1715" s="8"/>
      <c r="I1715" s="8"/>
      <c r="J1715" s="8"/>
      <c r="K1715" s="8"/>
      <c r="L1715" s="8"/>
    </row>
    <row r="1716" spans="3:12" x14ac:dyDescent="0.25">
      <c r="C1716" s="7"/>
      <c r="E1716" s="8"/>
      <c r="F1716" s="8"/>
      <c r="G1716" s="8"/>
      <c r="H1716" s="8"/>
      <c r="I1716" s="8"/>
      <c r="J1716" s="8"/>
      <c r="K1716" s="8"/>
      <c r="L1716" s="8"/>
    </row>
    <row r="1717" spans="3:12" x14ac:dyDescent="0.25">
      <c r="C1717" s="7"/>
      <c r="E1717" s="8"/>
      <c r="F1717" s="8"/>
      <c r="G1717" s="8"/>
      <c r="H1717" s="8"/>
      <c r="I1717" s="8"/>
      <c r="J1717" s="8"/>
      <c r="K1717" s="8"/>
      <c r="L1717" s="8"/>
    </row>
    <row r="1718" spans="3:12" x14ac:dyDescent="0.25">
      <c r="C1718" s="7"/>
      <c r="E1718" s="8"/>
      <c r="F1718" s="8"/>
      <c r="G1718" s="8"/>
      <c r="H1718" s="8"/>
      <c r="I1718" s="8"/>
      <c r="J1718" s="8"/>
      <c r="K1718" s="8"/>
      <c r="L1718" s="8"/>
    </row>
    <row r="1719" spans="3:12" x14ac:dyDescent="0.25">
      <c r="C1719" s="7"/>
      <c r="E1719" s="8"/>
      <c r="F1719" s="8"/>
      <c r="G1719" s="8"/>
      <c r="H1719" s="8"/>
      <c r="I1719" s="8"/>
      <c r="J1719" s="8"/>
      <c r="K1719" s="8"/>
      <c r="L1719" s="8"/>
    </row>
    <row r="1720" spans="3:12" x14ac:dyDescent="0.25">
      <c r="C1720" s="7"/>
      <c r="E1720" s="8"/>
      <c r="F1720" s="8"/>
      <c r="G1720" s="8"/>
      <c r="H1720" s="8"/>
      <c r="I1720" s="8"/>
      <c r="J1720" s="8"/>
      <c r="K1720" s="8"/>
      <c r="L1720" s="8"/>
    </row>
    <row r="1721" spans="3:12" x14ac:dyDescent="0.25">
      <c r="C1721" s="7"/>
      <c r="E1721" s="8"/>
      <c r="F1721" s="8"/>
      <c r="G1721" s="8"/>
      <c r="H1721" s="8"/>
      <c r="I1721" s="8"/>
      <c r="J1721" s="8"/>
      <c r="K1721" s="8"/>
      <c r="L1721" s="8"/>
    </row>
    <row r="1722" spans="3:12" x14ac:dyDescent="0.25">
      <c r="C1722" s="7"/>
      <c r="E1722" s="8"/>
      <c r="F1722" s="8"/>
      <c r="G1722" s="8"/>
      <c r="H1722" s="8"/>
      <c r="I1722" s="8"/>
      <c r="J1722" s="8"/>
      <c r="K1722" s="8"/>
      <c r="L1722" s="8"/>
    </row>
    <row r="1723" spans="3:12" x14ac:dyDescent="0.25">
      <c r="C1723" s="7"/>
      <c r="E1723" s="8"/>
      <c r="F1723" s="8"/>
      <c r="G1723" s="8"/>
      <c r="H1723" s="8"/>
      <c r="I1723" s="8"/>
      <c r="J1723" s="8"/>
      <c r="K1723" s="8"/>
      <c r="L1723" s="8"/>
    </row>
    <row r="1724" spans="3:12" x14ac:dyDescent="0.25">
      <c r="C1724" s="7"/>
      <c r="E1724" s="8"/>
      <c r="F1724" s="8"/>
      <c r="G1724" s="8"/>
      <c r="H1724" s="8"/>
      <c r="I1724" s="8"/>
      <c r="J1724" s="8"/>
      <c r="K1724" s="8"/>
      <c r="L1724" s="8"/>
    </row>
    <row r="1725" spans="3:12" x14ac:dyDescent="0.25">
      <c r="C1725" s="7"/>
      <c r="E1725" s="8"/>
      <c r="F1725" s="8"/>
      <c r="G1725" s="8"/>
      <c r="H1725" s="8"/>
      <c r="I1725" s="8"/>
      <c r="J1725" s="8"/>
      <c r="K1725" s="8"/>
      <c r="L1725" s="8"/>
    </row>
    <row r="1726" spans="3:12" x14ac:dyDescent="0.25">
      <c r="C1726" s="7"/>
      <c r="E1726" s="8"/>
      <c r="F1726" s="8"/>
      <c r="G1726" s="8"/>
      <c r="H1726" s="8"/>
      <c r="I1726" s="8"/>
      <c r="J1726" s="8"/>
      <c r="K1726" s="8"/>
      <c r="L1726" s="8"/>
    </row>
    <row r="1727" spans="3:12" x14ac:dyDescent="0.25">
      <c r="C1727" s="7"/>
      <c r="E1727" s="8"/>
      <c r="F1727" s="8"/>
      <c r="G1727" s="8"/>
      <c r="H1727" s="8"/>
      <c r="I1727" s="8"/>
      <c r="J1727" s="8"/>
      <c r="K1727" s="8"/>
      <c r="L1727" s="8"/>
    </row>
    <row r="1728" spans="3:12" x14ac:dyDescent="0.25">
      <c r="C1728" s="7"/>
      <c r="E1728" s="8"/>
      <c r="F1728" s="8"/>
      <c r="G1728" s="8"/>
      <c r="H1728" s="8"/>
      <c r="I1728" s="8"/>
      <c r="J1728" s="8"/>
      <c r="K1728" s="8"/>
      <c r="L1728" s="8"/>
    </row>
    <row r="1729" spans="3:12" x14ac:dyDescent="0.25">
      <c r="C1729" s="7"/>
      <c r="E1729" s="8"/>
      <c r="F1729" s="8"/>
      <c r="G1729" s="8"/>
      <c r="H1729" s="8"/>
      <c r="I1729" s="8"/>
      <c r="J1729" s="8"/>
      <c r="K1729" s="8"/>
      <c r="L1729" s="8"/>
    </row>
    <row r="1730" spans="3:12" x14ac:dyDescent="0.25">
      <c r="C1730" s="7"/>
      <c r="E1730" s="8"/>
      <c r="F1730" s="8"/>
      <c r="G1730" s="8"/>
      <c r="H1730" s="8"/>
      <c r="I1730" s="8"/>
      <c r="J1730" s="8"/>
      <c r="K1730" s="8"/>
      <c r="L1730" s="8"/>
    </row>
    <row r="1731" spans="3:12" x14ac:dyDescent="0.25">
      <c r="C1731" s="7"/>
      <c r="E1731" s="8"/>
      <c r="F1731" s="8"/>
      <c r="G1731" s="8"/>
      <c r="H1731" s="8"/>
      <c r="I1731" s="8"/>
      <c r="J1731" s="8"/>
      <c r="K1731" s="8"/>
      <c r="L1731" s="8"/>
    </row>
    <row r="1732" spans="3:12" x14ac:dyDescent="0.25">
      <c r="C1732" s="7"/>
      <c r="E1732" s="8"/>
      <c r="F1732" s="8"/>
      <c r="G1732" s="8"/>
      <c r="H1732" s="8"/>
      <c r="I1732" s="8"/>
      <c r="J1732" s="8"/>
      <c r="K1732" s="8"/>
      <c r="L1732" s="8"/>
    </row>
    <row r="1733" spans="3:12" x14ac:dyDescent="0.25">
      <c r="C1733" s="7"/>
      <c r="E1733" s="8"/>
      <c r="F1733" s="8"/>
      <c r="G1733" s="8"/>
      <c r="H1733" s="8"/>
      <c r="I1733" s="8"/>
      <c r="J1733" s="8"/>
      <c r="K1733" s="8"/>
      <c r="L1733" s="8"/>
    </row>
    <row r="1734" spans="3:12" x14ac:dyDescent="0.25">
      <c r="C1734" s="7"/>
      <c r="E1734" s="8"/>
      <c r="F1734" s="8"/>
      <c r="G1734" s="8"/>
      <c r="H1734" s="8"/>
      <c r="I1734" s="8"/>
      <c r="J1734" s="8"/>
      <c r="K1734" s="8"/>
      <c r="L1734" s="8"/>
    </row>
    <row r="1735" spans="3:12" x14ac:dyDescent="0.25">
      <c r="C1735" s="7"/>
      <c r="E1735" s="8"/>
      <c r="F1735" s="8"/>
      <c r="G1735" s="8"/>
      <c r="H1735" s="8"/>
      <c r="I1735" s="8"/>
      <c r="J1735" s="8"/>
      <c r="K1735" s="8"/>
      <c r="L1735" s="8"/>
    </row>
    <row r="1736" spans="3:12" x14ac:dyDescent="0.25">
      <c r="C1736" s="7"/>
      <c r="E1736" s="8"/>
      <c r="F1736" s="8"/>
      <c r="G1736" s="8"/>
      <c r="H1736" s="8"/>
      <c r="I1736" s="8"/>
      <c r="J1736" s="8"/>
      <c r="K1736" s="8"/>
      <c r="L1736" s="8"/>
    </row>
    <row r="1737" spans="3:12" x14ac:dyDescent="0.25">
      <c r="C1737" s="7"/>
      <c r="E1737" s="8"/>
      <c r="F1737" s="8"/>
      <c r="G1737" s="8"/>
      <c r="H1737" s="8"/>
      <c r="I1737" s="8"/>
      <c r="J1737" s="8"/>
      <c r="K1737" s="8"/>
      <c r="L1737" s="8"/>
    </row>
    <row r="1738" spans="3:12" x14ac:dyDescent="0.25">
      <c r="C1738" s="7"/>
      <c r="E1738" s="8"/>
      <c r="F1738" s="8"/>
      <c r="G1738" s="8"/>
      <c r="H1738" s="8"/>
      <c r="I1738" s="8"/>
      <c r="J1738" s="8"/>
      <c r="K1738" s="8"/>
      <c r="L1738" s="8"/>
    </row>
    <row r="1739" spans="3:12" x14ac:dyDescent="0.25">
      <c r="C1739" s="7"/>
      <c r="E1739" s="8"/>
      <c r="F1739" s="8"/>
      <c r="G1739" s="8"/>
      <c r="H1739" s="8"/>
      <c r="I1739" s="8"/>
      <c r="J1739" s="8"/>
      <c r="K1739" s="8"/>
      <c r="L1739" s="8"/>
    </row>
    <row r="1740" spans="3:12" x14ac:dyDescent="0.25">
      <c r="C1740" s="7"/>
      <c r="E1740" s="8"/>
      <c r="F1740" s="8"/>
      <c r="G1740" s="8"/>
      <c r="H1740" s="8"/>
      <c r="I1740" s="8"/>
      <c r="J1740" s="8"/>
      <c r="K1740" s="8"/>
      <c r="L1740" s="8"/>
    </row>
    <row r="1741" spans="3:12" x14ac:dyDescent="0.25">
      <c r="C1741" s="7"/>
      <c r="E1741" s="8"/>
      <c r="F1741" s="8"/>
      <c r="G1741" s="8"/>
      <c r="H1741" s="8"/>
      <c r="I1741" s="8"/>
      <c r="J1741" s="8"/>
      <c r="K1741" s="8"/>
      <c r="L1741" s="8"/>
    </row>
    <row r="1742" spans="3:12" x14ac:dyDescent="0.25">
      <c r="C1742" s="7"/>
      <c r="E1742" s="8"/>
      <c r="F1742" s="8"/>
      <c r="G1742" s="8"/>
      <c r="H1742" s="8"/>
      <c r="I1742" s="8"/>
      <c r="J1742" s="8"/>
      <c r="K1742" s="8"/>
      <c r="L1742" s="8"/>
    </row>
    <row r="1743" spans="3:12" x14ac:dyDescent="0.25">
      <c r="C1743" s="7"/>
      <c r="E1743" s="8"/>
      <c r="F1743" s="8"/>
      <c r="G1743" s="8"/>
      <c r="H1743" s="8"/>
      <c r="I1743" s="8"/>
      <c r="J1743" s="8"/>
      <c r="K1743" s="8"/>
      <c r="L1743" s="8"/>
    </row>
    <row r="1744" spans="3:12" x14ac:dyDescent="0.25">
      <c r="C1744" s="7"/>
      <c r="E1744" s="8"/>
      <c r="F1744" s="8"/>
      <c r="G1744" s="8"/>
      <c r="H1744" s="8"/>
      <c r="I1744" s="8"/>
      <c r="J1744" s="8"/>
      <c r="K1744" s="8"/>
      <c r="L1744" s="8"/>
    </row>
    <row r="1745" spans="3:12" x14ac:dyDescent="0.25">
      <c r="C1745" s="7"/>
      <c r="E1745" s="8"/>
      <c r="F1745" s="8"/>
      <c r="G1745" s="8"/>
      <c r="H1745" s="8"/>
      <c r="I1745" s="8"/>
      <c r="J1745" s="8"/>
      <c r="K1745" s="8"/>
      <c r="L1745" s="8"/>
    </row>
    <row r="1746" spans="3:12" x14ac:dyDescent="0.25">
      <c r="C1746" s="7"/>
      <c r="E1746" s="8"/>
      <c r="F1746" s="8"/>
      <c r="G1746" s="8"/>
      <c r="H1746" s="8"/>
      <c r="I1746" s="8"/>
      <c r="J1746" s="8"/>
      <c r="K1746" s="8"/>
      <c r="L1746" s="8"/>
    </row>
    <row r="1747" spans="3:12" x14ac:dyDescent="0.25">
      <c r="C1747" s="7"/>
      <c r="E1747" s="8"/>
      <c r="F1747" s="8"/>
      <c r="G1747" s="8"/>
      <c r="H1747" s="8"/>
      <c r="I1747" s="8"/>
      <c r="J1747" s="8"/>
      <c r="K1747" s="8"/>
      <c r="L1747" s="8"/>
    </row>
    <row r="1748" spans="3:12" x14ac:dyDescent="0.25">
      <c r="C1748" s="7"/>
      <c r="E1748" s="8"/>
      <c r="F1748" s="8"/>
      <c r="G1748" s="8"/>
      <c r="H1748" s="8"/>
      <c r="I1748" s="8"/>
      <c r="J1748" s="8"/>
      <c r="K1748" s="8"/>
      <c r="L1748" s="8"/>
    </row>
    <row r="1749" spans="3:12" x14ac:dyDescent="0.25">
      <c r="C1749" s="7"/>
      <c r="E1749" s="8"/>
      <c r="F1749" s="8"/>
      <c r="G1749" s="8"/>
      <c r="H1749" s="8"/>
      <c r="I1749" s="8"/>
      <c r="J1749" s="8"/>
      <c r="K1749" s="8"/>
      <c r="L1749" s="8"/>
    </row>
    <row r="1750" spans="3:12" x14ac:dyDescent="0.25">
      <c r="C1750" s="7"/>
      <c r="E1750" s="8"/>
      <c r="F1750" s="8"/>
      <c r="G1750" s="8"/>
      <c r="H1750" s="8"/>
      <c r="I1750" s="8"/>
      <c r="J1750" s="8"/>
      <c r="K1750" s="8"/>
      <c r="L1750" s="8"/>
    </row>
    <row r="1751" spans="3:12" x14ac:dyDescent="0.25">
      <c r="C1751" s="7"/>
      <c r="E1751" s="8"/>
      <c r="F1751" s="8"/>
      <c r="G1751" s="8"/>
      <c r="H1751" s="8"/>
      <c r="I1751" s="8"/>
      <c r="J1751" s="8"/>
      <c r="K1751" s="8"/>
      <c r="L1751" s="8"/>
    </row>
    <row r="1752" spans="3:12" x14ac:dyDescent="0.25">
      <c r="C1752" s="7"/>
      <c r="E1752" s="8"/>
      <c r="F1752" s="8"/>
      <c r="G1752" s="8"/>
      <c r="H1752" s="8"/>
      <c r="I1752" s="8"/>
      <c r="J1752" s="8"/>
      <c r="K1752" s="8"/>
      <c r="L1752" s="8"/>
    </row>
    <row r="1753" spans="3:12" x14ac:dyDescent="0.25">
      <c r="C1753" s="7"/>
      <c r="E1753" s="8"/>
      <c r="F1753" s="8"/>
      <c r="G1753" s="8"/>
      <c r="H1753" s="8"/>
      <c r="I1753" s="8"/>
      <c r="J1753" s="8"/>
      <c r="K1753" s="8"/>
      <c r="L1753" s="8"/>
    </row>
    <row r="1754" spans="3:12" x14ac:dyDescent="0.25">
      <c r="C1754" s="7"/>
      <c r="E1754" s="8"/>
      <c r="F1754" s="8"/>
      <c r="G1754" s="8"/>
      <c r="H1754" s="8"/>
      <c r="I1754" s="8"/>
      <c r="J1754" s="8"/>
      <c r="K1754" s="8"/>
      <c r="L1754" s="8"/>
    </row>
    <row r="1755" spans="3:12" x14ac:dyDescent="0.25">
      <c r="C1755" s="7"/>
      <c r="E1755" s="8"/>
      <c r="F1755" s="8"/>
      <c r="G1755" s="8"/>
      <c r="H1755" s="8"/>
      <c r="I1755" s="8"/>
      <c r="J1755" s="8"/>
      <c r="K1755" s="8"/>
      <c r="L1755" s="8"/>
    </row>
    <row r="1756" spans="3:12" x14ac:dyDescent="0.25">
      <c r="C1756" s="7"/>
      <c r="E1756" s="8"/>
      <c r="F1756" s="8"/>
      <c r="G1756" s="8"/>
      <c r="H1756" s="8"/>
      <c r="I1756" s="8"/>
      <c r="J1756" s="8"/>
      <c r="K1756" s="8"/>
      <c r="L1756" s="8"/>
    </row>
    <row r="1757" spans="3:12" x14ac:dyDescent="0.25">
      <c r="C1757" s="7"/>
      <c r="E1757" s="8"/>
      <c r="F1757" s="8"/>
      <c r="G1757" s="8"/>
      <c r="H1757" s="8"/>
      <c r="I1757" s="8"/>
      <c r="J1757" s="8"/>
      <c r="K1757" s="8"/>
      <c r="L1757" s="8"/>
    </row>
    <row r="1758" spans="3:12" x14ac:dyDescent="0.25">
      <c r="C1758" s="7"/>
      <c r="E1758" s="8"/>
      <c r="F1758" s="8"/>
      <c r="G1758" s="8"/>
      <c r="H1758" s="8"/>
      <c r="I1758" s="8"/>
      <c r="J1758" s="8"/>
      <c r="K1758" s="8"/>
      <c r="L1758" s="8"/>
    </row>
    <row r="1759" spans="3:12" x14ac:dyDescent="0.25">
      <c r="C1759" s="7"/>
      <c r="E1759" s="8"/>
      <c r="F1759" s="8"/>
      <c r="G1759" s="8"/>
      <c r="H1759" s="8"/>
      <c r="I1759" s="8"/>
      <c r="J1759" s="8"/>
      <c r="K1759" s="8"/>
      <c r="L1759" s="8"/>
    </row>
    <row r="1760" spans="3:12" x14ac:dyDescent="0.25">
      <c r="C1760" s="7"/>
      <c r="E1760" s="8"/>
      <c r="F1760" s="8"/>
      <c r="G1760" s="8"/>
      <c r="H1760" s="8"/>
      <c r="I1760" s="8"/>
      <c r="J1760" s="8"/>
      <c r="K1760" s="8"/>
      <c r="L1760" s="8"/>
    </row>
    <row r="1761" spans="3:12" x14ac:dyDescent="0.25">
      <c r="C1761" s="7"/>
      <c r="E1761" s="8"/>
      <c r="F1761" s="8"/>
      <c r="G1761" s="8"/>
      <c r="H1761" s="8"/>
      <c r="I1761" s="8"/>
      <c r="J1761" s="8"/>
      <c r="K1761" s="8"/>
      <c r="L1761" s="8"/>
    </row>
    <row r="1762" spans="3:12" x14ac:dyDescent="0.25">
      <c r="C1762" s="7"/>
      <c r="E1762" s="8"/>
      <c r="F1762" s="8"/>
      <c r="G1762" s="8"/>
      <c r="H1762" s="8"/>
      <c r="I1762" s="8"/>
      <c r="J1762" s="8"/>
      <c r="K1762" s="8"/>
      <c r="L1762" s="8"/>
    </row>
    <row r="1763" spans="3:12" x14ac:dyDescent="0.25">
      <c r="C1763" s="7"/>
      <c r="E1763" s="8"/>
      <c r="F1763" s="8"/>
      <c r="G1763" s="8"/>
      <c r="H1763" s="8"/>
      <c r="I1763" s="8"/>
      <c r="J1763" s="8"/>
      <c r="K1763" s="8"/>
      <c r="L1763" s="8"/>
    </row>
    <row r="1764" spans="3:12" x14ac:dyDescent="0.25">
      <c r="C1764" s="7"/>
      <c r="E1764" s="8"/>
      <c r="F1764" s="8"/>
      <c r="G1764" s="8"/>
      <c r="H1764" s="8"/>
      <c r="I1764" s="8"/>
      <c r="J1764" s="8"/>
      <c r="K1764" s="8"/>
      <c r="L1764" s="8"/>
    </row>
    <row r="1765" spans="3:12" x14ac:dyDescent="0.25">
      <c r="C1765" s="7"/>
      <c r="E1765" s="8"/>
      <c r="F1765" s="8"/>
      <c r="G1765" s="8"/>
      <c r="H1765" s="8"/>
      <c r="I1765" s="8"/>
      <c r="J1765" s="8"/>
      <c r="K1765" s="8"/>
      <c r="L1765" s="8"/>
    </row>
    <row r="1766" spans="3:12" x14ac:dyDescent="0.25">
      <c r="C1766" s="7"/>
      <c r="E1766" s="8"/>
      <c r="F1766" s="8"/>
      <c r="G1766" s="8"/>
      <c r="H1766" s="8"/>
      <c r="I1766" s="8"/>
      <c r="J1766" s="8"/>
      <c r="K1766" s="8"/>
      <c r="L1766" s="8"/>
    </row>
    <row r="1767" spans="3:12" x14ac:dyDescent="0.25">
      <c r="C1767" s="7"/>
      <c r="E1767" s="8"/>
      <c r="F1767" s="8"/>
      <c r="G1767" s="8"/>
      <c r="H1767" s="8"/>
      <c r="I1767" s="8"/>
      <c r="J1767" s="8"/>
      <c r="K1767" s="8"/>
      <c r="L1767" s="8"/>
    </row>
    <row r="1768" spans="3:12" x14ac:dyDescent="0.25">
      <c r="C1768" s="7"/>
      <c r="E1768" s="8"/>
      <c r="F1768" s="8"/>
      <c r="G1768" s="8"/>
      <c r="H1768" s="8"/>
      <c r="I1768" s="8"/>
      <c r="J1768" s="8"/>
      <c r="K1768" s="8"/>
      <c r="L1768" s="8"/>
    </row>
    <row r="1769" spans="3:12" x14ac:dyDescent="0.25">
      <c r="C1769" s="7"/>
      <c r="E1769" s="8"/>
      <c r="F1769" s="8"/>
      <c r="G1769" s="8"/>
      <c r="H1769" s="8"/>
      <c r="I1769" s="8"/>
      <c r="J1769" s="8"/>
      <c r="K1769" s="8"/>
      <c r="L1769" s="8"/>
    </row>
    <row r="1770" spans="3:12" x14ac:dyDescent="0.25">
      <c r="C1770" s="7"/>
      <c r="E1770" s="8"/>
      <c r="F1770" s="8"/>
      <c r="G1770" s="8"/>
      <c r="H1770" s="8"/>
      <c r="I1770" s="8"/>
      <c r="J1770" s="8"/>
      <c r="K1770" s="8"/>
      <c r="L1770" s="8"/>
    </row>
    <row r="1771" spans="3:12" x14ac:dyDescent="0.25">
      <c r="C1771" s="7"/>
      <c r="E1771" s="8"/>
      <c r="F1771" s="8"/>
      <c r="G1771" s="8"/>
      <c r="H1771" s="8"/>
      <c r="I1771" s="8"/>
      <c r="J1771" s="8"/>
      <c r="K1771" s="8"/>
      <c r="L1771" s="8"/>
    </row>
    <row r="1772" spans="3:12" x14ac:dyDescent="0.25">
      <c r="C1772" s="7"/>
      <c r="E1772" s="8"/>
      <c r="F1772" s="8"/>
      <c r="G1772" s="8"/>
      <c r="H1772" s="8"/>
      <c r="I1772" s="8"/>
      <c r="J1772" s="8"/>
      <c r="K1772" s="8"/>
      <c r="L1772" s="8"/>
    </row>
    <row r="1773" spans="3:12" x14ac:dyDescent="0.25">
      <c r="C1773" s="7"/>
      <c r="E1773" s="8"/>
      <c r="F1773" s="8"/>
      <c r="G1773" s="8"/>
      <c r="H1773" s="8"/>
      <c r="I1773" s="8"/>
      <c r="J1773" s="8"/>
      <c r="K1773" s="8"/>
      <c r="L1773" s="8"/>
    </row>
    <row r="1774" spans="3:12" x14ac:dyDescent="0.25">
      <c r="C1774" s="7"/>
      <c r="E1774" s="8"/>
      <c r="F1774" s="8"/>
      <c r="G1774" s="8"/>
      <c r="H1774" s="8"/>
      <c r="I1774" s="8"/>
      <c r="J1774" s="8"/>
      <c r="K1774" s="8"/>
      <c r="L1774" s="8"/>
    </row>
    <row r="1775" spans="3:12" x14ac:dyDescent="0.25">
      <c r="C1775" s="7"/>
      <c r="E1775" s="8"/>
      <c r="F1775" s="8"/>
      <c r="G1775" s="8"/>
      <c r="H1775" s="8"/>
      <c r="I1775" s="8"/>
      <c r="J1775" s="8"/>
      <c r="K1775" s="8"/>
      <c r="L1775" s="8"/>
    </row>
    <row r="1776" spans="3:12" x14ac:dyDescent="0.25">
      <c r="C1776" s="7"/>
      <c r="E1776" s="8"/>
      <c r="F1776" s="8"/>
      <c r="G1776" s="8"/>
      <c r="H1776" s="8"/>
      <c r="I1776" s="8"/>
      <c r="J1776" s="8"/>
      <c r="K1776" s="8"/>
      <c r="L1776" s="8"/>
    </row>
    <row r="1777" spans="3:12" x14ac:dyDescent="0.25">
      <c r="C1777" s="7"/>
      <c r="E1777" s="8"/>
      <c r="F1777" s="8"/>
      <c r="G1777" s="8"/>
      <c r="H1777" s="8"/>
      <c r="I1777" s="8"/>
      <c r="J1777" s="8"/>
      <c r="K1777" s="8"/>
      <c r="L1777" s="8"/>
    </row>
    <row r="1778" spans="3:12" x14ac:dyDescent="0.25">
      <c r="C1778" s="7"/>
      <c r="E1778" s="8"/>
      <c r="F1778" s="8"/>
      <c r="G1778" s="8"/>
      <c r="H1778" s="8"/>
      <c r="I1778" s="8"/>
      <c r="J1778" s="8"/>
      <c r="K1778" s="8"/>
      <c r="L1778" s="8"/>
    </row>
    <row r="1779" spans="3:12" x14ac:dyDescent="0.25">
      <c r="C1779" s="7"/>
      <c r="E1779" s="8"/>
      <c r="F1779" s="8"/>
      <c r="G1779" s="8"/>
      <c r="H1779" s="8"/>
      <c r="I1779" s="8"/>
      <c r="J1779" s="8"/>
      <c r="K1779" s="8"/>
      <c r="L1779" s="8"/>
    </row>
    <row r="1780" spans="3:12" x14ac:dyDescent="0.25">
      <c r="C1780" s="7"/>
      <c r="E1780" s="8"/>
      <c r="F1780" s="8"/>
      <c r="G1780" s="8"/>
      <c r="H1780" s="8"/>
      <c r="I1780" s="8"/>
      <c r="J1780" s="8"/>
      <c r="K1780" s="8"/>
      <c r="L1780" s="8"/>
    </row>
    <row r="1781" spans="3:12" x14ac:dyDescent="0.25">
      <c r="C1781" s="7"/>
      <c r="E1781" s="8"/>
      <c r="F1781" s="8"/>
      <c r="G1781" s="8"/>
      <c r="H1781" s="8"/>
      <c r="I1781" s="8"/>
      <c r="J1781" s="8"/>
      <c r="K1781" s="8"/>
      <c r="L1781" s="8"/>
    </row>
    <row r="1782" spans="3:12" x14ac:dyDescent="0.25">
      <c r="C1782" s="7"/>
      <c r="E1782" s="8"/>
      <c r="F1782" s="8"/>
      <c r="G1782" s="8"/>
      <c r="H1782" s="8"/>
      <c r="I1782" s="8"/>
      <c r="J1782" s="8"/>
      <c r="K1782" s="8"/>
      <c r="L1782" s="8"/>
    </row>
    <row r="1783" spans="3:12" x14ac:dyDescent="0.25">
      <c r="C1783" s="7"/>
      <c r="E1783" s="8"/>
      <c r="F1783" s="8"/>
      <c r="G1783" s="8"/>
      <c r="H1783" s="8"/>
      <c r="I1783" s="8"/>
      <c r="J1783" s="8"/>
      <c r="K1783" s="8"/>
      <c r="L1783" s="8"/>
    </row>
    <row r="1784" spans="3:12" x14ac:dyDescent="0.25">
      <c r="C1784" s="7"/>
      <c r="E1784" s="8"/>
      <c r="F1784" s="8"/>
      <c r="G1784" s="8"/>
      <c r="H1784" s="8"/>
      <c r="I1784" s="8"/>
      <c r="J1784" s="8"/>
      <c r="K1784" s="8"/>
      <c r="L1784" s="8"/>
    </row>
    <row r="1785" spans="3:12" x14ac:dyDescent="0.25">
      <c r="C1785" s="7"/>
      <c r="E1785" s="8"/>
      <c r="F1785" s="8"/>
      <c r="G1785" s="8"/>
      <c r="H1785" s="8"/>
      <c r="I1785" s="8"/>
      <c r="J1785" s="8"/>
      <c r="K1785" s="8"/>
      <c r="L1785" s="8"/>
    </row>
    <row r="1786" spans="3:12" x14ac:dyDescent="0.25">
      <c r="C1786" s="7"/>
      <c r="E1786" s="8"/>
      <c r="F1786" s="8"/>
      <c r="G1786" s="8"/>
      <c r="H1786" s="8"/>
      <c r="I1786" s="8"/>
      <c r="J1786" s="8"/>
      <c r="K1786" s="8"/>
      <c r="L1786" s="8"/>
    </row>
    <row r="1787" spans="3:12" x14ac:dyDescent="0.25">
      <c r="C1787" s="7"/>
      <c r="E1787" s="8"/>
      <c r="F1787" s="8"/>
      <c r="G1787" s="8"/>
      <c r="H1787" s="8"/>
      <c r="I1787" s="8"/>
      <c r="J1787" s="8"/>
      <c r="K1787" s="8"/>
      <c r="L1787" s="8"/>
    </row>
    <row r="1788" spans="3:12" x14ac:dyDescent="0.25">
      <c r="C1788" s="7"/>
      <c r="E1788" s="8"/>
      <c r="F1788" s="8"/>
      <c r="G1788" s="8"/>
      <c r="H1788" s="8"/>
      <c r="I1788" s="8"/>
      <c r="J1788" s="8"/>
      <c r="K1788" s="8"/>
      <c r="L1788" s="8"/>
    </row>
    <row r="1789" spans="3:12" x14ac:dyDescent="0.25">
      <c r="C1789" s="7"/>
      <c r="E1789" s="8"/>
      <c r="F1789" s="8"/>
      <c r="G1789" s="8"/>
      <c r="H1789" s="8"/>
      <c r="I1789" s="8"/>
      <c r="J1789" s="8"/>
      <c r="K1789" s="8"/>
      <c r="L1789" s="8"/>
    </row>
    <row r="1790" spans="3:12" x14ac:dyDescent="0.25">
      <c r="C1790" s="7"/>
      <c r="E1790" s="8"/>
      <c r="F1790" s="8"/>
      <c r="G1790" s="8"/>
      <c r="H1790" s="8"/>
      <c r="I1790" s="8"/>
      <c r="J1790" s="8"/>
      <c r="K1790" s="8"/>
      <c r="L1790" s="8"/>
    </row>
    <row r="1791" spans="3:12" x14ac:dyDescent="0.25">
      <c r="C1791" s="7"/>
      <c r="E1791" s="8"/>
      <c r="F1791" s="8"/>
      <c r="G1791" s="8"/>
      <c r="H1791" s="8"/>
      <c r="I1791" s="8"/>
      <c r="J1791" s="8"/>
      <c r="K1791" s="8"/>
      <c r="L1791" s="8"/>
    </row>
    <row r="1792" spans="3:12" x14ac:dyDescent="0.25">
      <c r="C1792" s="7"/>
      <c r="E1792" s="8"/>
      <c r="F1792" s="8"/>
      <c r="G1792" s="8"/>
      <c r="H1792" s="8"/>
      <c r="I1792" s="8"/>
      <c r="J1792" s="8"/>
      <c r="K1792" s="8"/>
      <c r="L1792" s="8"/>
    </row>
    <row r="1793" spans="3:12" x14ac:dyDescent="0.25">
      <c r="C1793" s="7"/>
      <c r="E1793" s="8"/>
      <c r="F1793" s="8"/>
      <c r="G1793" s="8"/>
      <c r="H1793" s="8"/>
      <c r="I1793" s="8"/>
      <c r="J1793" s="8"/>
      <c r="K1793" s="8"/>
      <c r="L1793" s="8"/>
    </row>
    <row r="1794" spans="3:12" x14ac:dyDescent="0.25">
      <c r="C1794" s="7"/>
      <c r="E1794" s="8"/>
      <c r="F1794" s="8"/>
      <c r="G1794" s="8"/>
      <c r="H1794" s="8"/>
      <c r="I1794" s="8"/>
      <c r="J1794" s="8"/>
      <c r="K1794" s="8"/>
      <c r="L1794" s="8"/>
    </row>
    <row r="1795" spans="3:12" x14ac:dyDescent="0.25">
      <c r="C1795" s="7"/>
      <c r="E1795" s="8"/>
      <c r="F1795" s="8"/>
      <c r="G1795" s="8"/>
      <c r="H1795" s="8"/>
      <c r="I1795" s="8"/>
      <c r="J1795" s="8"/>
      <c r="K1795" s="8"/>
      <c r="L1795" s="8"/>
    </row>
    <row r="1796" spans="3:12" x14ac:dyDescent="0.25">
      <c r="C1796" s="7"/>
      <c r="E1796" s="8"/>
      <c r="F1796" s="8"/>
      <c r="G1796" s="8"/>
      <c r="H1796" s="8"/>
      <c r="I1796" s="8"/>
      <c r="J1796" s="8"/>
      <c r="K1796" s="8"/>
      <c r="L1796" s="8"/>
    </row>
    <row r="1797" spans="3:12" x14ac:dyDescent="0.25">
      <c r="C1797" s="7"/>
      <c r="E1797" s="8"/>
      <c r="F1797" s="8"/>
      <c r="G1797" s="8"/>
      <c r="H1797" s="8"/>
      <c r="I1797" s="8"/>
      <c r="J1797" s="8"/>
      <c r="K1797" s="8"/>
      <c r="L1797" s="8"/>
    </row>
    <row r="1798" spans="3:12" x14ac:dyDescent="0.25">
      <c r="C1798" s="7"/>
      <c r="E1798" s="8"/>
      <c r="F1798" s="8"/>
      <c r="G1798" s="8"/>
      <c r="H1798" s="8"/>
      <c r="I1798" s="8"/>
      <c r="J1798" s="8"/>
      <c r="K1798" s="8"/>
      <c r="L1798" s="8"/>
    </row>
    <row r="1799" spans="3:12" x14ac:dyDescent="0.25">
      <c r="C1799" s="7"/>
      <c r="E1799" s="8"/>
      <c r="F1799" s="8"/>
      <c r="G1799" s="8"/>
      <c r="H1799" s="8"/>
      <c r="I1799" s="8"/>
      <c r="J1799" s="8"/>
      <c r="K1799" s="8"/>
      <c r="L1799" s="8"/>
    </row>
    <row r="1800" spans="3:12" x14ac:dyDescent="0.25">
      <c r="C1800" s="7"/>
      <c r="E1800" s="8"/>
      <c r="F1800" s="8"/>
      <c r="G1800" s="8"/>
      <c r="H1800" s="8"/>
      <c r="I1800" s="8"/>
      <c r="J1800" s="8"/>
      <c r="K1800" s="8"/>
      <c r="L1800" s="8"/>
    </row>
    <row r="1801" spans="3:12" x14ac:dyDescent="0.25">
      <c r="C1801" s="7"/>
      <c r="E1801" s="8"/>
      <c r="F1801" s="8"/>
      <c r="G1801" s="8"/>
      <c r="H1801" s="8"/>
      <c r="I1801" s="8"/>
      <c r="J1801" s="8"/>
      <c r="K1801" s="8"/>
      <c r="L1801" s="8"/>
    </row>
    <row r="1802" spans="3:12" x14ac:dyDescent="0.25">
      <c r="C1802" s="7"/>
      <c r="E1802" s="8"/>
      <c r="F1802" s="8"/>
      <c r="G1802" s="8"/>
      <c r="H1802" s="8"/>
      <c r="I1802" s="8"/>
      <c r="J1802" s="8"/>
      <c r="K1802" s="8"/>
      <c r="L1802" s="8"/>
    </row>
    <row r="1803" spans="3:12" x14ac:dyDescent="0.25">
      <c r="C1803" s="7"/>
      <c r="E1803" s="8"/>
      <c r="F1803" s="8"/>
      <c r="G1803" s="8"/>
      <c r="H1803" s="8"/>
      <c r="I1803" s="8"/>
      <c r="J1803" s="8"/>
      <c r="K1803" s="8"/>
      <c r="L1803" s="8"/>
    </row>
    <row r="1804" spans="3:12" x14ac:dyDescent="0.25">
      <c r="C1804" s="7"/>
      <c r="E1804" s="8"/>
      <c r="F1804" s="8"/>
      <c r="G1804" s="8"/>
      <c r="H1804" s="8"/>
      <c r="I1804" s="8"/>
      <c r="J1804" s="8"/>
      <c r="K1804" s="8"/>
      <c r="L1804" s="8"/>
    </row>
    <row r="1805" spans="3:12" x14ac:dyDescent="0.25">
      <c r="C1805" s="7"/>
      <c r="E1805" s="8"/>
      <c r="F1805" s="8"/>
      <c r="G1805" s="8"/>
      <c r="H1805" s="8"/>
      <c r="I1805" s="8"/>
      <c r="J1805" s="8"/>
      <c r="K1805" s="8"/>
      <c r="L1805" s="8"/>
    </row>
    <row r="1806" spans="3:12" x14ac:dyDescent="0.25">
      <c r="C1806" s="7"/>
      <c r="E1806" s="8"/>
      <c r="F1806" s="8"/>
      <c r="G1806" s="8"/>
      <c r="H1806" s="8"/>
      <c r="I1806" s="8"/>
      <c r="J1806" s="8"/>
      <c r="K1806" s="8"/>
      <c r="L1806" s="8"/>
    </row>
    <row r="1807" spans="3:12" x14ac:dyDescent="0.25">
      <c r="C1807" s="7"/>
      <c r="E1807" s="8"/>
      <c r="F1807" s="8"/>
      <c r="G1807" s="8"/>
      <c r="H1807" s="8"/>
      <c r="I1807" s="8"/>
      <c r="J1807" s="8"/>
      <c r="K1807" s="8"/>
      <c r="L1807" s="8"/>
    </row>
    <row r="1808" spans="3:12" x14ac:dyDescent="0.25">
      <c r="C1808" s="7"/>
      <c r="E1808" s="8"/>
      <c r="F1808" s="8"/>
      <c r="G1808" s="8"/>
      <c r="H1808" s="8"/>
      <c r="I1808" s="8"/>
      <c r="J1808" s="8"/>
      <c r="K1808" s="8"/>
      <c r="L1808" s="8"/>
    </row>
    <row r="1809" spans="3:12" x14ac:dyDescent="0.25">
      <c r="C1809" s="7"/>
      <c r="E1809" s="8"/>
      <c r="F1809" s="8"/>
      <c r="G1809" s="8"/>
      <c r="H1809" s="8"/>
      <c r="I1809" s="8"/>
      <c r="J1809" s="8"/>
      <c r="K1809" s="8"/>
      <c r="L1809" s="8"/>
    </row>
    <row r="1810" spans="3:12" x14ac:dyDescent="0.25">
      <c r="C1810" s="7"/>
      <c r="E1810" s="8"/>
      <c r="F1810" s="8"/>
      <c r="G1810" s="8"/>
      <c r="H1810" s="8"/>
      <c r="I1810" s="8"/>
      <c r="J1810" s="8"/>
      <c r="K1810" s="8"/>
      <c r="L1810" s="8"/>
    </row>
    <row r="1811" spans="3:12" x14ac:dyDescent="0.25">
      <c r="C1811" s="7"/>
      <c r="E1811" s="8"/>
      <c r="F1811" s="8"/>
      <c r="G1811" s="8"/>
      <c r="H1811" s="8"/>
      <c r="I1811" s="8"/>
      <c r="J1811" s="8"/>
      <c r="K1811" s="8"/>
      <c r="L1811" s="8"/>
    </row>
    <row r="1812" spans="3:12" x14ac:dyDescent="0.25">
      <c r="C1812" s="7"/>
      <c r="E1812" s="8"/>
      <c r="F1812" s="8"/>
      <c r="G1812" s="8"/>
      <c r="H1812" s="8"/>
      <c r="I1812" s="8"/>
      <c r="J1812" s="8"/>
      <c r="K1812" s="8"/>
      <c r="L1812" s="8"/>
    </row>
    <row r="1813" spans="3:12" x14ac:dyDescent="0.25">
      <c r="C1813" s="7"/>
      <c r="E1813" s="8"/>
      <c r="F1813" s="8"/>
      <c r="G1813" s="8"/>
      <c r="H1813" s="8"/>
      <c r="I1813" s="8"/>
      <c r="J1813" s="8"/>
      <c r="K1813" s="8"/>
      <c r="L1813" s="8"/>
    </row>
    <row r="1814" spans="3:12" x14ac:dyDescent="0.25">
      <c r="C1814" s="7"/>
      <c r="E1814" s="8"/>
      <c r="F1814" s="8"/>
      <c r="G1814" s="8"/>
      <c r="H1814" s="8"/>
      <c r="I1814" s="8"/>
      <c r="J1814" s="8"/>
      <c r="K1814" s="8"/>
      <c r="L1814" s="8"/>
    </row>
    <row r="1815" spans="3:12" x14ac:dyDescent="0.25">
      <c r="C1815" s="7"/>
      <c r="E1815" s="8"/>
      <c r="F1815" s="8"/>
      <c r="G1815" s="8"/>
      <c r="H1815" s="8"/>
      <c r="I1815" s="8"/>
      <c r="J1815" s="8"/>
      <c r="K1815" s="8"/>
      <c r="L1815" s="8"/>
    </row>
    <row r="1816" spans="3:12" x14ac:dyDescent="0.25">
      <c r="C1816" s="7"/>
      <c r="E1816" s="8"/>
      <c r="F1816" s="8"/>
      <c r="G1816" s="8"/>
      <c r="H1816" s="8"/>
      <c r="I1816" s="8"/>
      <c r="J1816" s="8"/>
      <c r="K1816" s="8"/>
      <c r="L1816" s="8"/>
    </row>
    <row r="1817" spans="3:12" x14ac:dyDescent="0.25">
      <c r="C1817" s="7"/>
      <c r="E1817" s="8"/>
      <c r="F1817" s="8"/>
      <c r="G1817" s="8"/>
      <c r="H1817" s="8"/>
      <c r="I1817" s="8"/>
      <c r="J1817" s="8"/>
      <c r="K1817" s="8"/>
      <c r="L1817" s="8"/>
    </row>
    <row r="1818" spans="3:12" x14ac:dyDescent="0.25">
      <c r="C1818" s="7"/>
      <c r="E1818" s="8"/>
      <c r="F1818" s="8"/>
      <c r="G1818" s="8"/>
      <c r="H1818" s="8"/>
      <c r="I1818" s="8"/>
      <c r="J1818" s="8"/>
      <c r="K1818" s="8"/>
      <c r="L1818" s="8"/>
    </row>
    <row r="1819" spans="3:12" x14ac:dyDescent="0.25">
      <c r="C1819" s="7"/>
      <c r="E1819" s="8"/>
      <c r="F1819" s="8"/>
      <c r="G1819" s="8"/>
      <c r="H1819" s="8"/>
      <c r="I1819" s="8"/>
      <c r="J1819" s="8"/>
      <c r="K1819" s="8"/>
      <c r="L1819" s="8"/>
    </row>
    <row r="1820" spans="3:12" x14ac:dyDescent="0.25">
      <c r="C1820" s="7"/>
      <c r="E1820" s="8"/>
      <c r="F1820" s="8"/>
      <c r="G1820" s="8"/>
      <c r="H1820" s="8"/>
      <c r="I1820" s="8"/>
      <c r="J1820" s="8"/>
      <c r="K1820" s="8"/>
      <c r="L1820" s="8"/>
    </row>
    <row r="1821" spans="3:12" x14ac:dyDescent="0.25">
      <c r="C1821" s="7"/>
      <c r="E1821" s="8"/>
      <c r="F1821" s="8"/>
      <c r="G1821" s="8"/>
      <c r="H1821" s="8"/>
      <c r="I1821" s="8"/>
      <c r="J1821" s="8"/>
      <c r="K1821" s="8"/>
      <c r="L1821" s="8"/>
    </row>
    <row r="1822" spans="3:12" x14ac:dyDescent="0.25">
      <c r="C1822" s="7"/>
      <c r="E1822" s="8"/>
      <c r="F1822" s="8"/>
      <c r="G1822" s="8"/>
      <c r="H1822" s="8"/>
      <c r="I1822" s="8"/>
      <c r="J1822" s="8"/>
      <c r="K1822" s="8"/>
      <c r="L1822" s="8"/>
    </row>
    <row r="1823" spans="3:12" x14ac:dyDescent="0.25">
      <c r="C1823" s="7"/>
      <c r="E1823" s="8"/>
      <c r="F1823" s="8"/>
      <c r="G1823" s="8"/>
      <c r="H1823" s="8"/>
      <c r="I1823" s="8"/>
      <c r="J1823" s="8"/>
      <c r="K1823" s="8"/>
      <c r="L1823" s="8"/>
    </row>
    <row r="1824" spans="3:12" x14ac:dyDescent="0.25">
      <c r="C1824" s="7"/>
      <c r="E1824" s="8"/>
      <c r="F1824" s="8"/>
      <c r="G1824" s="8"/>
      <c r="H1824" s="8"/>
      <c r="I1824" s="8"/>
      <c r="J1824" s="8"/>
      <c r="K1824" s="8"/>
      <c r="L1824" s="8"/>
    </row>
    <row r="1825" spans="3:12" x14ac:dyDescent="0.25">
      <c r="C1825" s="7"/>
      <c r="E1825" s="8"/>
      <c r="F1825" s="8"/>
      <c r="G1825" s="8"/>
      <c r="H1825" s="8"/>
      <c r="I1825" s="8"/>
      <c r="J1825" s="8"/>
      <c r="K1825" s="8"/>
      <c r="L1825" s="8"/>
    </row>
    <row r="1826" spans="3:12" x14ac:dyDescent="0.25">
      <c r="C1826" s="7"/>
      <c r="E1826" s="8"/>
      <c r="F1826" s="8"/>
      <c r="G1826" s="8"/>
      <c r="H1826" s="8"/>
      <c r="I1826" s="8"/>
      <c r="J1826" s="8"/>
      <c r="K1826" s="8"/>
      <c r="L1826" s="8"/>
    </row>
    <row r="1827" spans="3:12" x14ac:dyDescent="0.25">
      <c r="C1827" s="7"/>
      <c r="E1827" s="8"/>
      <c r="F1827" s="8"/>
      <c r="G1827" s="8"/>
      <c r="H1827" s="8"/>
      <c r="I1827" s="8"/>
      <c r="J1827" s="8"/>
      <c r="K1827" s="8"/>
      <c r="L1827" s="8"/>
    </row>
    <row r="1828" spans="3:12" x14ac:dyDescent="0.25">
      <c r="C1828" s="7"/>
      <c r="E1828" s="8"/>
      <c r="F1828" s="8"/>
      <c r="G1828" s="8"/>
      <c r="H1828" s="8"/>
      <c r="I1828" s="8"/>
      <c r="J1828" s="8"/>
      <c r="K1828" s="8"/>
      <c r="L1828" s="8"/>
    </row>
    <row r="1829" spans="3:12" x14ac:dyDescent="0.25">
      <c r="C1829" s="7"/>
      <c r="E1829" s="8"/>
      <c r="F1829" s="8"/>
      <c r="G1829" s="8"/>
      <c r="H1829" s="8"/>
      <c r="I1829" s="8"/>
      <c r="J1829" s="8"/>
      <c r="K1829" s="8"/>
      <c r="L1829" s="8"/>
    </row>
    <row r="1830" spans="3:12" x14ac:dyDescent="0.25">
      <c r="C1830" s="7"/>
      <c r="E1830" s="8"/>
      <c r="F1830" s="8"/>
      <c r="G1830" s="8"/>
      <c r="H1830" s="8"/>
      <c r="I1830" s="8"/>
      <c r="J1830" s="8"/>
      <c r="K1830" s="8"/>
      <c r="L1830" s="8"/>
    </row>
    <row r="1831" spans="3:12" x14ac:dyDescent="0.25">
      <c r="C1831" s="7"/>
      <c r="E1831" s="8"/>
      <c r="F1831" s="8"/>
      <c r="G1831" s="8"/>
      <c r="H1831" s="8"/>
      <c r="I1831" s="8"/>
      <c r="J1831" s="8"/>
      <c r="K1831" s="8"/>
      <c r="L1831" s="8"/>
    </row>
    <row r="1832" spans="3:12" x14ac:dyDescent="0.25">
      <c r="C1832" s="7"/>
      <c r="E1832" s="8"/>
      <c r="F1832" s="8"/>
      <c r="G1832" s="8"/>
      <c r="H1832" s="8"/>
      <c r="I1832" s="8"/>
      <c r="J1832" s="8"/>
      <c r="K1832" s="8"/>
      <c r="L1832" s="8"/>
    </row>
    <row r="1833" spans="3:12" x14ac:dyDescent="0.25">
      <c r="C1833" s="7"/>
      <c r="E1833" s="8"/>
      <c r="F1833" s="8"/>
      <c r="G1833" s="8"/>
      <c r="H1833" s="8"/>
      <c r="I1833" s="8"/>
      <c r="J1833" s="8"/>
      <c r="K1833" s="8"/>
      <c r="L1833" s="8"/>
    </row>
    <row r="1834" spans="3:12" x14ac:dyDescent="0.25">
      <c r="C1834" s="7"/>
      <c r="E1834" s="8"/>
      <c r="F1834" s="8"/>
      <c r="G1834" s="8"/>
      <c r="H1834" s="8"/>
      <c r="I1834" s="8"/>
      <c r="J1834" s="8"/>
      <c r="K1834" s="8"/>
      <c r="L1834" s="8"/>
    </row>
    <row r="1835" spans="3:12" x14ac:dyDescent="0.25">
      <c r="C1835" s="7"/>
      <c r="E1835" s="8"/>
      <c r="F1835" s="8"/>
      <c r="G1835" s="8"/>
      <c r="H1835" s="8"/>
      <c r="I1835" s="8"/>
      <c r="J1835" s="8"/>
      <c r="K1835" s="8"/>
      <c r="L1835" s="8"/>
    </row>
    <row r="1836" spans="3:12" x14ac:dyDescent="0.25">
      <c r="C1836" s="7"/>
      <c r="E1836" s="8"/>
      <c r="F1836" s="8"/>
      <c r="G1836" s="8"/>
      <c r="H1836" s="8"/>
      <c r="I1836" s="8"/>
      <c r="J1836" s="8"/>
      <c r="K1836" s="8"/>
      <c r="L1836" s="8"/>
    </row>
    <row r="1837" spans="3:12" x14ac:dyDescent="0.25">
      <c r="C1837" s="7"/>
      <c r="E1837" s="8"/>
      <c r="F1837" s="8"/>
      <c r="G1837" s="8"/>
      <c r="H1837" s="8"/>
      <c r="I1837" s="8"/>
      <c r="J1837" s="8"/>
      <c r="K1837" s="8"/>
      <c r="L1837" s="8"/>
    </row>
    <row r="1838" spans="3:12" x14ac:dyDescent="0.25">
      <c r="C1838" s="7"/>
      <c r="E1838" s="8"/>
      <c r="F1838" s="8"/>
      <c r="G1838" s="8"/>
      <c r="H1838" s="8"/>
      <c r="I1838" s="8"/>
      <c r="J1838" s="8"/>
      <c r="K1838" s="8"/>
      <c r="L1838" s="8"/>
    </row>
    <row r="1839" spans="3:12" x14ac:dyDescent="0.25">
      <c r="C1839" s="7"/>
      <c r="E1839" s="8"/>
      <c r="F1839" s="8"/>
      <c r="G1839" s="8"/>
      <c r="H1839" s="8"/>
      <c r="I1839" s="8"/>
      <c r="J1839" s="8"/>
      <c r="K1839" s="8"/>
      <c r="L1839" s="8"/>
    </row>
    <row r="1840" spans="3:12" x14ac:dyDescent="0.25">
      <c r="C1840" s="7"/>
      <c r="E1840" s="8"/>
      <c r="F1840" s="8"/>
      <c r="G1840" s="8"/>
      <c r="H1840" s="8"/>
      <c r="I1840" s="8"/>
      <c r="J1840" s="8"/>
      <c r="K1840" s="8"/>
      <c r="L1840" s="8"/>
    </row>
    <row r="1841" spans="3:12" x14ac:dyDescent="0.25">
      <c r="C1841" s="7"/>
      <c r="E1841" s="8"/>
      <c r="F1841" s="8"/>
      <c r="G1841" s="8"/>
      <c r="H1841" s="8"/>
      <c r="I1841" s="8"/>
      <c r="J1841" s="8"/>
      <c r="K1841" s="8"/>
      <c r="L1841" s="8"/>
    </row>
    <row r="1842" spans="3:12" x14ac:dyDescent="0.25">
      <c r="C1842" s="7"/>
      <c r="E1842" s="8"/>
      <c r="F1842" s="8"/>
      <c r="G1842" s="8"/>
      <c r="H1842" s="8"/>
      <c r="I1842" s="8"/>
      <c r="J1842" s="8"/>
      <c r="K1842" s="8"/>
      <c r="L1842" s="8"/>
    </row>
    <row r="1843" spans="3:12" x14ac:dyDescent="0.25">
      <c r="C1843" s="7"/>
      <c r="E1843" s="8"/>
      <c r="F1843" s="8"/>
      <c r="G1843" s="8"/>
      <c r="H1843" s="8"/>
      <c r="I1843" s="8"/>
      <c r="J1843" s="8"/>
      <c r="K1843" s="8"/>
      <c r="L1843" s="8"/>
    </row>
    <row r="1844" spans="3:12" x14ac:dyDescent="0.25">
      <c r="C1844" s="7"/>
      <c r="E1844" s="8"/>
      <c r="F1844" s="8"/>
      <c r="G1844" s="8"/>
      <c r="H1844" s="8"/>
      <c r="I1844" s="8"/>
      <c r="J1844" s="8"/>
      <c r="K1844" s="8"/>
      <c r="L1844" s="8"/>
    </row>
    <row r="1845" spans="3:12" x14ac:dyDescent="0.25">
      <c r="C1845" s="7"/>
      <c r="E1845" s="8"/>
      <c r="F1845" s="8"/>
      <c r="G1845" s="8"/>
      <c r="H1845" s="8"/>
      <c r="I1845" s="8"/>
      <c r="J1845" s="8"/>
      <c r="K1845" s="8"/>
      <c r="L1845" s="8"/>
    </row>
    <row r="1846" spans="3:12" x14ac:dyDescent="0.25">
      <c r="C1846" s="7"/>
      <c r="E1846" s="8"/>
      <c r="F1846" s="8"/>
      <c r="G1846" s="8"/>
      <c r="H1846" s="8"/>
      <c r="I1846" s="8"/>
      <c r="J1846" s="8"/>
      <c r="K1846" s="8"/>
      <c r="L1846" s="8"/>
    </row>
    <row r="1847" spans="3:12" x14ac:dyDescent="0.25">
      <c r="C1847" s="7"/>
      <c r="E1847" s="8"/>
      <c r="F1847" s="8"/>
      <c r="G1847" s="8"/>
      <c r="H1847" s="8"/>
      <c r="I1847" s="8"/>
      <c r="J1847" s="8"/>
      <c r="K1847" s="8"/>
      <c r="L1847" s="8"/>
    </row>
    <row r="1848" spans="3:12" x14ac:dyDescent="0.25">
      <c r="C1848" s="7"/>
      <c r="E1848" s="8"/>
      <c r="F1848" s="8"/>
      <c r="G1848" s="8"/>
      <c r="H1848" s="8"/>
      <c r="I1848" s="8"/>
      <c r="J1848" s="8"/>
      <c r="K1848" s="8"/>
      <c r="L1848" s="8"/>
    </row>
    <row r="1849" spans="3:12" x14ac:dyDescent="0.25">
      <c r="C1849" s="7"/>
      <c r="E1849" s="8"/>
      <c r="F1849" s="8"/>
      <c r="G1849" s="8"/>
      <c r="H1849" s="8"/>
      <c r="I1849" s="8"/>
      <c r="J1849" s="8"/>
      <c r="K1849" s="8"/>
      <c r="L1849" s="8"/>
    </row>
    <row r="1850" spans="3:12" x14ac:dyDescent="0.25">
      <c r="C1850" s="7"/>
      <c r="E1850" s="8"/>
      <c r="F1850" s="8"/>
      <c r="G1850" s="8"/>
      <c r="H1850" s="8"/>
      <c r="I1850" s="8"/>
      <c r="J1850" s="8"/>
      <c r="K1850" s="8"/>
      <c r="L1850" s="8"/>
    </row>
    <row r="1851" spans="3:12" x14ac:dyDescent="0.25">
      <c r="C1851" s="7"/>
      <c r="E1851" s="8"/>
      <c r="F1851" s="8"/>
      <c r="G1851" s="8"/>
      <c r="H1851" s="8"/>
      <c r="I1851" s="8"/>
      <c r="J1851" s="8"/>
      <c r="K1851" s="8"/>
      <c r="L1851" s="8"/>
    </row>
    <row r="1852" spans="3:12" x14ac:dyDescent="0.25">
      <c r="C1852" s="7"/>
      <c r="E1852" s="8"/>
      <c r="F1852" s="8"/>
      <c r="G1852" s="8"/>
      <c r="H1852" s="8"/>
      <c r="I1852" s="8"/>
      <c r="J1852" s="8"/>
      <c r="K1852" s="8"/>
      <c r="L1852" s="8"/>
    </row>
    <row r="1853" spans="3:12" x14ac:dyDescent="0.25">
      <c r="C1853" s="7"/>
      <c r="E1853" s="8"/>
      <c r="F1853" s="8"/>
      <c r="G1853" s="8"/>
      <c r="H1853" s="8"/>
      <c r="I1853" s="8"/>
      <c r="J1853" s="8"/>
      <c r="K1853" s="8"/>
      <c r="L1853" s="8"/>
    </row>
    <row r="1854" spans="3:12" x14ac:dyDescent="0.25">
      <c r="C1854" s="7"/>
      <c r="E1854" s="8"/>
      <c r="F1854" s="8"/>
      <c r="G1854" s="8"/>
      <c r="H1854" s="8"/>
      <c r="I1854" s="8"/>
      <c r="J1854" s="8"/>
      <c r="K1854" s="8"/>
      <c r="L1854" s="8"/>
    </row>
    <row r="1855" spans="3:12" x14ac:dyDescent="0.25">
      <c r="C1855" s="7"/>
      <c r="E1855" s="8"/>
      <c r="F1855" s="8"/>
      <c r="G1855" s="8"/>
      <c r="H1855" s="8"/>
      <c r="I1855" s="8"/>
      <c r="J1855" s="8"/>
      <c r="K1855" s="8"/>
      <c r="L1855" s="8"/>
    </row>
    <row r="1856" spans="3:12" x14ac:dyDescent="0.25">
      <c r="C1856" s="7"/>
      <c r="E1856" s="8"/>
      <c r="F1856" s="8"/>
      <c r="G1856" s="8"/>
      <c r="H1856" s="8"/>
      <c r="I1856" s="8"/>
      <c r="J1856" s="8"/>
      <c r="K1856" s="8"/>
      <c r="L1856" s="8"/>
    </row>
    <row r="1857" spans="3:12" x14ac:dyDescent="0.25">
      <c r="C1857" s="7"/>
      <c r="E1857" s="8"/>
      <c r="F1857" s="8"/>
      <c r="G1857" s="8"/>
      <c r="H1857" s="8"/>
      <c r="I1857" s="8"/>
      <c r="J1857" s="8"/>
      <c r="K1857" s="8"/>
      <c r="L1857" s="8"/>
    </row>
    <row r="1858" spans="3:12" x14ac:dyDescent="0.25">
      <c r="C1858" s="7"/>
      <c r="E1858" s="8"/>
      <c r="F1858" s="8"/>
      <c r="G1858" s="8"/>
      <c r="H1858" s="8"/>
      <c r="I1858" s="8"/>
      <c r="J1858" s="8"/>
      <c r="K1858" s="8"/>
      <c r="L1858" s="8"/>
    </row>
    <row r="1859" spans="3:12" x14ac:dyDescent="0.25">
      <c r="C1859" s="7"/>
      <c r="E1859" s="8"/>
      <c r="F1859" s="8"/>
      <c r="G1859" s="8"/>
      <c r="H1859" s="8"/>
      <c r="I1859" s="8"/>
      <c r="J1859" s="8"/>
      <c r="K1859" s="8"/>
      <c r="L1859" s="8"/>
    </row>
    <row r="1860" spans="3:12" x14ac:dyDescent="0.25">
      <c r="C1860" s="7"/>
      <c r="E1860" s="8"/>
      <c r="F1860" s="8"/>
      <c r="G1860" s="8"/>
      <c r="H1860" s="8"/>
      <c r="I1860" s="8"/>
      <c r="J1860" s="8"/>
      <c r="K1860" s="8"/>
      <c r="L1860" s="8"/>
    </row>
    <row r="1861" spans="3:12" x14ac:dyDescent="0.25">
      <c r="C1861" s="7"/>
      <c r="E1861" s="8"/>
      <c r="F1861" s="8"/>
      <c r="G1861" s="8"/>
      <c r="H1861" s="8"/>
      <c r="I1861" s="8"/>
      <c r="J1861" s="8"/>
      <c r="K1861" s="8"/>
      <c r="L1861" s="8"/>
    </row>
    <row r="1862" spans="3:12" x14ac:dyDescent="0.25">
      <c r="C1862" s="7"/>
      <c r="E1862" s="8"/>
      <c r="F1862" s="8"/>
      <c r="G1862" s="8"/>
      <c r="H1862" s="8"/>
      <c r="I1862" s="8"/>
      <c r="J1862" s="8"/>
      <c r="K1862" s="8"/>
      <c r="L1862" s="8"/>
    </row>
    <row r="1863" spans="3:12" x14ac:dyDescent="0.25">
      <c r="C1863" s="7"/>
      <c r="E1863" s="8"/>
      <c r="F1863" s="8"/>
      <c r="G1863" s="8"/>
      <c r="H1863" s="8"/>
      <c r="I1863" s="8"/>
      <c r="J1863" s="8"/>
      <c r="K1863" s="8"/>
      <c r="L1863" s="8"/>
    </row>
    <row r="1864" spans="3:12" x14ac:dyDescent="0.25">
      <c r="C1864" s="7"/>
      <c r="E1864" s="8"/>
      <c r="F1864" s="8"/>
      <c r="G1864" s="8"/>
      <c r="H1864" s="8"/>
      <c r="I1864" s="8"/>
      <c r="J1864" s="8"/>
      <c r="K1864" s="8"/>
      <c r="L1864" s="8"/>
    </row>
    <row r="1865" spans="3:12" x14ac:dyDescent="0.25">
      <c r="C1865" s="7"/>
      <c r="E1865" s="8"/>
      <c r="F1865" s="8"/>
      <c r="G1865" s="8"/>
      <c r="H1865" s="8"/>
      <c r="I1865" s="8"/>
      <c r="J1865" s="8"/>
      <c r="K1865" s="8"/>
      <c r="L1865" s="8"/>
    </row>
    <row r="1866" spans="3:12" x14ac:dyDescent="0.25">
      <c r="C1866" s="7"/>
      <c r="E1866" s="8"/>
      <c r="F1866" s="8"/>
      <c r="G1866" s="8"/>
      <c r="H1866" s="8"/>
      <c r="I1866" s="8"/>
      <c r="J1866" s="8"/>
      <c r="K1866" s="8"/>
      <c r="L1866" s="8"/>
    </row>
    <row r="1867" spans="3:12" x14ac:dyDescent="0.25">
      <c r="C1867" s="7"/>
      <c r="E1867" s="8"/>
      <c r="F1867" s="8"/>
      <c r="G1867" s="8"/>
      <c r="H1867" s="8"/>
      <c r="I1867" s="8"/>
      <c r="J1867" s="8"/>
      <c r="K1867" s="8"/>
      <c r="L1867" s="8"/>
    </row>
    <row r="1868" spans="3:12" x14ac:dyDescent="0.25">
      <c r="C1868" s="7"/>
      <c r="E1868" s="8"/>
      <c r="F1868" s="8"/>
      <c r="G1868" s="8"/>
      <c r="H1868" s="8"/>
      <c r="I1868" s="8"/>
      <c r="J1868" s="8"/>
      <c r="K1868" s="8"/>
      <c r="L1868" s="8"/>
    </row>
    <row r="1869" spans="3:12" x14ac:dyDescent="0.25">
      <c r="C1869" s="7"/>
      <c r="E1869" s="8"/>
      <c r="F1869" s="8"/>
      <c r="G1869" s="8"/>
      <c r="H1869" s="8"/>
      <c r="I1869" s="8"/>
      <c r="J1869" s="8"/>
      <c r="K1869" s="8"/>
      <c r="L1869" s="8"/>
    </row>
    <row r="1870" spans="3:12" x14ac:dyDescent="0.25">
      <c r="C1870" s="7"/>
      <c r="E1870" s="8"/>
      <c r="F1870" s="8"/>
      <c r="G1870" s="8"/>
      <c r="H1870" s="8"/>
      <c r="I1870" s="8"/>
      <c r="J1870" s="8"/>
      <c r="K1870" s="8"/>
      <c r="L1870" s="8"/>
    </row>
    <row r="1871" spans="3:12" x14ac:dyDescent="0.25">
      <c r="C1871" s="7"/>
      <c r="E1871" s="8"/>
      <c r="F1871" s="8"/>
      <c r="G1871" s="8"/>
      <c r="H1871" s="8"/>
      <c r="I1871" s="8"/>
      <c r="J1871" s="8"/>
      <c r="K1871" s="8"/>
      <c r="L1871" s="8"/>
    </row>
    <row r="1872" spans="3:12" x14ac:dyDescent="0.25">
      <c r="C1872" s="7"/>
      <c r="E1872" s="8"/>
      <c r="F1872" s="8"/>
      <c r="G1872" s="8"/>
      <c r="H1872" s="8"/>
      <c r="I1872" s="8"/>
      <c r="J1872" s="8"/>
      <c r="K1872" s="8"/>
      <c r="L1872" s="8"/>
    </row>
    <row r="1873" spans="3:12" x14ac:dyDescent="0.25">
      <c r="C1873" s="7"/>
      <c r="E1873" s="8"/>
      <c r="F1873" s="8"/>
      <c r="G1873" s="8"/>
      <c r="H1873" s="8"/>
      <c r="I1873" s="8"/>
      <c r="J1873" s="8"/>
      <c r="K1873" s="8"/>
      <c r="L1873" s="8"/>
    </row>
    <row r="1874" spans="3:12" x14ac:dyDescent="0.25">
      <c r="C1874" s="7"/>
      <c r="E1874" s="8"/>
      <c r="F1874" s="8"/>
      <c r="G1874" s="8"/>
      <c r="H1874" s="8"/>
      <c r="I1874" s="8"/>
      <c r="J1874" s="8"/>
      <c r="K1874" s="8"/>
      <c r="L1874" s="8"/>
    </row>
    <row r="1875" spans="3:12" x14ac:dyDescent="0.25">
      <c r="C1875" s="7"/>
      <c r="E1875" s="8"/>
      <c r="F1875" s="8"/>
      <c r="G1875" s="8"/>
      <c r="H1875" s="8"/>
      <c r="I1875" s="8"/>
      <c r="J1875" s="8"/>
      <c r="K1875" s="8"/>
      <c r="L1875" s="8"/>
    </row>
    <row r="1876" spans="3:12" x14ac:dyDescent="0.25">
      <c r="C1876" s="7"/>
      <c r="E1876" s="8"/>
      <c r="F1876" s="8"/>
      <c r="G1876" s="8"/>
      <c r="H1876" s="8"/>
      <c r="I1876" s="8"/>
      <c r="J1876" s="8"/>
      <c r="K1876" s="8"/>
      <c r="L1876" s="8"/>
    </row>
    <row r="1877" spans="3:12" x14ac:dyDescent="0.25">
      <c r="C1877" s="7"/>
      <c r="E1877" s="8"/>
      <c r="F1877" s="8"/>
      <c r="G1877" s="8"/>
      <c r="H1877" s="8"/>
      <c r="I1877" s="8"/>
      <c r="J1877" s="8"/>
      <c r="K1877" s="8"/>
      <c r="L1877" s="8"/>
    </row>
    <row r="1878" spans="3:12" x14ac:dyDescent="0.25">
      <c r="C1878" s="7"/>
      <c r="E1878" s="8"/>
      <c r="F1878" s="8"/>
      <c r="G1878" s="8"/>
      <c r="H1878" s="8"/>
      <c r="I1878" s="8"/>
      <c r="J1878" s="8"/>
      <c r="K1878" s="8"/>
      <c r="L1878" s="8"/>
    </row>
    <row r="1879" spans="3:12" x14ac:dyDescent="0.25">
      <c r="C1879" s="7"/>
      <c r="E1879" s="8"/>
      <c r="F1879" s="8"/>
      <c r="G1879" s="8"/>
      <c r="H1879" s="8"/>
      <c r="I1879" s="8"/>
      <c r="J1879" s="8"/>
      <c r="K1879" s="8"/>
      <c r="L1879" s="8"/>
    </row>
    <row r="1880" spans="3:12" x14ac:dyDescent="0.25">
      <c r="C1880" s="7"/>
      <c r="E1880" s="8"/>
      <c r="F1880" s="8"/>
      <c r="G1880" s="8"/>
      <c r="H1880" s="8"/>
      <c r="I1880" s="8"/>
      <c r="J1880" s="8"/>
      <c r="K1880" s="8"/>
      <c r="L1880" s="8"/>
    </row>
    <row r="1881" spans="3:12" x14ac:dyDescent="0.25">
      <c r="C1881" s="7"/>
      <c r="E1881" s="8"/>
      <c r="F1881" s="8"/>
      <c r="G1881" s="8"/>
      <c r="H1881" s="8"/>
      <c r="I1881" s="8"/>
      <c r="J1881" s="8"/>
      <c r="K1881" s="8"/>
      <c r="L1881" s="8"/>
    </row>
    <row r="1882" spans="3:12" x14ac:dyDescent="0.25">
      <c r="C1882" s="7"/>
      <c r="E1882" s="8"/>
      <c r="F1882" s="8"/>
      <c r="G1882" s="8"/>
      <c r="H1882" s="8"/>
      <c r="I1882" s="8"/>
      <c r="J1882" s="8"/>
      <c r="K1882" s="8"/>
      <c r="L1882" s="8"/>
    </row>
    <row r="1883" spans="3:12" x14ac:dyDescent="0.25">
      <c r="C1883" s="7"/>
      <c r="E1883" s="8"/>
      <c r="F1883" s="8"/>
      <c r="G1883" s="8"/>
      <c r="H1883" s="8"/>
      <c r="I1883" s="8"/>
      <c r="J1883" s="8"/>
      <c r="K1883" s="8"/>
      <c r="L1883" s="8"/>
    </row>
    <row r="1884" spans="3:12" x14ac:dyDescent="0.25">
      <c r="C1884" s="7"/>
      <c r="E1884" s="8"/>
      <c r="F1884" s="8"/>
      <c r="G1884" s="8"/>
      <c r="H1884" s="8"/>
      <c r="I1884" s="8"/>
      <c r="J1884" s="8"/>
      <c r="K1884" s="8"/>
      <c r="L1884" s="8"/>
    </row>
    <row r="1885" spans="3:12" x14ac:dyDescent="0.25">
      <c r="C1885" s="7"/>
      <c r="E1885" s="8"/>
      <c r="F1885" s="8"/>
      <c r="G1885" s="8"/>
      <c r="H1885" s="8"/>
      <c r="I1885" s="8"/>
      <c r="J1885" s="8"/>
      <c r="K1885" s="8"/>
      <c r="L1885" s="8"/>
    </row>
    <row r="1886" spans="3:12" x14ac:dyDescent="0.25">
      <c r="C1886" s="7"/>
      <c r="E1886" s="8"/>
      <c r="F1886" s="8"/>
      <c r="G1886" s="8"/>
      <c r="H1886" s="8"/>
      <c r="I1886" s="8"/>
      <c r="J1886" s="8"/>
      <c r="K1886" s="8"/>
      <c r="L1886" s="8"/>
    </row>
    <row r="1887" spans="3:12" x14ac:dyDescent="0.25">
      <c r="C1887" s="7"/>
      <c r="E1887" s="8"/>
      <c r="F1887" s="8"/>
      <c r="G1887" s="8"/>
      <c r="H1887" s="8"/>
      <c r="I1887" s="8"/>
      <c r="J1887" s="8"/>
      <c r="K1887" s="8"/>
      <c r="L1887" s="8"/>
    </row>
    <row r="1888" spans="3:12" x14ac:dyDescent="0.25">
      <c r="C1888" s="7"/>
      <c r="E1888" s="8"/>
      <c r="F1888" s="8"/>
      <c r="G1888" s="8"/>
      <c r="H1888" s="8"/>
      <c r="I1888" s="8"/>
      <c r="J1888" s="8"/>
      <c r="K1888" s="8"/>
      <c r="L1888" s="8"/>
    </row>
    <row r="1889" spans="3:12" x14ac:dyDescent="0.25">
      <c r="C1889" s="7"/>
      <c r="E1889" s="8"/>
      <c r="F1889" s="8"/>
      <c r="G1889" s="8"/>
      <c r="H1889" s="8"/>
      <c r="I1889" s="8"/>
      <c r="J1889" s="8"/>
      <c r="K1889" s="8"/>
      <c r="L1889" s="8"/>
    </row>
    <row r="1890" spans="3:12" x14ac:dyDescent="0.25">
      <c r="C1890" s="7"/>
      <c r="E1890" s="8"/>
      <c r="F1890" s="8"/>
      <c r="G1890" s="8"/>
      <c r="H1890" s="8"/>
      <c r="I1890" s="8"/>
      <c r="J1890" s="8"/>
      <c r="K1890" s="8"/>
      <c r="L1890" s="8"/>
    </row>
    <row r="1891" spans="3:12" x14ac:dyDescent="0.25">
      <c r="C1891" s="7"/>
      <c r="E1891" s="8"/>
      <c r="F1891" s="8"/>
      <c r="G1891" s="8"/>
      <c r="H1891" s="8"/>
      <c r="I1891" s="8"/>
      <c r="J1891" s="8"/>
      <c r="K1891" s="8"/>
      <c r="L1891" s="8"/>
    </row>
    <row r="1892" spans="3:12" x14ac:dyDescent="0.25">
      <c r="C1892" s="7"/>
      <c r="E1892" s="8"/>
      <c r="F1892" s="8"/>
      <c r="G1892" s="8"/>
      <c r="H1892" s="8"/>
      <c r="I1892" s="8"/>
      <c r="J1892" s="8"/>
      <c r="K1892" s="8"/>
      <c r="L1892" s="8"/>
    </row>
    <row r="1893" spans="3:12" x14ac:dyDescent="0.25">
      <c r="C1893" s="7"/>
      <c r="E1893" s="8"/>
      <c r="F1893" s="8"/>
      <c r="G1893" s="8"/>
      <c r="H1893" s="8"/>
      <c r="I1893" s="8"/>
      <c r="J1893" s="8"/>
      <c r="K1893" s="8"/>
      <c r="L1893" s="8"/>
    </row>
    <row r="1894" spans="3:12" x14ac:dyDescent="0.25">
      <c r="C1894" s="7"/>
      <c r="E1894" s="8"/>
      <c r="F1894" s="8"/>
      <c r="G1894" s="8"/>
      <c r="H1894" s="8"/>
      <c r="I1894" s="8"/>
      <c r="J1894" s="8"/>
      <c r="K1894" s="8"/>
      <c r="L1894" s="8"/>
    </row>
    <row r="1895" spans="3:12" x14ac:dyDescent="0.25">
      <c r="C1895" s="7"/>
      <c r="E1895" s="8"/>
      <c r="F1895" s="8"/>
      <c r="G1895" s="8"/>
      <c r="H1895" s="8"/>
      <c r="I1895" s="8"/>
      <c r="J1895" s="8"/>
      <c r="K1895" s="8"/>
      <c r="L1895" s="8"/>
    </row>
    <row r="1896" spans="3:12" x14ac:dyDescent="0.25">
      <c r="C1896" s="7"/>
      <c r="E1896" s="8"/>
      <c r="F1896" s="8"/>
      <c r="G1896" s="8"/>
      <c r="H1896" s="8"/>
      <c r="I1896" s="8"/>
      <c r="J1896" s="8"/>
      <c r="K1896" s="8"/>
      <c r="L1896" s="8"/>
    </row>
    <row r="1897" spans="3:12" x14ac:dyDescent="0.25">
      <c r="C1897" s="7"/>
      <c r="E1897" s="8"/>
      <c r="F1897" s="8"/>
      <c r="G1897" s="8"/>
      <c r="H1897" s="8"/>
      <c r="I1897" s="8"/>
      <c r="J1897" s="8"/>
      <c r="K1897" s="8"/>
      <c r="L1897" s="8"/>
    </row>
    <row r="1898" spans="3:12" x14ac:dyDescent="0.25">
      <c r="C1898" s="7"/>
      <c r="E1898" s="8"/>
      <c r="F1898" s="8"/>
      <c r="G1898" s="8"/>
      <c r="H1898" s="8"/>
      <c r="I1898" s="8"/>
      <c r="J1898" s="8"/>
      <c r="K1898" s="8"/>
      <c r="L1898" s="8"/>
    </row>
    <row r="1899" spans="3:12" x14ac:dyDescent="0.25">
      <c r="C1899" s="7"/>
      <c r="E1899" s="8"/>
      <c r="F1899" s="8"/>
      <c r="G1899" s="8"/>
      <c r="H1899" s="8"/>
      <c r="I1899" s="8"/>
      <c r="J1899" s="8"/>
      <c r="K1899" s="8"/>
      <c r="L1899" s="8"/>
    </row>
    <row r="1900" spans="3:12" x14ac:dyDescent="0.25">
      <c r="C1900" s="7"/>
      <c r="E1900" s="8"/>
      <c r="F1900" s="8"/>
      <c r="G1900" s="8"/>
      <c r="H1900" s="8"/>
      <c r="I1900" s="8"/>
      <c r="J1900" s="8"/>
      <c r="K1900" s="8"/>
      <c r="L1900" s="8"/>
    </row>
    <row r="1901" spans="3:12" x14ac:dyDescent="0.25">
      <c r="C1901" s="7"/>
      <c r="E1901" s="8"/>
      <c r="F1901" s="8"/>
      <c r="G1901" s="8"/>
      <c r="H1901" s="8"/>
      <c r="I1901" s="8"/>
      <c r="J1901" s="8"/>
      <c r="K1901" s="8"/>
      <c r="L1901" s="8"/>
    </row>
    <row r="1902" spans="3:12" x14ac:dyDescent="0.25">
      <c r="C1902" s="7"/>
      <c r="E1902" s="8"/>
      <c r="F1902" s="8"/>
      <c r="G1902" s="8"/>
      <c r="H1902" s="8"/>
      <c r="I1902" s="8"/>
      <c r="J1902" s="8"/>
      <c r="K1902" s="8"/>
      <c r="L1902" s="8"/>
    </row>
    <row r="1903" spans="3:12" x14ac:dyDescent="0.25">
      <c r="C1903" s="7"/>
      <c r="E1903" s="8"/>
      <c r="F1903" s="8"/>
      <c r="G1903" s="8"/>
      <c r="H1903" s="8"/>
      <c r="I1903" s="8"/>
      <c r="J1903" s="8"/>
      <c r="K1903" s="8"/>
      <c r="L1903" s="8"/>
    </row>
    <row r="1904" spans="3:12" x14ac:dyDescent="0.25">
      <c r="C1904" s="7"/>
      <c r="E1904" s="8"/>
      <c r="F1904" s="8"/>
      <c r="G1904" s="8"/>
      <c r="H1904" s="8"/>
      <c r="I1904" s="8"/>
      <c r="J1904" s="8"/>
      <c r="K1904" s="8"/>
      <c r="L1904" s="8"/>
    </row>
    <row r="1905" spans="3:12" x14ac:dyDescent="0.25">
      <c r="C1905" s="7"/>
      <c r="E1905" s="8"/>
      <c r="F1905" s="8"/>
      <c r="G1905" s="8"/>
      <c r="H1905" s="8"/>
      <c r="I1905" s="8"/>
      <c r="J1905" s="8"/>
      <c r="K1905" s="8"/>
      <c r="L1905" s="8"/>
    </row>
    <row r="1906" spans="3:12" x14ac:dyDescent="0.25">
      <c r="C1906" s="7"/>
      <c r="E1906" s="8"/>
      <c r="F1906" s="8"/>
      <c r="G1906" s="8"/>
      <c r="H1906" s="8"/>
      <c r="I1906" s="8"/>
      <c r="J1906" s="8"/>
      <c r="K1906" s="8"/>
      <c r="L1906" s="8"/>
    </row>
    <row r="1907" spans="3:12" x14ac:dyDescent="0.25">
      <c r="C1907" s="7"/>
      <c r="E1907" s="8"/>
      <c r="F1907" s="8"/>
      <c r="G1907" s="8"/>
      <c r="H1907" s="8"/>
      <c r="I1907" s="8"/>
      <c r="J1907" s="8"/>
      <c r="K1907" s="8"/>
      <c r="L1907" s="8"/>
    </row>
    <row r="1908" spans="3:12" x14ac:dyDescent="0.25">
      <c r="C1908" s="7"/>
      <c r="E1908" s="8"/>
      <c r="F1908" s="8"/>
      <c r="G1908" s="8"/>
      <c r="H1908" s="8"/>
      <c r="I1908" s="8"/>
      <c r="J1908" s="8"/>
      <c r="K1908" s="8"/>
      <c r="L1908" s="8"/>
    </row>
    <row r="1909" spans="3:12" x14ac:dyDescent="0.25">
      <c r="C1909" s="7"/>
      <c r="E1909" s="8"/>
      <c r="F1909" s="8"/>
      <c r="G1909" s="8"/>
      <c r="H1909" s="8"/>
      <c r="I1909" s="8"/>
      <c r="J1909" s="8"/>
      <c r="K1909" s="8"/>
      <c r="L1909" s="8"/>
    </row>
    <row r="1910" spans="3:12" x14ac:dyDescent="0.25">
      <c r="C1910" s="7"/>
      <c r="E1910" s="8"/>
      <c r="F1910" s="8"/>
      <c r="G1910" s="8"/>
      <c r="H1910" s="8"/>
      <c r="I1910" s="8"/>
      <c r="J1910" s="8"/>
      <c r="K1910" s="8"/>
      <c r="L1910" s="8"/>
    </row>
    <row r="1911" spans="3:12" x14ac:dyDescent="0.25">
      <c r="C1911" s="7"/>
      <c r="E1911" s="8"/>
      <c r="F1911" s="8"/>
      <c r="G1911" s="8"/>
      <c r="H1911" s="8"/>
      <c r="I1911" s="8"/>
      <c r="J1911" s="8"/>
      <c r="K1911" s="8"/>
      <c r="L1911" s="8"/>
    </row>
    <row r="1912" spans="3:12" x14ac:dyDescent="0.25">
      <c r="C1912" s="7"/>
      <c r="E1912" s="8"/>
      <c r="F1912" s="8"/>
      <c r="G1912" s="8"/>
      <c r="H1912" s="8"/>
      <c r="I1912" s="8"/>
      <c r="J1912" s="8"/>
      <c r="K1912" s="8"/>
      <c r="L1912" s="8"/>
    </row>
    <row r="1913" spans="3:12" x14ac:dyDescent="0.25">
      <c r="C1913" s="7"/>
      <c r="E1913" s="8"/>
      <c r="F1913" s="8"/>
      <c r="G1913" s="8"/>
      <c r="H1913" s="8"/>
      <c r="I1913" s="8"/>
      <c r="J1913" s="8"/>
      <c r="K1913" s="8"/>
      <c r="L1913" s="8"/>
    </row>
    <row r="1914" spans="3:12" x14ac:dyDescent="0.25">
      <c r="C1914" s="7"/>
      <c r="E1914" s="8"/>
      <c r="F1914" s="8"/>
      <c r="G1914" s="8"/>
      <c r="H1914" s="8"/>
      <c r="I1914" s="8"/>
      <c r="J1914" s="8"/>
      <c r="K1914" s="8"/>
      <c r="L1914" s="8"/>
    </row>
    <row r="1915" spans="3:12" x14ac:dyDescent="0.25">
      <c r="C1915" s="7"/>
      <c r="E1915" s="8"/>
      <c r="F1915" s="8"/>
      <c r="G1915" s="8"/>
      <c r="H1915" s="8"/>
      <c r="I1915" s="8"/>
      <c r="J1915" s="8"/>
      <c r="K1915" s="8"/>
      <c r="L1915" s="8"/>
    </row>
    <row r="1916" spans="3:12" x14ac:dyDescent="0.25">
      <c r="C1916" s="7"/>
      <c r="E1916" s="8"/>
      <c r="F1916" s="8"/>
      <c r="G1916" s="8"/>
      <c r="H1916" s="8"/>
      <c r="I1916" s="8"/>
      <c r="J1916" s="8"/>
      <c r="K1916" s="8"/>
      <c r="L1916" s="8"/>
    </row>
    <row r="1917" spans="3:12" x14ac:dyDescent="0.25">
      <c r="C1917" s="7"/>
      <c r="E1917" s="8"/>
      <c r="F1917" s="8"/>
      <c r="G1917" s="8"/>
      <c r="H1917" s="8"/>
      <c r="I1917" s="8"/>
      <c r="J1917" s="8"/>
      <c r="K1917" s="8"/>
      <c r="L1917" s="8"/>
    </row>
    <row r="1918" spans="3:12" x14ac:dyDescent="0.25">
      <c r="C1918" s="7"/>
      <c r="E1918" s="8"/>
      <c r="F1918" s="8"/>
      <c r="G1918" s="8"/>
      <c r="H1918" s="8"/>
      <c r="I1918" s="8"/>
      <c r="J1918" s="8"/>
      <c r="K1918" s="8"/>
      <c r="L1918" s="8"/>
    </row>
    <row r="1919" spans="3:12" x14ac:dyDescent="0.25">
      <c r="C1919" s="7"/>
      <c r="E1919" s="8"/>
      <c r="F1919" s="8"/>
      <c r="G1919" s="8"/>
      <c r="H1919" s="8"/>
      <c r="I1919" s="8"/>
      <c r="J1919" s="8"/>
      <c r="K1919" s="8"/>
      <c r="L1919" s="8"/>
    </row>
    <row r="1920" spans="3:12" x14ac:dyDescent="0.25">
      <c r="C1920" s="7"/>
      <c r="E1920" s="8"/>
      <c r="F1920" s="8"/>
      <c r="G1920" s="8"/>
      <c r="H1920" s="8"/>
      <c r="I1920" s="8"/>
      <c r="J1920" s="8"/>
      <c r="K1920" s="8"/>
      <c r="L1920" s="8"/>
    </row>
    <row r="1921" spans="3:12" x14ac:dyDescent="0.25">
      <c r="C1921" s="7"/>
      <c r="E1921" s="8"/>
      <c r="F1921" s="8"/>
      <c r="G1921" s="8"/>
      <c r="H1921" s="8"/>
      <c r="I1921" s="8"/>
      <c r="J1921" s="8"/>
      <c r="K1921" s="8"/>
      <c r="L1921" s="8"/>
    </row>
    <row r="1922" spans="3:12" x14ac:dyDescent="0.25">
      <c r="C1922" s="7"/>
      <c r="E1922" s="8"/>
      <c r="F1922" s="8"/>
      <c r="G1922" s="8"/>
      <c r="H1922" s="8"/>
      <c r="I1922" s="8"/>
      <c r="J1922" s="8"/>
      <c r="K1922" s="8"/>
      <c r="L1922" s="8"/>
    </row>
    <row r="1923" spans="3:12" x14ac:dyDescent="0.25">
      <c r="C1923" s="7"/>
      <c r="E1923" s="8"/>
      <c r="F1923" s="8"/>
      <c r="G1923" s="8"/>
      <c r="H1923" s="8"/>
      <c r="I1923" s="8"/>
      <c r="J1923" s="8"/>
      <c r="K1923" s="8"/>
      <c r="L1923" s="8"/>
    </row>
    <row r="1924" spans="3:12" x14ac:dyDescent="0.25">
      <c r="C1924" s="7"/>
      <c r="E1924" s="8"/>
      <c r="F1924" s="8"/>
      <c r="G1924" s="8"/>
      <c r="H1924" s="8"/>
      <c r="I1924" s="8"/>
      <c r="J1924" s="8"/>
      <c r="K1924" s="8"/>
      <c r="L1924" s="8"/>
    </row>
    <row r="1925" spans="3:12" x14ac:dyDescent="0.25">
      <c r="C1925" s="7"/>
      <c r="E1925" s="8"/>
      <c r="F1925" s="8"/>
      <c r="G1925" s="8"/>
      <c r="H1925" s="8"/>
      <c r="I1925" s="8"/>
      <c r="J1925" s="8"/>
      <c r="K1925" s="8"/>
      <c r="L1925" s="8"/>
    </row>
    <row r="1926" spans="3:12" x14ac:dyDescent="0.25">
      <c r="C1926" s="7"/>
      <c r="E1926" s="8"/>
      <c r="F1926" s="8"/>
      <c r="G1926" s="8"/>
      <c r="H1926" s="8"/>
      <c r="I1926" s="8"/>
      <c r="J1926" s="8"/>
      <c r="K1926" s="8"/>
      <c r="L1926" s="8"/>
    </row>
    <row r="1927" spans="3:12" x14ac:dyDescent="0.25">
      <c r="C1927" s="7"/>
      <c r="E1927" s="8"/>
      <c r="F1927" s="8"/>
      <c r="G1927" s="8"/>
      <c r="H1927" s="8"/>
      <c r="I1927" s="8"/>
      <c r="J1927" s="8"/>
      <c r="K1927" s="8"/>
      <c r="L1927" s="8"/>
    </row>
    <row r="1928" spans="3:12" x14ac:dyDescent="0.25">
      <c r="C1928" s="7"/>
      <c r="E1928" s="8"/>
      <c r="F1928" s="8"/>
      <c r="G1928" s="8"/>
      <c r="H1928" s="8"/>
      <c r="I1928" s="8"/>
      <c r="J1928" s="8"/>
      <c r="K1928" s="8"/>
      <c r="L1928" s="8"/>
    </row>
    <row r="1929" spans="3:12" x14ac:dyDescent="0.25">
      <c r="C1929" s="7"/>
      <c r="E1929" s="8"/>
      <c r="F1929" s="8"/>
      <c r="G1929" s="8"/>
      <c r="H1929" s="8"/>
      <c r="I1929" s="8"/>
      <c r="J1929" s="8"/>
      <c r="K1929" s="8"/>
      <c r="L1929" s="8"/>
    </row>
    <row r="1930" spans="3:12" x14ac:dyDescent="0.25">
      <c r="C1930" s="7"/>
      <c r="E1930" s="8"/>
      <c r="F1930" s="8"/>
      <c r="G1930" s="8"/>
      <c r="H1930" s="8"/>
      <c r="I1930" s="8"/>
      <c r="J1930" s="8"/>
      <c r="K1930" s="8"/>
      <c r="L1930" s="8"/>
    </row>
    <row r="1931" spans="3:12" x14ac:dyDescent="0.25">
      <c r="C1931" s="7"/>
      <c r="E1931" s="8"/>
      <c r="F1931" s="8"/>
      <c r="G1931" s="8"/>
      <c r="H1931" s="8"/>
      <c r="I1931" s="8"/>
      <c r="J1931" s="8"/>
      <c r="K1931" s="8"/>
      <c r="L1931" s="8"/>
    </row>
    <row r="1932" spans="3:12" x14ac:dyDescent="0.25">
      <c r="C1932" s="7"/>
      <c r="E1932" s="8"/>
      <c r="F1932" s="8"/>
      <c r="G1932" s="8"/>
      <c r="H1932" s="8"/>
      <c r="I1932" s="8"/>
      <c r="J1932" s="8"/>
      <c r="K1932" s="8"/>
      <c r="L1932" s="8"/>
    </row>
    <row r="1933" spans="3:12" x14ac:dyDescent="0.25">
      <c r="C1933" s="7"/>
      <c r="E1933" s="8"/>
      <c r="F1933" s="8"/>
      <c r="G1933" s="8"/>
      <c r="H1933" s="8"/>
      <c r="I1933" s="8"/>
      <c r="J1933" s="8"/>
      <c r="K1933" s="8"/>
      <c r="L1933" s="8"/>
    </row>
    <row r="1934" spans="3:12" x14ac:dyDescent="0.25">
      <c r="C1934" s="7"/>
      <c r="E1934" s="8"/>
      <c r="F1934" s="8"/>
      <c r="G1934" s="8"/>
      <c r="H1934" s="8"/>
      <c r="I1934" s="8"/>
      <c r="J1934" s="8"/>
      <c r="K1934" s="8"/>
      <c r="L1934" s="8"/>
    </row>
    <row r="1935" spans="3:12" x14ac:dyDescent="0.25">
      <c r="C1935" s="7"/>
      <c r="E1935" s="8"/>
      <c r="F1935" s="8"/>
      <c r="G1935" s="8"/>
      <c r="H1935" s="8"/>
      <c r="I1935" s="8"/>
      <c r="J1935" s="8"/>
      <c r="K1935" s="8"/>
      <c r="L1935" s="8"/>
    </row>
    <row r="1936" spans="3:12" x14ac:dyDescent="0.25">
      <c r="C1936" s="7"/>
      <c r="E1936" s="8"/>
      <c r="F1936" s="8"/>
      <c r="G1936" s="8"/>
      <c r="H1936" s="8"/>
      <c r="I1936" s="8"/>
      <c r="J1936" s="8"/>
      <c r="K1936" s="8"/>
      <c r="L1936" s="8"/>
    </row>
    <row r="1937" spans="3:12" x14ac:dyDescent="0.25">
      <c r="C1937" s="7"/>
      <c r="E1937" s="8"/>
      <c r="F1937" s="8"/>
      <c r="G1937" s="8"/>
      <c r="H1937" s="8"/>
      <c r="I1937" s="8"/>
      <c r="J1937" s="8"/>
      <c r="K1937" s="8"/>
      <c r="L1937" s="8"/>
    </row>
    <row r="1938" spans="3:12" x14ac:dyDescent="0.25">
      <c r="C1938" s="7"/>
      <c r="E1938" s="8"/>
      <c r="F1938" s="8"/>
      <c r="G1938" s="8"/>
      <c r="H1938" s="8"/>
      <c r="I1938" s="8"/>
      <c r="J1938" s="8"/>
      <c r="K1938" s="8"/>
      <c r="L1938" s="8"/>
    </row>
    <row r="1939" spans="3:12" x14ac:dyDescent="0.25">
      <c r="C1939" s="7"/>
      <c r="E1939" s="8"/>
      <c r="F1939" s="8"/>
      <c r="G1939" s="8"/>
      <c r="H1939" s="8"/>
      <c r="I1939" s="8"/>
      <c r="J1939" s="8"/>
      <c r="K1939" s="8"/>
      <c r="L1939" s="8"/>
    </row>
    <row r="1940" spans="3:12" x14ac:dyDescent="0.25">
      <c r="C1940" s="7"/>
      <c r="E1940" s="8"/>
      <c r="F1940" s="8"/>
      <c r="G1940" s="8"/>
      <c r="H1940" s="8"/>
      <c r="I1940" s="8"/>
      <c r="J1940" s="8"/>
      <c r="K1940" s="8"/>
      <c r="L1940" s="8"/>
    </row>
    <row r="1941" spans="3:12" x14ac:dyDescent="0.25">
      <c r="C1941" s="7"/>
      <c r="E1941" s="8"/>
      <c r="F1941" s="8"/>
      <c r="G1941" s="8"/>
      <c r="H1941" s="8"/>
      <c r="I1941" s="8"/>
      <c r="J1941" s="8"/>
      <c r="K1941" s="8"/>
      <c r="L1941" s="8"/>
    </row>
    <row r="1942" spans="3:12" x14ac:dyDescent="0.25">
      <c r="C1942" s="7"/>
      <c r="E1942" s="8"/>
      <c r="F1942" s="8"/>
      <c r="G1942" s="8"/>
      <c r="H1942" s="8"/>
      <c r="I1942" s="8"/>
      <c r="J1942" s="8"/>
      <c r="K1942" s="8"/>
      <c r="L1942" s="8"/>
    </row>
    <row r="1943" spans="3:12" x14ac:dyDescent="0.25">
      <c r="C1943" s="7"/>
      <c r="E1943" s="8"/>
      <c r="F1943" s="8"/>
      <c r="G1943" s="8"/>
      <c r="H1943" s="8"/>
      <c r="I1943" s="8"/>
      <c r="J1943" s="8"/>
      <c r="K1943" s="8"/>
      <c r="L1943" s="8"/>
    </row>
    <row r="1944" spans="3:12" x14ac:dyDescent="0.25">
      <c r="C1944" s="7"/>
      <c r="E1944" s="8"/>
      <c r="F1944" s="8"/>
      <c r="G1944" s="8"/>
      <c r="H1944" s="8"/>
      <c r="I1944" s="8"/>
      <c r="J1944" s="8"/>
      <c r="K1944" s="8"/>
      <c r="L1944" s="8"/>
    </row>
    <row r="1945" spans="3:12" x14ac:dyDescent="0.25">
      <c r="C1945" s="7"/>
      <c r="E1945" s="8"/>
      <c r="F1945" s="8"/>
      <c r="G1945" s="8"/>
      <c r="H1945" s="8"/>
      <c r="I1945" s="8"/>
      <c r="J1945" s="8"/>
      <c r="K1945" s="8"/>
      <c r="L1945" s="8"/>
    </row>
    <row r="1946" spans="3:12" x14ac:dyDescent="0.25">
      <c r="C1946" s="7"/>
      <c r="E1946" s="8"/>
      <c r="F1946" s="8"/>
      <c r="G1946" s="8"/>
      <c r="H1946" s="8"/>
      <c r="I1946" s="8"/>
      <c r="J1946" s="8"/>
      <c r="K1946" s="8"/>
      <c r="L1946" s="8"/>
    </row>
    <row r="1947" spans="3:12" x14ac:dyDescent="0.25">
      <c r="C1947" s="7"/>
      <c r="E1947" s="8"/>
      <c r="F1947" s="8"/>
      <c r="G1947" s="8"/>
      <c r="H1947" s="8"/>
      <c r="I1947" s="8"/>
      <c r="J1947" s="8"/>
      <c r="K1947" s="8"/>
      <c r="L1947" s="8"/>
    </row>
    <row r="1948" spans="3:12" x14ac:dyDescent="0.25">
      <c r="C1948" s="7"/>
      <c r="E1948" s="8"/>
      <c r="F1948" s="8"/>
      <c r="G1948" s="8"/>
      <c r="H1948" s="8"/>
      <c r="I1948" s="8"/>
      <c r="J1948" s="8"/>
      <c r="K1948" s="8"/>
      <c r="L1948" s="8"/>
    </row>
    <row r="1949" spans="3:12" x14ac:dyDescent="0.25">
      <c r="C1949" s="7"/>
      <c r="E1949" s="8"/>
      <c r="F1949" s="8"/>
      <c r="G1949" s="8"/>
      <c r="H1949" s="8"/>
      <c r="I1949" s="8"/>
      <c r="J1949" s="8"/>
      <c r="K1949" s="8"/>
      <c r="L1949" s="8"/>
    </row>
    <row r="1950" spans="3:12" x14ac:dyDescent="0.25">
      <c r="C1950" s="7"/>
      <c r="E1950" s="8"/>
      <c r="F1950" s="8"/>
      <c r="G1950" s="8"/>
      <c r="H1950" s="8"/>
      <c r="I1950" s="8"/>
      <c r="J1950" s="8"/>
      <c r="K1950" s="8"/>
      <c r="L1950" s="8"/>
    </row>
    <row r="1951" spans="3:12" x14ac:dyDescent="0.25">
      <c r="C1951" s="7"/>
      <c r="E1951" s="8"/>
      <c r="F1951" s="8"/>
      <c r="G1951" s="8"/>
      <c r="H1951" s="8"/>
      <c r="I1951" s="8"/>
      <c r="J1951" s="8"/>
      <c r="K1951" s="8"/>
      <c r="L1951" s="8"/>
    </row>
    <row r="1952" spans="3:12" x14ac:dyDescent="0.25">
      <c r="C1952" s="7"/>
      <c r="E1952" s="8"/>
      <c r="F1952" s="8"/>
      <c r="G1952" s="8"/>
      <c r="H1952" s="8"/>
      <c r="I1952" s="8"/>
      <c r="J1952" s="8"/>
      <c r="K1952" s="8"/>
      <c r="L1952" s="8"/>
    </row>
    <row r="1953" spans="3:12" x14ac:dyDescent="0.25">
      <c r="C1953" s="7"/>
      <c r="E1953" s="8"/>
      <c r="F1953" s="8"/>
      <c r="G1953" s="8"/>
      <c r="H1953" s="8"/>
      <c r="I1953" s="8"/>
      <c r="J1953" s="8"/>
      <c r="K1953" s="8"/>
      <c r="L1953" s="8"/>
    </row>
    <row r="1954" spans="3:12" x14ac:dyDescent="0.25">
      <c r="C1954" s="7"/>
      <c r="E1954" s="8"/>
      <c r="F1954" s="8"/>
      <c r="G1954" s="8"/>
      <c r="H1954" s="8"/>
      <c r="I1954" s="8"/>
      <c r="J1954" s="8"/>
      <c r="K1954" s="8"/>
      <c r="L1954" s="8"/>
    </row>
    <row r="1955" spans="3:12" x14ac:dyDescent="0.25">
      <c r="C1955" s="7"/>
      <c r="E1955" s="8"/>
      <c r="F1955" s="8"/>
      <c r="G1955" s="8"/>
      <c r="H1955" s="8"/>
      <c r="I1955" s="8"/>
      <c r="J1955" s="8"/>
      <c r="K1955" s="8"/>
      <c r="L1955" s="8"/>
    </row>
    <row r="1956" spans="3:12" x14ac:dyDescent="0.25">
      <c r="C1956" s="7"/>
      <c r="E1956" s="8"/>
      <c r="F1956" s="8"/>
      <c r="G1956" s="8"/>
      <c r="H1956" s="8"/>
      <c r="I1956" s="8"/>
      <c r="J1956" s="8"/>
      <c r="K1956" s="8"/>
      <c r="L1956" s="8"/>
    </row>
    <row r="1957" spans="3:12" x14ac:dyDescent="0.25">
      <c r="C1957" s="7"/>
      <c r="E1957" s="8"/>
      <c r="F1957" s="8"/>
      <c r="G1957" s="8"/>
      <c r="H1957" s="8"/>
      <c r="I1957" s="8"/>
      <c r="J1957" s="8"/>
      <c r="K1957" s="8"/>
      <c r="L1957" s="8"/>
    </row>
    <row r="1958" spans="3:12" x14ac:dyDescent="0.25">
      <c r="C1958" s="7"/>
      <c r="E1958" s="8"/>
      <c r="F1958" s="8"/>
      <c r="G1958" s="8"/>
      <c r="H1958" s="8"/>
      <c r="I1958" s="8"/>
      <c r="J1958" s="8"/>
      <c r="K1958" s="8"/>
      <c r="L1958" s="8"/>
    </row>
    <row r="1959" spans="3:12" x14ac:dyDescent="0.25">
      <c r="C1959" s="7"/>
      <c r="E1959" s="8"/>
      <c r="F1959" s="8"/>
      <c r="G1959" s="8"/>
      <c r="H1959" s="8"/>
      <c r="I1959" s="8"/>
      <c r="J1959" s="8"/>
      <c r="K1959" s="8"/>
      <c r="L1959" s="8"/>
    </row>
    <row r="1960" spans="3:12" x14ac:dyDescent="0.25">
      <c r="C1960" s="7"/>
      <c r="E1960" s="8"/>
      <c r="F1960" s="8"/>
      <c r="G1960" s="8"/>
      <c r="H1960" s="8"/>
      <c r="I1960" s="8"/>
      <c r="J1960" s="8"/>
      <c r="K1960" s="8"/>
      <c r="L1960" s="8"/>
    </row>
    <row r="1961" spans="3:12" x14ac:dyDescent="0.25">
      <c r="C1961" s="7"/>
      <c r="E1961" s="8"/>
      <c r="F1961" s="8"/>
      <c r="G1961" s="8"/>
      <c r="H1961" s="8"/>
      <c r="I1961" s="8"/>
      <c r="J1961" s="8"/>
      <c r="K1961" s="8"/>
      <c r="L1961" s="8"/>
    </row>
    <row r="1962" spans="3:12" x14ac:dyDescent="0.25">
      <c r="C1962" s="7"/>
      <c r="E1962" s="8"/>
      <c r="F1962" s="8"/>
      <c r="G1962" s="8"/>
      <c r="H1962" s="8"/>
      <c r="I1962" s="8"/>
      <c r="J1962" s="8"/>
      <c r="K1962" s="8"/>
      <c r="L1962" s="8"/>
    </row>
    <row r="1963" spans="3:12" x14ac:dyDescent="0.25">
      <c r="C1963" s="7"/>
      <c r="E1963" s="8"/>
      <c r="F1963" s="8"/>
      <c r="G1963" s="8"/>
      <c r="H1963" s="8"/>
      <c r="I1963" s="8"/>
      <c r="J1963" s="8"/>
      <c r="K1963" s="8"/>
      <c r="L1963" s="8"/>
    </row>
    <row r="1964" spans="3:12" x14ac:dyDescent="0.25">
      <c r="C1964" s="7"/>
      <c r="E1964" s="8"/>
      <c r="F1964" s="8"/>
      <c r="G1964" s="8"/>
      <c r="H1964" s="8"/>
      <c r="I1964" s="8"/>
      <c r="J1964" s="8"/>
      <c r="K1964" s="8"/>
      <c r="L1964" s="8"/>
    </row>
    <row r="1965" spans="3:12" x14ac:dyDescent="0.25">
      <c r="C1965" s="7"/>
      <c r="E1965" s="8"/>
      <c r="F1965" s="8"/>
      <c r="G1965" s="8"/>
      <c r="H1965" s="8"/>
      <c r="I1965" s="8"/>
      <c r="J1965" s="8"/>
      <c r="K1965" s="8"/>
      <c r="L1965" s="8"/>
    </row>
    <row r="1966" spans="3:12" x14ac:dyDescent="0.25">
      <c r="C1966" s="7"/>
      <c r="E1966" s="8"/>
      <c r="F1966" s="8"/>
      <c r="G1966" s="8"/>
      <c r="H1966" s="8"/>
      <c r="I1966" s="8"/>
      <c r="J1966" s="8"/>
      <c r="K1966" s="8"/>
      <c r="L1966" s="8"/>
    </row>
    <row r="1967" spans="3:12" x14ac:dyDescent="0.25">
      <c r="C1967" s="7"/>
      <c r="E1967" s="8"/>
      <c r="F1967" s="8"/>
      <c r="G1967" s="8"/>
      <c r="H1967" s="8"/>
      <c r="I1967" s="8"/>
      <c r="J1967" s="8"/>
      <c r="K1967" s="8"/>
      <c r="L1967" s="8"/>
    </row>
    <row r="1968" spans="3:12" x14ac:dyDescent="0.25">
      <c r="C1968" s="7"/>
      <c r="E1968" s="8"/>
      <c r="F1968" s="8"/>
      <c r="G1968" s="8"/>
      <c r="H1968" s="8"/>
      <c r="I1968" s="8"/>
      <c r="J1968" s="8"/>
      <c r="K1968" s="8"/>
      <c r="L1968" s="8"/>
    </row>
    <row r="1969" spans="3:12" x14ac:dyDescent="0.25">
      <c r="C1969" s="7"/>
      <c r="E1969" s="8"/>
      <c r="F1969" s="8"/>
      <c r="G1969" s="8"/>
      <c r="H1969" s="8"/>
      <c r="I1969" s="8"/>
      <c r="J1969" s="8"/>
      <c r="K1969" s="8"/>
      <c r="L1969" s="8"/>
    </row>
    <row r="1970" spans="3:12" x14ac:dyDescent="0.25">
      <c r="C1970" s="7"/>
      <c r="E1970" s="8"/>
      <c r="F1970" s="8"/>
      <c r="G1970" s="8"/>
      <c r="H1970" s="8"/>
      <c r="I1970" s="8"/>
      <c r="J1970" s="8"/>
      <c r="K1970" s="8"/>
      <c r="L1970" s="8"/>
    </row>
    <row r="1971" spans="3:12" x14ac:dyDescent="0.25">
      <c r="C1971" s="7"/>
      <c r="E1971" s="8"/>
      <c r="F1971" s="8"/>
      <c r="G1971" s="8"/>
      <c r="H1971" s="8"/>
      <c r="I1971" s="8"/>
      <c r="J1971" s="8"/>
      <c r="K1971" s="8"/>
      <c r="L1971" s="8"/>
    </row>
    <row r="1972" spans="3:12" x14ac:dyDescent="0.25">
      <c r="C1972" s="7"/>
      <c r="E1972" s="8"/>
      <c r="F1972" s="8"/>
      <c r="G1972" s="8"/>
      <c r="H1972" s="8"/>
      <c r="I1972" s="8"/>
      <c r="J1972" s="8"/>
      <c r="K1972" s="8"/>
      <c r="L1972" s="8"/>
    </row>
    <row r="1973" spans="3:12" x14ac:dyDescent="0.25">
      <c r="C1973" s="7"/>
      <c r="E1973" s="8"/>
      <c r="F1973" s="8"/>
      <c r="G1973" s="8"/>
      <c r="H1973" s="8"/>
      <c r="I1973" s="8"/>
      <c r="J1973" s="8"/>
      <c r="K1973" s="8"/>
      <c r="L1973" s="8"/>
    </row>
    <row r="1974" spans="3:12" x14ac:dyDescent="0.25">
      <c r="C1974" s="7"/>
      <c r="E1974" s="8"/>
      <c r="F1974" s="8"/>
      <c r="G1974" s="8"/>
      <c r="H1974" s="8"/>
      <c r="I1974" s="8"/>
      <c r="J1974" s="8"/>
      <c r="K1974" s="8"/>
      <c r="L1974" s="8"/>
    </row>
    <row r="1975" spans="3:12" x14ac:dyDescent="0.25">
      <c r="C1975" s="7"/>
      <c r="E1975" s="8"/>
      <c r="F1975" s="8"/>
      <c r="G1975" s="8"/>
      <c r="H1975" s="8"/>
      <c r="I1975" s="8"/>
      <c r="J1975" s="8"/>
      <c r="K1975" s="8"/>
      <c r="L1975" s="8"/>
    </row>
    <row r="1976" spans="3:12" x14ac:dyDescent="0.25">
      <c r="C1976" s="7"/>
      <c r="E1976" s="8"/>
      <c r="F1976" s="8"/>
      <c r="G1976" s="8"/>
      <c r="H1976" s="8"/>
      <c r="I1976" s="8"/>
      <c r="J1976" s="8"/>
      <c r="K1976" s="8"/>
      <c r="L1976" s="8"/>
    </row>
    <row r="1977" spans="3:12" x14ac:dyDescent="0.25">
      <c r="C1977" s="7"/>
      <c r="E1977" s="8"/>
      <c r="F1977" s="8"/>
      <c r="G1977" s="8"/>
      <c r="H1977" s="8"/>
      <c r="I1977" s="8"/>
      <c r="J1977" s="8"/>
      <c r="K1977" s="8"/>
      <c r="L1977" s="8"/>
    </row>
    <row r="1978" spans="3:12" x14ac:dyDescent="0.25">
      <c r="C1978" s="7"/>
      <c r="E1978" s="8"/>
      <c r="F1978" s="8"/>
      <c r="G1978" s="8"/>
      <c r="H1978" s="8"/>
      <c r="I1978" s="8"/>
      <c r="J1978" s="8"/>
      <c r="K1978" s="8"/>
      <c r="L1978" s="8"/>
    </row>
    <row r="1979" spans="3:12" x14ac:dyDescent="0.25">
      <c r="C1979" s="7"/>
      <c r="E1979" s="8"/>
      <c r="F1979" s="8"/>
      <c r="G1979" s="8"/>
      <c r="H1979" s="8"/>
      <c r="I1979" s="8"/>
      <c r="J1979" s="8"/>
      <c r="K1979" s="8"/>
      <c r="L1979" s="8"/>
    </row>
    <row r="1980" spans="3:12" x14ac:dyDescent="0.25">
      <c r="C1980" s="7"/>
      <c r="E1980" s="8"/>
      <c r="F1980" s="8"/>
      <c r="G1980" s="8"/>
      <c r="H1980" s="8"/>
      <c r="I1980" s="8"/>
      <c r="J1980" s="8"/>
      <c r="K1980" s="8"/>
      <c r="L1980" s="8"/>
    </row>
    <row r="1981" spans="3:12" x14ac:dyDescent="0.25">
      <c r="C1981" s="7"/>
      <c r="E1981" s="8"/>
      <c r="F1981" s="8"/>
      <c r="G1981" s="8"/>
      <c r="H1981" s="8"/>
      <c r="I1981" s="8"/>
      <c r="J1981" s="8"/>
      <c r="K1981" s="8"/>
      <c r="L1981" s="8"/>
    </row>
    <row r="1982" spans="3:12" x14ac:dyDescent="0.25">
      <c r="C1982" s="7"/>
      <c r="E1982" s="8"/>
      <c r="F1982" s="8"/>
      <c r="G1982" s="8"/>
      <c r="H1982" s="8"/>
      <c r="I1982" s="8"/>
      <c r="J1982" s="8"/>
      <c r="K1982" s="8"/>
      <c r="L1982" s="8"/>
    </row>
    <row r="1983" spans="3:12" x14ac:dyDescent="0.25">
      <c r="C1983" s="7"/>
      <c r="E1983" s="8"/>
      <c r="F1983" s="8"/>
      <c r="G1983" s="8"/>
      <c r="H1983" s="8"/>
      <c r="I1983" s="8"/>
      <c r="J1983" s="8"/>
      <c r="K1983" s="8"/>
      <c r="L1983" s="8"/>
    </row>
    <row r="1984" spans="3:12" x14ac:dyDescent="0.25">
      <c r="C1984" s="7"/>
      <c r="E1984" s="8"/>
      <c r="F1984" s="8"/>
      <c r="G1984" s="8"/>
      <c r="H1984" s="8"/>
      <c r="I1984" s="8"/>
      <c r="J1984" s="8"/>
      <c r="K1984" s="8"/>
      <c r="L1984" s="8"/>
    </row>
    <row r="1985" spans="3:12" x14ac:dyDescent="0.25">
      <c r="C1985" s="7"/>
      <c r="E1985" s="8"/>
      <c r="F1985" s="8"/>
      <c r="G1985" s="8"/>
      <c r="H1985" s="8"/>
      <c r="I1985" s="8"/>
      <c r="J1985" s="8"/>
      <c r="K1985" s="8"/>
      <c r="L1985" s="8"/>
    </row>
    <row r="1986" spans="3:12" x14ac:dyDescent="0.25">
      <c r="C1986" s="7"/>
      <c r="E1986" s="8"/>
      <c r="F1986" s="8"/>
      <c r="G1986" s="8"/>
      <c r="H1986" s="8"/>
      <c r="I1986" s="8"/>
      <c r="J1986" s="8"/>
      <c r="K1986" s="8"/>
      <c r="L1986" s="8"/>
    </row>
    <row r="1987" spans="3:12" x14ac:dyDescent="0.25">
      <c r="C1987" s="7"/>
      <c r="E1987" s="8"/>
      <c r="F1987" s="8"/>
      <c r="G1987" s="8"/>
      <c r="H1987" s="8"/>
      <c r="I1987" s="8"/>
      <c r="J1987" s="8"/>
      <c r="K1987" s="8"/>
      <c r="L1987" s="8"/>
    </row>
    <row r="1988" spans="3:12" x14ac:dyDescent="0.25">
      <c r="C1988" s="7"/>
      <c r="E1988" s="8"/>
      <c r="F1988" s="8"/>
      <c r="G1988" s="8"/>
      <c r="H1988" s="8"/>
      <c r="I1988" s="8"/>
      <c r="J1988" s="8"/>
      <c r="K1988" s="8"/>
      <c r="L1988" s="8"/>
    </row>
    <row r="1989" spans="3:12" x14ac:dyDescent="0.25">
      <c r="C1989" s="7"/>
      <c r="E1989" s="8"/>
      <c r="F1989" s="8"/>
      <c r="G1989" s="8"/>
      <c r="H1989" s="8"/>
      <c r="I1989" s="8"/>
      <c r="J1989" s="8"/>
      <c r="K1989" s="8"/>
      <c r="L1989" s="8"/>
    </row>
    <row r="1990" spans="3:12" x14ac:dyDescent="0.25">
      <c r="C1990" s="7"/>
      <c r="E1990" s="8"/>
      <c r="F1990" s="8"/>
      <c r="G1990" s="8"/>
      <c r="H1990" s="8"/>
      <c r="I1990" s="8"/>
      <c r="J1990" s="8"/>
      <c r="K1990" s="8"/>
      <c r="L1990" s="8"/>
    </row>
    <row r="1991" spans="3:12" x14ac:dyDescent="0.25">
      <c r="C1991" s="7"/>
      <c r="E1991" s="8"/>
      <c r="F1991" s="8"/>
      <c r="G1991" s="8"/>
      <c r="H1991" s="8"/>
      <c r="I1991" s="8"/>
      <c r="J1991" s="8"/>
      <c r="K1991" s="8"/>
      <c r="L1991" s="8"/>
    </row>
    <row r="1992" spans="3:12" x14ac:dyDescent="0.25">
      <c r="C1992" s="7"/>
      <c r="E1992" s="8"/>
      <c r="F1992" s="8"/>
      <c r="G1992" s="8"/>
      <c r="H1992" s="8"/>
      <c r="I1992" s="8"/>
      <c r="J1992" s="8"/>
      <c r="K1992" s="8"/>
      <c r="L1992" s="8"/>
    </row>
    <row r="1993" spans="3:12" x14ac:dyDescent="0.25">
      <c r="C1993" s="7"/>
      <c r="E1993" s="8"/>
      <c r="F1993" s="8"/>
      <c r="G1993" s="8"/>
      <c r="H1993" s="8"/>
      <c r="I1993" s="8"/>
      <c r="J1993" s="8"/>
      <c r="K1993" s="8"/>
      <c r="L1993" s="8"/>
    </row>
    <row r="1994" spans="3:12" x14ac:dyDescent="0.25">
      <c r="C1994" s="7"/>
      <c r="E1994" s="8"/>
      <c r="F1994" s="8"/>
      <c r="G1994" s="8"/>
      <c r="H1994" s="8"/>
      <c r="I1994" s="8"/>
      <c r="J1994" s="8"/>
      <c r="K1994" s="8"/>
      <c r="L1994" s="8"/>
    </row>
    <row r="1995" spans="3:12" x14ac:dyDescent="0.25">
      <c r="C1995" s="7"/>
      <c r="E1995" s="8"/>
      <c r="F1995" s="8"/>
      <c r="G1995" s="8"/>
      <c r="H1995" s="8"/>
      <c r="I1995" s="8"/>
      <c r="J1995" s="8"/>
      <c r="K1995" s="8"/>
      <c r="L1995" s="8"/>
    </row>
    <row r="1996" spans="3:12" x14ac:dyDescent="0.25">
      <c r="C1996" s="7"/>
      <c r="E1996" s="8"/>
      <c r="F1996" s="8"/>
      <c r="G1996" s="8"/>
      <c r="H1996" s="8"/>
      <c r="I1996" s="8"/>
      <c r="J1996" s="8"/>
      <c r="K1996" s="8"/>
      <c r="L1996" s="8"/>
    </row>
    <row r="1997" spans="3:12" x14ac:dyDescent="0.25">
      <c r="C1997" s="7"/>
      <c r="E1997" s="8"/>
      <c r="F1997" s="8"/>
      <c r="G1997" s="8"/>
      <c r="H1997" s="8"/>
      <c r="I1997" s="8"/>
      <c r="J1997" s="8"/>
      <c r="K1997" s="8"/>
      <c r="L1997" s="8"/>
    </row>
    <row r="1998" spans="3:12" x14ac:dyDescent="0.25">
      <c r="C1998" s="7"/>
      <c r="E1998" s="8"/>
      <c r="F1998" s="8"/>
      <c r="G1998" s="8"/>
      <c r="H1998" s="8"/>
      <c r="I1998" s="8"/>
      <c r="J1998" s="8"/>
      <c r="K1998" s="8"/>
      <c r="L1998" s="8"/>
    </row>
    <row r="1999" spans="3:12" x14ac:dyDescent="0.25">
      <c r="C1999" s="7"/>
      <c r="E1999" s="8"/>
      <c r="F1999" s="8"/>
      <c r="G1999" s="8"/>
      <c r="H1999" s="8"/>
      <c r="I1999" s="8"/>
      <c r="J1999" s="8"/>
      <c r="K1999" s="8"/>
      <c r="L1999" s="8"/>
    </row>
    <row r="2000" spans="3:12" x14ac:dyDescent="0.25">
      <c r="C2000" s="7"/>
      <c r="E2000" s="8"/>
      <c r="F2000" s="8"/>
      <c r="G2000" s="8"/>
      <c r="H2000" s="8"/>
      <c r="I2000" s="8"/>
      <c r="J2000" s="8"/>
      <c r="K2000" s="8"/>
      <c r="L2000" s="8"/>
    </row>
    <row r="2001" spans="3:12" x14ac:dyDescent="0.25">
      <c r="C2001" s="7"/>
      <c r="E2001" s="8"/>
      <c r="F2001" s="8"/>
      <c r="G2001" s="8"/>
      <c r="H2001" s="8"/>
      <c r="I2001" s="8"/>
      <c r="J2001" s="8"/>
      <c r="K2001" s="8"/>
      <c r="L2001" s="8"/>
    </row>
    <row r="2002" spans="3:12" x14ac:dyDescent="0.25">
      <c r="C2002" s="7"/>
      <c r="E2002" s="8"/>
      <c r="F2002" s="8"/>
      <c r="G2002" s="8"/>
      <c r="H2002" s="8"/>
      <c r="I2002" s="8"/>
      <c r="J2002" s="8"/>
      <c r="K2002" s="8"/>
      <c r="L2002" s="8"/>
    </row>
    <row r="2003" spans="3:12" x14ac:dyDescent="0.25">
      <c r="C2003" s="7"/>
      <c r="E2003" s="8"/>
      <c r="F2003" s="8"/>
      <c r="G2003" s="8"/>
      <c r="H2003" s="8"/>
      <c r="I2003" s="8"/>
      <c r="J2003" s="8"/>
      <c r="K2003" s="8"/>
      <c r="L2003" s="8"/>
    </row>
    <row r="2004" spans="3:12" x14ac:dyDescent="0.25">
      <c r="C2004" s="7"/>
      <c r="E2004" s="8"/>
      <c r="F2004" s="8"/>
      <c r="G2004" s="8"/>
      <c r="H2004" s="8"/>
      <c r="I2004" s="8"/>
      <c r="J2004" s="8"/>
      <c r="K2004" s="8"/>
      <c r="L2004" s="8"/>
    </row>
    <row r="2005" spans="3:12" x14ac:dyDescent="0.25">
      <c r="C2005" s="7"/>
      <c r="E2005" s="8"/>
      <c r="F2005" s="8"/>
      <c r="G2005" s="8"/>
      <c r="H2005" s="8"/>
      <c r="I2005" s="8"/>
      <c r="J2005" s="8"/>
      <c r="K2005" s="8"/>
      <c r="L2005" s="8"/>
    </row>
    <row r="2006" spans="3:12" x14ac:dyDescent="0.25">
      <c r="C2006" s="7"/>
      <c r="E2006" s="8"/>
      <c r="F2006" s="8"/>
      <c r="G2006" s="8"/>
      <c r="H2006" s="8"/>
      <c r="I2006" s="8"/>
      <c r="J2006" s="8"/>
      <c r="K2006" s="8"/>
      <c r="L2006" s="8"/>
    </row>
    <row r="2007" spans="3:12" x14ac:dyDescent="0.25">
      <c r="C2007" s="7"/>
      <c r="E2007" s="8"/>
      <c r="F2007" s="8"/>
      <c r="G2007" s="8"/>
      <c r="H2007" s="8"/>
      <c r="I2007" s="8"/>
      <c r="J2007" s="8"/>
      <c r="K2007" s="8"/>
      <c r="L2007" s="8"/>
    </row>
    <row r="2008" spans="3:12" x14ac:dyDescent="0.25">
      <c r="C2008" s="7"/>
      <c r="E2008" s="8"/>
      <c r="F2008" s="8"/>
      <c r="G2008" s="8"/>
      <c r="H2008" s="8"/>
      <c r="I2008" s="8"/>
      <c r="J2008" s="8"/>
      <c r="K2008" s="8"/>
      <c r="L2008" s="8"/>
    </row>
    <row r="2009" spans="3:12" x14ac:dyDescent="0.25">
      <c r="C2009" s="7"/>
      <c r="E2009" s="8"/>
      <c r="F2009" s="8"/>
      <c r="G2009" s="8"/>
      <c r="H2009" s="8"/>
      <c r="I2009" s="8"/>
      <c r="J2009" s="8"/>
      <c r="K2009" s="8"/>
      <c r="L2009" s="8"/>
    </row>
    <row r="2010" spans="3:12" x14ac:dyDescent="0.25">
      <c r="C2010" s="7"/>
      <c r="E2010" s="8"/>
      <c r="F2010" s="8"/>
      <c r="G2010" s="8"/>
      <c r="H2010" s="8"/>
      <c r="I2010" s="8"/>
      <c r="J2010" s="8"/>
      <c r="K2010" s="8"/>
      <c r="L2010" s="8"/>
    </row>
    <row r="2011" spans="3:12" x14ac:dyDescent="0.25">
      <c r="C2011" s="7"/>
      <c r="E2011" s="8"/>
      <c r="F2011" s="8"/>
      <c r="G2011" s="8"/>
      <c r="H2011" s="8"/>
      <c r="I2011" s="8"/>
      <c r="J2011" s="8"/>
      <c r="K2011" s="8"/>
      <c r="L2011" s="8"/>
    </row>
    <row r="2012" spans="3:12" x14ac:dyDescent="0.25">
      <c r="C2012" s="7"/>
      <c r="E2012" s="8"/>
      <c r="F2012" s="8"/>
      <c r="G2012" s="8"/>
      <c r="H2012" s="8"/>
      <c r="I2012" s="8"/>
      <c r="J2012" s="8"/>
      <c r="K2012" s="8"/>
      <c r="L2012" s="8"/>
    </row>
    <row r="2013" spans="3:12" x14ac:dyDescent="0.25">
      <c r="C2013" s="7"/>
      <c r="E2013" s="8"/>
      <c r="F2013" s="8"/>
      <c r="G2013" s="8"/>
      <c r="H2013" s="8"/>
      <c r="I2013" s="8"/>
      <c r="J2013" s="8"/>
      <c r="K2013" s="8"/>
      <c r="L2013" s="8"/>
    </row>
    <row r="2014" spans="3:12" x14ac:dyDescent="0.25">
      <c r="C2014" s="7"/>
      <c r="E2014" s="8"/>
      <c r="F2014" s="8"/>
      <c r="G2014" s="8"/>
      <c r="H2014" s="8"/>
      <c r="I2014" s="8"/>
      <c r="J2014" s="8"/>
      <c r="K2014" s="8"/>
      <c r="L2014" s="8"/>
    </row>
    <row r="2015" spans="3:12" x14ac:dyDescent="0.25">
      <c r="C2015" s="7"/>
      <c r="E2015" s="8"/>
      <c r="F2015" s="8"/>
      <c r="G2015" s="8"/>
      <c r="H2015" s="8"/>
      <c r="I2015" s="8"/>
      <c r="J2015" s="8"/>
      <c r="K2015" s="8"/>
      <c r="L2015" s="8"/>
    </row>
    <row r="2016" spans="3:12" x14ac:dyDescent="0.25">
      <c r="C2016" s="7"/>
      <c r="E2016" s="8"/>
      <c r="F2016" s="8"/>
      <c r="G2016" s="8"/>
      <c r="H2016" s="8"/>
      <c r="I2016" s="8"/>
      <c r="J2016" s="8"/>
      <c r="K2016" s="8"/>
      <c r="L2016" s="8"/>
    </row>
    <row r="2017" spans="3:12" x14ac:dyDescent="0.25">
      <c r="C2017" s="7"/>
      <c r="E2017" s="8"/>
      <c r="F2017" s="8"/>
      <c r="G2017" s="8"/>
      <c r="H2017" s="8"/>
      <c r="I2017" s="8"/>
      <c r="J2017" s="8"/>
      <c r="K2017" s="8"/>
      <c r="L2017" s="8"/>
    </row>
    <row r="2018" spans="3:12" x14ac:dyDescent="0.25">
      <c r="C2018" s="7"/>
      <c r="E2018" s="8"/>
      <c r="F2018" s="8"/>
      <c r="G2018" s="8"/>
      <c r="H2018" s="8"/>
      <c r="I2018" s="8"/>
      <c r="J2018" s="8"/>
      <c r="K2018" s="8"/>
      <c r="L2018" s="8"/>
    </row>
    <row r="2019" spans="3:12" x14ac:dyDescent="0.25">
      <c r="C2019" s="7"/>
      <c r="E2019" s="8"/>
      <c r="F2019" s="8"/>
      <c r="G2019" s="8"/>
      <c r="H2019" s="8"/>
      <c r="I2019" s="8"/>
      <c r="J2019" s="8"/>
      <c r="K2019" s="8"/>
      <c r="L2019" s="8"/>
    </row>
    <row r="2020" spans="3:12" x14ac:dyDescent="0.25">
      <c r="C2020" s="7"/>
      <c r="E2020" s="8"/>
      <c r="F2020" s="8"/>
      <c r="G2020" s="8"/>
      <c r="H2020" s="8"/>
      <c r="I2020" s="8"/>
      <c r="J2020" s="8"/>
      <c r="K2020" s="8"/>
      <c r="L2020" s="8"/>
    </row>
    <row r="2021" spans="3:12" x14ac:dyDescent="0.25">
      <c r="C2021" s="7"/>
      <c r="E2021" s="8"/>
      <c r="F2021" s="8"/>
      <c r="G2021" s="8"/>
      <c r="H2021" s="8"/>
      <c r="I2021" s="8"/>
      <c r="J2021" s="8"/>
      <c r="K2021" s="8"/>
      <c r="L2021" s="8"/>
    </row>
    <row r="2022" spans="3:12" x14ac:dyDescent="0.25">
      <c r="C2022" s="7"/>
      <c r="E2022" s="8"/>
      <c r="F2022" s="8"/>
      <c r="G2022" s="8"/>
      <c r="H2022" s="8"/>
      <c r="I2022" s="8"/>
      <c r="J2022" s="8"/>
      <c r="K2022" s="8"/>
      <c r="L2022" s="8"/>
    </row>
    <row r="2023" spans="3:12" x14ac:dyDescent="0.25">
      <c r="C2023" s="7"/>
      <c r="E2023" s="8"/>
      <c r="F2023" s="8"/>
      <c r="G2023" s="8"/>
      <c r="H2023" s="8"/>
      <c r="I2023" s="8"/>
      <c r="J2023" s="8"/>
      <c r="K2023" s="8"/>
      <c r="L2023" s="8"/>
    </row>
    <row r="2024" spans="3:12" x14ac:dyDescent="0.25">
      <c r="C2024" s="7"/>
      <c r="E2024" s="8"/>
      <c r="F2024" s="8"/>
      <c r="G2024" s="8"/>
      <c r="H2024" s="8"/>
      <c r="I2024" s="8"/>
      <c r="J2024" s="8"/>
      <c r="K2024" s="8"/>
      <c r="L2024" s="8"/>
    </row>
    <row r="2025" spans="3:12" x14ac:dyDescent="0.25">
      <c r="C2025" s="7"/>
      <c r="E2025" s="8"/>
      <c r="F2025" s="8"/>
      <c r="G2025" s="8"/>
      <c r="H2025" s="8"/>
      <c r="I2025" s="8"/>
      <c r="J2025" s="8"/>
      <c r="K2025" s="8"/>
      <c r="L2025" s="8"/>
    </row>
    <row r="2026" spans="3:12" x14ac:dyDescent="0.25">
      <c r="C2026" s="7"/>
      <c r="E2026" s="8"/>
      <c r="F2026" s="8"/>
      <c r="G2026" s="8"/>
      <c r="H2026" s="8"/>
      <c r="I2026" s="8"/>
      <c r="J2026" s="8"/>
      <c r="K2026" s="8"/>
      <c r="L2026" s="8"/>
    </row>
    <row r="2027" spans="3:12" x14ac:dyDescent="0.25">
      <c r="C2027" s="7"/>
      <c r="E2027" s="8"/>
      <c r="F2027" s="8"/>
      <c r="G2027" s="8"/>
      <c r="H2027" s="8"/>
      <c r="I2027" s="8"/>
      <c r="J2027" s="8"/>
      <c r="K2027" s="8"/>
      <c r="L2027" s="8"/>
    </row>
    <row r="2028" spans="3:12" x14ac:dyDescent="0.25">
      <c r="C2028" s="7"/>
      <c r="E2028" s="8"/>
      <c r="F2028" s="8"/>
      <c r="G2028" s="8"/>
      <c r="H2028" s="8"/>
      <c r="I2028" s="8"/>
      <c r="J2028" s="8"/>
      <c r="K2028" s="8"/>
      <c r="L2028" s="8"/>
    </row>
    <row r="2029" spans="3:12" x14ac:dyDescent="0.25">
      <c r="C2029" s="7"/>
      <c r="E2029" s="8"/>
      <c r="F2029" s="8"/>
      <c r="G2029" s="8"/>
      <c r="H2029" s="8"/>
      <c r="I2029" s="8"/>
      <c r="J2029" s="8"/>
      <c r="K2029" s="8"/>
      <c r="L2029" s="8"/>
    </row>
    <row r="2030" spans="3:12" x14ac:dyDescent="0.25">
      <c r="C2030" s="7"/>
      <c r="E2030" s="8"/>
      <c r="F2030" s="8"/>
      <c r="G2030" s="8"/>
      <c r="H2030" s="8"/>
      <c r="I2030" s="8"/>
      <c r="J2030" s="8"/>
      <c r="K2030" s="8"/>
      <c r="L2030" s="8"/>
    </row>
    <row r="2031" spans="3:12" x14ac:dyDescent="0.25">
      <c r="C2031" s="7"/>
      <c r="E2031" s="8"/>
      <c r="F2031" s="8"/>
      <c r="G2031" s="8"/>
      <c r="H2031" s="8"/>
      <c r="I2031" s="8"/>
      <c r="J2031" s="8"/>
      <c r="K2031" s="8"/>
      <c r="L2031" s="8"/>
    </row>
    <row r="2032" spans="3:12" x14ac:dyDescent="0.25">
      <c r="C2032" s="7"/>
      <c r="E2032" s="8"/>
      <c r="F2032" s="8"/>
      <c r="G2032" s="8"/>
      <c r="H2032" s="8"/>
      <c r="I2032" s="8"/>
      <c r="J2032" s="8"/>
      <c r="K2032" s="8"/>
      <c r="L2032" s="8"/>
    </row>
    <row r="2033" spans="3:12" x14ac:dyDescent="0.25">
      <c r="C2033" s="7"/>
      <c r="E2033" s="8"/>
      <c r="F2033" s="8"/>
      <c r="G2033" s="8"/>
      <c r="H2033" s="8"/>
      <c r="I2033" s="8"/>
      <c r="J2033" s="8"/>
      <c r="K2033" s="8"/>
      <c r="L2033" s="8"/>
    </row>
    <row r="2034" spans="3:12" x14ac:dyDescent="0.25">
      <c r="C2034" s="7"/>
      <c r="E2034" s="8"/>
      <c r="F2034" s="8"/>
      <c r="G2034" s="8"/>
      <c r="H2034" s="8"/>
      <c r="I2034" s="8"/>
      <c r="J2034" s="8"/>
      <c r="K2034" s="8"/>
      <c r="L2034" s="8"/>
    </row>
    <row r="2035" spans="3:12" x14ac:dyDescent="0.25">
      <c r="C2035" s="7"/>
      <c r="E2035" s="8"/>
      <c r="F2035" s="8"/>
      <c r="G2035" s="8"/>
      <c r="H2035" s="8"/>
      <c r="I2035" s="8"/>
      <c r="J2035" s="8"/>
      <c r="K2035" s="8"/>
      <c r="L2035" s="8"/>
    </row>
    <row r="2036" spans="3:12" x14ac:dyDescent="0.25">
      <c r="C2036" s="7"/>
      <c r="E2036" s="8"/>
      <c r="F2036" s="8"/>
      <c r="G2036" s="8"/>
      <c r="H2036" s="8"/>
      <c r="I2036" s="8"/>
      <c r="J2036" s="8"/>
      <c r="K2036" s="8"/>
      <c r="L2036" s="8"/>
    </row>
    <row r="2037" spans="3:12" x14ac:dyDescent="0.25">
      <c r="C2037" s="7"/>
      <c r="E2037" s="8"/>
      <c r="F2037" s="8"/>
      <c r="G2037" s="8"/>
      <c r="H2037" s="8"/>
      <c r="I2037" s="8"/>
      <c r="J2037" s="8"/>
      <c r="K2037" s="8"/>
      <c r="L2037" s="8"/>
    </row>
    <row r="2038" spans="3:12" x14ac:dyDescent="0.25">
      <c r="C2038" s="7"/>
      <c r="E2038" s="8"/>
      <c r="F2038" s="8"/>
      <c r="G2038" s="8"/>
      <c r="H2038" s="8"/>
      <c r="I2038" s="8"/>
      <c r="J2038" s="8"/>
      <c r="K2038" s="8"/>
      <c r="L2038" s="8"/>
    </row>
    <row r="2039" spans="3:12" x14ac:dyDescent="0.25">
      <c r="C2039" s="7"/>
      <c r="E2039" s="8"/>
      <c r="F2039" s="8"/>
      <c r="G2039" s="8"/>
      <c r="H2039" s="8"/>
      <c r="I2039" s="8"/>
      <c r="J2039" s="8"/>
      <c r="K2039" s="8"/>
      <c r="L2039" s="8"/>
    </row>
    <row r="2040" spans="3:12" x14ac:dyDescent="0.25">
      <c r="C2040" s="7"/>
      <c r="E2040" s="8"/>
      <c r="F2040" s="8"/>
      <c r="G2040" s="8"/>
      <c r="H2040" s="8"/>
      <c r="I2040" s="8"/>
      <c r="J2040" s="8"/>
      <c r="K2040" s="8"/>
      <c r="L2040" s="8"/>
    </row>
    <row r="2041" spans="3:12" x14ac:dyDescent="0.25">
      <c r="C2041" s="7"/>
      <c r="E2041" s="8"/>
      <c r="F2041" s="8"/>
      <c r="G2041" s="8"/>
      <c r="H2041" s="8"/>
      <c r="I2041" s="8"/>
      <c r="J2041" s="8"/>
      <c r="K2041" s="8"/>
      <c r="L2041" s="8"/>
    </row>
    <row r="2042" spans="3:12" x14ac:dyDescent="0.25">
      <c r="C2042" s="7"/>
      <c r="E2042" s="8"/>
      <c r="F2042" s="8"/>
      <c r="G2042" s="8"/>
      <c r="H2042" s="8"/>
      <c r="I2042" s="8"/>
      <c r="J2042" s="8"/>
      <c r="K2042" s="8"/>
      <c r="L2042" s="8"/>
    </row>
    <row r="2043" spans="3:12" x14ac:dyDescent="0.25">
      <c r="C2043" s="7"/>
      <c r="E2043" s="8"/>
      <c r="F2043" s="8"/>
      <c r="G2043" s="8"/>
      <c r="H2043" s="8"/>
      <c r="I2043" s="8"/>
      <c r="J2043" s="8"/>
      <c r="K2043" s="8"/>
      <c r="L2043" s="8"/>
    </row>
    <row r="2044" spans="3:12" x14ac:dyDescent="0.25">
      <c r="C2044" s="7"/>
      <c r="E2044" s="8"/>
      <c r="F2044" s="8"/>
      <c r="G2044" s="8"/>
      <c r="H2044" s="8"/>
      <c r="I2044" s="8"/>
      <c r="J2044" s="8"/>
      <c r="K2044" s="8"/>
      <c r="L2044" s="8"/>
    </row>
    <row r="2045" spans="3:12" x14ac:dyDescent="0.25">
      <c r="C2045" s="7"/>
      <c r="E2045" s="8"/>
      <c r="F2045" s="8"/>
      <c r="G2045" s="8"/>
      <c r="H2045" s="8"/>
      <c r="I2045" s="8"/>
      <c r="J2045" s="8"/>
      <c r="K2045" s="8"/>
      <c r="L2045" s="8"/>
    </row>
    <row r="2046" spans="3:12" x14ac:dyDescent="0.25">
      <c r="C2046" s="7"/>
      <c r="E2046" s="8"/>
      <c r="F2046" s="8"/>
      <c r="G2046" s="8"/>
      <c r="H2046" s="8"/>
      <c r="I2046" s="8"/>
      <c r="J2046" s="8"/>
      <c r="K2046" s="8"/>
      <c r="L2046" s="8"/>
    </row>
    <row r="2047" spans="3:12" x14ac:dyDescent="0.25">
      <c r="C2047" s="7"/>
      <c r="E2047" s="8"/>
      <c r="F2047" s="8"/>
      <c r="G2047" s="8"/>
      <c r="H2047" s="8"/>
      <c r="I2047" s="8"/>
      <c r="J2047" s="8"/>
      <c r="K2047" s="8"/>
      <c r="L2047" s="8"/>
    </row>
    <row r="2048" spans="3:12" x14ac:dyDescent="0.25">
      <c r="C2048" s="7"/>
      <c r="E2048" s="8"/>
      <c r="F2048" s="8"/>
      <c r="G2048" s="8"/>
      <c r="H2048" s="8"/>
      <c r="I2048" s="8"/>
      <c r="J2048" s="8"/>
      <c r="K2048" s="8"/>
      <c r="L2048" s="8"/>
    </row>
    <row r="2049" spans="3:12" x14ac:dyDescent="0.25">
      <c r="C2049" s="7"/>
      <c r="E2049" s="8"/>
      <c r="F2049" s="8"/>
      <c r="G2049" s="8"/>
      <c r="H2049" s="8"/>
      <c r="I2049" s="8"/>
      <c r="J2049" s="8"/>
      <c r="K2049" s="8"/>
      <c r="L2049" s="8"/>
    </row>
    <row r="2050" spans="3:12" x14ac:dyDescent="0.25">
      <c r="C2050" s="7"/>
      <c r="E2050" s="8"/>
      <c r="F2050" s="8"/>
      <c r="G2050" s="8"/>
      <c r="H2050" s="8"/>
      <c r="I2050" s="8"/>
      <c r="J2050" s="8"/>
      <c r="K2050" s="8"/>
      <c r="L2050" s="8"/>
    </row>
    <row r="2051" spans="3:12" x14ac:dyDescent="0.25">
      <c r="C2051" s="7"/>
      <c r="E2051" s="8"/>
      <c r="F2051" s="8"/>
      <c r="G2051" s="8"/>
      <c r="H2051" s="8"/>
      <c r="I2051" s="8"/>
      <c r="J2051" s="8"/>
      <c r="K2051" s="8"/>
      <c r="L2051" s="8"/>
    </row>
    <row r="2052" spans="3:12" x14ac:dyDescent="0.25">
      <c r="C2052" s="7"/>
      <c r="E2052" s="8"/>
      <c r="F2052" s="8"/>
      <c r="G2052" s="8"/>
      <c r="H2052" s="8"/>
      <c r="I2052" s="8"/>
      <c r="J2052" s="8"/>
      <c r="K2052" s="8"/>
      <c r="L2052" s="8"/>
    </row>
    <row r="2053" spans="3:12" x14ac:dyDescent="0.25">
      <c r="C2053" s="7"/>
      <c r="E2053" s="8"/>
      <c r="F2053" s="8"/>
      <c r="G2053" s="8"/>
      <c r="H2053" s="8"/>
      <c r="I2053" s="8"/>
      <c r="J2053" s="8"/>
      <c r="K2053" s="8"/>
      <c r="L2053" s="8"/>
    </row>
    <row r="2054" spans="3:12" x14ac:dyDescent="0.25">
      <c r="C2054" s="7"/>
      <c r="E2054" s="8"/>
      <c r="F2054" s="8"/>
      <c r="G2054" s="8"/>
      <c r="H2054" s="8"/>
      <c r="I2054" s="8"/>
      <c r="J2054" s="8"/>
      <c r="K2054" s="8"/>
      <c r="L2054" s="8"/>
    </row>
    <row r="2055" spans="3:12" x14ac:dyDescent="0.25">
      <c r="C2055" s="7"/>
      <c r="E2055" s="8"/>
      <c r="F2055" s="8"/>
      <c r="G2055" s="8"/>
      <c r="H2055" s="8"/>
      <c r="I2055" s="8"/>
      <c r="J2055" s="8"/>
      <c r="K2055" s="8"/>
      <c r="L2055" s="8"/>
    </row>
    <row r="2056" spans="3:12" x14ac:dyDescent="0.25">
      <c r="C2056" s="7"/>
      <c r="E2056" s="8"/>
      <c r="F2056" s="8"/>
      <c r="G2056" s="8"/>
      <c r="H2056" s="8"/>
      <c r="I2056" s="8"/>
      <c r="J2056" s="8"/>
      <c r="K2056" s="8"/>
      <c r="L2056" s="8"/>
    </row>
    <row r="2057" spans="3:12" x14ac:dyDescent="0.25">
      <c r="C2057" s="7"/>
      <c r="E2057" s="8"/>
      <c r="F2057" s="8"/>
      <c r="G2057" s="8"/>
      <c r="H2057" s="8"/>
      <c r="I2057" s="8"/>
      <c r="J2057" s="8"/>
      <c r="K2057" s="8"/>
      <c r="L2057" s="8"/>
    </row>
    <row r="2058" spans="3:12" x14ac:dyDescent="0.25">
      <c r="C2058" s="7"/>
      <c r="E2058" s="8"/>
      <c r="F2058" s="8"/>
      <c r="G2058" s="8"/>
      <c r="H2058" s="8"/>
      <c r="I2058" s="8"/>
      <c r="J2058" s="8"/>
      <c r="K2058" s="8"/>
      <c r="L2058" s="8"/>
    </row>
    <row r="2059" spans="3:12" x14ac:dyDescent="0.25">
      <c r="C2059" s="7"/>
      <c r="E2059" s="8"/>
      <c r="F2059" s="8"/>
      <c r="G2059" s="8"/>
      <c r="H2059" s="8"/>
      <c r="I2059" s="8"/>
      <c r="J2059" s="8"/>
      <c r="K2059" s="8"/>
      <c r="L2059" s="8"/>
    </row>
    <row r="2060" spans="3:12" x14ac:dyDescent="0.25">
      <c r="C2060" s="7"/>
      <c r="E2060" s="8"/>
      <c r="F2060" s="8"/>
      <c r="G2060" s="8"/>
      <c r="H2060" s="8"/>
      <c r="I2060" s="8"/>
      <c r="J2060" s="8"/>
      <c r="K2060" s="8"/>
      <c r="L2060" s="8"/>
    </row>
    <row r="2061" spans="3:12" x14ac:dyDescent="0.25">
      <c r="C2061" s="7"/>
      <c r="E2061" s="8"/>
      <c r="F2061" s="8"/>
      <c r="G2061" s="8"/>
      <c r="H2061" s="8"/>
      <c r="I2061" s="8"/>
      <c r="J2061" s="8"/>
      <c r="K2061" s="8"/>
      <c r="L2061" s="8"/>
    </row>
    <row r="2062" spans="3:12" x14ac:dyDescent="0.25">
      <c r="C2062" s="7"/>
      <c r="E2062" s="8"/>
      <c r="F2062" s="8"/>
      <c r="G2062" s="8"/>
      <c r="H2062" s="8"/>
      <c r="I2062" s="8"/>
      <c r="J2062" s="8"/>
      <c r="K2062" s="8"/>
      <c r="L2062" s="8"/>
    </row>
    <row r="2063" spans="3:12" x14ac:dyDescent="0.25">
      <c r="C2063" s="7"/>
      <c r="E2063" s="8"/>
      <c r="F2063" s="8"/>
      <c r="G2063" s="8"/>
      <c r="H2063" s="8"/>
      <c r="I2063" s="8"/>
      <c r="J2063" s="8"/>
      <c r="K2063" s="8"/>
      <c r="L2063" s="8"/>
    </row>
    <row r="2064" spans="3:12" x14ac:dyDescent="0.25">
      <c r="C2064" s="7"/>
      <c r="E2064" s="8"/>
      <c r="F2064" s="8"/>
      <c r="G2064" s="8"/>
      <c r="H2064" s="8"/>
      <c r="I2064" s="8"/>
      <c r="J2064" s="8"/>
      <c r="K2064" s="8"/>
      <c r="L2064" s="8"/>
    </row>
    <row r="2065" spans="3:12" x14ac:dyDescent="0.25">
      <c r="C2065" s="7"/>
      <c r="E2065" s="8"/>
      <c r="F2065" s="8"/>
      <c r="G2065" s="8"/>
      <c r="H2065" s="8"/>
      <c r="I2065" s="8"/>
      <c r="J2065" s="8"/>
      <c r="K2065" s="8"/>
      <c r="L2065" s="8"/>
    </row>
    <row r="2066" spans="3:12" x14ac:dyDescent="0.25">
      <c r="C2066" s="7"/>
      <c r="E2066" s="8"/>
      <c r="F2066" s="8"/>
      <c r="G2066" s="8"/>
      <c r="H2066" s="8"/>
      <c r="I2066" s="8"/>
      <c r="J2066" s="8"/>
      <c r="K2066" s="8"/>
      <c r="L2066" s="8"/>
    </row>
    <row r="2067" spans="3:12" x14ac:dyDescent="0.25">
      <c r="C2067" s="7"/>
      <c r="E2067" s="8"/>
      <c r="F2067" s="8"/>
      <c r="G2067" s="8"/>
      <c r="H2067" s="8"/>
      <c r="I2067" s="8"/>
      <c r="J2067" s="8"/>
      <c r="K2067" s="8"/>
      <c r="L2067" s="8"/>
    </row>
    <row r="2068" spans="3:12" x14ac:dyDescent="0.25">
      <c r="C2068" s="7"/>
      <c r="E2068" s="8"/>
      <c r="F2068" s="8"/>
      <c r="G2068" s="8"/>
      <c r="H2068" s="8"/>
      <c r="I2068" s="8"/>
      <c r="J2068" s="8"/>
      <c r="K2068" s="8"/>
      <c r="L2068" s="8"/>
    </row>
    <row r="2069" spans="3:12" x14ac:dyDescent="0.25">
      <c r="C2069" s="7"/>
      <c r="E2069" s="8"/>
      <c r="F2069" s="8"/>
      <c r="G2069" s="8"/>
      <c r="H2069" s="8"/>
      <c r="I2069" s="8"/>
      <c r="J2069" s="8"/>
      <c r="K2069" s="8"/>
      <c r="L2069" s="8"/>
    </row>
    <row r="2070" spans="3:12" x14ac:dyDescent="0.25">
      <c r="C2070" s="7"/>
      <c r="E2070" s="8"/>
      <c r="F2070" s="8"/>
      <c r="G2070" s="8"/>
      <c r="H2070" s="8"/>
      <c r="I2070" s="8"/>
      <c r="J2070" s="8"/>
      <c r="K2070" s="8"/>
      <c r="L2070" s="8"/>
    </row>
    <row r="2071" spans="3:12" x14ac:dyDescent="0.25">
      <c r="C2071" s="7"/>
      <c r="E2071" s="8"/>
      <c r="F2071" s="8"/>
      <c r="G2071" s="8"/>
      <c r="H2071" s="8"/>
      <c r="I2071" s="8"/>
      <c r="J2071" s="8"/>
      <c r="K2071" s="8"/>
      <c r="L2071" s="8"/>
    </row>
    <row r="2072" spans="3:12" x14ac:dyDescent="0.25">
      <c r="C2072" s="7"/>
      <c r="E2072" s="8"/>
      <c r="F2072" s="8"/>
      <c r="G2072" s="8"/>
      <c r="H2072" s="8"/>
      <c r="I2072" s="8"/>
      <c r="J2072" s="8"/>
      <c r="K2072" s="8"/>
      <c r="L2072" s="8"/>
    </row>
    <row r="2073" spans="3:12" x14ac:dyDescent="0.25">
      <c r="C2073" s="7"/>
      <c r="E2073" s="8"/>
      <c r="F2073" s="8"/>
      <c r="G2073" s="8"/>
      <c r="H2073" s="8"/>
      <c r="I2073" s="8"/>
      <c r="J2073" s="8"/>
      <c r="K2073" s="8"/>
      <c r="L2073" s="8"/>
    </row>
    <row r="2074" spans="3:12" x14ac:dyDescent="0.25">
      <c r="C2074" s="7"/>
      <c r="E2074" s="8"/>
      <c r="F2074" s="8"/>
      <c r="G2074" s="8"/>
      <c r="H2074" s="8"/>
      <c r="I2074" s="8"/>
      <c r="J2074" s="8"/>
      <c r="K2074" s="8"/>
      <c r="L2074" s="8"/>
    </row>
    <row r="2075" spans="3:12" x14ac:dyDescent="0.25">
      <c r="C2075" s="7"/>
      <c r="E2075" s="8"/>
      <c r="F2075" s="8"/>
      <c r="G2075" s="8"/>
      <c r="H2075" s="8"/>
      <c r="I2075" s="8"/>
      <c r="J2075" s="8"/>
      <c r="K2075" s="8"/>
      <c r="L2075" s="8"/>
    </row>
    <row r="2076" spans="3:12" x14ac:dyDescent="0.25">
      <c r="C2076" s="7"/>
      <c r="E2076" s="8"/>
      <c r="F2076" s="8"/>
      <c r="G2076" s="8"/>
      <c r="H2076" s="8"/>
      <c r="I2076" s="8"/>
      <c r="J2076" s="8"/>
      <c r="K2076" s="8"/>
      <c r="L2076" s="8"/>
    </row>
    <row r="2077" spans="3:12" x14ac:dyDescent="0.25">
      <c r="C2077" s="7"/>
      <c r="E2077" s="8"/>
      <c r="F2077" s="8"/>
      <c r="G2077" s="8"/>
      <c r="H2077" s="8"/>
      <c r="I2077" s="8"/>
      <c r="J2077" s="8"/>
      <c r="K2077" s="8"/>
      <c r="L2077" s="8"/>
    </row>
    <row r="2078" spans="3:12" x14ac:dyDescent="0.25">
      <c r="C2078" s="7"/>
      <c r="E2078" s="8"/>
      <c r="F2078" s="8"/>
      <c r="G2078" s="8"/>
      <c r="H2078" s="8"/>
      <c r="I2078" s="8"/>
      <c r="J2078" s="8"/>
      <c r="K2078" s="8"/>
      <c r="L2078" s="8"/>
    </row>
    <row r="2079" spans="3:12" x14ac:dyDescent="0.25">
      <c r="C2079" s="7"/>
      <c r="E2079" s="8"/>
      <c r="F2079" s="8"/>
      <c r="G2079" s="8"/>
      <c r="H2079" s="8"/>
      <c r="I2079" s="8"/>
      <c r="J2079" s="8"/>
      <c r="K2079" s="8"/>
      <c r="L2079" s="8"/>
    </row>
    <row r="2080" spans="3:12" x14ac:dyDescent="0.25">
      <c r="C2080" s="7"/>
      <c r="E2080" s="8"/>
      <c r="F2080" s="8"/>
      <c r="G2080" s="8"/>
      <c r="H2080" s="8"/>
      <c r="I2080" s="8"/>
      <c r="J2080" s="8"/>
      <c r="K2080" s="8"/>
      <c r="L2080" s="8"/>
    </row>
    <row r="2081" spans="3:12" x14ac:dyDescent="0.25">
      <c r="C2081" s="7"/>
      <c r="E2081" s="8"/>
      <c r="F2081" s="8"/>
      <c r="G2081" s="8"/>
      <c r="H2081" s="8"/>
      <c r="I2081" s="8"/>
      <c r="J2081" s="8"/>
      <c r="K2081" s="8"/>
      <c r="L2081" s="8"/>
    </row>
    <row r="2082" spans="3:12" x14ac:dyDescent="0.25">
      <c r="C2082" s="7"/>
      <c r="E2082" s="8"/>
      <c r="F2082" s="8"/>
      <c r="G2082" s="8"/>
      <c r="H2082" s="8"/>
      <c r="I2082" s="8"/>
      <c r="J2082" s="8"/>
      <c r="K2082" s="8"/>
      <c r="L2082" s="8"/>
    </row>
    <row r="2083" spans="3:12" x14ac:dyDescent="0.25">
      <c r="C2083" s="7"/>
      <c r="E2083" s="8"/>
      <c r="F2083" s="8"/>
      <c r="G2083" s="8"/>
      <c r="H2083" s="8"/>
      <c r="I2083" s="8"/>
      <c r="J2083" s="8"/>
      <c r="K2083" s="8"/>
      <c r="L2083" s="8"/>
    </row>
    <row r="2084" spans="3:12" x14ac:dyDescent="0.25">
      <c r="C2084" s="7"/>
      <c r="E2084" s="8"/>
      <c r="F2084" s="8"/>
      <c r="G2084" s="8"/>
      <c r="H2084" s="8"/>
      <c r="I2084" s="8"/>
      <c r="J2084" s="8"/>
      <c r="K2084" s="8"/>
      <c r="L2084" s="8"/>
    </row>
    <row r="2085" spans="3:12" x14ac:dyDescent="0.25">
      <c r="C2085" s="7"/>
      <c r="E2085" s="8"/>
      <c r="F2085" s="8"/>
      <c r="G2085" s="8"/>
      <c r="H2085" s="8"/>
      <c r="I2085" s="8"/>
      <c r="J2085" s="8"/>
      <c r="K2085" s="8"/>
      <c r="L2085" s="8"/>
    </row>
    <row r="2086" spans="3:12" x14ac:dyDescent="0.25">
      <c r="C2086" s="7"/>
      <c r="E2086" s="8"/>
      <c r="F2086" s="8"/>
      <c r="G2086" s="8"/>
      <c r="H2086" s="8"/>
      <c r="I2086" s="8"/>
      <c r="J2086" s="8"/>
      <c r="K2086" s="8"/>
      <c r="L2086" s="8"/>
    </row>
    <row r="2087" spans="3:12" x14ac:dyDescent="0.25">
      <c r="C2087" s="7"/>
      <c r="E2087" s="8"/>
      <c r="F2087" s="8"/>
      <c r="G2087" s="8"/>
      <c r="H2087" s="8"/>
      <c r="I2087" s="8"/>
      <c r="J2087" s="8"/>
      <c r="K2087" s="8"/>
      <c r="L2087" s="8"/>
    </row>
    <row r="2088" spans="3:12" x14ac:dyDescent="0.25">
      <c r="C2088" s="7"/>
      <c r="E2088" s="8"/>
      <c r="F2088" s="8"/>
      <c r="G2088" s="8"/>
      <c r="H2088" s="8"/>
      <c r="I2088" s="8"/>
      <c r="J2088" s="8"/>
      <c r="K2088" s="8"/>
      <c r="L2088" s="8"/>
    </row>
    <row r="2089" spans="3:12" x14ac:dyDescent="0.25">
      <c r="C2089" s="7"/>
      <c r="E2089" s="8"/>
      <c r="F2089" s="8"/>
      <c r="G2089" s="8"/>
      <c r="H2089" s="8"/>
      <c r="I2089" s="8"/>
      <c r="J2089" s="8"/>
      <c r="K2089" s="8"/>
      <c r="L2089" s="8"/>
    </row>
    <row r="2090" spans="3:12" x14ac:dyDescent="0.25">
      <c r="C2090" s="7"/>
      <c r="E2090" s="8"/>
      <c r="F2090" s="8"/>
      <c r="G2090" s="8"/>
      <c r="H2090" s="8"/>
      <c r="I2090" s="8"/>
      <c r="J2090" s="8"/>
      <c r="K2090" s="8"/>
      <c r="L2090" s="8"/>
    </row>
    <row r="2091" spans="3:12" x14ac:dyDescent="0.25">
      <c r="C2091" s="7"/>
      <c r="E2091" s="8"/>
      <c r="F2091" s="8"/>
      <c r="G2091" s="8"/>
      <c r="H2091" s="8"/>
      <c r="I2091" s="8"/>
      <c r="J2091" s="8"/>
      <c r="K2091" s="8"/>
      <c r="L2091" s="8"/>
    </row>
    <row r="2092" spans="3:12" x14ac:dyDescent="0.25">
      <c r="C2092" s="7"/>
      <c r="E2092" s="8"/>
      <c r="F2092" s="8"/>
      <c r="G2092" s="8"/>
      <c r="H2092" s="8"/>
      <c r="I2092" s="8"/>
      <c r="J2092" s="8"/>
      <c r="K2092" s="8"/>
      <c r="L2092" s="8"/>
    </row>
    <row r="2093" spans="3:12" x14ac:dyDescent="0.25">
      <c r="C2093" s="7"/>
      <c r="E2093" s="8"/>
      <c r="F2093" s="8"/>
      <c r="G2093" s="8"/>
      <c r="H2093" s="8"/>
      <c r="I2093" s="8"/>
      <c r="J2093" s="8"/>
      <c r="K2093" s="8"/>
      <c r="L2093" s="8"/>
    </row>
    <row r="2094" spans="3:12" x14ac:dyDescent="0.25">
      <c r="C2094" s="7"/>
      <c r="E2094" s="8"/>
      <c r="F2094" s="8"/>
      <c r="G2094" s="8"/>
      <c r="H2094" s="8"/>
      <c r="I2094" s="8"/>
      <c r="J2094" s="8"/>
      <c r="K2094" s="8"/>
      <c r="L2094" s="8"/>
    </row>
    <row r="2095" spans="3:12" x14ac:dyDescent="0.25">
      <c r="C2095" s="7"/>
      <c r="E2095" s="8"/>
      <c r="F2095" s="8"/>
      <c r="G2095" s="8"/>
      <c r="H2095" s="8"/>
      <c r="I2095" s="8"/>
      <c r="J2095" s="8"/>
      <c r="K2095" s="8"/>
      <c r="L2095" s="8"/>
    </row>
    <row r="2096" spans="3:12" x14ac:dyDescent="0.25">
      <c r="C2096" s="7"/>
      <c r="E2096" s="8"/>
      <c r="F2096" s="8"/>
      <c r="G2096" s="8"/>
      <c r="H2096" s="8"/>
      <c r="I2096" s="8"/>
      <c r="J2096" s="8"/>
      <c r="K2096" s="8"/>
      <c r="L2096" s="8"/>
    </row>
    <row r="2097" spans="3:12" x14ac:dyDescent="0.25">
      <c r="C2097" s="7"/>
      <c r="E2097" s="8"/>
      <c r="F2097" s="8"/>
      <c r="G2097" s="8"/>
      <c r="H2097" s="8"/>
      <c r="I2097" s="8"/>
      <c r="J2097" s="8"/>
      <c r="K2097" s="8"/>
      <c r="L2097" s="8"/>
    </row>
    <row r="2098" spans="3:12" x14ac:dyDescent="0.25">
      <c r="C2098" s="7"/>
      <c r="E2098" s="8"/>
      <c r="F2098" s="8"/>
      <c r="G2098" s="8"/>
      <c r="H2098" s="8"/>
      <c r="I2098" s="8"/>
      <c r="J2098" s="8"/>
      <c r="K2098" s="8"/>
      <c r="L2098" s="8"/>
    </row>
    <row r="2099" spans="3:12" x14ac:dyDescent="0.25">
      <c r="C2099" s="7"/>
      <c r="E2099" s="8"/>
      <c r="F2099" s="8"/>
      <c r="G2099" s="8"/>
      <c r="H2099" s="8"/>
      <c r="I2099" s="8"/>
      <c r="J2099" s="8"/>
      <c r="K2099" s="8"/>
      <c r="L2099" s="8"/>
    </row>
    <row r="2100" spans="3:12" x14ac:dyDescent="0.25">
      <c r="C2100" s="7"/>
      <c r="E2100" s="8"/>
      <c r="F2100" s="8"/>
      <c r="G2100" s="8"/>
      <c r="H2100" s="8"/>
      <c r="I2100" s="8"/>
      <c r="J2100" s="8"/>
      <c r="K2100" s="8"/>
      <c r="L2100" s="8"/>
    </row>
    <row r="2101" spans="3:12" x14ac:dyDescent="0.25">
      <c r="C2101" s="7"/>
      <c r="E2101" s="8"/>
      <c r="F2101" s="8"/>
      <c r="G2101" s="8"/>
      <c r="H2101" s="8"/>
      <c r="I2101" s="8"/>
      <c r="J2101" s="8"/>
      <c r="K2101" s="8"/>
      <c r="L2101" s="8"/>
    </row>
    <row r="2102" spans="3:12" x14ac:dyDescent="0.25">
      <c r="C2102" s="7"/>
      <c r="E2102" s="8"/>
      <c r="F2102" s="8"/>
      <c r="G2102" s="8"/>
      <c r="H2102" s="8"/>
      <c r="I2102" s="8"/>
      <c r="J2102" s="8"/>
      <c r="K2102" s="8"/>
      <c r="L2102" s="8"/>
    </row>
    <row r="2103" spans="3:12" x14ac:dyDescent="0.25">
      <c r="C2103" s="7"/>
      <c r="E2103" s="8"/>
      <c r="F2103" s="8"/>
      <c r="G2103" s="8"/>
      <c r="H2103" s="8"/>
      <c r="I2103" s="8"/>
      <c r="J2103" s="8"/>
      <c r="K2103" s="8"/>
      <c r="L2103" s="8"/>
    </row>
    <row r="2104" spans="3:12" x14ac:dyDescent="0.25">
      <c r="C2104" s="7"/>
      <c r="E2104" s="8"/>
      <c r="F2104" s="8"/>
      <c r="G2104" s="8"/>
      <c r="H2104" s="8"/>
      <c r="I2104" s="8"/>
      <c r="J2104" s="8"/>
      <c r="K2104" s="8"/>
      <c r="L2104" s="8"/>
    </row>
    <row r="2105" spans="3:12" x14ac:dyDescent="0.25">
      <c r="C2105" s="7"/>
      <c r="E2105" s="8"/>
      <c r="F2105" s="8"/>
      <c r="G2105" s="8"/>
      <c r="H2105" s="8"/>
      <c r="I2105" s="8"/>
      <c r="J2105" s="8"/>
      <c r="K2105" s="8"/>
      <c r="L2105" s="8"/>
    </row>
    <row r="2106" spans="3:12" x14ac:dyDescent="0.25">
      <c r="C2106" s="7"/>
      <c r="E2106" s="8"/>
      <c r="F2106" s="8"/>
      <c r="G2106" s="8"/>
      <c r="H2106" s="8"/>
      <c r="I2106" s="8"/>
      <c r="J2106" s="8"/>
      <c r="K2106" s="8"/>
      <c r="L2106" s="8"/>
    </row>
    <row r="2107" spans="3:12" x14ac:dyDescent="0.25">
      <c r="C2107" s="7"/>
      <c r="E2107" s="8"/>
      <c r="F2107" s="8"/>
      <c r="G2107" s="8"/>
      <c r="H2107" s="8"/>
      <c r="I2107" s="8"/>
      <c r="J2107" s="8"/>
      <c r="K2107" s="8"/>
      <c r="L2107" s="8"/>
    </row>
    <row r="2108" spans="3:12" x14ac:dyDescent="0.25">
      <c r="C2108" s="7"/>
      <c r="E2108" s="8"/>
      <c r="F2108" s="8"/>
      <c r="G2108" s="8"/>
      <c r="H2108" s="8"/>
      <c r="I2108" s="8"/>
      <c r="J2108" s="8"/>
      <c r="K2108" s="8"/>
      <c r="L2108" s="8"/>
    </row>
    <row r="2109" spans="3:12" x14ac:dyDescent="0.25">
      <c r="C2109" s="7"/>
      <c r="E2109" s="8"/>
      <c r="F2109" s="8"/>
      <c r="G2109" s="8"/>
      <c r="H2109" s="8"/>
      <c r="I2109" s="8"/>
      <c r="J2109" s="8"/>
      <c r="K2109" s="8"/>
      <c r="L2109" s="8"/>
    </row>
    <row r="2110" spans="3:12" x14ac:dyDescent="0.25">
      <c r="C2110" s="7"/>
      <c r="E2110" s="8"/>
      <c r="F2110" s="8"/>
      <c r="G2110" s="8"/>
      <c r="H2110" s="8"/>
      <c r="I2110" s="8"/>
      <c r="J2110" s="8"/>
      <c r="K2110" s="8"/>
      <c r="L2110" s="8"/>
    </row>
    <row r="2111" spans="3:12" x14ac:dyDescent="0.25">
      <c r="C2111" s="7"/>
      <c r="E2111" s="8"/>
      <c r="F2111" s="8"/>
      <c r="G2111" s="8"/>
      <c r="H2111" s="8"/>
      <c r="I2111" s="8"/>
      <c r="J2111" s="8"/>
      <c r="K2111" s="8"/>
      <c r="L2111" s="8"/>
    </row>
    <row r="2112" spans="3:12" x14ac:dyDescent="0.25">
      <c r="C2112" s="7"/>
      <c r="E2112" s="8"/>
      <c r="F2112" s="8"/>
      <c r="G2112" s="8"/>
      <c r="H2112" s="8"/>
      <c r="I2112" s="8"/>
      <c r="J2112" s="8"/>
      <c r="K2112" s="8"/>
      <c r="L2112" s="8"/>
    </row>
    <row r="2113" spans="3:12" x14ac:dyDescent="0.25">
      <c r="C2113" s="7"/>
      <c r="E2113" s="8"/>
      <c r="F2113" s="8"/>
      <c r="G2113" s="8"/>
      <c r="H2113" s="8"/>
      <c r="I2113" s="8"/>
      <c r="J2113" s="8"/>
      <c r="K2113" s="8"/>
      <c r="L2113" s="8"/>
    </row>
    <row r="2114" spans="3:12" x14ac:dyDescent="0.25">
      <c r="C2114" s="7"/>
      <c r="E2114" s="8"/>
      <c r="F2114" s="8"/>
      <c r="G2114" s="8"/>
      <c r="H2114" s="8"/>
      <c r="I2114" s="8"/>
      <c r="J2114" s="8"/>
      <c r="K2114" s="8"/>
      <c r="L2114" s="8"/>
    </row>
    <row r="2115" spans="3:12" x14ac:dyDescent="0.25">
      <c r="C2115" s="7"/>
      <c r="E2115" s="8"/>
      <c r="F2115" s="8"/>
      <c r="G2115" s="8"/>
      <c r="H2115" s="8"/>
      <c r="I2115" s="8"/>
      <c r="J2115" s="8"/>
      <c r="K2115" s="8"/>
      <c r="L2115" s="8"/>
    </row>
    <row r="2116" spans="3:12" x14ac:dyDescent="0.25">
      <c r="C2116" s="7"/>
      <c r="E2116" s="8"/>
      <c r="F2116" s="8"/>
      <c r="G2116" s="8"/>
      <c r="H2116" s="8"/>
      <c r="I2116" s="8"/>
      <c r="J2116" s="8"/>
      <c r="K2116" s="8"/>
      <c r="L2116" s="8"/>
    </row>
    <row r="2117" spans="3:12" x14ac:dyDescent="0.25">
      <c r="C2117" s="7"/>
      <c r="E2117" s="8"/>
      <c r="F2117" s="8"/>
      <c r="G2117" s="8"/>
      <c r="H2117" s="8"/>
      <c r="I2117" s="8"/>
      <c r="J2117" s="8"/>
      <c r="K2117" s="8"/>
      <c r="L2117" s="8"/>
    </row>
    <row r="2118" spans="3:12" x14ac:dyDescent="0.25">
      <c r="C2118" s="7"/>
      <c r="E2118" s="8"/>
      <c r="F2118" s="8"/>
      <c r="G2118" s="8"/>
      <c r="H2118" s="8"/>
      <c r="I2118" s="8"/>
      <c r="J2118" s="8"/>
      <c r="K2118" s="8"/>
      <c r="L2118" s="8"/>
    </row>
    <row r="2119" spans="3:12" x14ac:dyDescent="0.25">
      <c r="C2119" s="7"/>
      <c r="E2119" s="8"/>
      <c r="F2119" s="8"/>
      <c r="G2119" s="8"/>
      <c r="H2119" s="8"/>
      <c r="I2119" s="8"/>
      <c r="J2119" s="8"/>
      <c r="K2119" s="8"/>
      <c r="L2119" s="8"/>
    </row>
    <row r="2120" spans="3:12" x14ac:dyDescent="0.25">
      <c r="C2120" s="7"/>
      <c r="E2120" s="8"/>
      <c r="F2120" s="8"/>
      <c r="G2120" s="8"/>
      <c r="H2120" s="8"/>
      <c r="I2120" s="8"/>
      <c r="J2120" s="8"/>
      <c r="K2120" s="8"/>
      <c r="L2120" s="8"/>
    </row>
    <row r="2121" spans="3:12" x14ac:dyDescent="0.25">
      <c r="C2121" s="7"/>
      <c r="E2121" s="8"/>
      <c r="F2121" s="8"/>
      <c r="G2121" s="8"/>
      <c r="H2121" s="8"/>
      <c r="I2121" s="8"/>
      <c r="J2121" s="8"/>
      <c r="K2121" s="8"/>
      <c r="L2121" s="8"/>
    </row>
    <row r="2122" spans="3:12" x14ac:dyDescent="0.25">
      <c r="C2122" s="7"/>
      <c r="E2122" s="8"/>
      <c r="F2122" s="8"/>
      <c r="G2122" s="8"/>
      <c r="H2122" s="8"/>
      <c r="I2122" s="8"/>
      <c r="J2122" s="8"/>
      <c r="K2122" s="8"/>
      <c r="L2122" s="8"/>
    </row>
    <row r="2123" spans="3:12" x14ac:dyDescent="0.25">
      <c r="C2123" s="7"/>
      <c r="E2123" s="8"/>
      <c r="F2123" s="8"/>
      <c r="G2123" s="8"/>
      <c r="H2123" s="8"/>
      <c r="I2123" s="8"/>
      <c r="J2123" s="8"/>
      <c r="K2123" s="8"/>
      <c r="L2123" s="8"/>
    </row>
    <row r="2124" spans="3:12" x14ac:dyDescent="0.25">
      <c r="C2124" s="7"/>
      <c r="E2124" s="8"/>
      <c r="F2124" s="8"/>
      <c r="G2124" s="8"/>
      <c r="H2124" s="8"/>
      <c r="I2124" s="8"/>
      <c r="J2124" s="8"/>
      <c r="K2124" s="8"/>
      <c r="L2124" s="8"/>
    </row>
    <row r="2125" spans="3:12" x14ac:dyDescent="0.25">
      <c r="C2125" s="7"/>
      <c r="E2125" s="8"/>
      <c r="F2125" s="8"/>
      <c r="G2125" s="8"/>
      <c r="H2125" s="8"/>
      <c r="I2125" s="8"/>
      <c r="J2125" s="8"/>
      <c r="K2125" s="8"/>
      <c r="L2125" s="8"/>
    </row>
    <row r="2126" spans="3:12" x14ac:dyDescent="0.25">
      <c r="C2126" s="7"/>
      <c r="E2126" s="8"/>
      <c r="F2126" s="8"/>
      <c r="G2126" s="8"/>
      <c r="H2126" s="8"/>
      <c r="I2126" s="8"/>
      <c r="J2126" s="8"/>
      <c r="K2126" s="8"/>
      <c r="L2126" s="8"/>
    </row>
    <row r="2127" spans="3:12" x14ac:dyDescent="0.25">
      <c r="C2127" s="7"/>
      <c r="E2127" s="8"/>
      <c r="F2127" s="8"/>
      <c r="G2127" s="8"/>
      <c r="H2127" s="8"/>
      <c r="I2127" s="8"/>
      <c r="J2127" s="8"/>
      <c r="K2127" s="8"/>
      <c r="L2127" s="8"/>
    </row>
    <row r="2128" spans="3:12" x14ac:dyDescent="0.25">
      <c r="C2128" s="7"/>
      <c r="E2128" s="8"/>
      <c r="F2128" s="8"/>
      <c r="G2128" s="8"/>
      <c r="H2128" s="8"/>
      <c r="I2128" s="8"/>
      <c r="J2128" s="8"/>
      <c r="K2128" s="8"/>
      <c r="L2128" s="8"/>
    </row>
    <row r="2129" spans="3:12" x14ac:dyDescent="0.25">
      <c r="C2129" s="7"/>
      <c r="E2129" s="8"/>
      <c r="F2129" s="8"/>
      <c r="G2129" s="8"/>
      <c r="H2129" s="8"/>
      <c r="I2129" s="8"/>
      <c r="J2129" s="8"/>
      <c r="K2129" s="8"/>
      <c r="L2129" s="8"/>
    </row>
    <row r="2130" spans="3:12" x14ac:dyDescent="0.25">
      <c r="C2130" s="7"/>
      <c r="E2130" s="8"/>
      <c r="F2130" s="8"/>
      <c r="G2130" s="8"/>
      <c r="H2130" s="8"/>
      <c r="I2130" s="8"/>
      <c r="J2130" s="8"/>
      <c r="K2130" s="8"/>
      <c r="L2130" s="8"/>
    </row>
    <row r="2131" spans="3:12" x14ac:dyDescent="0.25">
      <c r="C2131" s="7"/>
      <c r="E2131" s="8"/>
      <c r="F2131" s="8"/>
      <c r="G2131" s="8"/>
      <c r="H2131" s="8"/>
      <c r="I2131" s="8"/>
      <c r="J2131" s="8"/>
      <c r="K2131" s="8"/>
      <c r="L2131" s="8"/>
    </row>
    <row r="2132" spans="3:12" x14ac:dyDescent="0.25">
      <c r="C2132" s="7"/>
      <c r="E2132" s="8"/>
      <c r="F2132" s="8"/>
      <c r="G2132" s="8"/>
      <c r="H2132" s="8"/>
      <c r="I2132" s="8"/>
      <c r="J2132" s="8"/>
      <c r="K2132" s="8"/>
      <c r="L2132" s="8"/>
    </row>
    <row r="2133" spans="3:12" x14ac:dyDescent="0.25">
      <c r="C2133" s="7"/>
      <c r="E2133" s="8"/>
      <c r="F2133" s="8"/>
      <c r="G2133" s="8"/>
      <c r="H2133" s="8"/>
      <c r="I2133" s="8"/>
      <c r="J2133" s="8"/>
      <c r="K2133" s="8"/>
      <c r="L2133" s="8"/>
    </row>
    <row r="2134" spans="3:12" x14ac:dyDescent="0.25">
      <c r="C2134" s="7"/>
      <c r="E2134" s="8"/>
      <c r="F2134" s="8"/>
      <c r="G2134" s="8"/>
      <c r="H2134" s="8"/>
      <c r="I2134" s="8"/>
      <c r="J2134" s="8"/>
      <c r="K2134" s="8"/>
      <c r="L2134" s="8"/>
    </row>
    <row r="2135" spans="3:12" x14ac:dyDescent="0.25">
      <c r="C2135" s="7"/>
      <c r="E2135" s="8"/>
      <c r="F2135" s="8"/>
      <c r="G2135" s="8"/>
      <c r="H2135" s="8"/>
      <c r="I2135" s="8"/>
      <c r="J2135" s="8"/>
      <c r="K2135" s="8"/>
      <c r="L2135" s="8"/>
    </row>
    <row r="2136" spans="3:12" x14ac:dyDescent="0.25">
      <c r="C2136" s="7"/>
      <c r="E2136" s="8"/>
      <c r="F2136" s="8"/>
      <c r="G2136" s="8"/>
      <c r="H2136" s="8"/>
      <c r="I2136" s="8"/>
      <c r="J2136" s="8"/>
      <c r="K2136" s="8"/>
      <c r="L2136" s="8"/>
    </row>
    <row r="2137" spans="3:12" x14ac:dyDescent="0.25">
      <c r="C2137" s="7"/>
      <c r="E2137" s="8"/>
      <c r="F2137" s="8"/>
      <c r="G2137" s="8"/>
      <c r="H2137" s="8"/>
      <c r="I2137" s="8"/>
      <c r="J2137" s="8"/>
      <c r="K2137" s="8"/>
      <c r="L2137" s="8"/>
    </row>
    <row r="2138" spans="3:12" x14ac:dyDescent="0.25">
      <c r="C2138" s="7"/>
      <c r="E2138" s="8"/>
      <c r="F2138" s="8"/>
      <c r="G2138" s="8"/>
      <c r="H2138" s="8"/>
      <c r="I2138" s="8"/>
      <c r="J2138" s="8"/>
      <c r="K2138" s="8"/>
      <c r="L2138" s="8"/>
    </row>
    <row r="2139" spans="3:12" x14ac:dyDescent="0.25">
      <c r="C2139" s="7"/>
      <c r="E2139" s="8"/>
      <c r="F2139" s="8"/>
      <c r="G2139" s="8"/>
      <c r="H2139" s="8"/>
      <c r="I2139" s="8"/>
      <c r="J2139" s="8"/>
      <c r="K2139" s="8"/>
      <c r="L2139" s="8"/>
    </row>
    <row r="2140" spans="3:12" x14ac:dyDescent="0.25">
      <c r="C2140" s="7"/>
      <c r="E2140" s="8"/>
      <c r="F2140" s="8"/>
      <c r="G2140" s="8"/>
      <c r="H2140" s="8"/>
      <c r="I2140" s="8"/>
      <c r="J2140" s="8"/>
      <c r="K2140" s="8"/>
      <c r="L2140" s="8"/>
    </row>
    <row r="2141" spans="3:12" x14ac:dyDescent="0.25">
      <c r="C2141" s="7"/>
      <c r="E2141" s="8"/>
      <c r="F2141" s="8"/>
      <c r="G2141" s="8"/>
      <c r="H2141" s="8"/>
      <c r="I2141" s="8"/>
      <c r="J2141" s="8"/>
      <c r="K2141" s="8"/>
      <c r="L2141" s="8"/>
    </row>
    <row r="2142" spans="3:12" x14ac:dyDescent="0.25">
      <c r="C2142" s="7"/>
      <c r="E2142" s="8"/>
      <c r="F2142" s="8"/>
      <c r="G2142" s="8"/>
      <c r="H2142" s="8"/>
      <c r="I2142" s="8"/>
      <c r="J2142" s="8"/>
      <c r="K2142" s="8"/>
      <c r="L2142" s="8"/>
    </row>
    <row r="2143" spans="3:12" x14ac:dyDescent="0.25">
      <c r="C2143" s="7"/>
      <c r="E2143" s="8"/>
      <c r="F2143" s="8"/>
      <c r="G2143" s="8"/>
      <c r="H2143" s="8"/>
      <c r="I2143" s="8"/>
      <c r="J2143" s="8"/>
      <c r="K2143" s="8"/>
      <c r="L2143" s="8"/>
    </row>
    <row r="2144" spans="3:12" x14ac:dyDescent="0.25">
      <c r="C2144" s="7"/>
      <c r="E2144" s="8"/>
      <c r="F2144" s="8"/>
      <c r="G2144" s="8"/>
      <c r="H2144" s="8"/>
      <c r="I2144" s="8"/>
      <c r="J2144" s="8"/>
      <c r="K2144" s="8"/>
      <c r="L2144" s="8"/>
    </row>
    <row r="2145" spans="3:12" x14ac:dyDescent="0.25">
      <c r="C2145" s="7"/>
      <c r="E2145" s="8"/>
      <c r="F2145" s="8"/>
      <c r="G2145" s="8"/>
      <c r="H2145" s="8"/>
      <c r="I2145" s="8"/>
      <c r="J2145" s="8"/>
      <c r="K2145" s="8"/>
      <c r="L2145" s="8"/>
    </row>
    <row r="2146" spans="3:12" x14ac:dyDescent="0.25">
      <c r="C2146" s="7"/>
      <c r="E2146" s="8"/>
      <c r="F2146" s="8"/>
      <c r="G2146" s="8"/>
      <c r="H2146" s="8"/>
      <c r="I2146" s="8"/>
      <c r="J2146" s="8"/>
      <c r="K2146" s="8"/>
      <c r="L2146" s="8"/>
    </row>
    <row r="2147" spans="3:12" x14ac:dyDescent="0.25">
      <c r="C2147" s="7"/>
      <c r="E2147" s="8"/>
      <c r="F2147" s="8"/>
      <c r="G2147" s="8"/>
      <c r="H2147" s="8"/>
      <c r="I2147" s="8"/>
      <c r="J2147" s="8"/>
      <c r="K2147" s="8"/>
      <c r="L2147" s="8"/>
    </row>
    <row r="2148" spans="3:12" x14ac:dyDescent="0.25">
      <c r="C2148" s="7"/>
      <c r="E2148" s="8"/>
      <c r="F2148" s="8"/>
      <c r="G2148" s="8"/>
      <c r="H2148" s="8"/>
      <c r="I2148" s="8"/>
      <c r="J2148" s="8"/>
      <c r="K2148" s="8"/>
      <c r="L2148" s="8"/>
    </row>
    <row r="2149" spans="3:12" x14ac:dyDescent="0.25">
      <c r="C2149" s="7"/>
      <c r="E2149" s="8"/>
      <c r="F2149" s="8"/>
      <c r="G2149" s="8"/>
      <c r="H2149" s="8"/>
      <c r="I2149" s="8"/>
      <c r="J2149" s="8"/>
      <c r="K2149" s="8"/>
      <c r="L2149" s="8"/>
    </row>
    <row r="2150" spans="3:12" x14ac:dyDescent="0.25">
      <c r="C2150" s="7"/>
      <c r="E2150" s="8"/>
      <c r="F2150" s="8"/>
      <c r="G2150" s="8"/>
      <c r="H2150" s="8"/>
      <c r="I2150" s="8"/>
      <c r="J2150" s="8"/>
      <c r="K2150" s="8"/>
      <c r="L2150" s="8"/>
    </row>
    <row r="2151" spans="3:12" x14ac:dyDescent="0.25">
      <c r="C2151" s="7"/>
      <c r="E2151" s="8"/>
      <c r="F2151" s="8"/>
      <c r="G2151" s="8"/>
      <c r="H2151" s="8"/>
      <c r="I2151" s="8"/>
      <c r="J2151" s="8"/>
      <c r="K2151" s="8"/>
      <c r="L2151" s="8"/>
    </row>
    <row r="2152" spans="3:12" x14ac:dyDescent="0.25">
      <c r="C2152" s="7"/>
      <c r="E2152" s="8"/>
      <c r="F2152" s="8"/>
      <c r="G2152" s="8"/>
      <c r="H2152" s="8"/>
      <c r="I2152" s="8"/>
      <c r="J2152" s="8"/>
      <c r="K2152" s="8"/>
      <c r="L2152" s="8"/>
    </row>
    <row r="2153" spans="3:12" x14ac:dyDescent="0.25">
      <c r="C2153" s="7"/>
      <c r="E2153" s="8"/>
      <c r="F2153" s="8"/>
      <c r="G2153" s="8"/>
      <c r="H2153" s="8"/>
      <c r="I2153" s="8"/>
      <c r="J2153" s="8"/>
      <c r="K2153" s="8"/>
      <c r="L2153" s="8"/>
    </row>
    <row r="2154" spans="3:12" x14ac:dyDescent="0.25">
      <c r="C2154" s="7"/>
      <c r="E2154" s="8"/>
      <c r="F2154" s="8"/>
      <c r="G2154" s="8"/>
      <c r="H2154" s="8"/>
      <c r="I2154" s="8"/>
      <c r="J2154" s="8"/>
      <c r="K2154" s="8"/>
      <c r="L2154" s="8"/>
    </row>
    <row r="2155" spans="3:12" x14ac:dyDescent="0.25">
      <c r="C2155" s="7"/>
      <c r="E2155" s="8"/>
      <c r="F2155" s="8"/>
      <c r="G2155" s="8"/>
      <c r="H2155" s="8"/>
      <c r="I2155" s="8"/>
      <c r="J2155" s="8"/>
      <c r="K2155" s="8"/>
      <c r="L2155" s="8"/>
    </row>
    <row r="2156" spans="3:12" x14ac:dyDescent="0.25">
      <c r="C2156" s="7"/>
      <c r="E2156" s="8"/>
      <c r="F2156" s="8"/>
      <c r="G2156" s="8"/>
      <c r="H2156" s="8"/>
      <c r="I2156" s="8"/>
      <c r="J2156" s="8"/>
      <c r="K2156" s="8"/>
      <c r="L2156" s="8"/>
    </row>
    <row r="2157" spans="3:12" x14ac:dyDescent="0.25">
      <c r="C2157" s="7"/>
      <c r="E2157" s="8"/>
      <c r="F2157" s="8"/>
      <c r="G2157" s="8"/>
      <c r="H2157" s="8"/>
      <c r="I2157" s="8"/>
      <c r="J2157" s="8"/>
      <c r="K2157" s="8"/>
      <c r="L2157" s="8"/>
    </row>
    <row r="2158" spans="3:12" x14ac:dyDescent="0.25">
      <c r="C2158" s="7"/>
      <c r="E2158" s="8"/>
      <c r="F2158" s="8"/>
      <c r="G2158" s="8"/>
      <c r="H2158" s="8"/>
      <c r="I2158" s="8"/>
      <c r="J2158" s="8"/>
      <c r="K2158" s="8"/>
      <c r="L2158" s="8"/>
    </row>
    <row r="2159" spans="3:12" x14ac:dyDescent="0.25">
      <c r="C2159" s="7"/>
      <c r="E2159" s="8"/>
      <c r="F2159" s="8"/>
      <c r="G2159" s="8"/>
      <c r="H2159" s="8"/>
      <c r="I2159" s="8"/>
      <c r="J2159" s="8"/>
      <c r="K2159" s="8"/>
      <c r="L2159" s="8"/>
    </row>
    <row r="2160" spans="3:12" x14ac:dyDescent="0.25">
      <c r="C2160" s="7"/>
      <c r="E2160" s="8"/>
      <c r="F2160" s="8"/>
      <c r="G2160" s="8"/>
      <c r="H2160" s="8"/>
      <c r="I2160" s="8"/>
      <c r="J2160" s="8"/>
      <c r="K2160" s="8"/>
      <c r="L2160" s="8"/>
    </row>
    <row r="2161" spans="3:12" x14ac:dyDescent="0.25">
      <c r="C2161" s="7"/>
      <c r="E2161" s="8"/>
      <c r="F2161" s="8"/>
      <c r="G2161" s="8"/>
      <c r="H2161" s="8"/>
      <c r="I2161" s="8"/>
      <c r="J2161" s="8"/>
      <c r="K2161" s="8"/>
      <c r="L2161" s="8"/>
    </row>
    <row r="2162" spans="3:12" x14ac:dyDescent="0.25">
      <c r="C2162" s="7"/>
      <c r="E2162" s="8"/>
      <c r="F2162" s="8"/>
      <c r="G2162" s="8"/>
      <c r="H2162" s="8"/>
      <c r="I2162" s="8"/>
      <c r="J2162" s="8"/>
      <c r="K2162" s="8"/>
      <c r="L2162" s="8"/>
    </row>
    <row r="2163" spans="3:12" x14ac:dyDescent="0.25">
      <c r="C2163" s="7"/>
      <c r="E2163" s="8"/>
      <c r="F2163" s="8"/>
      <c r="G2163" s="8"/>
      <c r="H2163" s="8"/>
      <c r="I2163" s="8"/>
      <c r="J2163" s="8"/>
      <c r="K2163" s="8"/>
      <c r="L2163" s="8"/>
    </row>
    <row r="2164" spans="3:12" x14ac:dyDescent="0.25">
      <c r="C2164" s="7"/>
      <c r="E2164" s="8"/>
      <c r="F2164" s="8"/>
      <c r="G2164" s="8"/>
      <c r="H2164" s="8"/>
      <c r="I2164" s="8"/>
      <c r="J2164" s="8"/>
      <c r="K2164" s="8"/>
      <c r="L2164" s="8"/>
    </row>
    <row r="2165" spans="3:12" x14ac:dyDescent="0.25">
      <c r="C2165" s="7"/>
      <c r="E2165" s="8"/>
      <c r="F2165" s="8"/>
      <c r="G2165" s="8"/>
      <c r="H2165" s="8"/>
      <c r="I2165" s="8"/>
      <c r="J2165" s="8"/>
      <c r="K2165" s="8"/>
      <c r="L2165" s="8"/>
    </row>
    <row r="2166" spans="3:12" x14ac:dyDescent="0.25">
      <c r="C2166" s="7"/>
      <c r="E2166" s="8"/>
      <c r="F2166" s="8"/>
      <c r="G2166" s="8"/>
      <c r="H2166" s="8"/>
      <c r="I2166" s="8"/>
      <c r="J2166" s="8"/>
      <c r="K2166" s="8"/>
      <c r="L2166" s="8"/>
    </row>
    <row r="2167" spans="3:12" x14ac:dyDescent="0.25">
      <c r="C2167" s="7"/>
      <c r="E2167" s="8"/>
      <c r="F2167" s="8"/>
      <c r="G2167" s="8"/>
      <c r="H2167" s="8"/>
      <c r="I2167" s="8"/>
      <c r="J2167" s="8"/>
      <c r="K2167" s="8"/>
      <c r="L2167" s="8"/>
    </row>
    <row r="2168" spans="3:12" x14ac:dyDescent="0.25">
      <c r="C2168" s="7"/>
      <c r="E2168" s="8"/>
      <c r="F2168" s="8"/>
      <c r="G2168" s="8"/>
      <c r="H2168" s="8"/>
      <c r="I2168" s="8"/>
      <c r="J2168" s="8"/>
      <c r="K2168" s="8"/>
      <c r="L2168" s="8"/>
    </row>
    <row r="2169" spans="3:12" x14ac:dyDescent="0.25">
      <c r="C2169" s="7"/>
      <c r="E2169" s="8"/>
      <c r="F2169" s="8"/>
      <c r="G2169" s="8"/>
      <c r="H2169" s="8"/>
      <c r="I2169" s="8"/>
      <c r="J2169" s="8"/>
      <c r="K2169" s="8"/>
      <c r="L2169" s="8"/>
    </row>
    <row r="2170" spans="3:12" x14ac:dyDescent="0.25">
      <c r="C2170" s="7"/>
      <c r="E2170" s="8"/>
      <c r="F2170" s="8"/>
      <c r="G2170" s="8"/>
      <c r="H2170" s="8"/>
      <c r="I2170" s="8"/>
      <c r="J2170" s="8"/>
      <c r="K2170" s="8"/>
      <c r="L2170" s="8"/>
    </row>
    <row r="2171" spans="3:12" x14ac:dyDescent="0.25">
      <c r="C2171" s="7"/>
      <c r="E2171" s="8"/>
      <c r="F2171" s="8"/>
      <c r="G2171" s="8"/>
      <c r="H2171" s="8"/>
      <c r="I2171" s="8"/>
      <c r="J2171" s="8"/>
      <c r="K2171" s="8"/>
      <c r="L2171" s="8"/>
    </row>
    <row r="2172" spans="3:12" x14ac:dyDescent="0.25">
      <c r="C2172" s="7"/>
      <c r="E2172" s="8"/>
      <c r="F2172" s="8"/>
      <c r="G2172" s="8"/>
      <c r="H2172" s="8"/>
      <c r="I2172" s="8"/>
      <c r="J2172" s="8"/>
      <c r="K2172" s="8"/>
      <c r="L2172" s="8"/>
    </row>
    <row r="2173" spans="3:12" x14ac:dyDescent="0.25">
      <c r="C2173" s="7"/>
      <c r="E2173" s="8"/>
      <c r="F2173" s="8"/>
      <c r="G2173" s="8"/>
      <c r="H2173" s="8"/>
      <c r="I2173" s="8"/>
      <c r="J2173" s="8"/>
      <c r="K2173" s="8"/>
      <c r="L2173" s="8"/>
    </row>
    <row r="2174" spans="3:12" x14ac:dyDescent="0.25">
      <c r="C2174" s="7"/>
      <c r="E2174" s="8"/>
      <c r="F2174" s="8"/>
      <c r="G2174" s="8"/>
      <c r="H2174" s="8"/>
      <c r="I2174" s="8"/>
      <c r="J2174" s="8"/>
      <c r="K2174" s="8"/>
      <c r="L2174" s="8"/>
    </row>
    <row r="2175" spans="3:12" x14ac:dyDescent="0.25">
      <c r="C2175" s="7"/>
      <c r="E2175" s="8"/>
      <c r="F2175" s="8"/>
      <c r="G2175" s="8"/>
      <c r="H2175" s="8"/>
      <c r="I2175" s="8"/>
      <c r="J2175" s="8"/>
      <c r="K2175" s="8"/>
      <c r="L2175" s="8"/>
    </row>
    <row r="2176" spans="3:12" x14ac:dyDescent="0.25">
      <c r="C2176" s="7"/>
      <c r="E2176" s="8"/>
      <c r="F2176" s="8"/>
      <c r="G2176" s="8"/>
      <c r="H2176" s="8"/>
      <c r="I2176" s="8"/>
      <c r="J2176" s="8"/>
      <c r="K2176" s="8"/>
      <c r="L2176" s="8"/>
    </row>
    <row r="2177" spans="3:12" x14ac:dyDescent="0.25">
      <c r="C2177" s="7"/>
      <c r="E2177" s="8"/>
      <c r="F2177" s="8"/>
      <c r="G2177" s="8"/>
      <c r="H2177" s="8"/>
      <c r="I2177" s="8"/>
      <c r="J2177" s="8"/>
      <c r="K2177" s="8"/>
      <c r="L2177" s="8"/>
    </row>
    <row r="2178" spans="3:12" x14ac:dyDescent="0.25">
      <c r="C2178" s="7"/>
      <c r="E2178" s="8"/>
      <c r="F2178" s="8"/>
      <c r="G2178" s="8"/>
      <c r="H2178" s="8"/>
      <c r="I2178" s="8"/>
      <c r="J2178" s="8"/>
      <c r="K2178" s="8"/>
      <c r="L2178" s="8"/>
    </row>
    <row r="2179" spans="3:12" x14ac:dyDescent="0.25">
      <c r="C2179" s="7"/>
      <c r="E2179" s="8"/>
      <c r="F2179" s="8"/>
      <c r="G2179" s="8"/>
      <c r="H2179" s="8"/>
      <c r="I2179" s="8"/>
      <c r="J2179" s="8"/>
      <c r="K2179" s="8"/>
      <c r="L2179" s="8"/>
    </row>
    <row r="2180" spans="3:12" x14ac:dyDescent="0.25">
      <c r="C2180" s="7"/>
      <c r="E2180" s="8"/>
      <c r="F2180" s="8"/>
      <c r="G2180" s="8"/>
      <c r="H2180" s="8"/>
      <c r="I2180" s="8"/>
      <c r="J2180" s="8"/>
      <c r="K2180" s="8"/>
      <c r="L2180" s="8"/>
    </row>
    <row r="2181" spans="3:12" x14ac:dyDescent="0.25">
      <c r="C2181" s="7"/>
      <c r="E2181" s="8"/>
      <c r="F2181" s="8"/>
      <c r="G2181" s="8"/>
      <c r="H2181" s="8"/>
      <c r="I2181" s="8"/>
      <c r="J2181" s="8"/>
      <c r="K2181" s="8"/>
      <c r="L2181" s="8"/>
    </row>
    <row r="2182" spans="3:12" x14ac:dyDescent="0.25">
      <c r="C2182" s="7"/>
      <c r="E2182" s="8"/>
      <c r="F2182" s="8"/>
      <c r="G2182" s="8"/>
      <c r="H2182" s="8"/>
      <c r="I2182" s="8"/>
      <c r="J2182" s="8"/>
      <c r="K2182" s="8"/>
      <c r="L2182" s="8"/>
    </row>
    <row r="2183" spans="3:12" x14ac:dyDescent="0.25">
      <c r="C2183" s="7"/>
      <c r="E2183" s="8"/>
      <c r="F2183" s="8"/>
      <c r="G2183" s="8"/>
      <c r="H2183" s="8"/>
      <c r="I2183" s="8"/>
      <c r="J2183" s="8"/>
      <c r="K2183" s="8"/>
      <c r="L2183" s="8"/>
    </row>
    <row r="2184" spans="3:12" x14ac:dyDescent="0.25">
      <c r="C2184" s="7"/>
      <c r="E2184" s="8"/>
      <c r="F2184" s="8"/>
      <c r="G2184" s="8"/>
      <c r="H2184" s="8"/>
      <c r="I2184" s="8"/>
      <c r="J2184" s="8"/>
      <c r="K2184" s="8"/>
      <c r="L2184" s="8"/>
    </row>
    <row r="2185" spans="3:12" x14ac:dyDescent="0.25">
      <c r="C2185" s="7"/>
      <c r="E2185" s="8"/>
      <c r="F2185" s="8"/>
      <c r="G2185" s="8"/>
      <c r="H2185" s="8"/>
      <c r="I2185" s="8"/>
      <c r="J2185" s="8"/>
      <c r="K2185" s="8"/>
      <c r="L2185" s="8"/>
    </row>
    <row r="2186" spans="3:12" x14ac:dyDescent="0.25">
      <c r="C2186" s="7"/>
      <c r="E2186" s="8"/>
      <c r="F2186" s="8"/>
      <c r="G2186" s="8"/>
      <c r="H2186" s="8"/>
      <c r="I2186" s="8"/>
      <c r="J2186" s="8"/>
      <c r="K2186" s="8"/>
      <c r="L2186" s="8"/>
    </row>
    <row r="2187" spans="3:12" x14ac:dyDescent="0.25">
      <c r="C2187" s="7"/>
      <c r="E2187" s="8"/>
      <c r="F2187" s="8"/>
      <c r="G2187" s="8"/>
      <c r="H2187" s="8"/>
      <c r="I2187" s="8"/>
      <c r="J2187" s="8"/>
      <c r="K2187" s="8"/>
      <c r="L2187" s="8"/>
    </row>
    <row r="2188" spans="3:12" x14ac:dyDescent="0.25">
      <c r="C2188" s="7"/>
      <c r="E2188" s="8"/>
      <c r="F2188" s="8"/>
      <c r="G2188" s="8"/>
      <c r="H2188" s="8"/>
      <c r="I2188" s="8"/>
      <c r="J2188" s="8"/>
      <c r="K2188" s="8"/>
      <c r="L2188" s="8"/>
    </row>
    <row r="2189" spans="3:12" x14ac:dyDescent="0.25">
      <c r="C2189" s="7"/>
      <c r="E2189" s="8"/>
      <c r="F2189" s="8"/>
      <c r="G2189" s="8"/>
      <c r="H2189" s="8"/>
      <c r="I2189" s="8"/>
      <c r="J2189" s="8"/>
      <c r="K2189" s="8"/>
      <c r="L2189" s="8"/>
    </row>
    <row r="2190" spans="3:12" x14ac:dyDescent="0.25">
      <c r="C2190" s="7"/>
      <c r="E2190" s="8"/>
      <c r="F2190" s="8"/>
      <c r="G2190" s="8"/>
      <c r="H2190" s="8"/>
      <c r="I2190" s="8"/>
      <c r="J2190" s="8"/>
      <c r="K2190" s="8"/>
      <c r="L2190" s="8"/>
    </row>
    <row r="2191" spans="3:12" x14ac:dyDescent="0.25">
      <c r="C2191" s="7"/>
      <c r="E2191" s="8"/>
      <c r="F2191" s="8"/>
      <c r="G2191" s="8"/>
      <c r="H2191" s="8"/>
      <c r="I2191" s="8"/>
      <c r="J2191" s="8"/>
      <c r="K2191" s="8"/>
      <c r="L2191" s="8"/>
    </row>
    <row r="2192" spans="3:12" x14ac:dyDescent="0.25">
      <c r="C2192" s="7"/>
      <c r="E2192" s="8"/>
      <c r="F2192" s="8"/>
      <c r="G2192" s="8"/>
      <c r="H2192" s="8"/>
      <c r="I2192" s="8"/>
      <c r="J2192" s="8"/>
      <c r="K2192" s="8"/>
      <c r="L2192" s="8"/>
    </row>
    <row r="2193" spans="3:12" x14ac:dyDescent="0.25">
      <c r="C2193" s="7"/>
      <c r="E2193" s="8"/>
      <c r="F2193" s="8"/>
      <c r="G2193" s="8"/>
      <c r="H2193" s="8"/>
      <c r="I2193" s="8"/>
      <c r="J2193" s="8"/>
      <c r="K2193" s="8"/>
      <c r="L2193" s="8"/>
    </row>
    <row r="2194" spans="3:12" x14ac:dyDescent="0.25">
      <c r="C2194" s="7"/>
      <c r="E2194" s="8"/>
      <c r="F2194" s="8"/>
      <c r="G2194" s="8"/>
      <c r="H2194" s="8"/>
      <c r="I2194" s="8"/>
      <c r="J2194" s="8"/>
      <c r="K2194" s="8"/>
      <c r="L2194" s="8"/>
    </row>
    <row r="2195" spans="3:12" x14ac:dyDescent="0.25">
      <c r="C2195" s="7"/>
      <c r="E2195" s="8"/>
      <c r="F2195" s="8"/>
      <c r="G2195" s="8"/>
      <c r="H2195" s="8"/>
      <c r="I2195" s="8"/>
      <c r="J2195" s="8"/>
      <c r="K2195" s="8"/>
      <c r="L2195" s="8"/>
    </row>
    <row r="2196" spans="3:12" x14ac:dyDescent="0.25">
      <c r="C2196" s="7"/>
      <c r="E2196" s="8"/>
      <c r="F2196" s="8"/>
      <c r="G2196" s="8"/>
      <c r="H2196" s="8"/>
      <c r="I2196" s="8"/>
      <c r="J2196" s="8"/>
      <c r="K2196" s="8"/>
      <c r="L2196" s="8"/>
    </row>
    <row r="2197" spans="3:12" x14ac:dyDescent="0.25">
      <c r="C2197" s="7"/>
      <c r="E2197" s="8"/>
      <c r="F2197" s="8"/>
      <c r="G2197" s="8"/>
      <c r="H2197" s="8"/>
      <c r="I2197" s="8"/>
      <c r="J2197" s="8"/>
      <c r="K2197" s="8"/>
      <c r="L2197" s="8"/>
    </row>
    <row r="2198" spans="3:12" x14ac:dyDescent="0.25">
      <c r="C2198" s="7"/>
      <c r="E2198" s="8"/>
      <c r="F2198" s="8"/>
      <c r="G2198" s="8"/>
      <c r="H2198" s="8"/>
      <c r="I2198" s="8"/>
      <c r="J2198" s="8"/>
      <c r="K2198" s="8"/>
      <c r="L2198" s="8"/>
    </row>
    <row r="2199" spans="3:12" x14ac:dyDescent="0.25">
      <c r="C2199" s="7"/>
      <c r="E2199" s="8"/>
      <c r="F2199" s="8"/>
      <c r="G2199" s="8"/>
      <c r="H2199" s="8"/>
      <c r="I2199" s="8"/>
      <c r="J2199" s="8"/>
      <c r="K2199" s="8"/>
      <c r="L2199" s="8"/>
    </row>
    <row r="2200" spans="3:12" x14ac:dyDescent="0.25">
      <c r="C2200" s="7"/>
      <c r="E2200" s="8"/>
      <c r="F2200" s="8"/>
      <c r="G2200" s="8"/>
      <c r="H2200" s="8"/>
      <c r="I2200" s="8"/>
      <c r="J2200" s="8"/>
      <c r="K2200" s="8"/>
      <c r="L2200" s="8"/>
    </row>
    <row r="2201" spans="3:12" x14ac:dyDescent="0.25">
      <c r="C2201" s="7"/>
      <c r="E2201" s="8"/>
      <c r="F2201" s="8"/>
      <c r="G2201" s="8"/>
      <c r="H2201" s="8"/>
      <c r="I2201" s="8"/>
      <c r="J2201" s="8"/>
      <c r="K2201" s="8"/>
      <c r="L2201" s="8"/>
    </row>
    <row r="2202" spans="3:12" x14ac:dyDescent="0.25">
      <c r="C2202" s="7"/>
      <c r="E2202" s="8"/>
      <c r="F2202" s="8"/>
      <c r="G2202" s="8"/>
      <c r="H2202" s="8"/>
      <c r="I2202" s="8"/>
      <c r="J2202" s="8"/>
      <c r="K2202" s="8"/>
      <c r="L2202" s="8"/>
    </row>
    <row r="2203" spans="3:12" x14ac:dyDescent="0.25">
      <c r="C2203" s="7"/>
      <c r="E2203" s="8"/>
      <c r="F2203" s="8"/>
      <c r="G2203" s="8"/>
      <c r="H2203" s="8"/>
      <c r="I2203" s="8"/>
      <c r="J2203" s="8"/>
      <c r="K2203" s="8"/>
      <c r="L2203" s="8"/>
    </row>
    <row r="2204" spans="3:12" x14ac:dyDescent="0.25">
      <c r="C2204" s="7"/>
      <c r="E2204" s="8"/>
      <c r="F2204" s="8"/>
      <c r="G2204" s="8"/>
      <c r="H2204" s="8"/>
      <c r="I2204" s="8"/>
      <c r="J2204" s="8"/>
      <c r="K2204" s="8"/>
      <c r="L2204" s="8"/>
    </row>
    <row r="2205" spans="3:12" x14ac:dyDescent="0.25">
      <c r="C2205" s="7"/>
      <c r="E2205" s="8"/>
      <c r="F2205" s="8"/>
      <c r="G2205" s="8"/>
      <c r="H2205" s="8"/>
      <c r="I2205" s="8"/>
      <c r="J2205" s="8"/>
      <c r="K2205" s="8"/>
      <c r="L2205" s="8"/>
    </row>
    <row r="2206" spans="3:12" x14ac:dyDescent="0.25">
      <c r="C2206" s="7"/>
      <c r="E2206" s="8"/>
      <c r="F2206" s="8"/>
      <c r="G2206" s="8"/>
      <c r="H2206" s="8"/>
      <c r="I2206" s="8"/>
      <c r="J2206" s="8"/>
      <c r="K2206" s="8"/>
      <c r="L2206" s="8"/>
    </row>
    <row r="2207" spans="3:12" x14ac:dyDescent="0.25">
      <c r="C2207" s="7"/>
      <c r="E2207" s="8"/>
      <c r="F2207" s="8"/>
      <c r="G2207" s="8"/>
      <c r="H2207" s="8"/>
      <c r="I2207" s="8"/>
      <c r="J2207" s="8"/>
      <c r="K2207" s="8"/>
      <c r="L2207" s="8"/>
    </row>
    <row r="2208" spans="3:12" x14ac:dyDescent="0.25">
      <c r="C2208" s="7"/>
      <c r="E2208" s="8"/>
      <c r="F2208" s="8"/>
      <c r="G2208" s="8"/>
      <c r="H2208" s="8"/>
      <c r="I2208" s="8"/>
      <c r="J2208" s="8"/>
      <c r="K2208" s="8"/>
      <c r="L2208" s="8"/>
    </row>
    <row r="2209" spans="3:12" x14ac:dyDescent="0.25">
      <c r="C2209" s="7"/>
      <c r="E2209" s="8"/>
      <c r="F2209" s="8"/>
      <c r="G2209" s="8"/>
      <c r="H2209" s="8"/>
      <c r="I2209" s="8"/>
      <c r="J2209" s="8"/>
      <c r="K2209" s="8"/>
      <c r="L2209" s="8"/>
    </row>
    <row r="2210" spans="3:12" x14ac:dyDescent="0.25">
      <c r="C2210" s="7"/>
      <c r="E2210" s="8"/>
      <c r="F2210" s="8"/>
      <c r="G2210" s="8"/>
      <c r="H2210" s="8"/>
      <c r="I2210" s="8"/>
      <c r="J2210" s="8"/>
      <c r="K2210" s="8"/>
      <c r="L2210" s="8"/>
    </row>
    <row r="2211" spans="3:12" x14ac:dyDescent="0.25">
      <c r="C2211" s="7"/>
      <c r="E2211" s="8"/>
      <c r="F2211" s="8"/>
      <c r="G2211" s="8"/>
      <c r="H2211" s="8"/>
      <c r="I2211" s="8"/>
      <c r="J2211" s="8"/>
      <c r="K2211" s="8"/>
      <c r="L2211" s="8"/>
    </row>
    <row r="2212" spans="3:12" x14ac:dyDescent="0.25">
      <c r="C2212" s="7"/>
      <c r="E2212" s="8"/>
      <c r="F2212" s="8"/>
      <c r="G2212" s="8"/>
      <c r="H2212" s="8"/>
      <c r="I2212" s="8"/>
      <c r="J2212" s="8"/>
      <c r="K2212" s="8"/>
      <c r="L2212" s="8"/>
    </row>
    <row r="2213" spans="3:12" x14ac:dyDescent="0.25">
      <c r="C2213" s="7"/>
      <c r="E2213" s="8"/>
      <c r="F2213" s="8"/>
      <c r="G2213" s="8"/>
      <c r="H2213" s="8"/>
      <c r="I2213" s="8"/>
      <c r="J2213" s="8"/>
      <c r="K2213" s="8"/>
      <c r="L2213" s="8"/>
    </row>
    <row r="2214" spans="3:12" x14ac:dyDescent="0.25">
      <c r="C2214" s="7"/>
      <c r="E2214" s="8"/>
      <c r="F2214" s="8"/>
      <c r="G2214" s="8"/>
      <c r="H2214" s="8"/>
      <c r="I2214" s="8"/>
      <c r="J2214" s="8"/>
      <c r="K2214" s="8"/>
      <c r="L2214" s="8"/>
    </row>
    <row r="2215" spans="3:12" x14ac:dyDescent="0.25">
      <c r="C2215" s="7"/>
      <c r="E2215" s="8"/>
      <c r="F2215" s="8"/>
      <c r="G2215" s="8"/>
      <c r="H2215" s="8"/>
      <c r="I2215" s="8"/>
      <c r="J2215" s="8"/>
      <c r="K2215" s="8"/>
      <c r="L2215" s="8"/>
    </row>
    <row r="2216" spans="3:12" x14ac:dyDescent="0.25">
      <c r="C2216" s="7"/>
      <c r="E2216" s="8"/>
      <c r="F2216" s="8"/>
      <c r="G2216" s="8"/>
      <c r="H2216" s="8"/>
      <c r="I2216" s="8"/>
      <c r="J2216" s="8"/>
      <c r="K2216" s="8"/>
      <c r="L2216" s="8"/>
    </row>
    <row r="2217" spans="3:12" x14ac:dyDescent="0.25">
      <c r="C2217" s="7"/>
      <c r="E2217" s="8"/>
      <c r="F2217" s="8"/>
      <c r="G2217" s="8"/>
      <c r="H2217" s="8"/>
      <c r="I2217" s="8"/>
      <c r="J2217" s="8"/>
      <c r="K2217" s="8"/>
      <c r="L2217" s="8"/>
    </row>
    <row r="2218" spans="3:12" x14ac:dyDescent="0.25">
      <c r="C2218" s="7"/>
      <c r="E2218" s="8"/>
      <c r="F2218" s="8"/>
      <c r="G2218" s="8"/>
      <c r="H2218" s="8"/>
      <c r="I2218" s="8"/>
      <c r="J2218" s="8"/>
      <c r="K2218" s="8"/>
      <c r="L2218" s="8"/>
    </row>
    <row r="2219" spans="3:12" x14ac:dyDescent="0.25">
      <c r="C2219" s="7"/>
      <c r="E2219" s="8"/>
      <c r="F2219" s="8"/>
      <c r="G2219" s="8"/>
      <c r="H2219" s="8"/>
      <c r="I2219" s="8"/>
      <c r="J2219" s="8"/>
      <c r="K2219" s="8"/>
      <c r="L2219" s="8"/>
    </row>
    <row r="2220" spans="3:12" x14ac:dyDescent="0.25">
      <c r="C2220" s="7"/>
      <c r="E2220" s="8"/>
      <c r="F2220" s="8"/>
      <c r="G2220" s="8"/>
      <c r="H2220" s="8"/>
      <c r="I2220" s="8"/>
      <c r="J2220" s="8"/>
      <c r="K2220" s="8"/>
      <c r="L2220" s="8"/>
    </row>
    <row r="2221" spans="3:12" x14ac:dyDescent="0.25">
      <c r="C2221" s="7"/>
      <c r="E2221" s="8"/>
      <c r="F2221" s="8"/>
      <c r="G2221" s="8"/>
      <c r="H2221" s="8"/>
      <c r="I2221" s="8"/>
      <c r="J2221" s="8"/>
      <c r="K2221" s="8"/>
      <c r="L2221" s="8"/>
    </row>
    <row r="2222" spans="3:12" x14ac:dyDescent="0.25">
      <c r="C2222" s="7"/>
      <c r="E2222" s="8"/>
      <c r="F2222" s="8"/>
      <c r="G2222" s="8"/>
      <c r="H2222" s="8"/>
      <c r="I2222" s="8"/>
      <c r="J2222" s="8"/>
      <c r="K2222" s="8"/>
      <c r="L2222" s="8"/>
    </row>
    <row r="2223" spans="3:12" x14ac:dyDescent="0.25">
      <c r="C2223" s="7"/>
      <c r="E2223" s="8"/>
      <c r="F2223" s="8"/>
      <c r="G2223" s="8"/>
      <c r="H2223" s="8"/>
      <c r="I2223" s="8"/>
      <c r="J2223" s="8"/>
      <c r="K2223" s="8"/>
      <c r="L2223" s="8"/>
    </row>
    <row r="2224" spans="3:12" x14ac:dyDescent="0.25">
      <c r="C2224" s="7"/>
      <c r="E2224" s="8"/>
      <c r="F2224" s="8"/>
      <c r="G2224" s="8"/>
      <c r="H2224" s="8"/>
      <c r="I2224" s="8"/>
      <c r="J2224" s="8"/>
      <c r="K2224" s="8"/>
      <c r="L2224" s="8"/>
    </row>
    <row r="2225" spans="3:12" x14ac:dyDescent="0.25">
      <c r="C2225" s="7"/>
      <c r="E2225" s="8"/>
      <c r="F2225" s="8"/>
      <c r="G2225" s="8"/>
      <c r="H2225" s="8"/>
      <c r="I2225" s="8"/>
      <c r="J2225" s="8"/>
      <c r="K2225" s="8"/>
      <c r="L2225" s="8"/>
    </row>
    <row r="2226" spans="3:12" x14ac:dyDescent="0.25">
      <c r="C2226" s="7"/>
      <c r="E2226" s="8"/>
      <c r="F2226" s="8"/>
      <c r="G2226" s="8"/>
      <c r="H2226" s="8"/>
      <c r="I2226" s="8"/>
      <c r="J2226" s="8"/>
      <c r="K2226" s="8"/>
      <c r="L2226" s="8"/>
    </row>
    <row r="2227" spans="3:12" x14ac:dyDescent="0.25">
      <c r="C2227" s="7"/>
      <c r="E2227" s="8"/>
      <c r="F2227" s="8"/>
      <c r="G2227" s="8"/>
      <c r="H2227" s="8"/>
      <c r="I2227" s="8"/>
      <c r="J2227" s="8"/>
      <c r="K2227" s="8"/>
      <c r="L2227" s="8"/>
    </row>
    <row r="2228" spans="3:12" x14ac:dyDescent="0.25">
      <c r="C2228" s="7"/>
      <c r="E2228" s="8"/>
      <c r="F2228" s="8"/>
      <c r="G2228" s="8"/>
      <c r="H2228" s="8"/>
      <c r="I2228" s="8"/>
      <c r="J2228" s="8"/>
      <c r="K2228" s="8"/>
      <c r="L2228" s="8"/>
    </row>
    <row r="2229" spans="3:12" x14ac:dyDescent="0.25">
      <c r="C2229" s="7"/>
      <c r="E2229" s="8"/>
      <c r="F2229" s="8"/>
      <c r="G2229" s="8"/>
      <c r="H2229" s="8"/>
      <c r="I2229" s="8"/>
      <c r="J2229" s="8"/>
      <c r="K2229" s="8"/>
      <c r="L2229" s="8"/>
    </row>
    <row r="2230" spans="3:12" x14ac:dyDescent="0.25">
      <c r="C2230" s="7"/>
      <c r="E2230" s="8"/>
      <c r="F2230" s="8"/>
      <c r="G2230" s="8"/>
      <c r="H2230" s="8"/>
      <c r="I2230" s="8"/>
      <c r="J2230" s="8"/>
      <c r="K2230" s="8"/>
      <c r="L2230" s="8"/>
    </row>
    <row r="2231" spans="3:12" x14ac:dyDescent="0.25">
      <c r="C2231" s="7"/>
      <c r="E2231" s="8"/>
      <c r="F2231" s="8"/>
      <c r="G2231" s="8"/>
      <c r="H2231" s="8"/>
      <c r="I2231" s="8"/>
      <c r="J2231" s="8"/>
      <c r="K2231" s="8"/>
      <c r="L2231" s="8"/>
    </row>
    <row r="2232" spans="3:12" x14ac:dyDescent="0.25">
      <c r="C2232" s="7"/>
      <c r="E2232" s="8"/>
      <c r="F2232" s="8"/>
      <c r="G2232" s="8"/>
      <c r="H2232" s="8"/>
      <c r="I2232" s="8"/>
      <c r="J2232" s="8"/>
      <c r="K2232" s="8"/>
      <c r="L2232" s="8"/>
    </row>
    <row r="2233" spans="3:12" x14ac:dyDescent="0.25">
      <c r="C2233" s="7"/>
      <c r="E2233" s="8"/>
      <c r="F2233" s="8"/>
      <c r="G2233" s="8"/>
      <c r="H2233" s="8"/>
      <c r="I2233" s="8"/>
      <c r="J2233" s="8"/>
      <c r="K2233" s="8"/>
      <c r="L2233" s="8"/>
    </row>
    <row r="2234" spans="3:12" x14ac:dyDescent="0.25">
      <c r="C2234" s="7"/>
      <c r="E2234" s="8"/>
      <c r="F2234" s="8"/>
      <c r="G2234" s="8"/>
      <c r="H2234" s="8"/>
      <c r="I2234" s="8"/>
      <c r="J2234" s="8"/>
      <c r="K2234" s="8"/>
      <c r="L2234" s="8"/>
    </row>
    <row r="2235" spans="3:12" x14ac:dyDescent="0.25">
      <c r="C2235" s="7"/>
      <c r="E2235" s="8"/>
      <c r="F2235" s="8"/>
      <c r="G2235" s="8"/>
      <c r="H2235" s="8"/>
      <c r="I2235" s="8"/>
      <c r="J2235" s="8"/>
      <c r="K2235" s="8"/>
      <c r="L2235" s="8"/>
    </row>
    <row r="2236" spans="3:12" x14ac:dyDescent="0.25">
      <c r="C2236" s="7"/>
      <c r="E2236" s="8"/>
      <c r="F2236" s="8"/>
      <c r="G2236" s="8"/>
      <c r="H2236" s="8"/>
      <c r="I2236" s="8"/>
      <c r="J2236" s="8"/>
      <c r="K2236" s="8"/>
      <c r="L2236" s="8"/>
    </row>
    <row r="2237" spans="3:12" x14ac:dyDescent="0.25">
      <c r="C2237" s="7"/>
      <c r="E2237" s="8"/>
      <c r="F2237" s="8"/>
      <c r="G2237" s="8"/>
      <c r="H2237" s="8"/>
      <c r="I2237" s="8"/>
      <c r="J2237" s="8"/>
      <c r="K2237" s="8"/>
      <c r="L2237" s="8"/>
    </row>
    <row r="2238" spans="3:12" x14ac:dyDescent="0.25">
      <c r="C2238" s="7"/>
      <c r="E2238" s="8"/>
      <c r="F2238" s="8"/>
      <c r="G2238" s="8"/>
      <c r="H2238" s="8"/>
      <c r="I2238" s="8"/>
      <c r="J2238" s="8"/>
      <c r="K2238" s="8"/>
      <c r="L2238" s="8"/>
    </row>
    <row r="2239" spans="3:12" x14ac:dyDescent="0.25">
      <c r="C2239" s="7"/>
      <c r="E2239" s="8"/>
      <c r="F2239" s="8"/>
      <c r="G2239" s="8"/>
      <c r="H2239" s="8"/>
      <c r="I2239" s="8"/>
      <c r="J2239" s="8"/>
      <c r="K2239" s="8"/>
      <c r="L2239" s="8"/>
    </row>
    <row r="2240" spans="3:12" x14ac:dyDescent="0.25">
      <c r="C2240" s="7"/>
      <c r="E2240" s="8"/>
      <c r="F2240" s="8"/>
      <c r="G2240" s="8"/>
      <c r="H2240" s="8"/>
      <c r="I2240" s="8"/>
      <c r="J2240" s="8"/>
      <c r="K2240" s="8"/>
      <c r="L2240" s="8"/>
    </row>
    <row r="2241" spans="3:12" x14ac:dyDescent="0.25">
      <c r="C2241" s="7"/>
      <c r="E2241" s="8"/>
      <c r="F2241" s="8"/>
      <c r="G2241" s="8"/>
      <c r="H2241" s="8"/>
      <c r="I2241" s="8"/>
      <c r="J2241" s="8"/>
      <c r="K2241" s="8"/>
      <c r="L2241" s="8"/>
    </row>
    <row r="2242" spans="3:12" x14ac:dyDescent="0.25">
      <c r="C2242" s="7"/>
      <c r="E2242" s="8"/>
      <c r="F2242" s="8"/>
      <c r="G2242" s="8"/>
      <c r="H2242" s="8"/>
      <c r="I2242" s="8"/>
      <c r="J2242" s="8"/>
      <c r="K2242" s="8"/>
      <c r="L2242" s="8"/>
    </row>
    <row r="2243" spans="3:12" x14ac:dyDescent="0.25">
      <c r="C2243" s="7"/>
      <c r="E2243" s="8"/>
      <c r="F2243" s="8"/>
      <c r="G2243" s="8"/>
      <c r="H2243" s="8"/>
      <c r="I2243" s="8"/>
      <c r="J2243" s="8"/>
      <c r="K2243" s="8"/>
      <c r="L2243" s="8"/>
    </row>
    <row r="2244" spans="3:12" x14ac:dyDescent="0.25">
      <c r="C2244" s="7"/>
      <c r="E2244" s="8"/>
      <c r="F2244" s="8"/>
      <c r="G2244" s="8"/>
      <c r="H2244" s="8"/>
      <c r="I2244" s="8"/>
      <c r="J2244" s="8"/>
      <c r="K2244" s="8"/>
      <c r="L2244" s="8"/>
    </row>
    <row r="2245" spans="3:12" x14ac:dyDescent="0.25">
      <c r="C2245" s="7"/>
      <c r="E2245" s="8"/>
      <c r="F2245" s="8"/>
      <c r="G2245" s="8"/>
      <c r="H2245" s="8"/>
      <c r="I2245" s="8"/>
      <c r="J2245" s="8"/>
      <c r="K2245" s="8"/>
      <c r="L2245" s="8"/>
    </row>
    <row r="2246" spans="3:12" x14ac:dyDescent="0.25">
      <c r="C2246" s="7"/>
      <c r="E2246" s="8"/>
      <c r="F2246" s="8"/>
      <c r="G2246" s="8"/>
      <c r="H2246" s="8"/>
      <c r="I2246" s="8"/>
      <c r="J2246" s="8"/>
      <c r="K2246" s="8"/>
      <c r="L2246" s="8"/>
    </row>
    <row r="2247" spans="3:12" x14ac:dyDescent="0.25">
      <c r="C2247" s="7"/>
      <c r="E2247" s="8"/>
      <c r="F2247" s="8"/>
      <c r="G2247" s="8"/>
      <c r="H2247" s="8"/>
      <c r="I2247" s="8"/>
      <c r="J2247" s="8"/>
      <c r="K2247" s="8"/>
      <c r="L2247" s="8"/>
    </row>
    <row r="2248" spans="3:12" x14ac:dyDescent="0.25">
      <c r="C2248" s="7"/>
      <c r="E2248" s="8"/>
      <c r="F2248" s="8"/>
      <c r="G2248" s="8"/>
      <c r="H2248" s="8"/>
      <c r="I2248" s="8"/>
      <c r="J2248" s="8"/>
      <c r="K2248" s="8"/>
      <c r="L2248" s="8"/>
    </row>
    <row r="2249" spans="3:12" x14ac:dyDescent="0.25">
      <c r="C2249" s="7"/>
      <c r="E2249" s="8"/>
      <c r="F2249" s="8"/>
      <c r="G2249" s="8"/>
      <c r="H2249" s="8"/>
      <c r="I2249" s="8"/>
      <c r="J2249" s="8"/>
      <c r="K2249" s="8"/>
      <c r="L2249" s="8"/>
    </row>
    <row r="2250" spans="3:12" x14ac:dyDescent="0.25">
      <c r="C2250" s="7"/>
      <c r="E2250" s="8"/>
      <c r="F2250" s="8"/>
      <c r="G2250" s="8"/>
      <c r="H2250" s="8"/>
      <c r="I2250" s="8"/>
      <c r="J2250" s="8"/>
      <c r="K2250" s="8"/>
      <c r="L2250" s="8"/>
    </row>
    <row r="2251" spans="3:12" x14ac:dyDescent="0.25">
      <c r="C2251" s="7"/>
      <c r="E2251" s="8"/>
      <c r="F2251" s="8"/>
      <c r="G2251" s="8"/>
      <c r="H2251" s="8"/>
      <c r="I2251" s="8"/>
      <c r="J2251" s="8"/>
      <c r="K2251" s="8"/>
      <c r="L2251" s="8"/>
    </row>
    <row r="2252" spans="3:12" x14ac:dyDescent="0.25">
      <c r="C2252" s="7"/>
      <c r="E2252" s="8"/>
      <c r="F2252" s="8"/>
      <c r="G2252" s="8"/>
      <c r="H2252" s="8"/>
      <c r="I2252" s="8"/>
      <c r="J2252" s="8"/>
      <c r="K2252" s="8"/>
      <c r="L2252" s="8"/>
    </row>
    <row r="2253" spans="3:12" x14ac:dyDescent="0.25">
      <c r="C2253" s="7"/>
      <c r="E2253" s="8"/>
      <c r="F2253" s="8"/>
      <c r="G2253" s="8"/>
      <c r="H2253" s="8"/>
      <c r="I2253" s="8"/>
      <c r="J2253" s="8"/>
      <c r="K2253" s="8"/>
      <c r="L2253" s="8"/>
    </row>
    <row r="2254" spans="3:12" x14ac:dyDescent="0.25">
      <c r="C2254" s="7"/>
      <c r="E2254" s="8"/>
      <c r="F2254" s="8"/>
      <c r="G2254" s="8"/>
      <c r="H2254" s="8"/>
      <c r="I2254" s="8"/>
      <c r="J2254" s="8"/>
      <c r="K2254" s="8"/>
      <c r="L2254" s="8"/>
    </row>
    <row r="2255" spans="3:12" x14ac:dyDescent="0.25">
      <c r="C2255" s="7"/>
      <c r="E2255" s="8"/>
      <c r="F2255" s="8"/>
      <c r="G2255" s="8"/>
      <c r="H2255" s="8"/>
      <c r="I2255" s="8"/>
      <c r="J2255" s="8"/>
      <c r="K2255" s="8"/>
      <c r="L2255" s="8"/>
    </row>
    <row r="2256" spans="3:12" x14ac:dyDescent="0.25">
      <c r="C2256" s="7"/>
      <c r="E2256" s="8"/>
      <c r="F2256" s="8"/>
      <c r="G2256" s="8"/>
      <c r="H2256" s="8"/>
      <c r="I2256" s="8"/>
      <c r="J2256" s="8"/>
      <c r="K2256" s="8"/>
      <c r="L2256" s="8"/>
    </row>
    <row r="2257" spans="3:12" x14ac:dyDescent="0.25">
      <c r="C2257" s="7"/>
      <c r="E2257" s="8"/>
      <c r="F2257" s="8"/>
      <c r="G2257" s="8"/>
      <c r="H2257" s="8"/>
      <c r="I2257" s="8"/>
      <c r="J2257" s="8"/>
      <c r="K2257" s="8"/>
      <c r="L2257" s="8"/>
    </row>
    <row r="2258" spans="3:12" x14ac:dyDescent="0.25">
      <c r="C2258" s="7"/>
      <c r="E2258" s="8"/>
      <c r="F2258" s="8"/>
      <c r="G2258" s="8"/>
      <c r="H2258" s="8"/>
      <c r="I2258" s="8"/>
      <c r="J2258" s="8"/>
      <c r="K2258" s="8"/>
      <c r="L2258" s="8"/>
    </row>
    <row r="2259" spans="3:12" x14ac:dyDescent="0.25">
      <c r="C2259" s="7"/>
      <c r="E2259" s="8"/>
      <c r="F2259" s="8"/>
      <c r="G2259" s="8"/>
      <c r="H2259" s="8"/>
      <c r="I2259" s="8"/>
      <c r="J2259" s="8"/>
      <c r="K2259" s="8"/>
      <c r="L2259" s="8"/>
    </row>
    <row r="2260" spans="3:12" x14ac:dyDescent="0.25">
      <c r="C2260" s="7"/>
      <c r="E2260" s="8"/>
      <c r="F2260" s="8"/>
      <c r="G2260" s="8"/>
      <c r="H2260" s="8"/>
      <c r="I2260" s="8"/>
      <c r="J2260" s="8"/>
      <c r="K2260" s="8"/>
      <c r="L2260" s="8"/>
    </row>
    <row r="2261" spans="3:12" x14ac:dyDescent="0.25">
      <c r="C2261" s="7"/>
      <c r="E2261" s="8"/>
      <c r="F2261" s="8"/>
      <c r="G2261" s="8"/>
      <c r="H2261" s="8"/>
      <c r="I2261" s="8"/>
      <c r="J2261" s="8"/>
      <c r="K2261" s="8"/>
      <c r="L2261" s="8"/>
    </row>
    <row r="2262" spans="3:12" x14ac:dyDescent="0.25">
      <c r="C2262" s="7"/>
      <c r="E2262" s="8"/>
      <c r="F2262" s="8"/>
      <c r="G2262" s="8"/>
      <c r="H2262" s="8"/>
      <c r="I2262" s="8"/>
      <c r="J2262" s="8"/>
      <c r="K2262" s="8"/>
      <c r="L2262" s="8"/>
    </row>
    <row r="2263" spans="3:12" x14ac:dyDescent="0.25">
      <c r="C2263" s="7"/>
      <c r="E2263" s="8"/>
      <c r="F2263" s="8"/>
      <c r="G2263" s="8"/>
      <c r="H2263" s="8"/>
      <c r="I2263" s="8"/>
      <c r="J2263" s="8"/>
      <c r="K2263" s="8"/>
      <c r="L2263" s="8"/>
    </row>
    <row r="2264" spans="3:12" x14ac:dyDescent="0.25">
      <c r="C2264" s="7"/>
      <c r="E2264" s="8"/>
      <c r="F2264" s="8"/>
      <c r="G2264" s="8"/>
      <c r="H2264" s="8"/>
      <c r="I2264" s="8"/>
      <c r="J2264" s="8"/>
      <c r="K2264" s="8"/>
      <c r="L2264" s="8"/>
    </row>
    <row r="2265" spans="3:12" x14ac:dyDescent="0.25">
      <c r="C2265" s="7"/>
      <c r="E2265" s="8"/>
      <c r="F2265" s="8"/>
      <c r="G2265" s="8"/>
      <c r="H2265" s="8"/>
      <c r="I2265" s="8"/>
      <c r="J2265" s="8"/>
      <c r="K2265" s="8"/>
      <c r="L2265" s="8"/>
    </row>
    <row r="2266" spans="3:12" x14ac:dyDescent="0.25">
      <c r="C2266" s="7"/>
      <c r="E2266" s="8"/>
      <c r="F2266" s="8"/>
      <c r="G2266" s="8"/>
      <c r="H2266" s="8"/>
      <c r="I2266" s="8"/>
      <c r="J2266" s="8"/>
      <c r="K2266" s="8"/>
      <c r="L2266" s="8"/>
    </row>
    <row r="2267" spans="3:12" x14ac:dyDescent="0.25">
      <c r="C2267" s="7"/>
      <c r="E2267" s="8"/>
      <c r="F2267" s="8"/>
      <c r="G2267" s="8"/>
      <c r="H2267" s="8"/>
      <c r="I2267" s="8"/>
      <c r="J2267" s="8"/>
      <c r="K2267" s="8"/>
      <c r="L2267" s="8"/>
    </row>
    <row r="2268" spans="3:12" x14ac:dyDescent="0.25">
      <c r="C2268" s="7"/>
      <c r="E2268" s="8"/>
      <c r="F2268" s="8"/>
      <c r="G2268" s="8"/>
      <c r="H2268" s="8"/>
      <c r="I2268" s="8"/>
      <c r="J2268" s="8"/>
      <c r="K2268" s="8"/>
      <c r="L2268" s="8"/>
    </row>
    <row r="2269" spans="3:12" x14ac:dyDescent="0.25">
      <c r="C2269" s="7"/>
      <c r="E2269" s="8"/>
      <c r="F2269" s="8"/>
      <c r="G2269" s="8"/>
      <c r="H2269" s="8"/>
      <c r="I2269" s="8"/>
      <c r="J2269" s="8"/>
      <c r="K2269" s="8"/>
      <c r="L2269" s="8"/>
    </row>
    <row r="2270" spans="3:12" x14ac:dyDescent="0.25">
      <c r="C2270" s="7"/>
      <c r="E2270" s="8"/>
      <c r="F2270" s="8"/>
      <c r="G2270" s="8"/>
      <c r="H2270" s="8"/>
      <c r="I2270" s="8"/>
      <c r="J2270" s="8"/>
      <c r="K2270" s="8"/>
      <c r="L2270" s="8"/>
    </row>
    <row r="2271" spans="3:12" x14ac:dyDescent="0.25">
      <c r="C2271" s="7"/>
      <c r="E2271" s="8"/>
      <c r="F2271" s="8"/>
      <c r="G2271" s="8"/>
      <c r="H2271" s="8"/>
      <c r="I2271" s="8"/>
      <c r="J2271" s="8"/>
      <c r="K2271" s="8"/>
      <c r="L2271" s="8"/>
    </row>
    <row r="2272" spans="3:12" x14ac:dyDescent="0.25">
      <c r="C2272" s="7"/>
      <c r="E2272" s="8"/>
      <c r="F2272" s="8"/>
      <c r="G2272" s="8"/>
      <c r="H2272" s="8"/>
      <c r="I2272" s="8"/>
      <c r="J2272" s="8"/>
      <c r="K2272" s="8"/>
      <c r="L2272" s="8"/>
    </row>
    <row r="2273" spans="3:12" x14ac:dyDescent="0.25">
      <c r="C2273" s="7"/>
      <c r="E2273" s="8"/>
      <c r="F2273" s="8"/>
      <c r="G2273" s="8"/>
      <c r="H2273" s="8"/>
      <c r="I2273" s="8"/>
      <c r="J2273" s="8"/>
      <c r="K2273" s="8"/>
      <c r="L2273" s="8"/>
    </row>
    <row r="2274" spans="3:12" x14ac:dyDescent="0.25">
      <c r="C2274" s="7"/>
      <c r="E2274" s="8"/>
      <c r="F2274" s="8"/>
      <c r="G2274" s="8"/>
      <c r="H2274" s="8"/>
      <c r="I2274" s="8"/>
      <c r="J2274" s="8"/>
      <c r="K2274" s="8"/>
      <c r="L2274" s="8"/>
    </row>
    <row r="2275" spans="3:12" x14ac:dyDescent="0.25">
      <c r="C2275" s="7"/>
      <c r="E2275" s="8"/>
      <c r="F2275" s="8"/>
      <c r="G2275" s="8"/>
      <c r="H2275" s="8"/>
      <c r="I2275" s="8"/>
      <c r="J2275" s="8"/>
      <c r="K2275" s="8"/>
      <c r="L2275" s="8"/>
    </row>
    <row r="2276" spans="3:12" x14ac:dyDescent="0.25">
      <c r="C2276" s="7"/>
      <c r="E2276" s="8"/>
      <c r="F2276" s="8"/>
      <c r="G2276" s="8"/>
      <c r="H2276" s="8"/>
      <c r="I2276" s="8"/>
      <c r="J2276" s="8"/>
      <c r="K2276" s="8"/>
      <c r="L2276" s="8"/>
    </row>
    <row r="2277" spans="3:12" x14ac:dyDescent="0.25">
      <c r="C2277" s="7"/>
      <c r="E2277" s="8"/>
      <c r="F2277" s="8"/>
      <c r="G2277" s="8"/>
      <c r="H2277" s="8"/>
      <c r="I2277" s="8"/>
      <c r="J2277" s="8"/>
      <c r="K2277" s="8"/>
      <c r="L2277" s="8"/>
    </row>
    <row r="2278" spans="3:12" x14ac:dyDescent="0.25">
      <c r="C2278" s="7"/>
      <c r="E2278" s="8"/>
      <c r="F2278" s="8"/>
      <c r="G2278" s="8"/>
      <c r="H2278" s="8"/>
      <c r="I2278" s="8"/>
      <c r="J2278" s="8"/>
      <c r="K2278" s="8"/>
      <c r="L2278" s="8"/>
    </row>
    <row r="2279" spans="3:12" x14ac:dyDescent="0.25">
      <c r="C2279" s="7"/>
      <c r="E2279" s="8"/>
      <c r="F2279" s="8"/>
      <c r="G2279" s="8"/>
      <c r="H2279" s="8"/>
      <c r="I2279" s="8"/>
      <c r="J2279" s="8"/>
      <c r="K2279" s="8"/>
      <c r="L2279" s="8"/>
    </row>
    <row r="2280" spans="3:12" x14ac:dyDescent="0.25">
      <c r="C2280" s="7"/>
      <c r="E2280" s="8"/>
      <c r="F2280" s="8"/>
      <c r="G2280" s="8"/>
      <c r="H2280" s="8"/>
      <c r="I2280" s="8"/>
      <c r="J2280" s="8"/>
      <c r="K2280" s="8"/>
      <c r="L2280" s="8"/>
    </row>
    <row r="2281" spans="3:12" x14ac:dyDescent="0.25">
      <c r="C2281" s="7"/>
      <c r="E2281" s="8"/>
      <c r="F2281" s="8"/>
      <c r="G2281" s="8"/>
      <c r="H2281" s="8"/>
      <c r="I2281" s="8"/>
      <c r="J2281" s="8"/>
      <c r="K2281" s="8"/>
      <c r="L2281" s="8"/>
    </row>
    <row r="2282" spans="3:12" x14ac:dyDescent="0.25">
      <c r="C2282" s="7"/>
      <c r="E2282" s="8"/>
      <c r="F2282" s="8"/>
      <c r="G2282" s="8"/>
      <c r="H2282" s="8"/>
      <c r="I2282" s="8"/>
      <c r="J2282" s="8"/>
      <c r="K2282" s="8"/>
      <c r="L2282" s="8"/>
    </row>
    <row r="2283" spans="3:12" x14ac:dyDescent="0.25">
      <c r="C2283" s="7"/>
      <c r="E2283" s="8"/>
      <c r="F2283" s="8"/>
      <c r="G2283" s="8"/>
      <c r="H2283" s="8"/>
      <c r="I2283" s="8"/>
      <c r="J2283" s="8"/>
      <c r="K2283" s="8"/>
      <c r="L2283" s="8"/>
    </row>
    <row r="2284" spans="3:12" x14ac:dyDescent="0.25">
      <c r="C2284" s="7"/>
      <c r="E2284" s="8"/>
      <c r="F2284" s="8"/>
      <c r="G2284" s="8"/>
      <c r="H2284" s="8"/>
      <c r="I2284" s="8"/>
      <c r="J2284" s="8"/>
      <c r="K2284" s="8"/>
      <c r="L2284" s="8"/>
    </row>
    <row r="2285" spans="3:12" x14ac:dyDescent="0.25">
      <c r="C2285" s="7"/>
      <c r="E2285" s="8"/>
      <c r="F2285" s="8"/>
      <c r="G2285" s="8"/>
      <c r="H2285" s="8"/>
      <c r="I2285" s="8"/>
      <c r="J2285" s="8"/>
      <c r="K2285" s="8"/>
      <c r="L2285" s="8"/>
    </row>
    <row r="2286" spans="3:12" x14ac:dyDescent="0.25">
      <c r="C2286" s="7"/>
      <c r="E2286" s="8"/>
      <c r="F2286" s="8"/>
      <c r="G2286" s="8"/>
      <c r="H2286" s="8"/>
      <c r="I2286" s="8"/>
      <c r="J2286" s="8"/>
      <c r="K2286" s="8"/>
      <c r="L2286" s="8"/>
    </row>
    <row r="2287" spans="3:12" x14ac:dyDescent="0.25">
      <c r="C2287" s="7"/>
      <c r="E2287" s="8"/>
      <c r="F2287" s="8"/>
      <c r="G2287" s="8"/>
      <c r="H2287" s="8"/>
      <c r="I2287" s="8"/>
      <c r="J2287" s="8"/>
      <c r="K2287" s="8"/>
      <c r="L2287" s="8"/>
    </row>
    <row r="2288" spans="3:12" x14ac:dyDescent="0.25">
      <c r="C2288" s="7"/>
      <c r="E2288" s="8"/>
      <c r="F2288" s="8"/>
      <c r="G2288" s="8"/>
      <c r="H2288" s="8"/>
      <c r="I2288" s="8"/>
      <c r="J2288" s="8"/>
      <c r="K2288" s="8"/>
      <c r="L2288" s="8"/>
    </row>
    <row r="2289" spans="3:12" x14ac:dyDescent="0.25">
      <c r="C2289" s="7"/>
      <c r="E2289" s="8"/>
      <c r="F2289" s="8"/>
      <c r="G2289" s="8"/>
      <c r="H2289" s="8"/>
      <c r="I2289" s="8"/>
      <c r="J2289" s="8"/>
      <c r="K2289" s="8"/>
      <c r="L2289" s="8"/>
    </row>
    <row r="2290" spans="3:12" x14ac:dyDescent="0.25">
      <c r="C2290" s="7"/>
      <c r="E2290" s="8"/>
      <c r="F2290" s="8"/>
      <c r="G2290" s="8"/>
      <c r="H2290" s="8"/>
      <c r="I2290" s="8"/>
      <c r="J2290" s="8"/>
      <c r="K2290" s="8"/>
      <c r="L2290" s="8"/>
    </row>
    <row r="2291" spans="3:12" x14ac:dyDescent="0.25">
      <c r="C2291" s="7"/>
      <c r="E2291" s="8"/>
      <c r="F2291" s="8"/>
      <c r="G2291" s="8"/>
      <c r="H2291" s="8"/>
      <c r="I2291" s="8"/>
      <c r="J2291" s="8"/>
      <c r="K2291" s="8"/>
      <c r="L2291" s="8"/>
    </row>
    <row r="2292" spans="3:12" x14ac:dyDescent="0.25">
      <c r="C2292" s="7"/>
      <c r="E2292" s="8"/>
      <c r="F2292" s="8"/>
      <c r="G2292" s="8"/>
      <c r="H2292" s="8"/>
      <c r="I2292" s="8"/>
      <c r="J2292" s="8"/>
      <c r="K2292" s="8"/>
      <c r="L2292" s="8"/>
    </row>
    <row r="2293" spans="3:12" x14ac:dyDescent="0.25">
      <c r="C2293" s="7"/>
      <c r="E2293" s="8"/>
      <c r="F2293" s="8"/>
      <c r="G2293" s="8"/>
      <c r="H2293" s="8"/>
      <c r="I2293" s="8"/>
      <c r="J2293" s="8"/>
      <c r="K2293" s="8"/>
      <c r="L2293" s="8"/>
    </row>
    <row r="2294" spans="3:12" x14ac:dyDescent="0.25">
      <c r="C2294" s="7"/>
      <c r="E2294" s="8"/>
      <c r="F2294" s="8"/>
      <c r="G2294" s="8"/>
      <c r="H2294" s="8"/>
      <c r="I2294" s="8"/>
      <c r="J2294" s="8"/>
      <c r="K2294" s="8"/>
      <c r="L2294" s="8"/>
    </row>
    <row r="2295" spans="3:12" x14ac:dyDescent="0.25">
      <c r="C2295" s="7"/>
      <c r="E2295" s="8"/>
      <c r="F2295" s="8"/>
      <c r="G2295" s="8"/>
      <c r="H2295" s="8"/>
      <c r="I2295" s="8"/>
      <c r="J2295" s="8"/>
      <c r="K2295" s="8"/>
      <c r="L2295" s="8"/>
    </row>
    <row r="2296" spans="3:12" x14ac:dyDescent="0.25">
      <c r="C2296" s="7"/>
      <c r="E2296" s="8"/>
      <c r="F2296" s="8"/>
      <c r="G2296" s="8"/>
      <c r="H2296" s="8"/>
      <c r="I2296" s="8"/>
      <c r="J2296" s="8"/>
      <c r="K2296" s="8"/>
      <c r="L2296" s="8"/>
    </row>
    <row r="2297" spans="3:12" x14ac:dyDescent="0.25">
      <c r="C2297" s="7"/>
      <c r="E2297" s="8"/>
      <c r="F2297" s="8"/>
      <c r="G2297" s="8"/>
      <c r="H2297" s="8"/>
      <c r="I2297" s="8"/>
      <c r="J2297" s="8"/>
      <c r="K2297" s="8"/>
      <c r="L2297" s="8"/>
    </row>
    <row r="2298" spans="3:12" x14ac:dyDescent="0.25">
      <c r="C2298" s="7"/>
      <c r="E2298" s="8"/>
      <c r="F2298" s="8"/>
      <c r="G2298" s="8"/>
      <c r="H2298" s="8"/>
      <c r="I2298" s="8"/>
      <c r="J2298" s="8"/>
      <c r="K2298" s="8"/>
      <c r="L2298" s="8"/>
    </row>
    <row r="2299" spans="3:12" x14ac:dyDescent="0.25">
      <c r="C2299" s="7"/>
      <c r="E2299" s="8"/>
      <c r="F2299" s="8"/>
      <c r="G2299" s="8"/>
      <c r="H2299" s="8"/>
      <c r="I2299" s="8"/>
      <c r="J2299" s="8"/>
      <c r="K2299" s="8"/>
      <c r="L2299" s="8"/>
    </row>
    <row r="2300" spans="3:12" x14ac:dyDescent="0.25">
      <c r="C2300" s="7"/>
      <c r="E2300" s="8"/>
      <c r="F2300" s="8"/>
      <c r="G2300" s="8"/>
      <c r="H2300" s="8"/>
      <c r="I2300" s="8"/>
      <c r="J2300" s="8"/>
      <c r="K2300" s="8"/>
      <c r="L2300" s="8"/>
    </row>
    <row r="2301" spans="3:12" x14ac:dyDescent="0.25">
      <c r="C2301" s="7"/>
      <c r="E2301" s="8"/>
      <c r="F2301" s="8"/>
      <c r="G2301" s="8"/>
      <c r="H2301" s="8"/>
      <c r="I2301" s="8"/>
      <c r="J2301" s="8"/>
      <c r="K2301" s="8"/>
      <c r="L2301" s="8"/>
    </row>
    <row r="2302" spans="3:12" x14ac:dyDescent="0.25">
      <c r="C2302" s="7"/>
      <c r="E2302" s="8"/>
      <c r="F2302" s="8"/>
      <c r="G2302" s="8"/>
      <c r="H2302" s="8"/>
      <c r="I2302" s="8"/>
      <c r="J2302" s="8"/>
      <c r="K2302" s="8"/>
      <c r="L2302" s="8"/>
    </row>
    <row r="2303" spans="3:12" x14ac:dyDescent="0.25">
      <c r="C2303" s="7"/>
      <c r="E2303" s="8"/>
      <c r="F2303" s="8"/>
      <c r="G2303" s="8"/>
      <c r="H2303" s="8"/>
      <c r="I2303" s="8"/>
      <c r="J2303" s="8"/>
      <c r="K2303" s="8"/>
      <c r="L2303" s="8"/>
    </row>
    <row r="2304" spans="3:12" x14ac:dyDescent="0.25">
      <c r="C2304" s="7"/>
      <c r="E2304" s="8"/>
      <c r="F2304" s="8"/>
      <c r="G2304" s="8"/>
      <c r="H2304" s="8"/>
      <c r="I2304" s="8"/>
      <c r="J2304" s="8"/>
      <c r="K2304" s="8"/>
      <c r="L2304" s="8"/>
    </row>
    <row r="2305" spans="3:12" x14ac:dyDescent="0.25">
      <c r="C2305" s="7"/>
      <c r="E2305" s="8"/>
      <c r="F2305" s="8"/>
      <c r="G2305" s="8"/>
      <c r="H2305" s="8"/>
      <c r="I2305" s="8"/>
      <c r="J2305" s="8"/>
      <c r="K2305" s="8"/>
      <c r="L2305" s="8"/>
    </row>
    <row r="2306" spans="3:12" x14ac:dyDescent="0.25">
      <c r="C2306" s="7"/>
      <c r="E2306" s="8"/>
      <c r="F2306" s="8"/>
      <c r="G2306" s="8"/>
      <c r="H2306" s="8"/>
      <c r="I2306" s="8"/>
      <c r="J2306" s="8"/>
      <c r="K2306" s="8"/>
      <c r="L2306" s="8"/>
    </row>
    <row r="2307" spans="3:12" x14ac:dyDescent="0.25">
      <c r="C2307" s="7"/>
      <c r="E2307" s="8"/>
      <c r="F2307" s="8"/>
      <c r="G2307" s="8"/>
      <c r="H2307" s="8"/>
      <c r="I2307" s="8"/>
      <c r="J2307" s="8"/>
      <c r="K2307" s="8"/>
      <c r="L2307" s="8"/>
    </row>
    <row r="2308" spans="3:12" x14ac:dyDescent="0.25">
      <c r="C2308" s="7"/>
      <c r="E2308" s="8"/>
      <c r="F2308" s="8"/>
      <c r="G2308" s="8"/>
      <c r="H2308" s="8"/>
      <c r="I2308" s="8"/>
      <c r="J2308" s="8"/>
      <c r="K2308" s="8"/>
      <c r="L2308" s="8"/>
    </row>
    <row r="2309" spans="3:12" x14ac:dyDescent="0.25">
      <c r="C2309" s="7"/>
      <c r="E2309" s="8"/>
      <c r="F2309" s="8"/>
      <c r="G2309" s="8"/>
      <c r="H2309" s="8"/>
      <c r="I2309" s="8"/>
      <c r="J2309" s="8"/>
      <c r="K2309" s="8"/>
      <c r="L2309" s="8"/>
    </row>
    <row r="2310" spans="3:12" x14ac:dyDescent="0.25">
      <c r="C2310" s="7"/>
      <c r="E2310" s="8"/>
      <c r="F2310" s="8"/>
      <c r="G2310" s="8"/>
      <c r="H2310" s="8"/>
      <c r="I2310" s="8"/>
      <c r="J2310" s="8"/>
      <c r="K2310" s="8"/>
      <c r="L2310" s="8"/>
    </row>
    <row r="2311" spans="3:12" x14ac:dyDescent="0.25">
      <c r="C2311" s="7"/>
      <c r="E2311" s="8"/>
      <c r="F2311" s="8"/>
      <c r="G2311" s="8"/>
      <c r="H2311" s="8"/>
      <c r="I2311" s="8"/>
      <c r="J2311" s="8"/>
      <c r="K2311" s="8"/>
      <c r="L2311" s="8"/>
    </row>
    <row r="2312" spans="3:12" x14ac:dyDescent="0.25">
      <c r="C2312" s="7"/>
      <c r="E2312" s="8"/>
      <c r="F2312" s="8"/>
      <c r="G2312" s="8"/>
      <c r="H2312" s="8"/>
      <c r="I2312" s="8"/>
      <c r="J2312" s="8"/>
      <c r="K2312" s="8"/>
      <c r="L2312" s="8"/>
    </row>
    <row r="2313" spans="3:12" x14ac:dyDescent="0.25">
      <c r="C2313" s="7"/>
      <c r="E2313" s="8"/>
      <c r="F2313" s="8"/>
      <c r="G2313" s="8"/>
      <c r="H2313" s="8"/>
      <c r="I2313" s="8"/>
      <c r="J2313" s="8"/>
      <c r="K2313" s="8"/>
      <c r="L2313" s="8"/>
    </row>
    <row r="2314" spans="3:12" x14ac:dyDescent="0.25">
      <c r="C2314" s="7"/>
      <c r="E2314" s="8"/>
      <c r="F2314" s="8"/>
      <c r="G2314" s="8"/>
      <c r="H2314" s="8"/>
      <c r="I2314" s="8"/>
      <c r="J2314" s="8"/>
      <c r="K2314" s="8"/>
      <c r="L2314" s="8"/>
    </row>
    <row r="2315" spans="3:12" x14ac:dyDescent="0.25">
      <c r="C2315" s="7"/>
      <c r="E2315" s="8"/>
      <c r="F2315" s="8"/>
      <c r="G2315" s="8"/>
      <c r="H2315" s="8"/>
      <c r="I2315" s="8"/>
      <c r="J2315" s="8"/>
      <c r="K2315" s="8"/>
      <c r="L2315" s="8"/>
    </row>
    <row r="2316" spans="3:12" x14ac:dyDescent="0.25">
      <c r="C2316" s="7"/>
      <c r="E2316" s="8"/>
      <c r="F2316" s="8"/>
      <c r="G2316" s="8"/>
      <c r="H2316" s="8"/>
      <c r="I2316" s="8"/>
      <c r="J2316" s="8"/>
      <c r="K2316" s="8"/>
      <c r="L2316" s="8"/>
    </row>
    <row r="2317" spans="3:12" x14ac:dyDescent="0.25">
      <c r="C2317" s="7"/>
      <c r="E2317" s="8"/>
      <c r="F2317" s="8"/>
      <c r="G2317" s="8"/>
      <c r="H2317" s="8"/>
      <c r="I2317" s="8"/>
      <c r="J2317" s="8"/>
      <c r="K2317" s="8"/>
      <c r="L2317" s="8"/>
    </row>
    <row r="2318" spans="3:12" x14ac:dyDescent="0.25">
      <c r="C2318" s="7"/>
      <c r="E2318" s="8"/>
      <c r="F2318" s="8"/>
      <c r="G2318" s="8"/>
      <c r="H2318" s="8"/>
      <c r="I2318" s="8"/>
      <c r="J2318" s="8"/>
      <c r="K2318" s="8"/>
      <c r="L2318" s="8"/>
    </row>
    <row r="2319" spans="3:12" x14ac:dyDescent="0.25">
      <c r="C2319" s="7"/>
      <c r="E2319" s="8"/>
      <c r="F2319" s="8"/>
      <c r="G2319" s="8"/>
      <c r="H2319" s="8"/>
      <c r="I2319" s="8"/>
      <c r="J2319" s="8"/>
      <c r="K2319" s="8"/>
      <c r="L2319" s="8"/>
    </row>
    <row r="2320" spans="3:12" x14ac:dyDescent="0.25">
      <c r="C2320" s="7"/>
      <c r="E2320" s="8"/>
      <c r="F2320" s="8"/>
      <c r="G2320" s="8"/>
      <c r="H2320" s="8"/>
      <c r="I2320" s="8"/>
      <c r="J2320" s="8"/>
      <c r="K2320" s="8"/>
      <c r="L2320" s="8"/>
    </row>
    <row r="2321" spans="3:12" x14ac:dyDescent="0.25">
      <c r="C2321" s="7"/>
      <c r="E2321" s="8"/>
      <c r="F2321" s="8"/>
      <c r="G2321" s="8"/>
      <c r="H2321" s="8"/>
      <c r="I2321" s="8"/>
      <c r="J2321" s="8"/>
      <c r="K2321" s="8"/>
      <c r="L2321" s="8"/>
    </row>
    <row r="2322" spans="3:12" x14ac:dyDescent="0.25">
      <c r="C2322" s="7"/>
      <c r="E2322" s="8"/>
      <c r="F2322" s="8"/>
      <c r="G2322" s="8"/>
      <c r="H2322" s="8"/>
      <c r="I2322" s="8"/>
      <c r="J2322" s="8"/>
      <c r="K2322" s="8"/>
      <c r="L2322" s="8"/>
    </row>
    <row r="2323" spans="3:12" x14ac:dyDescent="0.25">
      <c r="C2323" s="7"/>
      <c r="E2323" s="8"/>
      <c r="F2323" s="8"/>
      <c r="G2323" s="8"/>
      <c r="H2323" s="8"/>
      <c r="I2323" s="8"/>
      <c r="J2323" s="8"/>
      <c r="K2323" s="8"/>
      <c r="L2323" s="8"/>
    </row>
    <row r="2324" spans="3:12" x14ac:dyDescent="0.25">
      <c r="C2324" s="7"/>
      <c r="E2324" s="8"/>
      <c r="F2324" s="8"/>
      <c r="G2324" s="8"/>
      <c r="H2324" s="8"/>
      <c r="I2324" s="8"/>
      <c r="J2324" s="8"/>
      <c r="K2324" s="8"/>
      <c r="L2324" s="8"/>
    </row>
    <row r="2325" spans="3:12" x14ac:dyDescent="0.25">
      <c r="C2325" s="7"/>
      <c r="E2325" s="8"/>
      <c r="F2325" s="8"/>
      <c r="G2325" s="8"/>
      <c r="H2325" s="8"/>
      <c r="I2325" s="8"/>
      <c r="J2325" s="8"/>
      <c r="K2325" s="8"/>
      <c r="L2325" s="8"/>
    </row>
    <row r="2326" spans="3:12" x14ac:dyDescent="0.25">
      <c r="C2326" s="7"/>
      <c r="E2326" s="8"/>
      <c r="F2326" s="8"/>
      <c r="G2326" s="8"/>
      <c r="H2326" s="8"/>
      <c r="I2326" s="8"/>
      <c r="J2326" s="8"/>
      <c r="K2326" s="8"/>
      <c r="L2326" s="8"/>
    </row>
    <row r="2327" spans="3:12" x14ac:dyDescent="0.25">
      <c r="C2327" s="7"/>
      <c r="E2327" s="8"/>
      <c r="F2327" s="8"/>
      <c r="G2327" s="8"/>
      <c r="H2327" s="8"/>
      <c r="I2327" s="8"/>
      <c r="J2327" s="8"/>
      <c r="K2327" s="8"/>
      <c r="L2327" s="8"/>
    </row>
    <row r="2328" spans="3:12" x14ac:dyDescent="0.25">
      <c r="C2328" s="7"/>
      <c r="E2328" s="8"/>
      <c r="F2328" s="8"/>
      <c r="G2328" s="8"/>
      <c r="H2328" s="8"/>
      <c r="I2328" s="8"/>
      <c r="J2328" s="8"/>
      <c r="K2328" s="8"/>
      <c r="L2328" s="8"/>
    </row>
    <row r="2329" spans="3:12" x14ac:dyDescent="0.25">
      <c r="C2329" s="7"/>
      <c r="E2329" s="8"/>
      <c r="F2329" s="8"/>
      <c r="G2329" s="8"/>
      <c r="H2329" s="8"/>
      <c r="I2329" s="8"/>
      <c r="J2329" s="8"/>
      <c r="K2329" s="8"/>
      <c r="L2329" s="8"/>
    </row>
    <row r="2330" spans="3:12" x14ac:dyDescent="0.25">
      <c r="C2330" s="7"/>
      <c r="E2330" s="8"/>
      <c r="F2330" s="8"/>
      <c r="G2330" s="8"/>
      <c r="H2330" s="8"/>
      <c r="I2330" s="8"/>
      <c r="J2330" s="8"/>
      <c r="K2330" s="8"/>
      <c r="L2330" s="8"/>
    </row>
    <row r="2331" spans="3:12" x14ac:dyDescent="0.25">
      <c r="C2331" s="7"/>
      <c r="E2331" s="8"/>
      <c r="F2331" s="8"/>
      <c r="G2331" s="8"/>
      <c r="H2331" s="8"/>
      <c r="I2331" s="8"/>
      <c r="J2331" s="8"/>
      <c r="K2331" s="8"/>
      <c r="L2331" s="8"/>
    </row>
    <row r="2332" spans="3:12" x14ac:dyDescent="0.25">
      <c r="C2332" s="7"/>
      <c r="E2332" s="8"/>
      <c r="F2332" s="8"/>
      <c r="G2332" s="8"/>
      <c r="H2332" s="8"/>
      <c r="I2332" s="8"/>
      <c r="J2332" s="8"/>
      <c r="K2332" s="8"/>
      <c r="L2332" s="8"/>
    </row>
    <row r="2333" spans="3:12" x14ac:dyDescent="0.25">
      <c r="C2333" s="7"/>
      <c r="E2333" s="8"/>
      <c r="F2333" s="8"/>
      <c r="G2333" s="8"/>
      <c r="H2333" s="8"/>
      <c r="I2333" s="8"/>
      <c r="J2333" s="8"/>
      <c r="K2333" s="8"/>
      <c r="L2333" s="8"/>
    </row>
    <row r="2334" spans="3:12" x14ac:dyDescent="0.25">
      <c r="C2334" s="7"/>
      <c r="E2334" s="8"/>
      <c r="F2334" s="8"/>
      <c r="G2334" s="8"/>
      <c r="H2334" s="8"/>
      <c r="I2334" s="8"/>
      <c r="J2334" s="8"/>
      <c r="K2334" s="8"/>
      <c r="L2334" s="8"/>
    </row>
    <row r="2335" spans="3:12" x14ac:dyDescent="0.25">
      <c r="C2335" s="7"/>
      <c r="E2335" s="8"/>
      <c r="F2335" s="8"/>
      <c r="G2335" s="8"/>
      <c r="H2335" s="8"/>
      <c r="I2335" s="8"/>
      <c r="J2335" s="8"/>
      <c r="K2335" s="8"/>
      <c r="L2335" s="8"/>
    </row>
    <row r="2336" spans="3:12" x14ac:dyDescent="0.25">
      <c r="C2336" s="7"/>
      <c r="E2336" s="8"/>
      <c r="F2336" s="8"/>
      <c r="G2336" s="8"/>
      <c r="H2336" s="8"/>
      <c r="I2336" s="8"/>
      <c r="J2336" s="8"/>
      <c r="K2336" s="8"/>
      <c r="L2336" s="8"/>
    </row>
    <row r="2337" spans="3:12" x14ac:dyDescent="0.25">
      <c r="C2337" s="7"/>
      <c r="E2337" s="8"/>
      <c r="F2337" s="8"/>
      <c r="G2337" s="8"/>
      <c r="H2337" s="8"/>
      <c r="I2337" s="8"/>
      <c r="J2337" s="8"/>
      <c r="K2337" s="8"/>
      <c r="L2337" s="8"/>
    </row>
    <row r="2338" spans="3:12" x14ac:dyDescent="0.25">
      <c r="C2338" s="7"/>
      <c r="E2338" s="8"/>
      <c r="F2338" s="8"/>
      <c r="G2338" s="8"/>
      <c r="H2338" s="8"/>
      <c r="I2338" s="8"/>
      <c r="J2338" s="8"/>
      <c r="K2338" s="8"/>
      <c r="L2338" s="8"/>
    </row>
    <row r="2339" spans="3:12" x14ac:dyDescent="0.25">
      <c r="C2339" s="7"/>
      <c r="E2339" s="8"/>
      <c r="F2339" s="8"/>
      <c r="G2339" s="8"/>
      <c r="H2339" s="8"/>
      <c r="I2339" s="8"/>
      <c r="J2339" s="8"/>
      <c r="K2339" s="8"/>
      <c r="L2339" s="8"/>
    </row>
    <row r="2340" spans="3:12" x14ac:dyDescent="0.25">
      <c r="C2340" s="7"/>
      <c r="E2340" s="8"/>
      <c r="F2340" s="8"/>
      <c r="G2340" s="8"/>
      <c r="H2340" s="8"/>
      <c r="I2340" s="8"/>
      <c r="J2340" s="8"/>
      <c r="K2340" s="8"/>
      <c r="L2340" s="8"/>
    </row>
    <row r="2341" spans="3:12" x14ac:dyDescent="0.25">
      <c r="C2341" s="7"/>
      <c r="E2341" s="8"/>
      <c r="F2341" s="8"/>
      <c r="G2341" s="8"/>
      <c r="H2341" s="8"/>
      <c r="I2341" s="8"/>
      <c r="J2341" s="8"/>
      <c r="K2341" s="8"/>
      <c r="L2341" s="8"/>
    </row>
    <row r="2342" spans="3:12" x14ac:dyDescent="0.25">
      <c r="C2342" s="7"/>
      <c r="E2342" s="8"/>
      <c r="F2342" s="8"/>
      <c r="G2342" s="8"/>
      <c r="H2342" s="8"/>
      <c r="I2342" s="8"/>
      <c r="J2342" s="8"/>
      <c r="K2342" s="8"/>
      <c r="L2342" s="8"/>
    </row>
    <row r="2343" spans="3:12" x14ac:dyDescent="0.25">
      <c r="C2343" s="7"/>
      <c r="E2343" s="8"/>
      <c r="F2343" s="8"/>
      <c r="G2343" s="8"/>
      <c r="H2343" s="8"/>
      <c r="I2343" s="8"/>
      <c r="J2343" s="8"/>
      <c r="K2343" s="8"/>
      <c r="L2343" s="8"/>
    </row>
    <row r="2344" spans="3:12" x14ac:dyDescent="0.25">
      <c r="C2344" s="7"/>
      <c r="E2344" s="8"/>
      <c r="F2344" s="8"/>
      <c r="G2344" s="8"/>
      <c r="H2344" s="8"/>
      <c r="I2344" s="8"/>
      <c r="J2344" s="8"/>
      <c r="K2344" s="8"/>
      <c r="L2344" s="8"/>
    </row>
    <row r="2345" spans="3:12" x14ac:dyDescent="0.25">
      <c r="C2345" s="7"/>
      <c r="E2345" s="8"/>
      <c r="F2345" s="8"/>
      <c r="G2345" s="8"/>
      <c r="H2345" s="8"/>
      <c r="I2345" s="8"/>
      <c r="J2345" s="8"/>
      <c r="K2345" s="8"/>
      <c r="L2345" s="8"/>
    </row>
    <row r="2346" spans="3:12" x14ac:dyDescent="0.25">
      <c r="C2346" s="7"/>
      <c r="E2346" s="8"/>
      <c r="F2346" s="8"/>
      <c r="G2346" s="8"/>
      <c r="H2346" s="8"/>
      <c r="I2346" s="8"/>
      <c r="J2346" s="8"/>
      <c r="K2346" s="8"/>
      <c r="L2346" s="8"/>
    </row>
    <row r="2347" spans="3:12" x14ac:dyDescent="0.25">
      <c r="C2347" s="7"/>
      <c r="E2347" s="8"/>
      <c r="F2347" s="8"/>
      <c r="G2347" s="8"/>
      <c r="H2347" s="8"/>
      <c r="I2347" s="8"/>
      <c r="J2347" s="8"/>
      <c r="K2347" s="8"/>
      <c r="L2347" s="8"/>
    </row>
    <row r="2348" spans="3:12" x14ac:dyDescent="0.25">
      <c r="C2348" s="7"/>
      <c r="E2348" s="8"/>
      <c r="F2348" s="8"/>
      <c r="G2348" s="8"/>
      <c r="H2348" s="8"/>
      <c r="I2348" s="8"/>
      <c r="J2348" s="8"/>
      <c r="K2348" s="8"/>
      <c r="L2348" s="8"/>
    </row>
    <row r="2349" spans="3:12" x14ac:dyDescent="0.25">
      <c r="C2349" s="7"/>
      <c r="E2349" s="8"/>
      <c r="F2349" s="8"/>
      <c r="G2349" s="8"/>
      <c r="H2349" s="8"/>
      <c r="I2349" s="8"/>
      <c r="J2349" s="8"/>
      <c r="K2349" s="8"/>
      <c r="L2349" s="8"/>
    </row>
    <row r="2350" spans="3:12" x14ac:dyDescent="0.25">
      <c r="C2350" s="7"/>
      <c r="E2350" s="8"/>
      <c r="F2350" s="8"/>
      <c r="G2350" s="8"/>
      <c r="H2350" s="8"/>
      <c r="I2350" s="8"/>
      <c r="J2350" s="8"/>
      <c r="K2350" s="8"/>
      <c r="L2350" s="8"/>
    </row>
    <row r="2351" spans="3:12" x14ac:dyDescent="0.25">
      <c r="C2351" s="7"/>
      <c r="E2351" s="8"/>
      <c r="F2351" s="8"/>
      <c r="G2351" s="8"/>
      <c r="H2351" s="8"/>
      <c r="I2351" s="8"/>
      <c r="J2351" s="8"/>
      <c r="K2351" s="8"/>
      <c r="L2351" s="8"/>
    </row>
    <row r="2352" spans="3:12" x14ac:dyDescent="0.25">
      <c r="C2352" s="7"/>
      <c r="E2352" s="8"/>
      <c r="F2352" s="8"/>
      <c r="G2352" s="8"/>
      <c r="H2352" s="8"/>
      <c r="I2352" s="8"/>
      <c r="J2352" s="8"/>
      <c r="K2352" s="8"/>
      <c r="L2352" s="8"/>
    </row>
    <row r="2353" spans="3:12" x14ac:dyDescent="0.25">
      <c r="C2353" s="7"/>
      <c r="E2353" s="8"/>
      <c r="F2353" s="8"/>
      <c r="G2353" s="8"/>
      <c r="H2353" s="8"/>
      <c r="I2353" s="8"/>
      <c r="J2353" s="8"/>
      <c r="K2353" s="8"/>
      <c r="L2353" s="8"/>
    </row>
    <row r="2354" spans="3:12" x14ac:dyDescent="0.25">
      <c r="C2354" s="7"/>
      <c r="E2354" s="8"/>
      <c r="F2354" s="8"/>
      <c r="G2354" s="8"/>
      <c r="H2354" s="8"/>
      <c r="I2354" s="8"/>
      <c r="J2354" s="8"/>
      <c r="K2354" s="8"/>
      <c r="L2354" s="8"/>
    </row>
    <row r="2355" spans="3:12" x14ac:dyDescent="0.25">
      <c r="C2355" s="7"/>
      <c r="E2355" s="8"/>
      <c r="F2355" s="8"/>
      <c r="G2355" s="8"/>
      <c r="H2355" s="8"/>
      <c r="I2355" s="8"/>
      <c r="J2355" s="8"/>
      <c r="K2355" s="8"/>
      <c r="L2355" s="8"/>
    </row>
    <row r="2356" spans="3:12" x14ac:dyDescent="0.25">
      <c r="C2356" s="7"/>
      <c r="E2356" s="8"/>
      <c r="F2356" s="8"/>
      <c r="G2356" s="8"/>
      <c r="H2356" s="8"/>
      <c r="I2356" s="8"/>
      <c r="J2356" s="8"/>
      <c r="K2356" s="8"/>
      <c r="L2356" s="8"/>
    </row>
    <row r="2357" spans="3:12" x14ac:dyDescent="0.25">
      <c r="C2357" s="7"/>
      <c r="E2357" s="8"/>
      <c r="F2357" s="8"/>
      <c r="G2357" s="8"/>
      <c r="H2357" s="8"/>
      <c r="I2357" s="8"/>
      <c r="J2357" s="8"/>
      <c r="K2357" s="8"/>
      <c r="L2357" s="8"/>
    </row>
    <row r="2358" spans="3:12" x14ac:dyDescent="0.25">
      <c r="C2358" s="7"/>
      <c r="E2358" s="8"/>
      <c r="F2358" s="8"/>
      <c r="G2358" s="8"/>
      <c r="H2358" s="8"/>
      <c r="I2358" s="8"/>
      <c r="J2358" s="8"/>
      <c r="K2358" s="8"/>
      <c r="L2358" s="8"/>
    </row>
    <row r="2359" spans="3:12" x14ac:dyDescent="0.25">
      <c r="C2359" s="7"/>
      <c r="E2359" s="8"/>
      <c r="F2359" s="8"/>
      <c r="G2359" s="8"/>
      <c r="H2359" s="8"/>
      <c r="I2359" s="8"/>
      <c r="J2359" s="8"/>
      <c r="K2359" s="8"/>
      <c r="L2359" s="8"/>
    </row>
    <row r="2360" spans="3:12" x14ac:dyDescent="0.25">
      <c r="C2360" s="7"/>
      <c r="E2360" s="8"/>
      <c r="F2360" s="8"/>
      <c r="G2360" s="8"/>
      <c r="H2360" s="8"/>
      <c r="I2360" s="8"/>
      <c r="J2360" s="8"/>
      <c r="K2360" s="8"/>
      <c r="L2360" s="8"/>
    </row>
    <row r="2361" spans="3:12" x14ac:dyDescent="0.25">
      <c r="C2361" s="7"/>
      <c r="E2361" s="8"/>
      <c r="F2361" s="8"/>
      <c r="G2361" s="8"/>
      <c r="H2361" s="8"/>
      <c r="I2361" s="8"/>
      <c r="J2361" s="8"/>
      <c r="K2361" s="8"/>
      <c r="L2361" s="8"/>
    </row>
    <row r="2362" spans="3:12" x14ac:dyDescent="0.25">
      <c r="C2362" s="7"/>
      <c r="E2362" s="8"/>
      <c r="F2362" s="8"/>
      <c r="G2362" s="8"/>
      <c r="H2362" s="8"/>
      <c r="I2362" s="8"/>
      <c r="J2362" s="8"/>
      <c r="K2362" s="8"/>
      <c r="L2362" s="8"/>
    </row>
    <row r="2363" spans="3:12" x14ac:dyDescent="0.25">
      <c r="C2363" s="7"/>
      <c r="E2363" s="8"/>
      <c r="F2363" s="8"/>
      <c r="G2363" s="8"/>
      <c r="H2363" s="8"/>
      <c r="I2363" s="8"/>
      <c r="J2363" s="8"/>
      <c r="K2363" s="8"/>
      <c r="L2363" s="8"/>
    </row>
    <row r="2364" spans="3:12" x14ac:dyDescent="0.25">
      <c r="C2364" s="7"/>
      <c r="E2364" s="8"/>
      <c r="F2364" s="8"/>
      <c r="G2364" s="8"/>
      <c r="H2364" s="8"/>
      <c r="I2364" s="8"/>
      <c r="J2364" s="8"/>
      <c r="K2364" s="8"/>
      <c r="L2364" s="8"/>
    </row>
    <row r="2365" spans="3:12" x14ac:dyDescent="0.25">
      <c r="C2365" s="7"/>
      <c r="E2365" s="8"/>
      <c r="F2365" s="8"/>
      <c r="G2365" s="8"/>
      <c r="H2365" s="8"/>
      <c r="I2365" s="8"/>
      <c r="J2365" s="8"/>
      <c r="K2365" s="8"/>
      <c r="L2365" s="8"/>
    </row>
    <row r="2366" spans="3:12" x14ac:dyDescent="0.25">
      <c r="C2366" s="7"/>
      <c r="E2366" s="8"/>
      <c r="F2366" s="8"/>
      <c r="G2366" s="8"/>
      <c r="H2366" s="8"/>
      <c r="I2366" s="8"/>
      <c r="J2366" s="8"/>
      <c r="K2366" s="8"/>
      <c r="L2366" s="8"/>
    </row>
    <row r="2367" spans="3:12" x14ac:dyDescent="0.25">
      <c r="C2367" s="7"/>
      <c r="E2367" s="8"/>
      <c r="F2367" s="8"/>
      <c r="G2367" s="8"/>
      <c r="H2367" s="8"/>
      <c r="I2367" s="8"/>
      <c r="J2367" s="8"/>
      <c r="K2367" s="8"/>
      <c r="L2367" s="8"/>
    </row>
    <row r="2368" spans="3:12" x14ac:dyDescent="0.25">
      <c r="C2368" s="7"/>
      <c r="E2368" s="8"/>
      <c r="F2368" s="8"/>
      <c r="G2368" s="8"/>
      <c r="H2368" s="8"/>
      <c r="I2368" s="8"/>
      <c r="J2368" s="8"/>
      <c r="K2368" s="8"/>
      <c r="L2368" s="8"/>
    </row>
    <row r="2369" spans="3:12" x14ac:dyDescent="0.25">
      <c r="C2369" s="7"/>
      <c r="E2369" s="8"/>
      <c r="F2369" s="8"/>
      <c r="G2369" s="8"/>
      <c r="H2369" s="8"/>
      <c r="I2369" s="8"/>
      <c r="J2369" s="8"/>
      <c r="K2369" s="8"/>
      <c r="L2369" s="8"/>
    </row>
    <row r="2370" spans="3:12" x14ac:dyDescent="0.25">
      <c r="C2370" s="7"/>
      <c r="E2370" s="8"/>
      <c r="F2370" s="8"/>
      <c r="G2370" s="8"/>
      <c r="H2370" s="8"/>
      <c r="I2370" s="8"/>
      <c r="J2370" s="8"/>
      <c r="K2370" s="8"/>
      <c r="L2370" s="8"/>
    </row>
    <row r="2371" spans="3:12" x14ac:dyDescent="0.25">
      <c r="C2371" s="7"/>
      <c r="E2371" s="8"/>
      <c r="F2371" s="8"/>
      <c r="G2371" s="8"/>
      <c r="H2371" s="8"/>
      <c r="I2371" s="8"/>
      <c r="J2371" s="8"/>
      <c r="K2371" s="8"/>
      <c r="L2371" s="8"/>
    </row>
    <row r="2372" spans="3:12" x14ac:dyDescent="0.25">
      <c r="C2372" s="7"/>
      <c r="E2372" s="8"/>
      <c r="F2372" s="8"/>
      <c r="G2372" s="8"/>
      <c r="H2372" s="8"/>
      <c r="I2372" s="8"/>
      <c r="J2372" s="8"/>
      <c r="K2372" s="8"/>
      <c r="L2372" s="8"/>
    </row>
    <row r="2373" spans="3:12" x14ac:dyDescent="0.25">
      <c r="C2373" s="7"/>
      <c r="E2373" s="8"/>
      <c r="F2373" s="8"/>
      <c r="G2373" s="8"/>
      <c r="H2373" s="8"/>
      <c r="I2373" s="8"/>
      <c r="J2373" s="8"/>
      <c r="K2373" s="8"/>
      <c r="L2373" s="8"/>
    </row>
    <row r="2374" spans="3:12" x14ac:dyDescent="0.25">
      <c r="C2374" s="7"/>
      <c r="E2374" s="8"/>
      <c r="F2374" s="8"/>
      <c r="G2374" s="8"/>
      <c r="H2374" s="8"/>
      <c r="I2374" s="8"/>
      <c r="J2374" s="8"/>
      <c r="K2374" s="8"/>
      <c r="L2374" s="8"/>
    </row>
    <row r="2375" spans="3:12" x14ac:dyDescent="0.25">
      <c r="C2375" s="7"/>
      <c r="E2375" s="8"/>
      <c r="F2375" s="8"/>
      <c r="G2375" s="8"/>
      <c r="H2375" s="8"/>
      <c r="I2375" s="8"/>
      <c r="J2375" s="8"/>
      <c r="K2375" s="8"/>
      <c r="L2375" s="8"/>
    </row>
    <row r="2376" spans="3:12" x14ac:dyDescent="0.25">
      <c r="C2376" s="7"/>
      <c r="E2376" s="8"/>
      <c r="F2376" s="8"/>
      <c r="G2376" s="8"/>
      <c r="H2376" s="8"/>
      <c r="I2376" s="8"/>
      <c r="J2376" s="8"/>
      <c r="K2376" s="8"/>
      <c r="L2376" s="8"/>
    </row>
    <row r="2377" spans="3:12" x14ac:dyDescent="0.25">
      <c r="C2377" s="7"/>
      <c r="E2377" s="8"/>
      <c r="F2377" s="8"/>
      <c r="G2377" s="8"/>
      <c r="H2377" s="8"/>
      <c r="I2377" s="8"/>
      <c r="J2377" s="8"/>
      <c r="K2377" s="8"/>
      <c r="L2377" s="8"/>
    </row>
    <row r="2378" spans="3:12" x14ac:dyDescent="0.25">
      <c r="C2378" s="7"/>
      <c r="E2378" s="8"/>
      <c r="F2378" s="8"/>
      <c r="G2378" s="8"/>
      <c r="H2378" s="8"/>
      <c r="I2378" s="8"/>
      <c r="J2378" s="8"/>
      <c r="K2378" s="8"/>
      <c r="L2378" s="8"/>
    </row>
    <row r="2379" spans="3:12" x14ac:dyDescent="0.25">
      <c r="C2379" s="7"/>
      <c r="E2379" s="8"/>
      <c r="F2379" s="8"/>
      <c r="G2379" s="8"/>
      <c r="H2379" s="8"/>
      <c r="I2379" s="8"/>
      <c r="J2379" s="8"/>
      <c r="K2379" s="8"/>
      <c r="L2379" s="8"/>
    </row>
    <row r="2380" spans="3:12" x14ac:dyDescent="0.25">
      <c r="C2380" s="7"/>
      <c r="E2380" s="8"/>
      <c r="F2380" s="8"/>
      <c r="G2380" s="8"/>
      <c r="H2380" s="8"/>
      <c r="I2380" s="8"/>
      <c r="J2380" s="8"/>
      <c r="K2380" s="8"/>
      <c r="L2380" s="8"/>
    </row>
    <row r="2381" spans="3:12" x14ac:dyDescent="0.25">
      <c r="C2381" s="7"/>
      <c r="E2381" s="8"/>
      <c r="F2381" s="8"/>
      <c r="G2381" s="8"/>
      <c r="H2381" s="8"/>
      <c r="I2381" s="8"/>
      <c r="J2381" s="8"/>
      <c r="K2381" s="8"/>
      <c r="L2381" s="8"/>
    </row>
    <row r="2382" spans="3:12" x14ac:dyDescent="0.25">
      <c r="C2382" s="7"/>
      <c r="E2382" s="8"/>
      <c r="F2382" s="8"/>
      <c r="G2382" s="8"/>
      <c r="H2382" s="8"/>
      <c r="I2382" s="8"/>
      <c r="J2382" s="8"/>
      <c r="K2382" s="8"/>
      <c r="L2382" s="8"/>
    </row>
    <row r="2383" spans="3:12" x14ac:dyDescent="0.25">
      <c r="C2383" s="7"/>
      <c r="E2383" s="8"/>
      <c r="F2383" s="8"/>
      <c r="G2383" s="8"/>
      <c r="H2383" s="8"/>
      <c r="I2383" s="8"/>
      <c r="J2383" s="8"/>
      <c r="K2383" s="8"/>
      <c r="L2383" s="8"/>
    </row>
    <row r="2384" spans="3:12" x14ac:dyDescent="0.25">
      <c r="C2384" s="7"/>
      <c r="E2384" s="8"/>
      <c r="F2384" s="8"/>
      <c r="G2384" s="8"/>
      <c r="H2384" s="8"/>
      <c r="I2384" s="8"/>
      <c r="J2384" s="8"/>
      <c r="K2384" s="8"/>
      <c r="L2384" s="8"/>
    </row>
    <row r="2385" spans="3:12" x14ac:dyDescent="0.25">
      <c r="C2385" s="7"/>
      <c r="E2385" s="8"/>
      <c r="F2385" s="8"/>
      <c r="G2385" s="8"/>
      <c r="H2385" s="8"/>
      <c r="I2385" s="8"/>
      <c r="J2385" s="8"/>
      <c r="K2385" s="8"/>
      <c r="L2385" s="8"/>
    </row>
    <row r="2386" spans="3:12" x14ac:dyDescent="0.25">
      <c r="C2386" s="7"/>
      <c r="E2386" s="8"/>
      <c r="F2386" s="8"/>
      <c r="G2386" s="8"/>
      <c r="H2386" s="8"/>
      <c r="I2386" s="8"/>
      <c r="J2386" s="8"/>
      <c r="K2386" s="8"/>
      <c r="L2386" s="8"/>
    </row>
    <row r="2387" spans="3:12" x14ac:dyDescent="0.25">
      <c r="C2387" s="7"/>
      <c r="E2387" s="8"/>
      <c r="F2387" s="8"/>
      <c r="G2387" s="8"/>
      <c r="H2387" s="8"/>
      <c r="I2387" s="8"/>
      <c r="J2387" s="8"/>
      <c r="K2387" s="8"/>
      <c r="L2387" s="8"/>
    </row>
    <row r="2388" spans="3:12" x14ac:dyDescent="0.25">
      <c r="C2388" s="7"/>
      <c r="E2388" s="8"/>
      <c r="F2388" s="8"/>
      <c r="G2388" s="8"/>
      <c r="H2388" s="8"/>
      <c r="I2388" s="8"/>
      <c r="J2388" s="8"/>
      <c r="K2388" s="8"/>
      <c r="L2388" s="8"/>
    </row>
    <row r="2389" spans="3:12" x14ac:dyDescent="0.25">
      <c r="C2389" s="7"/>
      <c r="E2389" s="8"/>
      <c r="F2389" s="8"/>
      <c r="G2389" s="8"/>
      <c r="H2389" s="8"/>
      <c r="I2389" s="8"/>
      <c r="J2389" s="8"/>
      <c r="K2389" s="8"/>
      <c r="L2389" s="8"/>
    </row>
    <row r="2390" spans="3:12" x14ac:dyDescent="0.25">
      <c r="C2390" s="7"/>
      <c r="E2390" s="8"/>
      <c r="F2390" s="8"/>
      <c r="G2390" s="8"/>
      <c r="H2390" s="8"/>
      <c r="I2390" s="8"/>
      <c r="J2390" s="8"/>
      <c r="K2390" s="8"/>
      <c r="L2390" s="8"/>
    </row>
    <row r="2391" spans="3:12" x14ac:dyDescent="0.25">
      <c r="C2391" s="7"/>
      <c r="E2391" s="8"/>
      <c r="F2391" s="8"/>
      <c r="G2391" s="8"/>
      <c r="H2391" s="8"/>
      <c r="I2391" s="8"/>
      <c r="J2391" s="8"/>
      <c r="K2391" s="8"/>
      <c r="L2391" s="8"/>
    </row>
    <row r="2392" spans="3:12" x14ac:dyDescent="0.25">
      <c r="C2392" s="7"/>
      <c r="E2392" s="8"/>
      <c r="F2392" s="8"/>
      <c r="G2392" s="8"/>
      <c r="H2392" s="8"/>
      <c r="I2392" s="8"/>
      <c r="J2392" s="8"/>
      <c r="K2392" s="8"/>
      <c r="L2392" s="8"/>
    </row>
    <row r="2393" spans="3:12" x14ac:dyDescent="0.25">
      <c r="C2393" s="7"/>
      <c r="E2393" s="8"/>
      <c r="F2393" s="8"/>
      <c r="G2393" s="8"/>
      <c r="H2393" s="8"/>
      <c r="I2393" s="8"/>
      <c r="J2393" s="8"/>
      <c r="K2393" s="8"/>
      <c r="L2393" s="8"/>
    </row>
    <row r="2394" spans="3:12" x14ac:dyDescent="0.25">
      <c r="C2394" s="7"/>
      <c r="E2394" s="8"/>
      <c r="F2394" s="8"/>
      <c r="G2394" s="8"/>
      <c r="H2394" s="8"/>
      <c r="I2394" s="8"/>
      <c r="J2394" s="8"/>
      <c r="K2394" s="8"/>
      <c r="L2394" s="8"/>
    </row>
    <row r="2395" spans="3:12" x14ac:dyDescent="0.25">
      <c r="C2395" s="7"/>
      <c r="E2395" s="8"/>
      <c r="F2395" s="8"/>
      <c r="G2395" s="8"/>
      <c r="H2395" s="8"/>
      <c r="I2395" s="8"/>
      <c r="J2395" s="8"/>
      <c r="K2395" s="8"/>
      <c r="L2395" s="8"/>
    </row>
    <row r="2396" spans="3:12" x14ac:dyDescent="0.25">
      <c r="C2396" s="7"/>
      <c r="E2396" s="8"/>
      <c r="F2396" s="8"/>
      <c r="G2396" s="8"/>
      <c r="H2396" s="8"/>
      <c r="I2396" s="8"/>
      <c r="J2396" s="8"/>
      <c r="K2396" s="8"/>
      <c r="L2396" s="8"/>
    </row>
    <row r="2397" spans="3:12" x14ac:dyDescent="0.25">
      <c r="C2397" s="7"/>
      <c r="E2397" s="8"/>
      <c r="F2397" s="8"/>
      <c r="G2397" s="8"/>
      <c r="H2397" s="8"/>
      <c r="I2397" s="8"/>
      <c r="J2397" s="8"/>
      <c r="K2397" s="8"/>
      <c r="L2397" s="8"/>
    </row>
    <row r="2398" spans="3:12" x14ac:dyDescent="0.25">
      <c r="C2398" s="7"/>
      <c r="E2398" s="8"/>
      <c r="F2398" s="8"/>
      <c r="G2398" s="8"/>
      <c r="H2398" s="8"/>
      <c r="I2398" s="8"/>
      <c r="J2398" s="8"/>
      <c r="K2398" s="8"/>
      <c r="L2398" s="8"/>
    </row>
    <row r="2399" spans="3:12" x14ac:dyDescent="0.25">
      <c r="C2399" s="7"/>
      <c r="E2399" s="8"/>
      <c r="F2399" s="8"/>
      <c r="G2399" s="8"/>
      <c r="H2399" s="8"/>
      <c r="I2399" s="8"/>
      <c r="J2399" s="8"/>
      <c r="K2399" s="8"/>
      <c r="L2399" s="8"/>
    </row>
    <row r="2400" spans="3:12" x14ac:dyDescent="0.25">
      <c r="C2400" s="7"/>
      <c r="E2400" s="8"/>
      <c r="F2400" s="8"/>
      <c r="G2400" s="8"/>
      <c r="H2400" s="8"/>
      <c r="I2400" s="8"/>
      <c r="J2400" s="8"/>
      <c r="K2400" s="8"/>
      <c r="L2400" s="8"/>
    </row>
    <row r="2401" spans="3:12" x14ac:dyDescent="0.25">
      <c r="C2401" s="7"/>
      <c r="E2401" s="8"/>
      <c r="F2401" s="8"/>
      <c r="G2401" s="8"/>
      <c r="H2401" s="8"/>
      <c r="I2401" s="8"/>
      <c r="J2401" s="8"/>
      <c r="K2401" s="8"/>
      <c r="L2401" s="8"/>
    </row>
    <row r="2402" spans="3:12" x14ac:dyDescent="0.25">
      <c r="C2402" s="7"/>
      <c r="E2402" s="8"/>
      <c r="F2402" s="8"/>
      <c r="G2402" s="8"/>
      <c r="H2402" s="8"/>
      <c r="I2402" s="8"/>
      <c r="J2402" s="8"/>
      <c r="K2402" s="8"/>
      <c r="L2402" s="8"/>
    </row>
    <row r="2403" spans="3:12" x14ac:dyDescent="0.25">
      <c r="C2403" s="7"/>
      <c r="E2403" s="8"/>
      <c r="F2403" s="8"/>
      <c r="G2403" s="8"/>
      <c r="H2403" s="8"/>
      <c r="I2403" s="8"/>
      <c r="J2403" s="8"/>
      <c r="K2403" s="8"/>
      <c r="L2403" s="8"/>
    </row>
    <row r="2404" spans="3:12" x14ac:dyDescent="0.25">
      <c r="C2404" s="7"/>
      <c r="E2404" s="8"/>
      <c r="F2404" s="8"/>
      <c r="G2404" s="8"/>
      <c r="H2404" s="8"/>
      <c r="I2404" s="8"/>
      <c r="J2404" s="8"/>
      <c r="K2404" s="8"/>
      <c r="L2404" s="8"/>
    </row>
    <row r="2405" spans="3:12" x14ac:dyDescent="0.25">
      <c r="C2405" s="7"/>
      <c r="E2405" s="8"/>
      <c r="F2405" s="8"/>
      <c r="G2405" s="8"/>
      <c r="H2405" s="8"/>
      <c r="I2405" s="8"/>
      <c r="J2405" s="8"/>
      <c r="K2405" s="8"/>
      <c r="L2405" s="8"/>
    </row>
    <row r="2406" spans="3:12" x14ac:dyDescent="0.25">
      <c r="C2406" s="7"/>
      <c r="E2406" s="8"/>
      <c r="F2406" s="8"/>
      <c r="G2406" s="8"/>
      <c r="H2406" s="8"/>
      <c r="I2406" s="8"/>
      <c r="J2406" s="8"/>
      <c r="K2406" s="8"/>
      <c r="L2406" s="8"/>
    </row>
    <row r="2407" spans="3:12" x14ac:dyDescent="0.25">
      <c r="C2407" s="7"/>
      <c r="E2407" s="8"/>
      <c r="F2407" s="8"/>
      <c r="G2407" s="8"/>
      <c r="H2407" s="8"/>
      <c r="I2407" s="8"/>
      <c r="J2407" s="8"/>
      <c r="K2407" s="8"/>
      <c r="L2407" s="8"/>
    </row>
    <row r="2408" spans="3:12" x14ac:dyDescent="0.25">
      <c r="C2408" s="7"/>
      <c r="E2408" s="8"/>
      <c r="F2408" s="8"/>
      <c r="G2408" s="8"/>
      <c r="H2408" s="8"/>
      <c r="I2408" s="8"/>
      <c r="J2408" s="8"/>
      <c r="K2408" s="8"/>
      <c r="L2408" s="8"/>
    </row>
    <row r="2409" spans="3:12" x14ac:dyDescent="0.25">
      <c r="C2409" s="7"/>
      <c r="E2409" s="8"/>
      <c r="F2409" s="8"/>
      <c r="G2409" s="8"/>
      <c r="H2409" s="8"/>
      <c r="I2409" s="8"/>
      <c r="J2409" s="8"/>
      <c r="K2409" s="8"/>
      <c r="L2409" s="8"/>
    </row>
    <row r="2410" spans="3:12" x14ac:dyDescent="0.25">
      <c r="C2410" s="7"/>
      <c r="E2410" s="8"/>
      <c r="F2410" s="8"/>
      <c r="G2410" s="8"/>
      <c r="H2410" s="8"/>
      <c r="I2410" s="8"/>
      <c r="J2410" s="8"/>
      <c r="K2410" s="8"/>
      <c r="L2410" s="8"/>
    </row>
    <row r="2411" spans="3:12" x14ac:dyDescent="0.25">
      <c r="C2411" s="7"/>
      <c r="E2411" s="8"/>
      <c r="F2411" s="8"/>
      <c r="G2411" s="8"/>
      <c r="H2411" s="8"/>
      <c r="I2411" s="8"/>
      <c r="J2411" s="8"/>
      <c r="K2411" s="8"/>
      <c r="L2411" s="8"/>
    </row>
    <row r="2412" spans="3:12" x14ac:dyDescent="0.25">
      <c r="C2412" s="7"/>
      <c r="E2412" s="8"/>
      <c r="F2412" s="8"/>
      <c r="G2412" s="8"/>
      <c r="H2412" s="8"/>
      <c r="I2412" s="8"/>
      <c r="J2412" s="8"/>
      <c r="K2412" s="8"/>
      <c r="L2412" s="8"/>
    </row>
    <row r="2413" spans="3:12" x14ac:dyDescent="0.25">
      <c r="C2413" s="7"/>
      <c r="E2413" s="8"/>
      <c r="F2413" s="8"/>
      <c r="G2413" s="8"/>
      <c r="H2413" s="8"/>
      <c r="I2413" s="8"/>
      <c r="J2413" s="8"/>
      <c r="K2413" s="8"/>
      <c r="L2413" s="8"/>
    </row>
    <row r="2414" spans="3:12" x14ac:dyDescent="0.25">
      <c r="C2414" s="7"/>
      <c r="E2414" s="8"/>
      <c r="F2414" s="8"/>
      <c r="G2414" s="8"/>
      <c r="H2414" s="8"/>
      <c r="I2414" s="8"/>
      <c r="J2414" s="8"/>
      <c r="K2414" s="8"/>
      <c r="L2414" s="8"/>
    </row>
    <row r="2415" spans="3:12" x14ac:dyDescent="0.25">
      <c r="C2415" s="7"/>
      <c r="E2415" s="8"/>
      <c r="F2415" s="8"/>
      <c r="G2415" s="8"/>
      <c r="H2415" s="8"/>
      <c r="I2415" s="8"/>
      <c r="J2415" s="8"/>
      <c r="K2415" s="8"/>
      <c r="L2415" s="8"/>
    </row>
    <row r="2416" spans="3:12" x14ac:dyDescent="0.25">
      <c r="C2416" s="7"/>
      <c r="E2416" s="8"/>
      <c r="F2416" s="8"/>
      <c r="G2416" s="8"/>
      <c r="H2416" s="8"/>
      <c r="I2416" s="8"/>
      <c r="J2416" s="8"/>
      <c r="K2416" s="8"/>
      <c r="L2416" s="8"/>
    </row>
    <row r="2417" spans="3:12" x14ac:dyDescent="0.25">
      <c r="C2417" s="7"/>
      <c r="E2417" s="8"/>
      <c r="F2417" s="8"/>
      <c r="G2417" s="8"/>
      <c r="H2417" s="8"/>
      <c r="I2417" s="8"/>
      <c r="J2417" s="8"/>
      <c r="K2417" s="8"/>
      <c r="L2417" s="8"/>
    </row>
    <row r="2418" spans="3:12" x14ac:dyDescent="0.25">
      <c r="C2418" s="7"/>
      <c r="E2418" s="8"/>
      <c r="F2418" s="8"/>
      <c r="G2418" s="8"/>
      <c r="H2418" s="8"/>
      <c r="I2418" s="8"/>
      <c r="J2418" s="8"/>
      <c r="K2418" s="8"/>
      <c r="L2418" s="8"/>
    </row>
    <row r="2419" spans="3:12" x14ac:dyDescent="0.25">
      <c r="C2419" s="7"/>
      <c r="E2419" s="8"/>
      <c r="F2419" s="8"/>
      <c r="G2419" s="8"/>
      <c r="H2419" s="8"/>
      <c r="I2419" s="8"/>
      <c r="J2419" s="8"/>
      <c r="K2419" s="8"/>
      <c r="L2419" s="8"/>
    </row>
    <row r="2420" spans="3:12" x14ac:dyDescent="0.25">
      <c r="C2420" s="7"/>
      <c r="E2420" s="8"/>
      <c r="F2420" s="8"/>
      <c r="G2420" s="8"/>
      <c r="H2420" s="8"/>
      <c r="I2420" s="8"/>
      <c r="J2420" s="8"/>
      <c r="K2420" s="8"/>
      <c r="L2420" s="8"/>
    </row>
    <row r="2421" spans="3:12" x14ac:dyDescent="0.25">
      <c r="C2421" s="7"/>
      <c r="E2421" s="8"/>
      <c r="F2421" s="8"/>
      <c r="G2421" s="8"/>
      <c r="H2421" s="8"/>
      <c r="I2421" s="8"/>
      <c r="J2421" s="8"/>
      <c r="K2421" s="8"/>
      <c r="L2421" s="8"/>
    </row>
    <row r="2422" spans="3:12" x14ac:dyDescent="0.25">
      <c r="C2422" s="7"/>
      <c r="E2422" s="8"/>
      <c r="F2422" s="8"/>
      <c r="G2422" s="8"/>
      <c r="H2422" s="8"/>
      <c r="I2422" s="8"/>
      <c r="J2422" s="8"/>
      <c r="K2422" s="8"/>
      <c r="L2422" s="8"/>
    </row>
    <row r="2423" spans="3:12" x14ac:dyDescent="0.25">
      <c r="C2423" s="7"/>
      <c r="E2423" s="8"/>
      <c r="F2423" s="8"/>
      <c r="G2423" s="8"/>
      <c r="H2423" s="8"/>
      <c r="I2423" s="8"/>
      <c r="J2423" s="8"/>
      <c r="K2423" s="8"/>
      <c r="L2423" s="8"/>
    </row>
    <row r="2424" spans="3:12" x14ac:dyDescent="0.25">
      <c r="C2424" s="7"/>
      <c r="E2424" s="8"/>
      <c r="F2424" s="8"/>
      <c r="G2424" s="8"/>
      <c r="H2424" s="8"/>
      <c r="I2424" s="8"/>
      <c r="J2424" s="8"/>
      <c r="K2424" s="8"/>
      <c r="L2424" s="8"/>
    </row>
    <row r="2425" spans="3:12" x14ac:dyDescent="0.25">
      <c r="C2425" s="7"/>
      <c r="E2425" s="8"/>
      <c r="F2425" s="8"/>
      <c r="G2425" s="8"/>
      <c r="H2425" s="8"/>
      <c r="I2425" s="8"/>
      <c r="J2425" s="8"/>
      <c r="K2425" s="8"/>
      <c r="L2425" s="8"/>
    </row>
    <row r="2426" spans="3:12" x14ac:dyDescent="0.25">
      <c r="C2426" s="7"/>
      <c r="E2426" s="8"/>
      <c r="F2426" s="8"/>
      <c r="G2426" s="8"/>
      <c r="H2426" s="8"/>
      <c r="I2426" s="8"/>
      <c r="J2426" s="8"/>
      <c r="K2426" s="8"/>
      <c r="L2426" s="8"/>
    </row>
    <row r="2427" spans="3:12" x14ac:dyDescent="0.25">
      <c r="C2427" s="7"/>
      <c r="E2427" s="8"/>
      <c r="F2427" s="8"/>
      <c r="G2427" s="8"/>
      <c r="H2427" s="8"/>
      <c r="I2427" s="8"/>
      <c r="J2427" s="8"/>
      <c r="K2427" s="8"/>
      <c r="L2427" s="8"/>
    </row>
    <row r="2428" spans="3:12" x14ac:dyDescent="0.25">
      <c r="C2428" s="7"/>
      <c r="E2428" s="8"/>
      <c r="F2428" s="8"/>
      <c r="G2428" s="8"/>
      <c r="H2428" s="8"/>
      <c r="I2428" s="8"/>
      <c r="J2428" s="8"/>
      <c r="K2428" s="8"/>
      <c r="L2428" s="8"/>
    </row>
    <row r="2429" spans="3:12" x14ac:dyDescent="0.25">
      <c r="C2429" s="7"/>
      <c r="E2429" s="8"/>
      <c r="F2429" s="8"/>
      <c r="G2429" s="8"/>
      <c r="H2429" s="8"/>
      <c r="I2429" s="8"/>
      <c r="J2429" s="8"/>
      <c r="K2429" s="8"/>
      <c r="L2429" s="8"/>
    </row>
    <row r="2430" spans="3:12" x14ac:dyDescent="0.25">
      <c r="C2430" s="7"/>
      <c r="E2430" s="8"/>
      <c r="F2430" s="8"/>
      <c r="G2430" s="8"/>
      <c r="H2430" s="8"/>
      <c r="I2430" s="8"/>
      <c r="J2430" s="8"/>
      <c r="K2430" s="8"/>
      <c r="L2430" s="8"/>
    </row>
    <row r="2431" spans="3:12" x14ac:dyDescent="0.25">
      <c r="C2431" s="7"/>
      <c r="E2431" s="8"/>
      <c r="F2431" s="8"/>
      <c r="G2431" s="8"/>
      <c r="H2431" s="8"/>
      <c r="I2431" s="8"/>
      <c r="J2431" s="8"/>
      <c r="K2431" s="8"/>
      <c r="L2431" s="8"/>
    </row>
    <row r="2432" spans="3:12" x14ac:dyDescent="0.25">
      <c r="C2432" s="7"/>
      <c r="E2432" s="8"/>
      <c r="F2432" s="8"/>
      <c r="G2432" s="8"/>
      <c r="H2432" s="8"/>
      <c r="I2432" s="8"/>
      <c r="J2432" s="8"/>
      <c r="K2432" s="8"/>
      <c r="L2432" s="8"/>
    </row>
    <row r="2433" spans="3:12" x14ac:dyDescent="0.25">
      <c r="C2433" s="7"/>
      <c r="E2433" s="8"/>
      <c r="F2433" s="8"/>
      <c r="G2433" s="8"/>
      <c r="H2433" s="8"/>
      <c r="I2433" s="8"/>
      <c r="J2433" s="8"/>
      <c r="K2433" s="8"/>
      <c r="L2433" s="8"/>
    </row>
    <row r="2434" spans="3:12" x14ac:dyDescent="0.25">
      <c r="C2434" s="7"/>
      <c r="E2434" s="8"/>
      <c r="F2434" s="8"/>
      <c r="G2434" s="8"/>
      <c r="H2434" s="8"/>
      <c r="I2434" s="8"/>
      <c r="J2434" s="8"/>
      <c r="K2434" s="8"/>
      <c r="L2434" s="8"/>
    </row>
    <row r="2435" spans="3:12" x14ac:dyDescent="0.25">
      <c r="C2435" s="7"/>
      <c r="E2435" s="8"/>
      <c r="F2435" s="8"/>
      <c r="G2435" s="8"/>
      <c r="H2435" s="8"/>
      <c r="I2435" s="8"/>
      <c r="J2435" s="8"/>
      <c r="K2435" s="8"/>
      <c r="L2435" s="8"/>
    </row>
    <row r="2436" spans="3:12" x14ac:dyDescent="0.25">
      <c r="C2436" s="7"/>
      <c r="E2436" s="8"/>
      <c r="F2436" s="8"/>
      <c r="G2436" s="8"/>
      <c r="H2436" s="8"/>
      <c r="I2436" s="8"/>
      <c r="J2436" s="8"/>
      <c r="K2436" s="8"/>
      <c r="L2436" s="8"/>
    </row>
    <row r="2437" spans="3:12" x14ac:dyDescent="0.25">
      <c r="C2437" s="7"/>
      <c r="E2437" s="8"/>
      <c r="F2437" s="8"/>
      <c r="G2437" s="8"/>
      <c r="H2437" s="8"/>
      <c r="I2437" s="8"/>
      <c r="J2437" s="8"/>
      <c r="K2437" s="8"/>
      <c r="L2437" s="8"/>
    </row>
    <row r="2438" spans="3:12" x14ac:dyDescent="0.25">
      <c r="C2438" s="7"/>
      <c r="E2438" s="8"/>
      <c r="F2438" s="8"/>
      <c r="G2438" s="8"/>
      <c r="H2438" s="8"/>
      <c r="I2438" s="8"/>
      <c r="J2438" s="8"/>
      <c r="K2438" s="8"/>
      <c r="L2438" s="8"/>
    </row>
    <row r="2439" spans="3:12" x14ac:dyDescent="0.25">
      <c r="C2439" s="7"/>
      <c r="E2439" s="8"/>
      <c r="F2439" s="8"/>
      <c r="G2439" s="8"/>
      <c r="H2439" s="8"/>
      <c r="I2439" s="8"/>
      <c r="J2439" s="8"/>
      <c r="K2439" s="8"/>
      <c r="L2439" s="8"/>
    </row>
    <row r="2440" spans="3:12" x14ac:dyDescent="0.25">
      <c r="C2440" s="7"/>
      <c r="E2440" s="8"/>
      <c r="F2440" s="8"/>
      <c r="G2440" s="8"/>
      <c r="H2440" s="8"/>
      <c r="I2440" s="8"/>
      <c r="J2440" s="8"/>
      <c r="K2440" s="8"/>
      <c r="L2440" s="8"/>
    </row>
    <row r="2441" spans="3:12" x14ac:dyDescent="0.25">
      <c r="C2441" s="7"/>
      <c r="E2441" s="8"/>
      <c r="F2441" s="8"/>
      <c r="G2441" s="8"/>
      <c r="H2441" s="8"/>
      <c r="I2441" s="8"/>
      <c r="J2441" s="8"/>
      <c r="K2441" s="8"/>
      <c r="L2441" s="8"/>
    </row>
    <row r="2442" spans="3:12" x14ac:dyDescent="0.25">
      <c r="C2442" s="7"/>
      <c r="E2442" s="8"/>
      <c r="F2442" s="8"/>
      <c r="G2442" s="8"/>
      <c r="H2442" s="8"/>
      <c r="I2442" s="8"/>
      <c r="J2442" s="8"/>
      <c r="K2442" s="8"/>
      <c r="L2442" s="8"/>
    </row>
    <row r="2443" spans="3:12" x14ac:dyDescent="0.25">
      <c r="C2443" s="7"/>
      <c r="E2443" s="8"/>
      <c r="F2443" s="8"/>
      <c r="G2443" s="8"/>
      <c r="H2443" s="8"/>
      <c r="I2443" s="8"/>
      <c r="J2443" s="8"/>
      <c r="K2443" s="8"/>
      <c r="L2443" s="8"/>
    </row>
    <row r="2444" spans="3:12" x14ac:dyDescent="0.25">
      <c r="C2444" s="7"/>
      <c r="E2444" s="8"/>
      <c r="F2444" s="8"/>
      <c r="G2444" s="8"/>
      <c r="H2444" s="8"/>
      <c r="I2444" s="8"/>
      <c r="J2444" s="8"/>
      <c r="K2444" s="8"/>
      <c r="L2444" s="8"/>
    </row>
    <row r="2445" spans="3:12" x14ac:dyDescent="0.25">
      <c r="C2445" s="7"/>
      <c r="E2445" s="8"/>
      <c r="F2445" s="8"/>
      <c r="G2445" s="8"/>
      <c r="H2445" s="8"/>
      <c r="I2445" s="8"/>
      <c r="J2445" s="8"/>
      <c r="K2445" s="8"/>
      <c r="L2445" s="8"/>
    </row>
    <row r="2446" spans="3:12" x14ac:dyDescent="0.25">
      <c r="C2446" s="7"/>
      <c r="E2446" s="8"/>
      <c r="F2446" s="8"/>
      <c r="G2446" s="8"/>
      <c r="H2446" s="8"/>
      <c r="I2446" s="8"/>
      <c r="J2446" s="8"/>
      <c r="K2446" s="8"/>
      <c r="L2446" s="8"/>
    </row>
    <row r="2447" spans="3:12" x14ac:dyDescent="0.25">
      <c r="C2447" s="7"/>
      <c r="E2447" s="8"/>
      <c r="F2447" s="8"/>
      <c r="G2447" s="8"/>
      <c r="H2447" s="8"/>
      <c r="I2447" s="8"/>
      <c r="J2447" s="8"/>
      <c r="K2447" s="8"/>
      <c r="L2447" s="8"/>
    </row>
    <row r="2448" spans="3:12" x14ac:dyDescent="0.25">
      <c r="C2448" s="7"/>
      <c r="E2448" s="8"/>
      <c r="F2448" s="8"/>
      <c r="G2448" s="8"/>
      <c r="H2448" s="8"/>
      <c r="I2448" s="8"/>
      <c r="J2448" s="8"/>
      <c r="K2448" s="8"/>
      <c r="L2448" s="8"/>
    </row>
    <row r="2449" spans="3:12" x14ac:dyDescent="0.25">
      <c r="C2449" s="7"/>
      <c r="E2449" s="8"/>
      <c r="F2449" s="8"/>
      <c r="G2449" s="8"/>
      <c r="H2449" s="8"/>
      <c r="I2449" s="8"/>
      <c r="J2449" s="8"/>
      <c r="K2449" s="8"/>
      <c r="L2449" s="8"/>
    </row>
    <row r="2450" spans="3:12" x14ac:dyDescent="0.25">
      <c r="C2450" s="7"/>
      <c r="E2450" s="8"/>
      <c r="F2450" s="8"/>
      <c r="G2450" s="8"/>
      <c r="H2450" s="8"/>
      <c r="I2450" s="8"/>
      <c r="J2450" s="8"/>
      <c r="K2450" s="8"/>
      <c r="L2450" s="8"/>
    </row>
    <row r="2451" spans="3:12" x14ac:dyDescent="0.25">
      <c r="C2451" s="7"/>
      <c r="E2451" s="8"/>
      <c r="F2451" s="8"/>
      <c r="G2451" s="8"/>
      <c r="H2451" s="8"/>
      <c r="I2451" s="8"/>
      <c r="J2451" s="8"/>
      <c r="K2451" s="8"/>
      <c r="L2451" s="8"/>
    </row>
    <row r="2452" spans="3:12" x14ac:dyDescent="0.25">
      <c r="C2452" s="7"/>
      <c r="E2452" s="8"/>
      <c r="F2452" s="8"/>
      <c r="G2452" s="8"/>
      <c r="H2452" s="8"/>
      <c r="I2452" s="8"/>
      <c r="J2452" s="8"/>
      <c r="K2452" s="8"/>
      <c r="L2452" s="8"/>
    </row>
    <row r="2453" spans="3:12" x14ac:dyDescent="0.25">
      <c r="C2453" s="7"/>
      <c r="E2453" s="8"/>
      <c r="F2453" s="8"/>
      <c r="G2453" s="8"/>
      <c r="H2453" s="8"/>
      <c r="I2453" s="8"/>
      <c r="J2453" s="8"/>
      <c r="K2453" s="8"/>
      <c r="L2453" s="8"/>
    </row>
    <row r="2454" spans="3:12" x14ac:dyDescent="0.25">
      <c r="C2454" s="7"/>
      <c r="E2454" s="8"/>
      <c r="F2454" s="8"/>
      <c r="G2454" s="8"/>
      <c r="H2454" s="8"/>
      <c r="I2454" s="8"/>
      <c r="J2454" s="8"/>
      <c r="K2454" s="8"/>
      <c r="L2454" s="8"/>
    </row>
    <row r="2455" spans="3:12" x14ac:dyDescent="0.25">
      <c r="C2455" s="7"/>
      <c r="E2455" s="8"/>
      <c r="F2455" s="8"/>
      <c r="G2455" s="8"/>
      <c r="H2455" s="8"/>
      <c r="I2455" s="8"/>
      <c r="J2455" s="8"/>
      <c r="K2455" s="8"/>
      <c r="L2455" s="8"/>
    </row>
    <row r="2456" spans="3:12" x14ac:dyDescent="0.25">
      <c r="C2456" s="7"/>
      <c r="E2456" s="8"/>
      <c r="F2456" s="8"/>
      <c r="G2456" s="8"/>
      <c r="H2456" s="8"/>
      <c r="I2456" s="8"/>
      <c r="J2456" s="8"/>
      <c r="K2456" s="8"/>
      <c r="L2456" s="8"/>
    </row>
    <row r="2457" spans="3:12" x14ac:dyDescent="0.25">
      <c r="C2457" s="7"/>
      <c r="E2457" s="8"/>
      <c r="F2457" s="8"/>
      <c r="G2457" s="8"/>
      <c r="H2457" s="8"/>
      <c r="I2457" s="8"/>
      <c r="J2457" s="8"/>
      <c r="K2457" s="8"/>
      <c r="L2457" s="8"/>
    </row>
    <row r="2458" spans="3:12" x14ac:dyDescent="0.25">
      <c r="C2458" s="7"/>
      <c r="E2458" s="8"/>
      <c r="F2458" s="8"/>
      <c r="G2458" s="8"/>
      <c r="H2458" s="8"/>
      <c r="I2458" s="8"/>
      <c r="J2458" s="8"/>
      <c r="K2458" s="8"/>
      <c r="L2458" s="8"/>
    </row>
    <row r="2459" spans="3:12" x14ac:dyDescent="0.25">
      <c r="C2459" s="7"/>
      <c r="E2459" s="8"/>
      <c r="F2459" s="8"/>
      <c r="G2459" s="8"/>
      <c r="H2459" s="8"/>
      <c r="I2459" s="8"/>
      <c r="J2459" s="8"/>
      <c r="K2459" s="8"/>
      <c r="L2459" s="8"/>
    </row>
    <row r="2460" spans="3:12" x14ac:dyDescent="0.25">
      <c r="C2460" s="7"/>
      <c r="E2460" s="8"/>
      <c r="F2460" s="8"/>
      <c r="G2460" s="8"/>
      <c r="H2460" s="8"/>
      <c r="I2460" s="8"/>
      <c r="J2460" s="8"/>
      <c r="K2460" s="8"/>
      <c r="L2460" s="8"/>
    </row>
    <row r="2461" spans="3:12" x14ac:dyDescent="0.25">
      <c r="C2461" s="7"/>
      <c r="E2461" s="8"/>
      <c r="F2461" s="8"/>
      <c r="G2461" s="8"/>
      <c r="H2461" s="8"/>
      <c r="I2461" s="8"/>
      <c r="J2461" s="8"/>
      <c r="K2461" s="8"/>
      <c r="L2461" s="8"/>
    </row>
    <row r="2462" spans="3:12" x14ac:dyDescent="0.25">
      <c r="C2462" s="7"/>
      <c r="E2462" s="8"/>
      <c r="F2462" s="8"/>
      <c r="G2462" s="8"/>
      <c r="H2462" s="8"/>
      <c r="I2462" s="8"/>
      <c r="J2462" s="8"/>
      <c r="K2462" s="8"/>
      <c r="L2462" s="8"/>
    </row>
    <row r="2463" spans="3:12" x14ac:dyDescent="0.25">
      <c r="C2463" s="7"/>
      <c r="E2463" s="8"/>
      <c r="F2463" s="8"/>
      <c r="G2463" s="8"/>
      <c r="H2463" s="8"/>
      <c r="I2463" s="8"/>
      <c r="J2463" s="8"/>
      <c r="K2463" s="8"/>
      <c r="L2463" s="8"/>
    </row>
    <row r="2464" spans="3:12" x14ac:dyDescent="0.25">
      <c r="C2464" s="7"/>
      <c r="E2464" s="8"/>
      <c r="F2464" s="8"/>
      <c r="G2464" s="8"/>
      <c r="H2464" s="8"/>
      <c r="I2464" s="8"/>
      <c r="J2464" s="8"/>
      <c r="K2464" s="8"/>
      <c r="L2464" s="8"/>
    </row>
    <row r="2465" spans="3:12" x14ac:dyDescent="0.25">
      <c r="C2465" s="7"/>
      <c r="E2465" s="8"/>
      <c r="F2465" s="8"/>
      <c r="G2465" s="8"/>
      <c r="H2465" s="8"/>
      <c r="I2465" s="8"/>
      <c r="J2465" s="8"/>
      <c r="K2465" s="8"/>
      <c r="L2465" s="8"/>
    </row>
    <row r="2466" spans="3:12" x14ac:dyDescent="0.25">
      <c r="C2466" s="7"/>
      <c r="E2466" s="8"/>
      <c r="F2466" s="8"/>
      <c r="G2466" s="8"/>
      <c r="H2466" s="8"/>
      <c r="I2466" s="8"/>
      <c r="J2466" s="8"/>
      <c r="K2466" s="8"/>
      <c r="L2466" s="8"/>
    </row>
    <row r="2467" spans="3:12" x14ac:dyDescent="0.25">
      <c r="C2467" s="7"/>
      <c r="E2467" s="8"/>
      <c r="F2467" s="8"/>
      <c r="G2467" s="8"/>
      <c r="H2467" s="8"/>
      <c r="I2467" s="8"/>
      <c r="J2467" s="8"/>
      <c r="K2467" s="8"/>
      <c r="L2467" s="8"/>
    </row>
    <row r="2468" spans="3:12" x14ac:dyDescent="0.25">
      <c r="C2468" s="7"/>
      <c r="E2468" s="8"/>
      <c r="F2468" s="8"/>
      <c r="G2468" s="8"/>
      <c r="H2468" s="8"/>
      <c r="I2468" s="8"/>
      <c r="J2468" s="8"/>
      <c r="K2468" s="8"/>
      <c r="L2468" s="8"/>
    </row>
    <row r="2469" spans="3:12" x14ac:dyDescent="0.25">
      <c r="C2469" s="7"/>
      <c r="E2469" s="8"/>
      <c r="F2469" s="8"/>
      <c r="G2469" s="8"/>
      <c r="H2469" s="8"/>
      <c r="I2469" s="8"/>
      <c r="J2469" s="8"/>
      <c r="K2469" s="8"/>
      <c r="L2469" s="8"/>
    </row>
    <row r="2470" spans="3:12" x14ac:dyDescent="0.25">
      <c r="C2470" s="7"/>
      <c r="E2470" s="8"/>
      <c r="F2470" s="8"/>
      <c r="G2470" s="8"/>
      <c r="H2470" s="8"/>
      <c r="I2470" s="8"/>
      <c r="J2470" s="8"/>
      <c r="K2470" s="8"/>
      <c r="L2470" s="8"/>
    </row>
    <row r="2471" spans="3:12" x14ac:dyDescent="0.25">
      <c r="C2471" s="7"/>
      <c r="E2471" s="8"/>
      <c r="F2471" s="8"/>
      <c r="G2471" s="8"/>
      <c r="H2471" s="8"/>
      <c r="I2471" s="8"/>
      <c r="J2471" s="8"/>
      <c r="K2471" s="8"/>
      <c r="L2471" s="8"/>
    </row>
    <row r="2472" spans="3:12" x14ac:dyDescent="0.25">
      <c r="C2472" s="7"/>
      <c r="E2472" s="8"/>
      <c r="F2472" s="8"/>
      <c r="G2472" s="8"/>
      <c r="H2472" s="8"/>
      <c r="I2472" s="8"/>
      <c r="J2472" s="8"/>
      <c r="K2472" s="8"/>
      <c r="L2472" s="8"/>
    </row>
    <row r="2473" spans="3:12" x14ac:dyDescent="0.25">
      <c r="C2473" s="7"/>
      <c r="E2473" s="8"/>
      <c r="F2473" s="8"/>
      <c r="G2473" s="8"/>
      <c r="H2473" s="8"/>
      <c r="I2473" s="8"/>
      <c r="J2473" s="8"/>
      <c r="K2473" s="8"/>
      <c r="L2473" s="8"/>
    </row>
    <row r="2474" spans="3:12" x14ac:dyDescent="0.25">
      <c r="C2474" s="7"/>
      <c r="E2474" s="8"/>
      <c r="F2474" s="8"/>
      <c r="G2474" s="8"/>
      <c r="H2474" s="8"/>
      <c r="I2474" s="8"/>
      <c r="J2474" s="8"/>
      <c r="K2474" s="8"/>
      <c r="L2474" s="8"/>
    </row>
    <row r="2475" spans="3:12" x14ac:dyDescent="0.25">
      <c r="C2475" s="7"/>
      <c r="E2475" s="8"/>
      <c r="F2475" s="8"/>
      <c r="G2475" s="8"/>
      <c r="H2475" s="8"/>
      <c r="I2475" s="8"/>
      <c r="J2475" s="8"/>
      <c r="K2475" s="8"/>
      <c r="L2475" s="8"/>
    </row>
    <row r="2476" spans="3:12" x14ac:dyDescent="0.25">
      <c r="C2476" s="7"/>
      <c r="E2476" s="8"/>
      <c r="F2476" s="8"/>
      <c r="G2476" s="8"/>
      <c r="H2476" s="8"/>
      <c r="I2476" s="8"/>
      <c r="J2476" s="8"/>
      <c r="K2476" s="8"/>
      <c r="L2476" s="8"/>
    </row>
    <row r="2477" spans="3:12" x14ac:dyDescent="0.25">
      <c r="C2477" s="7"/>
      <c r="E2477" s="8"/>
      <c r="F2477" s="8"/>
      <c r="G2477" s="8"/>
      <c r="H2477" s="8"/>
      <c r="I2477" s="8"/>
      <c r="J2477" s="8"/>
      <c r="K2477" s="8"/>
      <c r="L2477" s="8"/>
    </row>
    <row r="2478" spans="3:12" x14ac:dyDescent="0.25">
      <c r="C2478" s="7"/>
      <c r="E2478" s="8"/>
      <c r="F2478" s="8"/>
      <c r="G2478" s="8"/>
      <c r="H2478" s="8"/>
      <c r="I2478" s="8"/>
      <c r="J2478" s="8"/>
      <c r="K2478" s="8"/>
      <c r="L2478" s="8"/>
    </row>
    <row r="2479" spans="3:12" x14ac:dyDescent="0.25">
      <c r="C2479" s="7"/>
      <c r="E2479" s="8"/>
      <c r="F2479" s="8"/>
      <c r="G2479" s="8"/>
      <c r="H2479" s="8"/>
      <c r="I2479" s="8"/>
      <c r="J2479" s="8"/>
      <c r="K2479" s="8"/>
      <c r="L2479" s="8"/>
    </row>
    <row r="2480" spans="3:12" x14ac:dyDescent="0.25">
      <c r="C2480" s="7"/>
      <c r="E2480" s="8"/>
      <c r="F2480" s="8"/>
      <c r="G2480" s="8"/>
      <c r="H2480" s="8"/>
      <c r="I2480" s="8"/>
      <c r="J2480" s="8"/>
      <c r="K2480" s="8"/>
      <c r="L2480" s="8"/>
    </row>
    <row r="2481" spans="3:12" x14ac:dyDescent="0.25">
      <c r="C2481" s="7"/>
      <c r="E2481" s="8"/>
      <c r="F2481" s="8"/>
      <c r="G2481" s="8"/>
      <c r="H2481" s="8"/>
      <c r="I2481" s="8"/>
      <c r="J2481" s="8"/>
      <c r="K2481" s="8"/>
      <c r="L2481" s="8"/>
    </row>
    <row r="2482" spans="3:12" x14ac:dyDescent="0.25">
      <c r="C2482" s="7"/>
      <c r="E2482" s="8"/>
      <c r="F2482" s="8"/>
      <c r="G2482" s="8"/>
      <c r="H2482" s="8"/>
      <c r="I2482" s="8"/>
      <c r="J2482" s="8"/>
      <c r="K2482" s="8"/>
      <c r="L2482" s="8"/>
    </row>
    <row r="2483" spans="3:12" x14ac:dyDescent="0.25">
      <c r="C2483" s="7"/>
      <c r="E2483" s="8"/>
      <c r="F2483" s="8"/>
      <c r="G2483" s="8"/>
      <c r="H2483" s="8"/>
      <c r="I2483" s="8"/>
      <c r="J2483" s="8"/>
      <c r="K2483" s="8"/>
      <c r="L2483" s="8"/>
    </row>
    <row r="2484" spans="3:12" x14ac:dyDescent="0.25">
      <c r="C2484" s="7"/>
      <c r="E2484" s="8"/>
      <c r="F2484" s="8"/>
      <c r="G2484" s="8"/>
      <c r="H2484" s="8"/>
      <c r="I2484" s="8"/>
      <c r="J2484" s="8"/>
      <c r="K2484" s="8"/>
      <c r="L2484" s="8"/>
    </row>
    <row r="2485" spans="3:12" x14ac:dyDescent="0.25">
      <c r="C2485" s="7"/>
      <c r="E2485" s="8"/>
      <c r="F2485" s="8"/>
      <c r="G2485" s="8"/>
      <c r="H2485" s="8"/>
      <c r="I2485" s="8"/>
      <c r="J2485" s="8"/>
      <c r="K2485" s="8"/>
      <c r="L2485" s="8"/>
    </row>
    <row r="2486" spans="3:12" x14ac:dyDescent="0.25">
      <c r="C2486" s="7"/>
      <c r="E2486" s="8"/>
      <c r="F2486" s="8"/>
      <c r="G2486" s="8"/>
      <c r="H2486" s="8"/>
      <c r="I2486" s="8"/>
      <c r="J2486" s="8"/>
      <c r="K2486" s="8"/>
      <c r="L2486" s="8"/>
    </row>
    <row r="2487" spans="3:12" x14ac:dyDescent="0.25">
      <c r="C2487" s="7"/>
      <c r="E2487" s="8"/>
      <c r="F2487" s="8"/>
      <c r="G2487" s="8"/>
      <c r="H2487" s="8"/>
      <c r="I2487" s="8"/>
      <c r="J2487" s="8"/>
      <c r="K2487" s="8"/>
      <c r="L2487" s="8"/>
    </row>
    <row r="2488" spans="3:12" x14ac:dyDescent="0.25">
      <c r="C2488" s="7"/>
      <c r="E2488" s="8"/>
      <c r="F2488" s="8"/>
      <c r="G2488" s="8"/>
      <c r="H2488" s="8"/>
      <c r="I2488" s="8"/>
      <c r="J2488" s="8"/>
      <c r="K2488" s="8"/>
      <c r="L2488" s="8"/>
    </row>
    <row r="2489" spans="3:12" x14ac:dyDescent="0.25">
      <c r="C2489" s="7"/>
      <c r="E2489" s="8"/>
      <c r="F2489" s="8"/>
      <c r="G2489" s="8"/>
      <c r="H2489" s="8"/>
      <c r="I2489" s="8"/>
      <c r="J2489" s="8"/>
      <c r="K2489" s="8"/>
      <c r="L2489" s="8"/>
    </row>
    <row r="2490" spans="3:12" x14ac:dyDescent="0.25">
      <c r="C2490" s="7"/>
      <c r="E2490" s="8"/>
      <c r="F2490" s="8"/>
      <c r="G2490" s="8"/>
      <c r="H2490" s="8"/>
      <c r="I2490" s="8"/>
      <c r="J2490" s="8"/>
      <c r="K2490" s="8"/>
      <c r="L2490" s="8"/>
    </row>
    <row r="2491" spans="3:12" x14ac:dyDescent="0.25">
      <c r="C2491" s="7"/>
      <c r="E2491" s="8"/>
      <c r="F2491" s="8"/>
      <c r="G2491" s="8"/>
      <c r="H2491" s="8"/>
      <c r="I2491" s="8"/>
      <c r="J2491" s="8"/>
      <c r="K2491" s="8"/>
      <c r="L2491" s="8"/>
    </row>
    <row r="2492" spans="3:12" x14ac:dyDescent="0.25">
      <c r="C2492" s="7"/>
      <c r="E2492" s="8"/>
      <c r="F2492" s="8"/>
      <c r="G2492" s="8"/>
      <c r="H2492" s="8"/>
      <c r="I2492" s="8"/>
      <c r="J2492" s="8"/>
      <c r="K2492" s="8"/>
      <c r="L2492" s="8"/>
    </row>
    <row r="2493" spans="3:12" x14ac:dyDescent="0.25">
      <c r="C2493" s="7"/>
      <c r="E2493" s="8"/>
      <c r="F2493" s="8"/>
      <c r="G2493" s="8"/>
      <c r="H2493" s="8"/>
      <c r="I2493" s="8"/>
      <c r="J2493" s="8"/>
      <c r="K2493" s="8"/>
      <c r="L2493" s="8"/>
    </row>
    <row r="2494" spans="3:12" x14ac:dyDescent="0.25">
      <c r="C2494" s="7"/>
      <c r="E2494" s="8"/>
      <c r="F2494" s="8"/>
      <c r="G2494" s="8"/>
      <c r="H2494" s="8"/>
      <c r="I2494" s="8"/>
      <c r="J2494" s="8"/>
      <c r="K2494" s="8"/>
      <c r="L2494" s="8"/>
    </row>
    <row r="2495" spans="3:12" x14ac:dyDescent="0.25">
      <c r="C2495" s="7"/>
      <c r="E2495" s="8"/>
      <c r="F2495" s="8"/>
      <c r="G2495" s="8"/>
      <c r="H2495" s="8"/>
      <c r="I2495" s="8"/>
      <c r="J2495" s="8"/>
      <c r="K2495" s="8"/>
      <c r="L2495" s="8"/>
    </row>
    <row r="2496" spans="3:12" x14ac:dyDescent="0.25">
      <c r="C2496" s="7"/>
      <c r="E2496" s="8"/>
      <c r="F2496" s="8"/>
      <c r="G2496" s="8"/>
      <c r="H2496" s="8"/>
      <c r="I2496" s="8"/>
      <c r="J2496" s="8"/>
      <c r="K2496" s="8"/>
      <c r="L2496" s="8"/>
    </row>
    <row r="2497" spans="3:12" x14ac:dyDescent="0.25">
      <c r="C2497" s="7"/>
      <c r="E2497" s="8"/>
      <c r="F2497" s="8"/>
      <c r="G2497" s="8"/>
      <c r="H2497" s="8"/>
      <c r="I2497" s="8"/>
      <c r="J2497" s="8"/>
      <c r="K2497" s="8"/>
      <c r="L2497" s="8"/>
    </row>
    <row r="2498" spans="3:12" x14ac:dyDescent="0.25">
      <c r="C2498" s="7"/>
      <c r="E2498" s="8"/>
      <c r="F2498" s="8"/>
      <c r="G2498" s="8"/>
      <c r="H2498" s="8"/>
      <c r="I2498" s="8"/>
      <c r="J2498" s="8"/>
      <c r="K2498" s="8"/>
      <c r="L2498" s="8"/>
    </row>
    <row r="2499" spans="3:12" x14ac:dyDescent="0.25">
      <c r="C2499" s="7"/>
      <c r="E2499" s="8"/>
      <c r="F2499" s="8"/>
      <c r="G2499" s="8"/>
      <c r="H2499" s="8"/>
      <c r="I2499" s="8"/>
      <c r="J2499" s="8"/>
      <c r="K2499" s="8"/>
      <c r="L2499" s="8"/>
    </row>
    <row r="2500" spans="3:12" x14ac:dyDescent="0.25">
      <c r="C2500" s="7"/>
      <c r="E2500" s="8"/>
      <c r="F2500" s="8"/>
      <c r="G2500" s="8"/>
      <c r="H2500" s="8"/>
      <c r="I2500" s="8"/>
      <c r="J2500" s="8"/>
      <c r="K2500" s="8"/>
      <c r="L2500" s="8"/>
    </row>
    <row r="2501" spans="3:12" x14ac:dyDescent="0.25">
      <c r="C2501" s="7"/>
      <c r="E2501" s="8"/>
      <c r="F2501" s="8"/>
      <c r="G2501" s="8"/>
      <c r="H2501" s="8"/>
      <c r="I2501" s="8"/>
      <c r="J2501" s="8"/>
      <c r="K2501" s="8"/>
      <c r="L2501" s="8"/>
    </row>
    <row r="2502" spans="3:12" x14ac:dyDescent="0.25">
      <c r="C2502" s="7"/>
      <c r="E2502" s="8"/>
      <c r="F2502" s="8"/>
      <c r="G2502" s="8"/>
      <c r="H2502" s="8"/>
      <c r="I2502" s="8"/>
      <c r="J2502" s="8"/>
      <c r="K2502" s="8"/>
      <c r="L2502" s="8"/>
    </row>
    <row r="2503" spans="3:12" x14ac:dyDescent="0.25">
      <c r="C2503" s="7"/>
      <c r="E2503" s="8"/>
      <c r="F2503" s="8"/>
      <c r="G2503" s="8"/>
      <c r="H2503" s="8"/>
      <c r="I2503" s="8"/>
      <c r="J2503" s="8"/>
      <c r="K2503" s="8"/>
      <c r="L2503" s="8"/>
    </row>
    <row r="2504" spans="3:12" x14ac:dyDescent="0.25">
      <c r="C2504" s="7"/>
      <c r="E2504" s="8"/>
      <c r="F2504" s="8"/>
      <c r="G2504" s="8"/>
      <c r="H2504" s="8"/>
      <c r="I2504" s="8"/>
      <c r="J2504" s="8"/>
      <c r="K2504" s="8"/>
      <c r="L2504" s="8"/>
    </row>
    <row r="2505" spans="3:12" x14ac:dyDescent="0.25">
      <c r="C2505" s="7"/>
      <c r="E2505" s="8"/>
      <c r="F2505" s="8"/>
      <c r="G2505" s="8"/>
      <c r="H2505" s="8"/>
      <c r="I2505" s="8"/>
      <c r="J2505" s="8"/>
      <c r="K2505" s="8"/>
      <c r="L2505" s="8"/>
    </row>
    <row r="2506" spans="3:12" x14ac:dyDescent="0.25">
      <c r="C2506" s="7"/>
      <c r="E2506" s="8"/>
      <c r="F2506" s="8"/>
      <c r="G2506" s="8"/>
      <c r="H2506" s="8"/>
      <c r="I2506" s="8"/>
      <c r="J2506" s="8"/>
      <c r="K2506" s="8"/>
      <c r="L2506" s="8"/>
    </row>
    <row r="2507" spans="3:12" x14ac:dyDescent="0.25">
      <c r="C2507" s="7"/>
      <c r="E2507" s="8"/>
      <c r="F2507" s="8"/>
      <c r="G2507" s="8"/>
      <c r="H2507" s="8"/>
      <c r="I2507" s="8"/>
      <c r="J2507" s="8"/>
      <c r="K2507" s="8"/>
      <c r="L2507" s="8"/>
    </row>
    <row r="2508" spans="3:12" x14ac:dyDescent="0.25">
      <c r="C2508" s="7"/>
      <c r="E2508" s="8"/>
      <c r="F2508" s="8"/>
      <c r="G2508" s="8"/>
      <c r="H2508" s="8"/>
      <c r="I2508" s="8"/>
      <c r="J2508" s="8"/>
      <c r="K2508" s="8"/>
      <c r="L2508" s="8"/>
    </row>
    <row r="2509" spans="3:12" x14ac:dyDescent="0.25">
      <c r="C2509" s="7"/>
      <c r="E2509" s="8"/>
      <c r="F2509" s="8"/>
      <c r="G2509" s="8"/>
      <c r="H2509" s="8"/>
      <c r="I2509" s="8"/>
      <c r="J2509" s="8"/>
      <c r="K2509" s="8"/>
      <c r="L2509" s="8"/>
    </row>
    <row r="2510" spans="3:12" x14ac:dyDescent="0.25">
      <c r="C2510" s="7"/>
      <c r="E2510" s="8"/>
      <c r="F2510" s="8"/>
      <c r="G2510" s="8"/>
      <c r="H2510" s="8"/>
      <c r="I2510" s="8"/>
      <c r="J2510" s="8"/>
      <c r="K2510" s="8"/>
      <c r="L2510" s="8"/>
    </row>
    <row r="2511" spans="3:12" x14ac:dyDescent="0.25">
      <c r="C2511" s="7"/>
      <c r="E2511" s="8"/>
      <c r="F2511" s="8"/>
      <c r="G2511" s="8"/>
      <c r="H2511" s="8"/>
      <c r="I2511" s="8"/>
      <c r="J2511" s="8"/>
      <c r="K2511" s="8"/>
      <c r="L2511" s="8"/>
    </row>
    <row r="2512" spans="3:12" x14ac:dyDescent="0.25">
      <c r="C2512" s="7"/>
      <c r="E2512" s="8"/>
      <c r="F2512" s="8"/>
      <c r="G2512" s="8"/>
      <c r="H2512" s="8"/>
      <c r="I2512" s="8"/>
      <c r="J2512" s="8"/>
      <c r="K2512" s="8"/>
      <c r="L2512" s="8"/>
    </row>
    <row r="2513" spans="3:12" x14ac:dyDescent="0.25">
      <c r="C2513" s="7"/>
      <c r="E2513" s="8"/>
      <c r="F2513" s="8"/>
      <c r="G2513" s="8"/>
      <c r="H2513" s="8"/>
      <c r="I2513" s="8"/>
      <c r="J2513" s="8"/>
      <c r="K2513" s="8"/>
      <c r="L2513" s="8"/>
    </row>
    <row r="2514" spans="3:12" x14ac:dyDescent="0.25">
      <c r="C2514" s="7"/>
      <c r="E2514" s="8"/>
      <c r="F2514" s="8"/>
      <c r="G2514" s="8"/>
      <c r="H2514" s="8"/>
      <c r="I2514" s="8"/>
      <c r="J2514" s="8"/>
      <c r="K2514" s="8"/>
      <c r="L2514" s="8"/>
    </row>
    <row r="2515" spans="3:12" x14ac:dyDescent="0.25">
      <c r="C2515" s="7"/>
      <c r="E2515" s="8"/>
      <c r="F2515" s="8"/>
      <c r="G2515" s="8"/>
      <c r="H2515" s="8"/>
      <c r="I2515" s="8"/>
      <c r="J2515" s="8"/>
      <c r="K2515" s="8"/>
      <c r="L2515" s="8"/>
    </row>
    <row r="2516" spans="3:12" x14ac:dyDescent="0.25">
      <c r="C2516" s="7"/>
      <c r="E2516" s="8"/>
      <c r="F2516" s="8"/>
      <c r="G2516" s="8"/>
      <c r="H2516" s="8"/>
      <c r="I2516" s="8"/>
      <c r="J2516" s="8"/>
      <c r="K2516" s="8"/>
      <c r="L2516" s="8"/>
    </row>
    <row r="2517" spans="3:12" x14ac:dyDescent="0.25">
      <c r="C2517" s="7"/>
      <c r="E2517" s="8"/>
      <c r="F2517" s="8"/>
      <c r="G2517" s="8"/>
      <c r="H2517" s="8"/>
      <c r="I2517" s="8"/>
      <c r="J2517" s="8"/>
      <c r="K2517" s="8"/>
      <c r="L2517" s="8"/>
    </row>
    <row r="2518" spans="3:12" x14ac:dyDescent="0.25">
      <c r="C2518" s="7"/>
      <c r="E2518" s="8"/>
      <c r="F2518" s="8"/>
      <c r="G2518" s="8"/>
      <c r="H2518" s="8"/>
      <c r="I2518" s="8"/>
      <c r="J2518" s="8"/>
      <c r="K2518" s="8"/>
      <c r="L2518" s="8"/>
    </row>
    <row r="2519" spans="3:12" x14ac:dyDescent="0.25">
      <c r="C2519" s="7"/>
      <c r="E2519" s="8"/>
      <c r="F2519" s="8"/>
      <c r="G2519" s="8"/>
      <c r="H2519" s="8"/>
      <c r="I2519" s="8"/>
      <c r="J2519" s="8"/>
      <c r="K2519" s="8"/>
      <c r="L2519" s="8"/>
    </row>
    <row r="2520" spans="3:12" x14ac:dyDescent="0.25">
      <c r="C2520" s="7"/>
      <c r="E2520" s="8"/>
      <c r="F2520" s="8"/>
      <c r="G2520" s="8"/>
      <c r="H2520" s="8"/>
      <c r="I2520" s="8"/>
      <c r="J2520" s="8"/>
      <c r="K2520" s="8"/>
      <c r="L2520" s="8"/>
    </row>
    <row r="2521" spans="3:12" x14ac:dyDescent="0.25">
      <c r="C2521" s="7"/>
      <c r="E2521" s="8"/>
      <c r="F2521" s="8"/>
      <c r="G2521" s="8"/>
      <c r="H2521" s="8"/>
      <c r="I2521" s="8"/>
      <c r="J2521" s="8"/>
      <c r="K2521" s="8"/>
      <c r="L2521" s="8"/>
    </row>
    <row r="2522" spans="3:12" x14ac:dyDescent="0.25">
      <c r="C2522" s="7"/>
      <c r="E2522" s="8"/>
      <c r="F2522" s="8"/>
      <c r="G2522" s="8"/>
      <c r="H2522" s="8"/>
      <c r="I2522" s="8"/>
      <c r="J2522" s="8"/>
      <c r="K2522" s="8"/>
      <c r="L2522" s="8"/>
    </row>
    <row r="2523" spans="3:12" x14ac:dyDescent="0.25">
      <c r="C2523" s="7"/>
      <c r="E2523" s="8"/>
      <c r="F2523" s="8"/>
      <c r="G2523" s="8"/>
      <c r="H2523" s="8"/>
      <c r="I2523" s="8"/>
      <c r="J2523" s="8"/>
      <c r="K2523" s="8"/>
      <c r="L2523" s="8"/>
    </row>
    <row r="2524" spans="3:12" x14ac:dyDescent="0.25">
      <c r="C2524" s="7"/>
      <c r="E2524" s="8"/>
      <c r="F2524" s="8"/>
      <c r="G2524" s="8"/>
      <c r="H2524" s="8"/>
      <c r="I2524" s="8"/>
      <c r="J2524" s="8"/>
      <c r="K2524" s="8"/>
      <c r="L2524" s="8"/>
    </row>
    <row r="2525" spans="3:12" x14ac:dyDescent="0.25">
      <c r="C2525" s="7"/>
      <c r="E2525" s="8"/>
      <c r="F2525" s="8"/>
      <c r="G2525" s="8"/>
      <c r="H2525" s="8"/>
      <c r="I2525" s="8"/>
      <c r="J2525" s="8"/>
      <c r="K2525" s="8"/>
      <c r="L2525" s="8"/>
    </row>
    <row r="2526" spans="3:12" x14ac:dyDescent="0.25">
      <c r="C2526" s="7"/>
      <c r="E2526" s="8"/>
      <c r="F2526" s="8"/>
      <c r="G2526" s="8"/>
      <c r="H2526" s="8"/>
      <c r="I2526" s="8"/>
      <c r="J2526" s="8"/>
      <c r="K2526" s="8"/>
      <c r="L2526" s="8"/>
    </row>
    <row r="2527" spans="3:12" x14ac:dyDescent="0.25">
      <c r="C2527" s="7"/>
      <c r="E2527" s="8"/>
      <c r="F2527" s="8"/>
      <c r="G2527" s="8"/>
      <c r="H2527" s="8"/>
      <c r="I2527" s="8"/>
      <c r="J2527" s="8"/>
      <c r="K2527" s="8"/>
      <c r="L2527" s="8"/>
    </row>
    <row r="2528" spans="3:12" x14ac:dyDescent="0.25">
      <c r="C2528" s="7"/>
      <c r="E2528" s="8"/>
      <c r="F2528" s="8"/>
      <c r="G2528" s="8"/>
      <c r="H2528" s="8"/>
      <c r="I2528" s="8"/>
      <c r="J2528" s="8"/>
      <c r="K2528" s="8"/>
      <c r="L2528" s="8"/>
    </row>
    <row r="2529" spans="3:12" x14ac:dyDescent="0.25">
      <c r="C2529" s="7"/>
      <c r="E2529" s="8"/>
      <c r="F2529" s="8"/>
      <c r="G2529" s="8"/>
      <c r="H2529" s="8"/>
      <c r="I2529" s="8"/>
      <c r="J2529" s="8"/>
      <c r="K2529" s="8"/>
      <c r="L2529" s="8"/>
    </row>
    <row r="2530" spans="3:12" x14ac:dyDescent="0.25">
      <c r="C2530" s="7"/>
      <c r="E2530" s="8"/>
      <c r="F2530" s="8"/>
      <c r="G2530" s="8"/>
      <c r="H2530" s="8"/>
      <c r="I2530" s="8"/>
      <c r="J2530" s="8"/>
      <c r="K2530" s="8"/>
      <c r="L2530" s="8"/>
    </row>
    <row r="2531" spans="3:12" x14ac:dyDescent="0.25">
      <c r="C2531" s="7"/>
      <c r="E2531" s="8"/>
      <c r="F2531" s="8"/>
      <c r="G2531" s="8"/>
      <c r="H2531" s="8"/>
      <c r="I2531" s="8"/>
      <c r="J2531" s="8"/>
      <c r="K2531" s="8"/>
      <c r="L2531" s="8"/>
    </row>
    <row r="2532" spans="3:12" x14ac:dyDescent="0.25">
      <c r="C2532" s="7"/>
      <c r="E2532" s="8"/>
      <c r="F2532" s="8"/>
      <c r="G2532" s="8"/>
      <c r="H2532" s="8"/>
      <c r="I2532" s="8"/>
      <c r="J2532" s="8"/>
      <c r="K2532" s="8"/>
      <c r="L2532" s="8"/>
    </row>
    <row r="2533" spans="3:12" x14ac:dyDescent="0.25">
      <c r="C2533" s="7"/>
      <c r="E2533" s="8"/>
      <c r="F2533" s="8"/>
      <c r="G2533" s="8"/>
      <c r="H2533" s="8"/>
      <c r="I2533" s="8"/>
      <c r="J2533" s="8"/>
      <c r="K2533" s="8"/>
      <c r="L2533" s="8"/>
    </row>
    <row r="2534" spans="3:12" x14ac:dyDescent="0.25">
      <c r="C2534" s="7"/>
      <c r="E2534" s="8"/>
      <c r="F2534" s="8"/>
      <c r="G2534" s="8"/>
      <c r="H2534" s="8"/>
      <c r="I2534" s="8"/>
      <c r="J2534" s="8"/>
      <c r="K2534" s="8"/>
      <c r="L2534" s="8"/>
    </row>
    <row r="2535" spans="3:12" x14ac:dyDescent="0.25">
      <c r="C2535" s="7"/>
      <c r="E2535" s="8"/>
      <c r="F2535" s="8"/>
      <c r="G2535" s="8"/>
      <c r="H2535" s="8"/>
      <c r="I2535" s="8"/>
      <c r="J2535" s="8"/>
      <c r="K2535" s="8"/>
      <c r="L2535" s="8"/>
    </row>
    <row r="2536" spans="3:12" x14ac:dyDescent="0.25">
      <c r="C2536" s="7"/>
      <c r="E2536" s="8"/>
      <c r="F2536" s="8"/>
      <c r="G2536" s="8"/>
      <c r="H2536" s="8"/>
      <c r="I2536" s="8"/>
      <c r="J2536" s="8"/>
      <c r="K2536" s="8"/>
      <c r="L2536" s="8"/>
    </row>
    <row r="2537" spans="3:12" x14ac:dyDescent="0.25">
      <c r="C2537" s="7"/>
      <c r="E2537" s="8"/>
      <c r="F2537" s="8"/>
      <c r="G2537" s="8"/>
      <c r="H2537" s="8"/>
      <c r="I2537" s="8"/>
      <c r="J2537" s="8"/>
      <c r="K2537" s="8"/>
      <c r="L2537" s="8"/>
    </row>
    <row r="2538" spans="3:12" x14ac:dyDescent="0.25">
      <c r="C2538" s="7"/>
      <c r="E2538" s="8"/>
      <c r="F2538" s="8"/>
      <c r="G2538" s="8"/>
      <c r="H2538" s="8"/>
      <c r="I2538" s="8"/>
      <c r="J2538" s="8"/>
      <c r="K2538" s="8"/>
      <c r="L2538" s="8"/>
    </row>
    <row r="2539" spans="3:12" x14ac:dyDescent="0.25">
      <c r="C2539" s="7"/>
      <c r="E2539" s="8"/>
      <c r="F2539" s="8"/>
      <c r="G2539" s="8"/>
      <c r="H2539" s="8"/>
      <c r="I2539" s="8"/>
      <c r="J2539" s="8"/>
      <c r="K2539" s="8"/>
      <c r="L2539" s="8"/>
    </row>
    <row r="2540" spans="3:12" x14ac:dyDescent="0.25">
      <c r="C2540" s="7"/>
      <c r="E2540" s="8"/>
      <c r="F2540" s="8"/>
      <c r="G2540" s="8"/>
      <c r="H2540" s="8"/>
      <c r="I2540" s="8"/>
      <c r="J2540" s="8"/>
      <c r="K2540" s="8"/>
      <c r="L2540" s="8"/>
    </row>
    <row r="2541" spans="3:12" x14ac:dyDescent="0.25">
      <c r="C2541" s="7"/>
      <c r="E2541" s="8"/>
      <c r="F2541" s="8"/>
      <c r="G2541" s="8"/>
      <c r="H2541" s="8"/>
      <c r="I2541" s="8"/>
      <c r="J2541" s="8"/>
      <c r="K2541" s="8"/>
      <c r="L2541" s="8"/>
    </row>
    <row r="2542" spans="3:12" x14ac:dyDescent="0.25">
      <c r="C2542" s="7"/>
      <c r="E2542" s="8"/>
      <c r="F2542" s="8"/>
      <c r="G2542" s="8"/>
      <c r="H2542" s="8"/>
      <c r="I2542" s="8"/>
      <c r="J2542" s="8"/>
      <c r="K2542" s="8"/>
      <c r="L2542" s="8"/>
    </row>
    <row r="2543" spans="3:12" x14ac:dyDescent="0.25">
      <c r="C2543" s="7"/>
      <c r="E2543" s="8"/>
      <c r="F2543" s="8"/>
      <c r="G2543" s="8"/>
      <c r="H2543" s="8"/>
      <c r="I2543" s="8"/>
      <c r="J2543" s="8"/>
      <c r="K2543" s="8"/>
      <c r="L2543" s="8"/>
    </row>
    <row r="2544" spans="3:12" x14ac:dyDescent="0.25">
      <c r="C2544" s="7"/>
      <c r="E2544" s="8"/>
      <c r="F2544" s="8"/>
      <c r="G2544" s="8"/>
      <c r="H2544" s="8"/>
      <c r="I2544" s="8"/>
      <c r="J2544" s="8"/>
      <c r="K2544" s="8"/>
      <c r="L2544" s="8"/>
    </row>
    <row r="2545" spans="3:12" x14ac:dyDescent="0.25">
      <c r="C2545" s="7"/>
      <c r="E2545" s="8"/>
      <c r="F2545" s="8"/>
      <c r="G2545" s="8"/>
      <c r="H2545" s="8"/>
      <c r="I2545" s="8"/>
      <c r="J2545" s="8"/>
      <c r="K2545" s="8"/>
      <c r="L2545" s="8"/>
    </row>
    <row r="2546" spans="3:12" x14ac:dyDescent="0.25">
      <c r="C2546" s="7"/>
      <c r="E2546" s="8"/>
      <c r="F2546" s="8"/>
      <c r="G2546" s="8"/>
      <c r="H2546" s="8"/>
      <c r="I2546" s="8"/>
      <c r="J2546" s="8"/>
      <c r="K2546" s="8"/>
      <c r="L2546" s="8"/>
    </row>
    <row r="2547" spans="3:12" x14ac:dyDescent="0.25">
      <c r="C2547" s="7"/>
      <c r="E2547" s="8"/>
      <c r="F2547" s="8"/>
      <c r="G2547" s="8"/>
      <c r="H2547" s="8"/>
      <c r="I2547" s="8"/>
      <c r="J2547" s="8"/>
      <c r="K2547" s="8"/>
      <c r="L2547" s="8"/>
    </row>
    <row r="2548" spans="3:12" x14ac:dyDescent="0.25">
      <c r="C2548" s="7"/>
      <c r="E2548" s="8"/>
      <c r="F2548" s="8"/>
      <c r="G2548" s="8"/>
      <c r="H2548" s="8"/>
      <c r="I2548" s="8"/>
      <c r="J2548" s="8"/>
      <c r="K2548" s="8"/>
      <c r="L2548" s="8"/>
    </row>
    <row r="2549" spans="3:12" x14ac:dyDescent="0.25">
      <c r="C2549" s="7"/>
      <c r="E2549" s="8"/>
      <c r="F2549" s="8"/>
      <c r="G2549" s="8"/>
      <c r="H2549" s="8"/>
      <c r="I2549" s="8"/>
      <c r="J2549" s="8"/>
      <c r="K2549" s="8"/>
      <c r="L2549" s="8"/>
    </row>
    <row r="2550" spans="3:12" x14ac:dyDescent="0.25">
      <c r="C2550" s="7"/>
      <c r="E2550" s="8"/>
      <c r="F2550" s="8"/>
      <c r="G2550" s="8"/>
      <c r="H2550" s="8"/>
      <c r="I2550" s="8"/>
      <c r="J2550" s="8"/>
      <c r="K2550" s="8"/>
      <c r="L2550" s="8"/>
    </row>
    <row r="2551" spans="3:12" x14ac:dyDescent="0.25">
      <c r="C2551" s="7"/>
      <c r="E2551" s="8"/>
      <c r="F2551" s="8"/>
      <c r="G2551" s="8"/>
      <c r="H2551" s="8"/>
      <c r="I2551" s="8"/>
      <c r="J2551" s="8"/>
      <c r="K2551" s="8"/>
      <c r="L2551" s="8"/>
    </row>
    <row r="2552" spans="3:12" x14ac:dyDescent="0.25">
      <c r="C2552" s="7"/>
      <c r="E2552" s="8"/>
      <c r="F2552" s="8"/>
      <c r="G2552" s="8"/>
      <c r="H2552" s="8"/>
      <c r="I2552" s="8"/>
      <c r="J2552" s="8"/>
      <c r="K2552" s="8"/>
      <c r="L2552" s="8"/>
    </row>
    <row r="2553" spans="3:12" x14ac:dyDescent="0.25">
      <c r="C2553" s="7"/>
      <c r="E2553" s="8"/>
      <c r="F2553" s="8"/>
      <c r="G2553" s="8"/>
      <c r="H2553" s="8"/>
      <c r="I2553" s="8"/>
      <c r="J2553" s="8"/>
      <c r="K2553" s="8"/>
      <c r="L2553" s="8"/>
    </row>
    <row r="2554" spans="3:12" x14ac:dyDescent="0.25">
      <c r="C2554" s="7"/>
      <c r="E2554" s="8"/>
      <c r="F2554" s="8"/>
      <c r="G2554" s="8"/>
      <c r="H2554" s="8"/>
      <c r="I2554" s="8"/>
      <c r="J2554" s="8"/>
      <c r="K2554" s="8"/>
      <c r="L2554" s="8"/>
    </row>
    <row r="2555" spans="3:12" x14ac:dyDescent="0.25">
      <c r="C2555" s="7"/>
      <c r="E2555" s="8"/>
      <c r="F2555" s="8"/>
      <c r="G2555" s="8"/>
      <c r="H2555" s="8"/>
      <c r="I2555" s="8"/>
      <c r="J2555" s="8"/>
      <c r="K2555" s="8"/>
      <c r="L2555" s="8"/>
    </row>
    <row r="2556" spans="3:12" x14ac:dyDescent="0.25">
      <c r="C2556" s="7"/>
      <c r="E2556" s="8"/>
      <c r="F2556" s="8"/>
      <c r="G2556" s="8"/>
      <c r="H2556" s="8"/>
      <c r="I2556" s="8"/>
      <c r="J2556" s="8"/>
      <c r="K2556" s="8"/>
      <c r="L2556" s="8"/>
    </row>
  </sheetData>
  <printOptions horizontalCentered="1" verticalCentered="1"/>
  <pageMargins left="0.59055118110236227" right="0.39370078740157483" top="0.59055118110236227" bottom="0.6692913385826772" header="0.19685039370078741" footer="0.19685039370078741"/>
  <pageSetup paperSize="9" orientation="portrait" r:id="rId1"/>
  <headerFooter alignWithMargins="0">
    <oddHeader>&amp;C&amp;"Arial,Regular"LogiCamms</oddHeader>
    <oddFooter>&amp;L&amp;"Arial,Regular"&amp;8File : &amp;F
Sheet : &amp;A
Form: LCM-QA-TEM-0008 - Book (Excel)
© Copyright LogiCamms&amp;R&amp;"Arial,Regular"&amp;8Revision : 0
Printed : &amp;T &amp;D
Page &amp;P of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556"/>
  <sheetViews>
    <sheetView zoomScale="80" zoomScaleNormal="80" zoomScaleSheetLayoutView="75" workbookViewId="0">
      <selection activeCell="E17" sqref="E17"/>
    </sheetView>
  </sheetViews>
  <sheetFormatPr defaultRowHeight="15" x14ac:dyDescent="0.25"/>
  <cols>
    <col min="1" max="1" width="10.85546875" bestFit="1" customWidth="1"/>
    <col min="2" max="2" width="21.28515625" bestFit="1" customWidth="1"/>
    <col min="3" max="3" width="10.5703125" bestFit="1" customWidth="1"/>
    <col min="4" max="4" width="8.5703125" bestFit="1" customWidth="1"/>
    <col min="5" max="5" width="13.42578125" bestFit="1" customWidth="1"/>
    <col min="6" max="6" width="11.7109375" bestFit="1" customWidth="1"/>
    <col min="7" max="7" width="13.5703125" bestFit="1" customWidth="1"/>
    <col min="8" max="8" width="11.5703125" bestFit="1" customWidth="1"/>
    <col min="9" max="9" width="12.85546875" bestFit="1" customWidth="1"/>
    <col min="10" max="10" width="11.28515625" bestFit="1" customWidth="1"/>
    <col min="11" max="11" width="12.7109375" bestFit="1" customWidth="1"/>
    <col min="12" max="12" width="11" bestFit="1" customWidth="1"/>
  </cols>
  <sheetData>
    <row r="1" spans="1:12" x14ac:dyDescent="0.25">
      <c r="A1" t="s">
        <v>38</v>
      </c>
      <c r="B1" t="s">
        <v>29</v>
      </c>
      <c r="C1" t="s">
        <v>39</v>
      </c>
      <c r="D1" t="s">
        <v>4</v>
      </c>
      <c r="E1" t="s">
        <v>30</v>
      </c>
      <c r="F1" t="s">
        <v>31</v>
      </c>
      <c r="G1" t="s">
        <v>32</v>
      </c>
      <c r="H1" t="s">
        <v>33</v>
      </c>
      <c r="I1" t="s">
        <v>34</v>
      </c>
      <c r="J1" t="s">
        <v>35</v>
      </c>
      <c r="K1" t="s">
        <v>36</v>
      </c>
      <c r="L1" t="s">
        <v>37</v>
      </c>
    </row>
    <row r="2" spans="1:12" x14ac:dyDescent="0.25">
      <c r="A2" s="6">
        <v>41271</v>
      </c>
      <c r="B2" t="s">
        <v>40</v>
      </c>
      <c r="C2" s="7" t="s">
        <v>41</v>
      </c>
      <c r="D2" t="s">
        <v>41</v>
      </c>
      <c r="E2" s="8">
        <v>3000</v>
      </c>
      <c r="F2" s="8"/>
      <c r="G2" s="8">
        <v>0</v>
      </c>
      <c r="H2" s="8"/>
      <c r="I2" s="8">
        <v>0</v>
      </c>
      <c r="J2" s="8"/>
      <c r="K2" s="8">
        <v>0</v>
      </c>
      <c r="L2" s="8"/>
    </row>
    <row r="3" spans="1:12" x14ac:dyDescent="0.25">
      <c r="A3" s="6">
        <v>41272</v>
      </c>
      <c r="B3" t="s">
        <v>67</v>
      </c>
      <c r="C3" s="7">
        <v>5200</v>
      </c>
      <c r="D3" t="s">
        <v>6</v>
      </c>
      <c r="E3" s="8">
        <f>E2+F3</f>
        <v>8200</v>
      </c>
      <c r="F3" s="8">
        <f>IF($D3="CR01",$C3,0)</f>
        <v>5200</v>
      </c>
      <c r="G3" s="8">
        <f>G2+H3</f>
        <v>0</v>
      </c>
      <c r="H3" s="8">
        <f>IF($D3="VISA",$C3,0)</f>
        <v>0</v>
      </c>
      <c r="I3" s="8">
        <f>I2+J3</f>
        <v>0</v>
      </c>
      <c r="J3" s="8">
        <f>IF($D3="ACC",$C3,0)</f>
        <v>0</v>
      </c>
      <c r="K3" s="8">
        <f>K2+L3</f>
        <v>0</v>
      </c>
      <c r="L3" s="8">
        <f>IF($D3="CBB",$C3,0)</f>
        <v>0</v>
      </c>
    </row>
    <row r="4" spans="1:12" x14ac:dyDescent="0.25">
      <c r="A4" s="6">
        <v>41275</v>
      </c>
      <c r="B4" t="s">
        <v>42</v>
      </c>
      <c r="C4" s="7">
        <v>-2806</v>
      </c>
      <c r="D4" t="s">
        <v>6</v>
      </c>
      <c r="E4" s="8">
        <f>E3+F4</f>
        <v>5394</v>
      </c>
      <c r="F4" s="8">
        <f>IF($D4="CR01",$C4,0)</f>
        <v>-2806</v>
      </c>
      <c r="G4" s="8">
        <f>G3+H4</f>
        <v>0</v>
      </c>
      <c r="H4" s="8">
        <f>IF($D4="VISA",$C4,0)</f>
        <v>0</v>
      </c>
      <c r="I4" s="8">
        <f>I3+J4</f>
        <v>0</v>
      </c>
      <c r="J4" s="8">
        <f>IF($D4="ACC",$C4,0)</f>
        <v>0</v>
      </c>
      <c r="K4" s="8">
        <f>K3+L4</f>
        <v>0</v>
      </c>
      <c r="L4" s="8">
        <f>IF($D4="CBB",$C4,0)</f>
        <v>0</v>
      </c>
    </row>
    <row r="5" spans="1:12" x14ac:dyDescent="0.25">
      <c r="A5" s="6">
        <v>41275</v>
      </c>
      <c r="B5" t="s">
        <v>48</v>
      </c>
      <c r="C5" s="7">
        <v>-100</v>
      </c>
      <c r="D5" t="s">
        <v>6</v>
      </c>
      <c r="E5" s="8">
        <f>E4+F5</f>
        <v>5294</v>
      </c>
      <c r="F5" s="8">
        <f>IF($D5="CR01",$C5,0)</f>
        <v>-100</v>
      </c>
      <c r="G5" s="8">
        <f>G4+H5</f>
        <v>0</v>
      </c>
      <c r="H5" s="8">
        <f>IF($D5="VISA",$C5,0)</f>
        <v>0</v>
      </c>
      <c r="I5" s="8">
        <f>I4+J5</f>
        <v>0</v>
      </c>
      <c r="J5" s="8">
        <f>IF($D5="ACC",$C5,0)</f>
        <v>0</v>
      </c>
      <c r="K5" s="8">
        <f>K4+L5</f>
        <v>0</v>
      </c>
      <c r="L5" s="8">
        <f>IF($D5="CBB",$C5,0)</f>
        <v>0</v>
      </c>
    </row>
    <row r="6" spans="1:12" x14ac:dyDescent="0.25">
      <c r="A6" s="6">
        <v>41275</v>
      </c>
      <c r="B6" t="s">
        <v>58</v>
      </c>
      <c r="C6" s="7">
        <v>-200</v>
      </c>
      <c r="D6" t="s">
        <v>6</v>
      </c>
      <c r="E6" s="8">
        <f>E5+F6</f>
        <v>5094</v>
      </c>
      <c r="F6" s="8">
        <f>IF($D6="CR01",$C6,0)</f>
        <v>-200</v>
      </c>
      <c r="G6" s="8">
        <f>G5+H6</f>
        <v>0</v>
      </c>
      <c r="H6" s="8">
        <f>IF($D6="VISA",$C6,0)</f>
        <v>0</v>
      </c>
      <c r="I6" s="8">
        <f>I5+J6</f>
        <v>0</v>
      </c>
      <c r="J6" s="8">
        <f>IF($D6="ACC",$C6,0)</f>
        <v>0</v>
      </c>
      <c r="K6" s="8">
        <f>K5+L6</f>
        <v>0</v>
      </c>
      <c r="L6" s="8">
        <f>IF($D6="CBB",$C6,0)</f>
        <v>0</v>
      </c>
    </row>
    <row r="7" spans="1:12" x14ac:dyDescent="0.25">
      <c r="A7" s="6">
        <v>41275</v>
      </c>
      <c r="B7" t="s">
        <v>60</v>
      </c>
      <c r="C7" s="7">
        <v>-400</v>
      </c>
      <c r="D7" t="s">
        <v>6</v>
      </c>
      <c r="E7" s="8">
        <f>E6+F7</f>
        <v>4694</v>
      </c>
      <c r="F7" s="8">
        <f>IF($D7="CR01",$C7,0)</f>
        <v>-400</v>
      </c>
      <c r="G7" s="8">
        <f>G6+H7</f>
        <v>0</v>
      </c>
      <c r="H7" s="8">
        <f>IF($D7="VISA",$C7,0)</f>
        <v>0</v>
      </c>
      <c r="I7" s="8">
        <f>I6+J7</f>
        <v>0</v>
      </c>
      <c r="J7" s="8">
        <f>IF($D7="ACC",$C7,0)</f>
        <v>0</v>
      </c>
      <c r="K7" s="8">
        <f>K6+L7</f>
        <v>0</v>
      </c>
      <c r="L7" s="8">
        <f>IF($D7="CBB",$C7,0)</f>
        <v>0</v>
      </c>
    </row>
    <row r="8" spans="1:12" x14ac:dyDescent="0.25">
      <c r="A8" s="6">
        <v>41275</v>
      </c>
      <c r="B8" t="s">
        <v>61</v>
      </c>
      <c r="C8" s="7">
        <v>-300</v>
      </c>
      <c r="D8" t="s">
        <v>6</v>
      </c>
      <c r="E8" s="8">
        <f>E7+F8</f>
        <v>4394</v>
      </c>
      <c r="F8" s="8">
        <f>IF($D8="CR01",$C8,0)</f>
        <v>-300</v>
      </c>
      <c r="G8" s="8">
        <f>G7+H8</f>
        <v>0</v>
      </c>
      <c r="H8" s="8">
        <f>IF($D8="VISA",$C8,0)</f>
        <v>0</v>
      </c>
      <c r="I8" s="8">
        <f>I7+J8</f>
        <v>0</v>
      </c>
      <c r="J8" s="8">
        <f>IF($D8="ACC",$C8,0)</f>
        <v>0</v>
      </c>
      <c r="K8" s="8">
        <f>K7+L8</f>
        <v>0</v>
      </c>
      <c r="L8" s="8">
        <f>IF($D8="CBB",$C8,0)</f>
        <v>0</v>
      </c>
    </row>
    <row r="9" spans="1:12" x14ac:dyDescent="0.25">
      <c r="A9" s="6">
        <v>41275</v>
      </c>
      <c r="B9" t="s">
        <v>64</v>
      </c>
      <c r="C9" s="7">
        <v>-26</v>
      </c>
      <c r="D9" t="s">
        <v>6</v>
      </c>
      <c r="E9" s="8">
        <f>E8+F9</f>
        <v>4368</v>
      </c>
      <c r="F9" s="8">
        <f>IF($D9="CR01",$C9,0)</f>
        <v>-26</v>
      </c>
      <c r="G9" s="8">
        <f>G8+H9</f>
        <v>0</v>
      </c>
      <c r="H9" s="8">
        <f>IF($D9="VISA",$C9,0)</f>
        <v>0</v>
      </c>
      <c r="I9" s="8">
        <f>I8+J9</f>
        <v>0</v>
      </c>
      <c r="J9" s="8">
        <f>IF($D9="ACC",$C9,0)</f>
        <v>0</v>
      </c>
      <c r="K9" s="8">
        <f>K8+L9</f>
        <v>0</v>
      </c>
      <c r="L9" s="8">
        <f>IF($D9="CBB",$C9,0)</f>
        <v>0</v>
      </c>
    </row>
    <row r="10" spans="1:12" x14ac:dyDescent="0.25">
      <c r="A10" s="6">
        <v>41275</v>
      </c>
      <c r="B10" t="s">
        <v>65</v>
      </c>
      <c r="C10" s="7">
        <v>-240</v>
      </c>
      <c r="D10" t="s">
        <v>6</v>
      </c>
      <c r="E10" s="8">
        <f>E9+F10</f>
        <v>4128</v>
      </c>
      <c r="F10" s="8">
        <f>IF($D10="CR01",$C10,0)</f>
        <v>-240</v>
      </c>
      <c r="G10" s="8">
        <f>G9+H10</f>
        <v>0</v>
      </c>
      <c r="H10" s="8">
        <f>IF($D10="VISA",$C10,0)</f>
        <v>0</v>
      </c>
      <c r="I10" s="8">
        <f>I9+J10</f>
        <v>0</v>
      </c>
      <c r="J10" s="8">
        <f>IF($D10="ACC",$C10,0)</f>
        <v>0</v>
      </c>
      <c r="K10" s="8">
        <f>K9+L10</f>
        <v>0</v>
      </c>
      <c r="L10" s="8">
        <f>IF($D10="CBB",$C10,0)</f>
        <v>0</v>
      </c>
    </row>
    <row r="11" spans="1:12" x14ac:dyDescent="0.25">
      <c r="A11" s="6">
        <v>41275</v>
      </c>
      <c r="B11" t="s">
        <v>66</v>
      </c>
      <c r="C11" s="7">
        <v>-120</v>
      </c>
      <c r="D11" t="s">
        <v>6</v>
      </c>
      <c r="E11" s="8">
        <f>E10+F11</f>
        <v>4008</v>
      </c>
      <c r="F11" s="8">
        <f>IF($D11="CR01",$C11,0)</f>
        <v>-120</v>
      </c>
      <c r="G11" s="8">
        <f>G10+H11</f>
        <v>0</v>
      </c>
      <c r="H11" s="8">
        <f>IF($D11="VISA",$C11,0)</f>
        <v>0</v>
      </c>
      <c r="I11" s="8">
        <f>I10+J11</f>
        <v>0</v>
      </c>
      <c r="J11" s="8">
        <f>IF($D11="ACC",$C11,0)</f>
        <v>0</v>
      </c>
      <c r="K11" s="8">
        <f>K10+L11</f>
        <v>0</v>
      </c>
      <c r="L11" s="8">
        <f>IF($D11="CBB",$C11,0)</f>
        <v>0</v>
      </c>
    </row>
    <row r="12" spans="1:12" x14ac:dyDescent="0.25">
      <c r="A12" s="6">
        <v>41275</v>
      </c>
      <c r="B12" t="s">
        <v>69</v>
      </c>
      <c r="C12" s="7">
        <v>-1500</v>
      </c>
      <c r="D12" t="s">
        <v>6</v>
      </c>
      <c r="E12" s="8">
        <f>E11+F12</f>
        <v>2508</v>
      </c>
      <c r="F12" s="8">
        <f>IF($D12="CR01",$C12,0)</f>
        <v>-1500</v>
      </c>
      <c r="G12" s="8">
        <f>G11+H12</f>
        <v>0</v>
      </c>
      <c r="H12" s="8">
        <f>IF($D12="VISA",$C12,0)</f>
        <v>0</v>
      </c>
      <c r="I12" s="8">
        <f>I11+J12</f>
        <v>0</v>
      </c>
      <c r="J12" s="8">
        <f>IF($D12="ACC",$C12,0)</f>
        <v>0</v>
      </c>
      <c r="K12" s="8">
        <f>K11+L12</f>
        <v>0</v>
      </c>
      <c r="L12" s="8">
        <f>IF($D12="CBB",$C12,0)</f>
        <v>0</v>
      </c>
    </row>
    <row r="13" spans="1:12" x14ac:dyDescent="0.25">
      <c r="A13" s="6">
        <v>41276</v>
      </c>
      <c r="B13" t="s">
        <v>47</v>
      </c>
      <c r="C13" s="7">
        <v>-120</v>
      </c>
      <c r="D13" t="s">
        <v>6</v>
      </c>
      <c r="E13" s="8">
        <f>E12+F13</f>
        <v>2388</v>
      </c>
      <c r="F13" s="8">
        <f>IF($D13="CR01",$C13,0)</f>
        <v>-120</v>
      </c>
      <c r="G13" s="8">
        <f>G12+H13</f>
        <v>0</v>
      </c>
      <c r="H13" s="8">
        <f>IF($D13="VISA",$C13,0)</f>
        <v>0</v>
      </c>
      <c r="I13" s="8">
        <f>I12+J13</f>
        <v>0</v>
      </c>
      <c r="J13" s="8">
        <f>IF($D13="ACC",$C13,0)</f>
        <v>0</v>
      </c>
      <c r="K13" s="8">
        <f>K12+L13</f>
        <v>0</v>
      </c>
      <c r="L13" s="8">
        <f>IF($D13="CBB",$C13,0)</f>
        <v>0</v>
      </c>
    </row>
    <row r="14" spans="1:12" x14ac:dyDescent="0.25">
      <c r="A14" s="6">
        <v>41276</v>
      </c>
      <c r="B14" t="s">
        <v>59</v>
      </c>
      <c r="C14" s="7">
        <v>-900</v>
      </c>
      <c r="D14" t="s">
        <v>6</v>
      </c>
      <c r="E14" s="8">
        <f>E13+F14</f>
        <v>1488</v>
      </c>
      <c r="F14" s="8">
        <f>IF($D14="CR01",$C14,0)</f>
        <v>-900</v>
      </c>
      <c r="G14" s="8">
        <f>G13+H14</f>
        <v>0</v>
      </c>
      <c r="H14" s="8">
        <f>IF($D14="VISA",$C14,0)</f>
        <v>0</v>
      </c>
      <c r="I14" s="8">
        <f>I13+J14</f>
        <v>0</v>
      </c>
      <c r="J14" s="8">
        <f>IF($D14="ACC",$C14,0)</f>
        <v>0</v>
      </c>
      <c r="K14" s="8">
        <f>K13+L14</f>
        <v>0</v>
      </c>
      <c r="L14" s="8">
        <f>IF($D14="CBB",$C14,0)</f>
        <v>0</v>
      </c>
    </row>
    <row r="15" spans="1:12" x14ac:dyDescent="0.25">
      <c r="A15" s="6">
        <v>41277</v>
      </c>
      <c r="B15" t="s">
        <v>44</v>
      </c>
      <c r="C15" s="7">
        <v>-400</v>
      </c>
      <c r="D15" t="s">
        <v>6</v>
      </c>
      <c r="E15" s="8">
        <f>E14+F15</f>
        <v>1088</v>
      </c>
      <c r="F15" s="8">
        <f>IF($D15="CR01",$C15,0)</f>
        <v>-400</v>
      </c>
      <c r="G15" s="8">
        <f>G14+H15</f>
        <v>0</v>
      </c>
      <c r="H15" s="8">
        <f>IF($D15="VISA",$C15,0)</f>
        <v>0</v>
      </c>
      <c r="I15" s="8">
        <f>I14+J15</f>
        <v>0</v>
      </c>
      <c r="J15" s="8">
        <f>IF($D15="ACC",$C15,0)</f>
        <v>0</v>
      </c>
      <c r="K15" s="8">
        <f>K14+L15</f>
        <v>0</v>
      </c>
      <c r="L15" s="8">
        <f>IF($D15="CBB",$C15,0)</f>
        <v>0</v>
      </c>
    </row>
    <row r="16" spans="1:12" x14ac:dyDescent="0.25">
      <c r="A16" s="6">
        <v>41277</v>
      </c>
      <c r="B16" t="s">
        <v>45</v>
      </c>
      <c r="C16" s="7">
        <v>-180</v>
      </c>
      <c r="D16" t="s">
        <v>6</v>
      </c>
      <c r="E16" s="8">
        <f>E15+F16</f>
        <v>908</v>
      </c>
      <c r="F16" s="8">
        <f>IF($D16="CR01",$C16,0)</f>
        <v>-180</v>
      </c>
      <c r="G16" s="8">
        <f>G15+H16</f>
        <v>0</v>
      </c>
      <c r="H16" s="8">
        <f>IF($D16="VISA",$C16,0)</f>
        <v>0</v>
      </c>
      <c r="I16" s="8">
        <f>I15+J16</f>
        <v>0</v>
      </c>
      <c r="J16" s="8">
        <f>IF($D16="ACC",$C16,0)</f>
        <v>0</v>
      </c>
      <c r="K16" s="8">
        <f>K15+L16</f>
        <v>0</v>
      </c>
      <c r="L16" s="8">
        <f>IF($D16="CBB",$C16,0)</f>
        <v>0</v>
      </c>
    </row>
    <row r="17" spans="1:12" x14ac:dyDescent="0.25">
      <c r="A17" s="6">
        <v>41277</v>
      </c>
      <c r="B17" t="s">
        <v>46</v>
      </c>
      <c r="C17" s="7">
        <v>-300</v>
      </c>
      <c r="D17" t="s">
        <v>6</v>
      </c>
      <c r="E17" s="8">
        <f>E16+F17</f>
        <v>608</v>
      </c>
      <c r="F17" s="8">
        <f>IF($D17="CR01",$C17,0)</f>
        <v>-300</v>
      </c>
      <c r="G17" s="8">
        <f>G16+H17</f>
        <v>0</v>
      </c>
      <c r="H17" s="8">
        <f>IF($D17="VISA",$C17,0)</f>
        <v>0</v>
      </c>
      <c r="I17" s="8">
        <f>I16+J17</f>
        <v>0</v>
      </c>
      <c r="J17" s="8">
        <f>IF($D17="ACC",$C17,0)</f>
        <v>0</v>
      </c>
      <c r="K17" s="8">
        <f>K16+L17</f>
        <v>0</v>
      </c>
      <c r="L17" s="8">
        <f>IF($D17="CBB",$C17,0)</f>
        <v>0</v>
      </c>
    </row>
    <row r="18" spans="1:12" x14ac:dyDescent="0.25">
      <c r="A18" s="6">
        <v>41278</v>
      </c>
      <c r="B18" t="s">
        <v>43</v>
      </c>
      <c r="C18" s="7">
        <v>3226</v>
      </c>
      <c r="D18" t="s">
        <v>6</v>
      </c>
      <c r="E18" s="8">
        <f>E17+F18</f>
        <v>3834</v>
      </c>
      <c r="F18" s="8">
        <f>IF($D18="CR01",$C18,0)</f>
        <v>3226</v>
      </c>
      <c r="G18" s="8">
        <f>G17+H18</f>
        <v>0</v>
      </c>
      <c r="H18" s="8">
        <f>IF($D18="VISA",$C18,0)</f>
        <v>0</v>
      </c>
      <c r="I18" s="8">
        <f>I17+J18</f>
        <v>0</v>
      </c>
      <c r="J18" s="8">
        <f>IF($D18="ACC",$C18,0)</f>
        <v>0</v>
      </c>
      <c r="K18" s="8">
        <f>K17+L18</f>
        <v>0</v>
      </c>
      <c r="L18" s="8">
        <f>IF($D18="CBB",$C18,0)</f>
        <v>0</v>
      </c>
    </row>
    <row r="19" spans="1:12" x14ac:dyDescent="0.25">
      <c r="A19" s="6">
        <v>41282</v>
      </c>
      <c r="B19" t="s">
        <v>48</v>
      </c>
      <c r="C19" s="7">
        <v>-100</v>
      </c>
      <c r="D19" t="s">
        <v>6</v>
      </c>
      <c r="E19" s="8">
        <f>E18+F19</f>
        <v>3734</v>
      </c>
      <c r="F19" s="8">
        <f>IF($D19="CR01",$C19,0)</f>
        <v>-100</v>
      </c>
      <c r="G19" s="8">
        <f>G18+H19</f>
        <v>0</v>
      </c>
      <c r="H19" s="8">
        <f>IF($D19="VISA",$C19,0)</f>
        <v>0</v>
      </c>
      <c r="I19" s="8">
        <f>I18+J19</f>
        <v>0</v>
      </c>
      <c r="J19" s="8">
        <f>IF($D19="ACC",$C19,0)</f>
        <v>0</v>
      </c>
      <c r="K19" s="8">
        <f>K18+L19</f>
        <v>0</v>
      </c>
      <c r="L19" s="8">
        <f>IF($D19="CBB",$C19,0)</f>
        <v>0</v>
      </c>
    </row>
    <row r="20" spans="1:12" x14ac:dyDescent="0.25">
      <c r="A20" s="6">
        <v>41283</v>
      </c>
      <c r="B20" t="s">
        <v>47</v>
      </c>
      <c r="C20" s="7">
        <v>-120</v>
      </c>
      <c r="D20" t="s">
        <v>6</v>
      </c>
      <c r="E20" s="8">
        <f>E19+F20</f>
        <v>3614</v>
      </c>
      <c r="F20" s="8">
        <f>IF($D20="CR01",$C20,0)</f>
        <v>-120</v>
      </c>
      <c r="G20" s="8">
        <f>G19+H20</f>
        <v>0</v>
      </c>
      <c r="H20" s="8">
        <f>IF($D20="VISA",$C20,0)</f>
        <v>0</v>
      </c>
      <c r="I20" s="8">
        <f>I19+J20</f>
        <v>0</v>
      </c>
      <c r="J20" s="8">
        <f>IF($D20="ACC",$C20,0)</f>
        <v>0</v>
      </c>
      <c r="K20" s="8">
        <f>K19+L20</f>
        <v>0</v>
      </c>
      <c r="L20" s="8">
        <f>IF($D20="CBB",$C20,0)</f>
        <v>0</v>
      </c>
    </row>
    <row r="21" spans="1:12" x14ac:dyDescent="0.25">
      <c r="A21" s="6">
        <v>41284</v>
      </c>
      <c r="B21" t="s">
        <v>44</v>
      </c>
      <c r="C21" s="7">
        <v>-400</v>
      </c>
      <c r="D21" t="s">
        <v>6</v>
      </c>
      <c r="E21" s="8">
        <f>E20+F21</f>
        <v>3214</v>
      </c>
      <c r="F21" s="8">
        <f>IF($D21="CR01",$C21,0)</f>
        <v>-400</v>
      </c>
      <c r="G21" s="8">
        <f>G20+H21</f>
        <v>0</v>
      </c>
      <c r="H21" s="8">
        <f>IF($D21="VISA",$C21,0)</f>
        <v>0</v>
      </c>
      <c r="I21" s="8">
        <f>I20+J21</f>
        <v>0</v>
      </c>
      <c r="J21" s="8">
        <f>IF($D21="ACC",$C21,0)</f>
        <v>0</v>
      </c>
      <c r="K21" s="8">
        <f>K20+L21</f>
        <v>0</v>
      </c>
      <c r="L21" s="8">
        <f>IF($D21="CBB",$C21,0)</f>
        <v>0</v>
      </c>
    </row>
    <row r="22" spans="1:12" x14ac:dyDescent="0.25">
      <c r="A22" s="6">
        <v>41284</v>
      </c>
      <c r="B22" t="s">
        <v>45</v>
      </c>
      <c r="C22" s="7">
        <v>-180</v>
      </c>
      <c r="D22" t="s">
        <v>6</v>
      </c>
      <c r="E22" s="8">
        <f>E21+F22</f>
        <v>3034</v>
      </c>
      <c r="F22" s="8">
        <f>IF($D22="CR01",$C22,0)</f>
        <v>-180</v>
      </c>
      <c r="G22" s="8">
        <f>G21+H22</f>
        <v>0</v>
      </c>
      <c r="H22" s="8">
        <f>IF($D22="VISA",$C22,0)</f>
        <v>0</v>
      </c>
      <c r="I22" s="8">
        <f>I21+J22</f>
        <v>0</v>
      </c>
      <c r="J22" s="8">
        <f>IF($D22="ACC",$C22,0)</f>
        <v>0</v>
      </c>
      <c r="K22" s="8">
        <f>K21+L22</f>
        <v>0</v>
      </c>
      <c r="L22" s="8">
        <f>IF($D22="CBB",$C22,0)</f>
        <v>0</v>
      </c>
    </row>
    <row r="23" spans="1:12" x14ac:dyDescent="0.25">
      <c r="A23" s="6">
        <v>41284</v>
      </c>
      <c r="B23" t="s">
        <v>46</v>
      </c>
      <c r="C23" s="7">
        <v>-300</v>
      </c>
      <c r="D23" t="s">
        <v>6</v>
      </c>
      <c r="E23" s="8">
        <f>E22+F23</f>
        <v>2734</v>
      </c>
      <c r="F23" s="8">
        <f>IF($D23="CR01",$C23,0)</f>
        <v>-300</v>
      </c>
      <c r="G23" s="8">
        <f>G22+H23</f>
        <v>0</v>
      </c>
      <c r="H23" s="8">
        <f>IF($D23="VISA",$C23,0)</f>
        <v>0</v>
      </c>
      <c r="I23" s="8">
        <f>I22+J23</f>
        <v>0</v>
      </c>
      <c r="J23" s="8">
        <f>IF($D23="ACC",$C23,0)</f>
        <v>0</v>
      </c>
      <c r="K23" s="8">
        <f>K22+L23</f>
        <v>0</v>
      </c>
      <c r="L23" s="8">
        <f>IF($D23="CBB",$C23,0)</f>
        <v>0</v>
      </c>
    </row>
    <row r="24" spans="1:12" x14ac:dyDescent="0.25">
      <c r="A24" s="6">
        <v>41286</v>
      </c>
      <c r="B24" t="s">
        <v>67</v>
      </c>
      <c r="C24" s="7">
        <v>5200</v>
      </c>
      <c r="D24" t="s">
        <v>6</v>
      </c>
      <c r="E24" s="8">
        <f>E23+F24</f>
        <v>7934</v>
      </c>
      <c r="F24" s="8">
        <f>IF($D24="CR01",$C24,0)</f>
        <v>5200</v>
      </c>
      <c r="G24" s="8">
        <f>G23+H24</f>
        <v>0</v>
      </c>
      <c r="H24" s="8">
        <f>IF($D24="VISA",$C24,0)</f>
        <v>0</v>
      </c>
      <c r="I24" s="8">
        <f>I23+J24</f>
        <v>0</v>
      </c>
      <c r="J24" s="8">
        <f>IF($D24="ACC",$C24,0)</f>
        <v>0</v>
      </c>
      <c r="K24" s="8">
        <f>K23+L24</f>
        <v>0</v>
      </c>
      <c r="L24" s="8">
        <f>IF($D24="CBB",$C24,0)</f>
        <v>0</v>
      </c>
    </row>
    <row r="25" spans="1:12" x14ac:dyDescent="0.25">
      <c r="A25" s="6">
        <v>41289</v>
      </c>
      <c r="B25" t="s">
        <v>42</v>
      </c>
      <c r="C25" s="7">
        <v>-2806</v>
      </c>
      <c r="D25" t="s">
        <v>6</v>
      </c>
      <c r="E25" s="8">
        <f>E24+F25</f>
        <v>5128</v>
      </c>
      <c r="F25" s="8">
        <f>IF($D25="CR01",$C25,0)</f>
        <v>-2806</v>
      </c>
      <c r="G25" s="8">
        <f>G24+H25</f>
        <v>0</v>
      </c>
      <c r="H25" s="8">
        <f>IF($D25="VISA",$C25,0)</f>
        <v>0</v>
      </c>
      <c r="I25" s="8">
        <f>I24+J25</f>
        <v>0</v>
      </c>
      <c r="J25" s="8">
        <f>IF($D25="ACC",$C25,0)</f>
        <v>0</v>
      </c>
      <c r="K25" s="8">
        <f>K24+L25</f>
        <v>0</v>
      </c>
      <c r="L25" s="8">
        <f>IF($D25="CBB",$C25,0)</f>
        <v>0</v>
      </c>
    </row>
    <row r="26" spans="1:12" x14ac:dyDescent="0.25">
      <c r="A26" s="6">
        <v>41289</v>
      </c>
      <c r="B26" t="s">
        <v>48</v>
      </c>
      <c r="C26" s="7">
        <v>-100</v>
      </c>
      <c r="D26" t="s">
        <v>6</v>
      </c>
      <c r="E26" s="8">
        <f>E25+F26</f>
        <v>5028</v>
      </c>
      <c r="F26" s="8">
        <f>IF($D26="CR01",$C26,0)</f>
        <v>-100</v>
      </c>
      <c r="G26" s="8">
        <f>G25+H26</f>
        <v>0</v>
      </c>
      <c r="H26" s="8">
        <f>IF($D26="VISA",$C26,0)</f>
        <v>0</v>
      </c>
      <c r="I26" s="8">
        <f>I25+J26</f>
        <v>0</v>
      </c>
      <c r="J26" s="8">
        <f>IF($D26="ACC",$C26,0)</f>
        <v>0</v>
      </c>
      <c r="K26" s="8">
        <f>K25+L26</f>
        <v>0</v>
      </c>
      <c r="L26" s="8">
        <f>IF($D26="CBB",$C26,0)</f>
        <v>0</v>
      </c>
    </row>
    <row r="27" spans="1:12" x14ac:dyDescent="0.25">
      <c r="A27" s="6">
        <v>41290</v>
      </c>
      <c r="B27" t="s">
        <v>47</v>
      </c>
      <c r="C27" s="7">
        <v>-120</v>
      </c>
      <c r="D27" t="s">
        <v>6</v>
      </c>
      <c r="E27" s="8">
        <f>E26+F27</f>
        <v>4908</v>
      </c>
      <c r="F27" s="8">
        <f>IF($D27="CR01",$C27,0)</f>
        <v>-120</v>
      </c>
      <c r="G27" s="8">
        <f>G26+H27</f>
        <v>0</v>
      </c>
      <c r="H27" s="8">
        <f>IF($D27="VISA",$C27,0)</f>
        <v>0</v>
      </c>
      <c r="I27" s="8">
        <f>I26+J27</f>
        <v>0</v>
      </c>
      <c r="J27" s="8">
        <f>IF($D27="ACC",$C27,0)</f>
        <v>0</v>
      </c>
      <c r="K27" s="8">
        <f>K26+L27</f>
        <v>0</v>
      </c>
      <c r="L27" s="8">
        <f>IF($D27="CBB",$C27,0)</f>
        <v>0</v>
      </c>
    </row>
    <row r="28" spans="1:12" x14ac:dyDescent="0.25">
      <c r="A28" s="6">
        <v>41291</v>
      </c>
      <c r="B28" t="s">
        <v>44</v>
      </c>
      <c r="C28" s="7">
        <v>-400</v>
      </c>
      <c r="D28" t="s">
        <v>6</v>
      </c>
      <c r="E28" s="8">
        <f>E27+F28</f>
        <v>4508</v>
      </c>
      <c r="F28" s="8">
        <f>IF($D28="CR01",$C28,0)</f>
        <v>-400</v>
      </c>
      <c r="G28" s="8">
        <f>G27+H28</f>
        <v>0</v>
      </c>
      <c r="H28" s="8">
        <f>IF($D28="VISA",$C28,0)</f>
        <v>0</v>
      </c>
      <c r="I28" s="8">
        <f>I27+J28</f>
        <v>0</v>
      </c>
      <c r="J28" s="8">
        <f>IF($D28="ACC",$C28,0)</f>
        <v>0</v>
      </c>
      <c r="K28" s="8">
        <f>K27+L28</f>
        <v>0</v>
      </c>
      <c r="L28" s="8">
        <f>IF($D28="CBB",$C28,0)</f>
        <v>0</v>
      </c>
    </row>
    <row r="29" spans="1:12" x14ac:dyDescent="0.25">
      <c r="A29" s="6">
        <v>41291</v>
      </c>
      <c r="B29" t="s">
        <v>45</v>
      </c>
      <c r="C29" s="7">
        <v>-180</v>
      </c>
      <c r="D29" t="s">
        <v>6</v>
      </c>
      <c r="E29" s="8">
        <f>E28+F29</f>
        <v>4328</v>
      </c>
      <c r="F29" s="8">
        <f>IF($D29="CR01",$C29,0)</f>
        <v>-180</v>
      </c>
      <c r="G29" s="8">
        <f>G28+H29</f>
        <v>0</v>
      </c>
      <c r="H29" s="8">
        <f>IF($D29="VISA",$C29,0)</f>
        <v>0</v>
      </c>
      <c r="I29" s="8">
        <f>I28+J29</f>
        <v>0</v>
      </c>
      <c r="J29" s="8">
        <f>IF($D29="ACC",$C29,0)</f>
        <v>0</v>
      </c>
      <c r="K29" s="8">
        <f>K28+L29</f>
        <v>0</v>
      </c>
      <c r="L29" s="8">
        <f>IF($D29="CBB",$C29,0)</f>
        <v>0</v>
      </c>
    </row>
    <row r="30" spans="1:12" x14ac:dyDescent="0.25">
      <c r="A30" s="6">
        <v>41291</v>
      </c>
      <c r="B30" t="s">
        <v>46</v>
      </c>
      <c r="C30" s="7">
        <v>-300</v>
      </c>
      <c r="D30" t="s">
        <v>6</v>
      </c>
      <c r="E30" s="8">
        <f>E29+F30</f>
        <v>4028</v>
      </c>
      <c r="F30" s="8">
        <f>IF($D30="CR01",$C30,0)</f>
        <v>-300</v>
      </c>
      <c r="G30" s="8">
        <f>G29+H30</f>
        <v>0</v>
      </c>
      <c r="H30" s="8">
        <f>IF($D30="VISA",$C30,0)</f>
        <v>0</v>
      </c>
      <c r="I30" s="8">
        <f>I29+J30</f>
        <v>0</v>
      </c>
      <c r="J30" s="8">
        <f>IF($D30="ACC",$C30,0)</f>
        <v>0</v>
      </c>
      <c r="K30" s="8">
        <f>K29+L30</f>
        <v>0</v>
      </c>
      <c r="L30" s="8">
        <f>IF($D30="CBB",$C30,0)</f>
        <v>0</v>
      </c>
    </row>
    <row r="31" spans="1:12" x14ac:dyDescent="0.25">
      <c r="A31" s="6">
        <v>41292</v>
      </c>
      <c r="B31" t="s">
        <v>43</v>
      </c>
      <c r="C31" s="7">
        <v>3226</v>
      </c>
      <c r="D31" t="s">
        <v>6</v>
      </c>
      <c r="E31" s="8">
        <f>E30+F31</f>
        <v>7254</v>
      </c>
      <c r="F31" s="8">
        <f>IF($D31="CR01",$C31,0)</f>
        <v>3226</v>
      </c>
      <c r="G31" s="8">
        <f>G30+H31</f>
        <v>0</v>
      </c>
      <c r="H31" s="8">
        <f>IF($D31="VISA",$C31,0)</f>
        <v>0</v>
      </c>
      <c r="I31" s="8">
        <f>I30+J31</f>
        <v>0</v>
      </c>
      <c r="J31" s="8">
        <f>IF($D31="ACC",$C31,0)</f>
        <v>0</v>
      </c>
      <c r="K31" s="8">
        <f>K30+L31</f>
        <v>0</v>
      </c>
      <c r="L31" s="8">
        <f>IF($D31="CBB",$C31,0)</f>
        <v>0</v>
      </c>
    </row>
    <row r="32" spans="1:12" x14ac:dyDescent="0.25">
      <c r="A32" s="6">
        <v>41296</v>
      </c>
      <c r="B32" t="s">
        <v>48</v>
      </c>
      <c r="C32" s="7">
        <v>-100</v>
      </c>
      <c r="D32" t="s">
        <v>6</v>
      </c>
      <c r="E32" s="8">
        <f>E31+F32</f>
        <v>7154</v>
      </c>
      <c r="F32" s="8">
        <f>IF($D32="CR01",$C32,0)</f>
        <v>-100</v>
      </c>
      <c r="G32" s="8">
        <f>G31+H32</f>
        <v>0</v>
      </c>
      <c r="H32" s="8">
        <f>IF($D32="VISA",$C32,0)</f>
        <v>0</v>
      </c>
      <c r="I32" s="8">
        <f>I31+J32</f>
        <v>0</v>
      </c>
      <c r="J32" s="8">
        <f>IF($D32="ACC",$C32,0)</f>
        <v>0</v>
      </c>
      <c r="K32" s="8">
        <f>K31+L32</f>
        <v>0</v>
      </c>
      <c r="L32" s="8">
        <f>IF($D32="CBB",$C32,0)</f>
        <v>0</v>
      </c>
    </row>
    <row r="33" spans="1:12" x14ac:dyDescent="0.25">
      <c r="A33" s="6">
        <v>41297</v>
      </c>
      <c r="B33" t="s">
        <v>47</v>
      </c>
      <c r="C33" s="7">
        <v>-120</v>
      </c>
      <c r="D33" t="s">
        <v>6</v>
      </c>
      <c r="E33" s="8">
        <f>E32+F33</f>
        <v>7034</v>
      </c>
      <c r="F33" s="8">
        <f>IF($D33="CR01",$C33,0)</f>
        <v>-120</v>
      </c>
      <c r="G33" s="8">
        <f>G32+H33</f>
        <v>0</v>
      </c>
      <c r="H33" s="8">
        <f>IF($D33="VISA",$C33,0)</f>
        <v>0</v>
      </c>
      <c r="I33" s="8">
        <f>I32+J33</f>
        <v>0</v>
      </c>
      <c r="J33" s="8">
        <f>IF($D33="ACC",$C33,0)</f>
        <v>0</v>
      </c>
      <c r="K33" s="8">
        <f>K32+L33</f>
        <v>0</v>
      </c>
      <c r="L33" s="8">
        <f>IF($D33="CBB",$C33,0)</f>
        <v>0</v>
      </c>
    </row>
    <row r="34" spans="1:12" x14ac:dyDescent="0.25">
      <c r="A34" s="6">
        <v>41298</v>
      </c>
      <c r="B34" t="s">
        <v>44</v>
      </c>
      <c r="C34" s="7">
        <v>-400</v>
      </c>
      <c r="D34" t="s">
        <v>6</v>
      </c>
      <c r="E34" s="8">
        <f>E33+F34</f>
        <v>6634</v>
      </c>
      <c r="F34" s="8">
        <f>IF($D34="CR01",$C34,0)</f>
        <v>-400</v>
      </c>
      <c r="G34" s="8">
        <f>G33+H34</f>
        <v>0</v>
      </c>
      <c r="H34" s="8">
        <f>IF($D34="VISA",$C34,0)</f>
        <v>0</v>
      </c>
      <c r="I34" s="8">
        <f>I33+J34</f>
        <v>0</v>
      </c>
      <c r="J34" s="8">
        <f>IF($D34="ACC",$C34,0)</f>
        <v>0</v>
      </c>
      <c r="K34" s="8">
        <f>K33+L34</f>
        <v>0</v>
      </c>
      <c r="L34" s="8">
        <f>IF($D34="CBB",$C34,0)</f>
        <v>0</v>
      </c>
    </row>
    <row r="35" spans="1:12" x14ac:dyDescent="0.25">
      <c r="A35" s="6">
        <v>41298</v>
      </c>
      <c r="B35" t="s">
        <v>45</v>
      </c>
      <c r="C35" s="7">
        <v>-180</v>
      </c>
      <c r="D35" t="s">
        <v>6</v>
      </c>
      <c r="E35" s="8">
        <f>E34+F35</f>
        <v>6454</v>
      </c>
      <c r="F35" s="8">
        <f>IF($D35="CR01",$C35,0)</f>
        <v>-180</v>
      </c>
      <c r="G35" s="8">
        <f>G34+H35</f>
        <v>0</v>
      </c>
      <c r="H35" s="8">
        <f>IF($D35="VISA",$C35,0)</f>
        <v>0</v>
      </c>
      <c r="I35" s="8">
        <f>I34+J35</f>
        <v>0</v>
      </c>
      <c r="J35" s="8">
        <f>IF($D35="ACC",$C35,0)</f>
        <v>0</v>
      </c>
      <c r="K35" s="8">
        <f>K34+L35</f>
        <v>0</v>
      </c>
      <c r="L35" s="8">
        <f>IF($D35="CBB",$C35,0)</f>
        <v>0</v>
      </c>
    </row>
    <row r="36" spans="1:12" x14ac:dyDescent="0.25">
      <c r="A36" s="6">
        <v>41298</v>
      </c>
      <c r="B36" t="s">
        <v>46</v>
      </c>
      <c r="C36" s="7">
        <v>-300</v>
      </c>
      <c r="D36" t="s">
        <v>6</v>
      </c>
      <c r="E36" s="8">
        <f>E35+F36</f>
        <v>6154</v>
      </c>
      <c r="F36" s="8">
        <f>IF($D36="CR01",$C36,0)</f>
        <v>-300</v>
      </c>
      <c r="G36" s="8">
        <f>G35+H36</f>
        <v>0</v>
      </c>
      <c r="H36" s="8">
        <f>IF($D36="VISA",$C36,0)</f>
        <v>0</v>
      </c>
      <c r="I36" s="8">
        <f>I35+J36</f>
        <v>0</v>
      </c>
      <c r="J36" s="8">
        <f>IF($D36="ACC",$C36,0)</f>
        <v>0</v>
      </c>
      <c r="K36" s="8">
        <f>K35+L36</f>
        <v>0</v>
      </c>
      <c r="L36" s="8">
        <f>IF($D36="CBB",$C36,0)</f>
        <v>0</v>
      </c>
    </row>
    <row r="37" spans="1:12" x14ac:dyDescent="0.25">
      <c r="A37" s="6">
        <v>41300</v>
      </c>
      <c r="B37" t="s">
        <v>67</v>
      </c>
      <c r="C37" s="7">
        <v>5200</v>
      </c>
      <c r="D37" t="s">
        <v>6</v>
      </c>
      <c r="E37" s="8">
        <f>E36+F37</f>
        <v>11354</v>
      </c>
      <c r="F37" s="8">
        <f>IF($D37="CR01",$C37,0)</f>
        <v>5200</v>
      </c>
      <c r="G37" s="8">
        <f>G36+H37</f>
        <v>0</v>
      </c>
      <c r="H37" s="8">
        <f>IF($D37="VISA",$C37,0)</f>
        <v>0</v>
      </c>
      <c r="I37" s="8">
        <f>I36+J37</f>
        <v>0</v>
      </c>
      <c r="J37" s="8">
        <f>IF($D37="ACC",$C37,0)</f>
        <v>0</v>
      </c>
      <c r="K37" s="8">
        <f>K36+L37</f>
        <v>0</v>
      </c>
      <c r="L37" s="8">
        <f>IF($D37="CBB",$C37,0)</f>
        <v>0</v>
      </c>
    </row>
    <row r="38" spans="1:12" x14ac:dyDescent="0.25">
      <c r="A38" s="6">
        <v>41303</v>
      </c>
      <c r="B38" t="s">
        <v>42</v>
      </c>
      <c r="C38" s="7">
        <v>-2806</v>
      </c>
      <c r="D38" t="s">
        <v>6</v>
      </c>
      <c r="E38" s="8">
        <f>E37+F38</f>
        <v>8548</v>
      </c>
      <c r="F38" s="8">
        <f>IF($D38="CR01",$C38,0)</f>
        <v>-2806</v>
      </c>
      <c r="G38" s="8">
        <f>G37+H38</f>
        <v>0</v>
      </c>
      <c r="H38" s="8">
        <f>IF($D38="VISA",$C38,0)</f>
        <v>0</v>
      </c>
      <c r="I38" s="8">
        <f>I37+J38</f>
        <v>0</v>
      </c>
      <c r="J38" s="8">
        <f>IF($D38="ACC",$C38,0)</f>
        <v>0</v>
      </c>
      <c r="K38" s="8">
        <f>K37+L38</f>
        <v>0</v>
      </c>
      <c r="L38" s="8">
        <f>IF($D38="CBB",$C38,0)</f>
        <v>0</v>
      </c>
    </row>
    <row r="39" spans="1:12" x14ac:dyDescent="0.25">
      <c r="A39" s="6">
        <v>41303</v>
      </c>
      <c r="B39" t="s">
        <v>48</v>
      </c>
      <c r="C39" s="7">
        <v>-100</v>
      </c>
      <c r="D39" t="s">
        <v>6</v>
      </c>
      <c r="E39" s="8">
        <f>E38+F39</f>
        <v>8448</v>
      </c>
      <c r="F39" s="8">
        <f>IF($D39="CR01",$C39,0)</f>
        <v>-100</v>
      </c>
      <c r="G39" s="8">
        <f>G38+H39</f>
        <v>0</v>
      </c>
      <c r="H39" s="8">
        <f>IF($D39="VISA",$C39,0)</f>
        <v>0</v>
      </c>
      <c r="I39" s="8">
        <f>I38+J39</f>
        <v>0</v>
      </c>
      <c r="J39" s="8">
        <f>IF($D39="ACC",$C39,0)</f>
        <v>0</v>
      </c>
      <c r="K39" s="8">
        <f>K38+L39</f>
        <v>0</v>
      </c>
      <c r="L39" s="8">
        <f>IF($D39="CBB",$C39,0)</f>
        <v>0</v>
      </c>
    </row>
    <row r="40" spans="1:12" x14ac:dyDescent="0.25">
      <c r="A40" s="6">
        <v>41304</v>
      </c>
      <c r="B40" t="s">
        <v>47</v>
      </c>
      <c r="C40" s="7">
        <v>-120</v>
      </c>
      <c r="D40" t="s">
        <v>6</v>
      </c>
      <c r="E40" s="8">
        <f>E39+F40</f>
        <v>8328</v>
      </c>
      <c r="F40" s="8">
        <f>IF($D40="CR01",$C40,0)</f>
        <v>-120</v>
      </c>
      <c r="G40" s="8">
        <f>G39+H40</f>
        <v>0</v>
      </c>
      <c r="H40" s="8">
        <f>IF($D40="VISA",$C40,0)</f>
        <v>0</v>
      </c>
      <c r="I40" s="8">
        <f>I39+J40</f>
        <v>0</v>
      </c>
      <c r="J40" s="8">
        <f>IF($D40="ACC",$C40,0)</f>
        <v>0</v>
      </c>
      <c r="K40" s="8">
        <f>K39+L40</f>
        <v>0</v>
      </c>
      <c r="L40" s="8">
        <f>IF($D40="CBB",$C40,0)</f>
        <v>0</v>
      </c>
    </row>
    <row r="41" spans="1:12" x14ac:dyDescent="0.25">
      <c r="A41" s="6">
        <v>41305</v>
      </c>
      <c r="B41" t="s">
        <v>44</v>
      </c>
      <c r="C41" s="7">
        <v>-400</v>
      </c>
      <c r="D41" t="s">
        <v>6</v>
      </c>
      <c r="E41" s="8">
        <f>E40+F41</f>
        <v>7928</v>
      </c>
      <c r="F41" s="8">
        <f>IF($D41="CR01",$C41,0)</f>
        <v>-400</v>
      </c>
      <c r="G41" s="8">
        <f>G40+H41</f>
        <v>0</v>
      </c>
      <c r="H41" s="8">
        <f>IF($D41="VISA",$C41,0)</f>
        <v>0</v>
      </c>
      <c r="I41" s="8">
        <f>I40+J41</f>
        <v>0</v>
      </c>
      <c r="J41" s="8">
        <f>IF($D41="ACC",$C41,0)</f>
        <v>0</v>
      </c>
      <c r="K41" s="8">
        <f>K40+L41</f>
        <v>0</v>
      </c>
      <c r="L41" s="8">
        <f>IF($D41="CBB",$C41,0)</f>
        <v>0</v>
      </c>
    </row>
    <row r="42" spans="1:12" x14ac:dyDescent="0.25">
      <c r="A42" s="6">
        <v>41305</v>
      </c>
      <c r="B42" t="s">
        <v>45</v>
      </c>
      <c r="C42" s="7">
        <v>-180</v>
      </c>
      <c r="D42" t="s">
        <v>6</v>
      </c>
      <c r="E42" s="8">
        <f>E41+F42</f>
        <v>7748</v>
      </c>
      <c r="F42" s="8">
        <f>IF($D42="CR01",$C42,0)</f>
        <v>-180</v>
      </c>
      <c r="G42" s="8">
        <f>G41+H42</f>
        <v>0</v>
      </c>
      <c r="H42" s="8">
        <f>IF($D42="VISA",$C42,0)</f>
        <v>0</v>
      </c>
      <c r="I42" s="8">
        <f>I41+J42</f>
        <v>0</v>
      </c>
      <c r="J42" s="8">
        <f>IF($D42="ACC",$C42,0)</f>
        <v>0</v>
      </c>
      <c r="K42" s="8">
        <f>K41+L42</f>
        <v>0</v>
      </c>
      <c r="L42" s="8">
        <f>IF($D42="CBB",$C42,0)</f>
        <v>0</v>
      </c>
    </row>
    <row r="43" spans="1:12" x14ac:dyDescent="0.25">
      <c r="A43" s="6">
        <v>41305</v>
      </c>
      <c r="B43" t="s">
        <v>46</v>
      </c>
      <c r="C43" s="7">
        <v>-300</v>
      </c>
      <c r="D43" t="s">
        <v>6</v>
      </c>
      <c r="E43" s="8">
        <f>E42+F43</f>
        <v>7448</v>
      </c>
      <c r="F43" s="8">
        <f>IF($D43="CR01",$C43,0)</f>
        <v>-300</v>
      </c>
      <c r="G43" s="8">
        <f>G42+H43</f>
        <v>0</v>
      </c>
      <c r="H43" s="8">
        <f>IF($D43="VISA",$C43,0)</f>
        <v>0</v>
      </c>
      <c r="I43" s="8">
        <f>I42+J43</f>
        <v>0</v>
      </c>
      <c r="J43" s="8">
        <f>IF($D43="ACC",$C43,0)</f>
        <v>0</v>
      </c>
      <c r="K43" s="8">
        <f>K42+L43</f>
        <v>0</v>
      </c>
      <c r="L43" s="8">
        <f>IF($D43="CBB",$C43,0)</f>
        <v>0</v>
      </c>
    </row>
    <row r="44" spans="1:12" x14ac:dyDescent="0.25">
      <c r="A44" s="6">
        <v>41306</v>
      </c>
      <c r="B44" t="s">
        <v>43</v>
      </c>
      <c r="C44" s="7">
        <v>3226</v>
      </c>
      <c r="D44" t="s">
        <v>6</v>
      </c>
      <c r="E44" s="8">
        <f>E43+F44</f>
        <v>10674</v>
      </c>
      <c r="F44" s="8">
        <f>IF($D44="CR01",$C44,0)</f>
        <v>3226</v>
      </c>
      <c r="G44" s="8">
        <f>G43+H44</f>
        <v>0</v>
      </c>
      <c r="H44" s="8">
        <f>IF($D44="VISA",$C44,0)</f>
        <v>0</v>
      </c>
      <c r="I44" s="8">
        <f>I43+J44</f>
        <v>0</v>
      </c>
      <c r="J44" s="8">
        <f>IF($D44="ACC",$C44,0)</f>
        <v>0</v>
      </c>
      <c r="K44" s="8">
        <f>K43+L44</f>
        <v>0</v>
      </c>
      <c r="L44" s="8">
        <f>IF($D44="CBB",$C44,0)</f>
        <v>0</v>
      </c>
    </row>
    <row r="45" spans="1:12" x14ac:dyDescent="0.25">
      <c r="A45" s="6">
        <v>41306</v>
      </c>
      <c r="B45" t="s">
        <v>58</v>
      </c>
      <c r="C45" s="7">
        <v>-200</v>
      </c>
      <c r="D45" t="s">
        <v>6</v>
      </c>
      <c r="E45" s="8">
        <f>E44+F45</f>
        <v>10474</v>
      </c>
      <c r="F45" s="8">
        <f>IF($D45="CR01",$C45,0)</f>
        <v>-200</v>
      </c>
      <c r="G45" s="8">
        <f>G44+H45</f>
        <v>0</v>
      </c>
      <c r="H45" s="8">
        <f>IF($D45="VISA",$C45,0)</f>
        <v>0</v>
      </c>
      <c r="I45" s="8">
        <f>I44+J45</f>
        <v>0</v>
      </c>
      <c r="J45" s="8">
        <f>IF($D45="ACC",$C45,0)</f>
        <v>0</v>
      </c>
      <c r="K45" s="8">
        <f>K44+L45</f>
        <v>0</v>
      </c>
      <c r="L45" s="8">
        <f>IF($D45="CBB",$C45,0)</f>
        <v>0</v>
      </c>
    </row>
    <row r="46" spans="1:12" x14ac:dyDescent="0.25">
      <c r="A46" s="6">
        <v>41306</v>
      </c>
      <c r="B46" t="s">
        <v>60</v>
      </c>
      <c r="C46" s="7">
        <v>-400</v>
      </c>
      <c r="D46" t="s">
        <v>6</v>
      </c>
      <c r="E46" s="8">
        <f>E45+F46</f>
        <v>10074</v>
      </c>
      <c r="F46" s="8">
        <f>IF($D46="CR01",$C46,0)</f>
        <v>-400</v>
      </c>
      <c r="G46" s="8">
        <f>G45+H46</f>
        <v>0</v>
      </c>
      <c r="H46" s="8">
        <f>IF($D46="VISA",$C46,0)</f>
        <v>0</v>
      </c>
      <c r="I46" s="8">
        <f>I45+J46</f>
        <v>0</v>
      </c>
      <c r="J46" s="8">
        <f>IF($D46="ACC",$C46,0)</f>
        <v>0</v>
      </c>
      <c r="K46" s="8">
        <f>K45+L46</f>
        <v>0</v>
      </c>
      <c r="L46" s="8">
        <f>IF($D46="CBB",$C46,0)</f>
        <v>0</v>
      </c>
    </row>
    <row r="47" spans="1:12" x14ac:dyDescent="0.25">
      <c r="A47" s="6">
        <v>41306</v>
      </c>
      <c r="B47" t="s">
        <v>62</v>
      </c>
      <c r="C47" s="7">
        <v>-300</v>
      </c>
      <c r="D47" t="s">
        <v>6</v>
      </c>
      <c r="E47" s="8">
        <f>E46+F47</f>
        <v>9774</v>
      </c>
      <c r="F47" s="8">
        <f>IF($D47="CR01",$C47,0)</f>
        <v>-300</v>
      </c>
      <c r="G47" s="8">
        <f>G46+H47</f>
        <v>0</v>
      </c>
      <c r="H47" s="8">
        <f>IF($D47="VISA",$C47,0)</f>
        <v>0</v>
      </c>
      <c r="I47" s="8">
        <f>I46+J47</f>
        <v>0</v>
      </c>
      <c r="J47" s="8">
        <f>IF($D47="ACC",$C47,0)</f>
        <v>0</v>
      </c>
      <c r="K47" s="8">
        <f>K46+L47</f>
        <v>0</v>
      </c>
      <c r="L47" s="8">
        <f>IF($D47="CBB",$C47,0)</f>
        <v>0</v>
      </c>
    </row>
    <row r="48" spans="1:12" x14ac:dyDescent="0.25">
      <c r="A48" s="6">
        <v>41306</v>
      </c>
      <c r="B48" t="s">
        <v>63</v>
      </c>
      <c r="C48" s="7">
        <v>-300</v>
      </c>
      <c r="D48" t="s">
        <v>6</v>
      </c>
      <c r="E48" s="8">
        <f>E47+F48</f>
        <v>9474</v>
      </c>
      <c r="F48" s="8">
        <f>IF($D48="CR01",$C48,0)</f>
        <v>-300</v>
      </c>
      <c r="G48" s="8">
        <f>G47+H48</f>
        <v>0</v>
      </c>
      <c r="H48" s="8">
        <f>IF($D48="VISA",$C48,0)</f>
        <v>0</v>
      </c>
      <c r="I48" s="8">
        <f>I47+J48</f>
        <v>0</v>
      </c>
      <c r="J48" s="8">
        <f>IF($D48="ACC",$C48,0)</f>
        <v>0</v>
      </c>
      <c r="K48" s="8">
        <f>K47+L48</f>
        <v>0</v>
      </c>
      <c r="L48" s="8">
        <f>IF($D48="CBB",$C48,0)</f>
        <v>0</v>
      </c>
    </row>
    <row r="49" spans="1:12" x14ac:dyDescent="0.25">
      <c r="A49" s="6">
        <v>41306</v>
      </c>
      <c r="B49" t="s">
        <v>64</v>
      </c>
      <c r="C49" s="7">
        <v>-26</v>
      </c>
      <c r="D49" t="s">
        <v>6</v>
      </c>
      <c r="E49" s="8">
        <f>E48+F49</f>
        <v>9448</v>
      </c>
      <c r="F49" s="8">
        <f>IF($D49="CR01",$C49,0)</f>
        <v>-26</v>
      </c>
      <c r="G49" s="8">
        <f>G48+H49</f>
        <v>0</v>
      </c>
      <c r="H49" s="8">
        <f>IF($D49="VISA",$C49,0)</f>
        <v>0</v>
      </c>
      <c r="I49" s="8">
        <f>I48+J49</f>
        <v>0</v>
      </c>
      <c r="J49" s="8">
        <f>IF($D49="ACC",$C49,0)</f>
        <v>0</v>
      </c>
      <c r="K49" s="8">
        <f>K48+L49</f>
        <v>0</v>
      </c>
      <c r="L49" s="8">
        <f>IF($D49="CBB",$C49,0)</f>
        <v>0</v>
      </c>
    </row>
    <row r="50" spans="1:12" x14ac:dyDescent="0.25">
      <c r="A50" s="6">
        <v>41306</v>
      </c>
      <c r="B50" t="s">
        <v>65</v>
      </c>
      <c r="C50" s="7">
        <v>-240</v>
      </c>
      <c r="D50" t="s">
        <v>6</v>
      </c>
      <c r="E50" s="8">
        <f>E49+F50</f>
        <v>9208</v>
      </c>
      <c r="F50" s="8">
        <f>IF($D50="CR01",$C50,0)</f>
        <v>-240</v>
      </c>
      <c r="G50" s="8">
        <f>G49+H50</f>
        <v>0</v>
      </c>
      <c r="H50" s="8">
        <f>IF($D50="VISA",$C50,0)</f>
        <v>0</v>
      </c>
      <c r="I50" s="8">
        <f>I49+J50</f>
        <v>0</v>
      </c>
      <c r="J50" s="8">
        <f>IF($D50="ACC",$C50,0)</f>
        <v>0</v>
      </c>
      <c r="K50" s="8">
        <f>K49+L50</f>
        <v>0</v>
      </c>
      <c r="L50" s="8">
        <f>IF($D50="CBB",$C50,0)</f>
        <v>0</v>
      </c>
    </row>
    <row r="51" spans="1:12" x14ac:dyDescent="0.25">
      <c r="A51" s="6">
        <v>41306</v>
      </c>
      <c r="B51" t="s">
        <v>66</v>
      </c>
      <c r="C51" s="7">
        <v>-120</v>
      </c>
      <c r="D51" t="s">
        <v>6</v>
      </c>
      <c r="E51" s="8">
        <f>E50+F51</f>
        <v>9088</v>
      </c>
      <c r="F51" s="8">
        <f>IF($D51="CR01",$C51,0)</f>
        <v>-120</v>
      </c>
      <c r="G51" s="8">
        <f>G50+H51</f>
        <v>0</v>
      </c>
      <c r="H51" s="8">
        <f>IF($D51="VISA",$C51,0)</f>
        <v>0</v>
      </c>
      <c r="I51" s="8">
        <f>I50+J51</f>
        <v>0</v>
      </c>
      <c r="J51" s="8">
        <f>IF($D51="ACC",$C51,0)</f>
        <v>0</v>
      </c>
      <c r="K51" s="8">
        <f>K50+L51</f>
        <v>0</v>
      </c>
      <c r="L51" s="8">
        <f>IF($D51="CBB",$C51,0)</f>
        <v>0</v>
      </c>
    </row>
    <row r="52" spans="1:12" x14ac:dyDescent="0.25">
      <c r="A52" s="6">
        <v>41307</v>
      </c>
      <c r="B52" t="s">
        <v>59</v>
      </c>
      <c r="C52" s="7">
        <v>-900</v>
      </c>
      <c r="D52" t="s">
        <v>6</v>
      </c>
      <c r="E52" s="8">
        <f>E51+F52</f>
        <v>8188</v>
      </c>
      <c r="F52" s="8">
        <f>IF($D52="CR01",$C52,0)</f>
        <v>-900</v>
      </c>
      <c r="G52" s="8">
        <f>G51+H52</f>
        <v>0</v>
      </c>
      <c r="H52" s="8">
        <f>IF($D52="VISA",$C52,0)</f>
        <v>0</v>
      </c>
      <c r="I52" s="8">
        <f>I51+J52</f>
        <v>0</v>
      </c>
      <c r="J52" s="8">
        <f>IF($D52="ACC",$C52,0)</f>
        <v>0</v>
      </c>
      <c r="K52" s="8">
        <f>K51+L52</f>
        <v>0</v>
      </c>
      <c r="L52" s="8">
        <f>IF($D52="CBB",$C52,0)</f>
        <v>0</v>
      </c>
    </row>
    <row r="53" spans="1:12" x14ac:dyDescent="0.25">
      <c r="A53" s="6">
        <v>41310</v>
      </c>
      <c r="B53" t="s">
        <v>48</v>
      </c>
      <c r="C53" s="7">
        <v>-100</v>
      </c>
      <c r="D53" t="s">
        <v>6</v>
      </c>
      <c r="E53" s="8">
        <f>E52+F53</f>
        <v>8088</v>
      </c>
      <c r="F53" s="8">
        <f>IF($D53="CR01",$C53,0)</f>
        <v>-100</v>
      </c>
      <c r="G53" s="8">
        <f>G52+H53</f>
        <v>0</v>
      </c>
      <c r="H53" s="8">
        <f>IF($D53="VISA",$C53,0)</f>
        <v>0</v>
      </c>
      <c r="I53" s="8">
        <f>I52+J53</f>
        <v>0</v>
      </c>
      <c r="J53" s="8">
        <f>IF($D53="ACC",$C53,0)</f>
        <v>0</v>
      </c>
      <c r="K53" s="8">
        <f>K52+L53</f>
        <v>0</v>
      </c>
      <c r="L53" s="8">
        <f>IF($D53="CBB",$C53,0)</f>
        <v>0</v>
      </c>
    </row>
    <row r="54" spans="1:12" x14ac:dyDescent="0.25">
      <c r="A54" s="6">
        <v>41311</v>
      </c>
      <c r="B54" t="s">
        <v>47</v>
      </c>
      <c r="C54" s="7">
        <v>-120</v>
      </c>
      <c r="D54" t="s">
        <v>6</v>
      </c>
      <c r="E54" s="8">
        <f>E53+F54</f>
        <v>7968</v>
      </c>
      <c r="F54" s="8">
        <f>IF($D54="CR01",$C54,0)</f>
        <v>-120</v>
      </c>
      <c r="G54" s="8">
        <f>G53+H54</f>
        <v>0</v>
      </c>
      <c r="H54" s="8">
        <f>IF($D54="VISA",$C54,0)</f>
        <v>0</v>
      </c>
      <c r="I54" s="8">
        <f>I53+J54</f>
        <v>0</v>
      </c>
      <c r="J54" s="8">
        <f>IF($D54="ACC",$C54,0)</f>
        <v>0</v>
      </c>
      <c r="K54" s="8">
        <f>K53+L54</f>
        <v>0</v>
      </c>
      <c r="L54" s="8">
        <f>IF($D54="CBB",$C54,0)</f>
        <v>0</v>
      </c>
    </row>
    <row r="55" spans="1:12" x14ac:dyDescent="0.25">
      <c r="A55" s="6">
        <v>41312</v>
      </c>
      <c r="B55" t="s">
        <v>44</v>
      </c>
      <c r="C55" s="7">
        <v>-400</v>
      </c>
      <c r="D55" t="s">
        <v>6</v>
      </c>
      <c r="E55" s="8">
        <f>E54+F55</f>
        <v>7568</v>
      </c>
      <c r="F55" s="8">
        <f>IF($D55="CR01",$C55,0)</f>
        <v>-400</v>
      </c>
      <c r="G55" s="8">
        <f>G54+H55</f>
        <v>0</v>
      </c>
      <c r="H55" s="8">
        <f>IF($D55="VISA",$C55,0)</f>
        <v>0</v>
      </c>
      <c r="I55" s="8">
        <f>I54+J55</f>
        <v>0</v>
      </c>
      <c r="J55" s="8">
        <f>IF($D55="ACC",$C55,0)</f>
        <v>0</v>
      </c>
      <c r="K55" s="8">
        <f>K54+L55</f>
        <v>0</v>
      </c>
      <c r="L55" s="8">
        <f>IF($D55="CBB",$C55,0)</f>
        <v>0</v>
      </c>
    </row>
    <row r="56" spans="1:12" x14ac:dyDescent="0.25">
      <c r="A56" s="6">
        <v>41312</v>
      </c>
      <c r="B56" t="s">
        <v>45</v>
      </c>
      <c r="C56" s="7">
        <v>-180</v>
      </c>
      <c r="D56" t="s">
        <v>6</v>
      </c>
      <c r="E56" s="8">
        <f>E55+F56</f>
        <v>7388</v>
      </c>
      <c r="F56" s="8">
        <f>IF($D56="CR01",$C56,0)</f>
        <v>-180</v>
      </c>
      <c r="G56" s="8">
        <f>G55+H56</f>
        <v>0</v>
      </c>
      <c r="H56" s="8">
        <f>IF($D56="VISA",$C56,0)</f>
        <v>0</v>
      </c>
      <c r="I56" s="8">
        <f>I55+J56</f>
        <v>0</v>
      </c>
      <c r="J56" s="8">
        <f>IF($D56="ACC",$C56,0)</f>
        <v>0</v>
      </c>
      <c r="K56" s="8">
        <f>K55+L56</f>
        <v>0</v>
      </c>
      <c r="L56" s="8">
        <f>IF($D56="CBB",$C56,0)</f>
        <v>0</v>
      </c>
    </row>
    <row r="57" spans="1:12" x14ac:dyDescent="0.25">
      <c r="A57" s="6">
        <v>41312</v>
      </c>
      <c r="B57" t="s">
        <v>46</v>
      </c>
      <c r="C57" s="7">
        <v>-300</v>
      </c>
      <c r="D57" t="s">
        <v>6</v>
      </c>
      <c r="E57" s="8">
        <f>E56+F57</f>
        <v>7088</v>
      </c>
      <c r="F57" s="8">
        <f>IF($D57="CR01",$C57,0)</f>
        <v>-300</v>
      </c>
      <c r="G57" s="8">
        <f>G56+H57</f>
        <v>0</v>
      </c>
      <c r="H57" s="8">
        <f>IF($D57="VISA",$C57,0)</f>
        <v>0</v>
      </c>
      <c r="I57" s="8">
        <f>I56+J57</f>
        <v>0</v>
      </c>
      <c r="J57" s="8">
        <f>IF($D57="ACC",$C57,0)</f>
        <v>0</v>
      </c>
      <c r="K57" s="8">
        <f>K56+L57</f>
        <v>0</v>
      </c>
      <c r="L57" s="8">
        <f>IF($D57="CBB",$C57,0)</f>
        <v>0</v>
      </c>
    </row>
    <row r="58" spans="1:12" x14ac:dyDescent="0.25">
      <c r="A58" s="6">
        <v>41314</v>
      </c>
      <c r="B58" t="s">
        <v>67</v>
      </c>
      <c r="C58" s="7">
        <v>5200</v>
      </c>
      <c r="D58" t="s">
        <v>6</v>
      </c>
      <c r="E58" s="8">
        <f>E57+F58</f>
        <v>12288</v>
      </c>
      <c r="F58" s="8">
        <f>IF($D58="CR01",$C58,0)</f>
        <v>5200</v>
      </c>
      <c r="G58" s="8">
        <f>G57+H58</f>
        <v>0</v>
      </c>
      <c r="H58" s="8">
        <f>IF($D58="VISA",$C58,0)</f>
        <v>0</v>
      </c>
      <c r="I58" s="8">
        <f>I57+J58</f>
        <v>0</v>
      </c>
      <c r="J58" s="8">
        <f>IF($D58="ACC",$C58,0)</f>
        <v>0</v>
      </c>
      <c r="K58" s="8">
        <f>K57+L58</f>
        <v>0</v>
      </c>
      <c r="L58" s="8">
        <f>IF($D58="CBB",$C58,0)</f>
        <v>0</v>
      </c>
    </row>
    <row r="59" spans="1:12" x14ac:dyDescent="0.25">
      <c r="A59" s="6">
        <v>41317</v>
      </c>
      <c r="B59" t="s">
        <v>42</v>
      </c>
      <c r="C59" s="7">
        <v>-2806</v>
      </c>
      <c r="D59" t="s">
        <v>6</v>
      </c>
      <c r="E59" s="8">
        <f>E58+F59</f>
        <v>9482</v>
      </c>
      <c r="F59" s="8">
        <f>IF($D59="CR01",$C59,0)</f>
        <v>-2806</v>
      </c>
      <c r="G59" s="8">
        <f>G58+H59</f>
        <v>0</v>
      </c>
      <c r="H59" s="8">
        <f>IF($D59="VISA",$C59,0)</f>
        <v>0</v>
      </c>
      <c r="I59" s="8">
        <f>I58+J59</f>
        <v>0</v>
      </c>
      <c r="J59" s="8">
        <f>IF($D59="ACC",$C59,0)</f>
        <v>0</v>
      </c>
      <c r="K59" s="8">
        <f>K58+L59</f>
        <v>0</v>
      </c>
      <c r="L59" s="8">
        <f>IF($D59="CBB",$C59,0)</f>
        <v>0</v>
      </c>
    </row>
    <row r="60" spans="1:12" x14ac:dyDescent="0.25">
      <c r="A60" s="6">
        <v>41317</v>
      </c>
      <c r="B60" t="s">
        <v>48</v>
      </c>
      <c r="C60" s="7">
        <v>-100</v>
      </c>
      <c r="D60" t="s">
        <v>6</v>
      </c>
      <c r="E60" s="8">
        <f>E59+F60</f>
        <v>9382</v>
      </c>
      <c r="F60" s="8">
        <f>IF($D60="CR01",$C60,0)</f>
        <v>-100</v>
      </c>
      <c r="G60" s="8">
        <f>G59+H60</f>
        <v>0</v>
      </c>
      <c r="H60" s="8">
        <f>IF($D60="VISA",$C60,0)</f>
        <v>0</v>
      </c>
      <c r="I60" s="8">
        <f>I59+J60</f>
        <v>0</v>
      </c>
      <c r="J60" s="8">
        <f>IF($D60="ACC",$C60,0)</f>
        <v>0</v>
      </c>
      <c r="K60" s="8">
        <f>K59+L60</f>
        <v>0</v>
      </c>
      <c r="L60" s="8">
        <f>IF($D60="CBB",$C60,0)</f>
        <v>0</v>
      </c>
    </row>
    <row r="61" spans="1:12" x14ac:dyDescent="0.25">
      <c r="A61" s="6">
        <v>41318</v>
      </c>
      <c r="B61" t="s">
        <v>47</v>
      </c>
      <c r="C61" s="7">
        <v>-120</v>
      </c>
      <c r="D61" t="s">
        <v>6</v>
      </c>
      <c r="E61" s="8">
        <f>E60+F61</f>
        <v>9262</v>
      </c>
      <c r="F61" s="8">
        <f>IF($D61="CR01",$C61,0)</f>
        <v>-120</v>
      </c>
      <c r="G61" s="8">
        <f>G60+H61</f>
        <v>0</v>
      </c>
      <c r="H61" s="8">
        <f>IF($D61="VISA",$C61,0)</f>
        <v>0</v>
      </c>
      <c r="I61" s="8">
        <f>I60+J61</f>
        <v>0</v>
      </c>
      <c r="J61" s="8">
        <f>IF($D61="ACC",$C61,0)</f>
        <v>0</v>
      </c>
      <c r="K61" s="8">
        <f>K60+L61</f>
        <v>0</v>
      </c>
      <c r="L61" s="8">
        <f>IF($D61="CBB",$C61,0)</f>
        <v>0</v>
      </c>
    </row>
    <row r="62" spans="1:12" x14ac:dyDescent="0.25">
      <c r="A62" s="6">
        <v>41319</v>
      </c>
      <c r="B62" t="s">
        <v>44</v>
      </c>
      <c r="C62" s="7">
        <v>-400</v>
      </c>
      <c r="D62" t="s">
        <v>6</v>
      </c>
      <c r="E62" s="8">
        <f>E61+F62</f>
        <v>8862</v>
      </c>
      <c r="F62" s="8">
        <f>IF($D62="CR01",$C62,0)</f>
        <v>-400</v>
      </c>
      <c r="G62" s="8">
        <f>G61+H62</f>
        <v>0</v>
      </c>
      <c r="H62" s="8">
        <f>IF($D62="VISA",$C62,0)</f>
        <v>0</v>
      </c>
      <c r="I62" s="8">
        <f>I61+J62</f>
        <v>0</v>
      </c>
      <c r="J62" s="8">
        <f>IF($D62="ACC",$C62,0)</f>
        <v>0</v>
      </c>
      <c r="K62" s="8">
        <f>K61+L62</f>
        <v>0</v>
      </c>
      <c r="L62" s="8">
        <f>IF($D62="CBB",$C62,0)</f>
        <v>0</v>
      </c>
    </row>
    <row r="63" spans="1:12" x14ac:dyDescent="0.25">
      <c r="A63" s="6">
        <v>41319</v>
      </c>
      <c r="B63" t="s">
        <v>45</v>
      </c>
      <c r="C63" s="7">
        <v>-180</v>
      </c>
      <c r="D63" t="s">
        <v>6</v>
      </c>
      <c r="E63" s="8">
        <f>E62+F63</f>
        <v>8682</v>
      </c>
      <c r="F63" s="8">
        <f>IF($D63="CR01",$C63,0)</f>
        <v>-180</v>
      </c>
      <c r="G63" s="8">
        <f>G62+H63</f>
        <v>0</v>
      </c>
      <c r="H63" s="8">
        <f>IF($D63="VISA",$C63,0)</f>
        <v>0</v>
      </c>
      <c r="I63" s="8">
        <f>I62+J63</f>
        <v>0</v>
      </c>
      <c r="J63" s="8">
        <f>IF($D63="ACC",$C63,0)</f>
        <v>0</v>
      </c>
      <c r="K63" s="8">
        <f>K62+L63</f>
        <v>0</v>
      </c>
      <c r="L63" s="8">
        <f>IF($D63="CBB",$C63,0)</f>
        <v>0</v>
      </c>
    </row>
    <row r="64" spans="1:12" x14ac:dyDescent="0.25">
      <c r="A64" s="6">
        <v>41319</v>
      </c>
      <c r="B64" t="s">
        <v>46</v>
      </c>
      <c r="C64" s="7">
        <v>-300</v>
      </c>
      <c r="D64" t="s">
        <v>6</v>
      </c>
      <c r="E64" s="8">
        <f>E63+F64</f>
        <v>8382</v>
      </c>
      <c r="F64" s="8">
        <f>IF($D64="CR01",$C64,0)</f>
        <v>-300</v>
      </c>
      <c r="G64" s="8">
        <f>G63+H64</f>
        <v>0</v>
      </c>
      <c r="H64" s="8">
        <f>IF($D64="VISA",$C64,0)</f>
        <v>0</v>
      </c>
      <c r="I64" s="8">
        <f>I63+J64</f>
        <v>0</v>
      </c>
      <c r="J64" s="8">
        <f>IF($D64="ACC",$C64,0)</f>
        <v>0</v>
      </c>
      <c r="K64" s="8">
        <f>K63+L64</f>
        <v>0</v>
      </c>
      <c r="L64" s="8">
        <f>IF($D64="CBB",$C64,0)</f>
        <v>0</v>
      </c>
    </row>
    <row r="65" spans="1:12" x14ac:dyDescent="0.25">
      <c r="A65" s="6">
        <v>41320</v>
      </c>
      <c r="B65" t="s">
        <v>43</v>
      </c>
      <c r="C65" s="7">
        <v>3226</v>
      </c>
      <c r="D65" t="s">
        <v>6</v>
      </c>
      <c r="E65" s="8">
        <f>E64+F65</f>
        <v>11608</v>
      </c>
      <c r="F65" s="8">
        <f>IF($D65="CR01",$C65,0)</f>
        <v>3226</v>
      </c>
      <c r="G65" s="8">
        <f>G64+H65</f>
        <v>0</v>
      </c>
      <c r="H65" s="8">
        <f>IF($D65="VISA",$C65,0)</f>
        <v>0</v>
      </c>
      <c r="I65" s="8">
        <f>I64+J65</f>
        <v>0</v>
      </c>
      <c r="J65" s="8">
        <f>IF($D65="ACC",$C65,0)</f>
        <v>0</v>
      </c>
      <c r="K65" s="8">
        <f>K64+L65</f>
        <v>0</v>
      </c>
      <c r="L65" s="8">
        <f>IF($D65="CBB",$C65,0)</f>
        <v>0</v>
      </c>
    </row>
    <row r="66" spans="1:12" x14ac:dyDescent="0.25">
      <c r="A66" s="6">
        <v>41324</v>
      </c>
      <c r="B66" t="s">
        <v>48</v>
      </c>
      <c r="C66" s="7">
        <v>-100</v>
      </c>
      <c r="D66" t="s">
        <v>6</v>
      </c>
      <c r="E66" s="8">
        <f>E65+F66</f>
        <v>11508</v>
      </c>
      <c r="F66" s="8">
        <f>IF($D66="CR01",$C66,0)</f>
        <v>-100</v>
      </c>
      <c r="G66" s="8">
        <f>G65+H66</f>
        <v>0</v>
      </c>
      <c r="H66" s="8">
        <f>IF($D66="VISA",$C66,0)</f>
        <v>0</v>
      </c>
      <c r="I66" s="8">
        <f>I65+J66</f>
        <v>0</v>
      </c>
      <c r="J66" s="8">
        <f>IF($D66="ACC",$C66,0)</f>
        <v>0</v>
      </c>
      <c r="K66" s="8">
        <f>K65+L66</f>
        <v>0</v>
      </c>
      <c r="L66" s="8">
        <f>IF($D66="CBB",$C66,0)</f>
        <v>0</v>
      </c>
    </row>
    <row r="67" spans="1:12" x14ac:dyDescent="0.25">
      <c r="A67" s="6">
        <v>41325</v>
      </c>
      <c r="B67" t="s">
        <v>47</v>
      </c>
      <c r="C67" s="7">
        <v>-120</v>
      </c>
      <c r="D67" t="s">
        <v>6</v>
      </c>
      <c r="E67" s="8">
        <f>E66+F67</f>
        <v>11388</v>
      </c>
      <c r="F67" s="8">
        <f>IF($D67="CR01",$C67,0)</f>
        <v>-120</v>
      </c>
      <c r="G67" s="8">
        <f>G66+H67</f>
        <v>0</v>
      </c>
      <c r="H67" s="8">
        <f>IF($D67="VISA",$C67,0)</f>
        <v>0</v>
      </c>
      <c r="I67" s="8">
        <f>I66+J67</f>
        <v>0</v>
      </c>
      <c r="J67" s="8">
        <f>IF($D67="ACC",$C67,0)</f>
        <v>0</v>
      </c>
      <c r="K67" s="8">
        <f>K66+L67</f>
        <v>0</v>
      </c>
      <c r="L67" s="8">
        <f>IF($D67="CBB",$C67,0)</f>
        <v>0</v>
      </c>
    </row>
    <row r="68" spans="1:12" x14ac:dyDescent="0.25">
      <c r="A68" s="6">
        <v>41326</v>
      </c>
      <c r="B68" t="s">
        <v>44</v>
      </c>
      <c r="C68" s="7">
        <v>-400</v>
      </c>
      <c r="D68" t="s">
        <v>6</v>
      </c>
      <c r="E68" s="8">
        <f>E67+F68</f>
        <v>10988</v>
      </c>
      <c r="F68" s="8">
        <f>IF($D68="CR01",$C68,0)</f>
        <v>-400</v>
      </c>
      <c r="G68" s="8">
        <f>G67+H68</f>
        <v>0</v>
      </c>
      <c r="H68" s="8">
        <f>IF($D68="VISA",$C68,0)</f>
        <v>0</v>
      </c>
      <c r="I68" s="8">
        <f>I67+J68</f>
        <v>0</v>
      </c>
      <c r="J68" s="8">
        <f>IF($D68="ACC",$C68,0)</f>
        <v>0</v>
      </c>
      <c r="K68" s="8">
        <f>K67+L68</f>
        <v>0</v>
      </c>
      <c r="L68" s="8">
        <f>IF($D68="CBB",$C68,0)</f>
        <v>0</v>
      </c>
    </row>
    <row r="69" spans="1:12" x14ac:dyDescent="0.25">
      <c r="A69" s="6">
        <v>41326</v>
      </c>
      <c r="B69" t="s">
        <v>45</v>
      </c>
      <c r="C69" s="7">
        <v>-180</v>
      </c>
      <c r="D69" t="s">
        <v>6</v>
      </c>
      <c r="E69" s="8">
        <f>E68+F69</f>
        <v>10808</v>
      </c>
      <c r="F69" s="8">
        <f>IF($D69="CR01",$C69,0)</f>
        <v>-180</v>
      </c>
      <c r="G69" s="8">
        <f>G68+H69</f>
        <v>0</v>
      </c>
      <c r="H69" s="8">
        <f>IF($D69="VISA",$C69,0)</f>
        <v>0</v>
      </c>
      <c r="I69" s="8">
        <f>I68+J69</f>
        <v>0</v>
      </c>
      <c r="J69" s="8">
        <f>IF($D69="ACC",$C69,0)</f>
        <v>0</v>
      </c>
      <c r="K69" s="8">
        <f>K68+L69</f>
        <v>0</v>
      </c>
      <c r="L69" s="8">
        <f>IF($D69="CBB",$C69,0)</f>
        <v>0</v>
      </c>
    </row>
    <row r="70" spans="1:12" x14ac:dyDescent="0.25">
      <c r="A70" s="6">
        <v>41326</v>
      </c>
      <c r="B70" t="s">
        <v>46</v>
      </c>
      <c r="C70" s="7">
        <v>-300</v>
      </c>
      <c r="D70" t="s">
        <v>6</v>
      </c>
      <c r="E70" s="8">
        <f>E69+F70</f>
        <v>10508</v>
      </c>
      <c r="F70" s="8">
        <f>IF($D70="CR01",$C70,0)</f>
        <v>-300</v>
      </c>
      <c r="G70" s="8">
        <f>G69+H70</f>
        <v>0</v>
      </c>
      <c r="H70" s="8">
        <f>IF($D70="VISA",$C70,0)</f>
        <v>0</v>
      </c>
      <c r="I70" s="8">
        <f>I69+J70</f>
        <v>0</v>
      </c>
      <c r="J70" s="8">
        <f>IF($D70="ACC",$C70,0)</f>
        <v>0</v>
      </c>
      <c r="K70" s="8">
        <f>K69+L70</f>
        <v>0</v>
      </c>
      <c r="L70" s="8">
        <f>IF($D70="CBB",$C70,0)</f>
        <v>0</v>
      </c>
    </row>
    <row r="71" spans="1:12" x14ac:dyDescent="0.25">
      <c r="A71" s="6">
        <v>41328</v>
      </c>
      <c r="B71" t="s">
        <v>67</v>
      </c>
      <c r="C71" s="7">
        <v>5200</v>
      </c>
      <c r="D71" t="s">
        <v>6</v>
      </c>
      <c r="E71" s="8">
        <f>E70+F71</f>
        <v>15708</v>
      </c>
      <c r="F71" s="8">
        <f>IF($D71="CR01",$C71,0)</f>
        <v>5200</v>
      </c>
      <c r="G71" s="8">
        <f>G70+H71</f>
        <v>0</v>
      </c>
      <c r="H71" s="8">
        <f>IF($D71="VISA",$C71,0)</f>
        <v>0</v>
      </c>
      <c r="I71" s="8">
        <f>I70+J71</f>
        <v>0</v>
      </c>
      <c r="J71" s="8">
        <f>IF($D71="ACC",$C71,0)</f>
        <v>0</v>
      </c>
      <c r="K71" s="8">
        <f>K70+L71</f>
        <v>0</v>
      </c>
      <c r="L71" s="8">
        <f>IF($D71="CBB",$C71,0)</f>
        <v>0</v>
      </c>
    </row>
    <row r="72" spans="1:12" x14ac:dyDescent="0.25">
      <c r="A72" s="6">
        <v>41331</v>
      </c>
      <c r="B72" t="s">
        <v>42</v>
      </c>
      <c r="C72" s="7">
        <v>-2806</v>
      </c>
      <c r="D72" t="s">
        <v>6</v>
      </c>
      <c r="E72" s="8">
        <f>E71+F72</f>
        <v>12902</v>
      </c>
      <c r="F72" s="8">
        <f>IF($D72="CR01",$C72,0)</f>
        <v>-2806</v>
      </c>
      <c r="G72" s="8">
        <f>G71+H72</f>
        <v>0</v>
      </c>
      <c r="H72" s="8">
        <f>IF($D72="VISA",$C72,0)</f>
        <v>0</v>
      </c>
      <c r="I72" s="8">
        <f>I71+J72</f>
        <v>0</v>
      </c>
      <c r="J72" s="8">
        <f>IF($D72="ACC",$C72,0)</f>
        <v>0</v>
      </c>
      <c r="K72" s="8">
        <f>K71+L72</f>
        <v>0</v>
      </c>
      <c r="L72" s="8">
        <f>IF($D72="CBB",$C72,0)</f>
        <v>0</v>
      </c>
    </row>
    <row r="73" spans="1:12" x14ac:dyDescent="0.25">
      <c r="A73" s="6">
        <v>41331</v>
      </c>
      <c r="B73" t="s">
        <v>48</v>
      </c>
      <c r="C73" s="7">
        <v>-100</v>
      </c>
      <c r="D73" t="s">
        <v>6</v>
      </c>
      <c r="E73" s="8">
        <f>E72+F73</f>
        <v>12802</v>
      </c>
      <c r="F73" s="8">
        <f>IF($D73="CR01",$C73,0)</f>
        <v>-100</v>
      </c>
      <c r="G73" s="8">
        <f>G72+H73</f>
        <v>0</v>
      </c>
      <c r="H73" s="8">
        <f>IF($D73="VISA",$C73,0)</f>
        <v>0</v>
      </c>
      <c r="I73" s="8">
        <f>I72+J73</f>
        <v>0</v>
      </c>
      <c r="J73" s="8">
        <f>IF($D73="ACC",$C73,0)</f>
        <v>0</v>
      </c>
      <c r="K73" s="8">
        <f>K72+L73</f>
        <v>0</v>
      </c>
      <c r="L73" s="8">
        <f>IF($D73="CBB",$C73,0)</f>
        <v>0</v>
      </c>
    </row>
    <row r="74" spans="1:12" x14ac:dyDescent="0.25">
      <c r="A74" s="6">
        <v>41332</v>
      </c>
      <c r="B74" t="s">
        <v>47</v>
      </c>
      <c r="C74" s="7">
        <v>-120</v>
      </c>
      <c r="D74" t="s">
        <v>6</v>
      </c>
      <c r="E74" s="8">
        <f>E73+F74</f>
        <v>12682</v>
      </c>
      <c r="F74" s="8">
        <f>IF($D74="CR01",$C74,0)</f>
        <v>-120</v>
      </c>
      <c r="G74" s="8">
        <f>G73+H74</f>
        <v>0</v>
      </c>
      <c r="H74" s="8">
        <f>IF($D74="VISA",$C74,0)</f>
        <v>0</v>
      </c>
      <c r="I74" s="8">
        <f>I73+J74</f>
        <v>0</v>
      </c>
      <c r="J74" s="8">
        <f>IF($D74="ACC",$C74,0)</f>
        <v>0</v>
      </c>
      <c r="K74" s="8">
        <f>K73+L74</f>
        <v>0</v>
      </c>
      <c r="L74" s="8">
        <f>IF($D74="CBB",$C74,0)</f>
        <v>0</v>
      </c>
    </row>
    <row r="75" spans="1:12" x14ac:dyDescent="0.25">
      <c r="A75" s="6">
        <v>41333</v>
      </c>
      <c r="B75" t="s">
        <v>44</v>
      </c>
      <c r="C75" s="7">
        <v>-400</v>
      </c>
      <c r="D75" t="s">
        <v>6</v>
      </c>
      <c r="E75" s="8">
        <f>E74+F75</f>
        <v>12282</v>
      </c>
      <c r="F75" s="8">
        <f>IF($D75="CR01",$C75,0)</f>
        <v>-400</v>
      </c>
      <c r="G75" s="8">
        <f>G74+H75</f>
        <v>0</v>
      </c>
      <c r="H75" s="8">
        <f>IF($D75="VISA",$C75,0)</f>
        <v>0</v>
      </c>
      <c r="I75" s="8">
        <f>I74+J75</f>
        <v>0</v>
      </c>
      <c r="J75" s="8">
        <f>IF($D75="ACC",$C75,0)</f>
        <v>0</v>
      </c>
      <c r="K75" s="8">
        <f>K74+L75</f>
        <v>0</v>
      </c>
      <c r="L75" s="8">
        <f>IF($D75="CBB",$C75,0)</f>
        <v>0</v>
      </c>
    </row>
    <row r="76" spans="1:12" x14ac:dyDescent="0.25">
      <c r="A76" s="6">
        <v>41333</v>
      </c>
      <c r="B76" t="s">
        <v>45</v>
      </c>
      <c r="C76" s="7">
        <v>-180</v>
      </c>
      <c r="D76" t="s">
        <v>6</v>
      </c>
      <c r="E76" s="8">
        <f>E75+F76</f>
        <v>12102</v>
      </c>
      <c r="F76" s="8">
        <f>IF($D76="CR01",$C76,0)</f>
        <v>-180</v>
      </c>
      <c r="G76" s="8">
        <f>G75+H76</f>
        <v>0</v>
      </c>
      <c r="H76" s="8">
        <f>IF($D76="VISA",$C76,0)</f>
        <v>0</v>
      </c>
      <c r="I76" s="8">
        <f>I75+J76</f>
        <v>0</v>
      </c>
      <c r="J76" s="8">
        <f>IF($D76="ACC",$C76,0)</f>
        <v>0</v>
      </c>
      <c r="K76" s="8">
        <f>K75+L76</f>
        <v>0</v>
      </c>
      <c r="L76" s="8">
        <f>IF($D76="CBB",$C76,0)</f>
        <v>0</v>
      </c>
    </row>
    <row r="77" spans="1:12" x14ac:dyDescent="0.25">
      <c r="A77" s="6">
        <v>41333</v>
      </c>
      <c r="B77" t="s">
        <v>46</v>
      </c>
      <c r="C77" s="7">
        <v>-300</v>
      </c>
      <c r="D77" t="s">
        <v>6</v>
      </c>
      <c r="E77" s="8">
        <f>E76+F77</f>
        <v>11802</v>
      </c>
      <c r="F77" s="8">
        <f>IF($D77="CR01",$C77,0)</f>
        <v>-300</v>
      </c>
      <c r="G77" s="8">
        <f>G76+H77</f>
        <v>0</v>
      </c>
      <c r="H77" s="8">
        <f>IF($D77="VISA",$C77,0)</f>
        <v>0</v>
      </c>
      <c r="I77" s="8">
        <f>I76+J77</f>
        <v>0</v>
      </c>
      <c r="J77" s="8">
        <f>IF($D77="ACC",$C77,0)</f>
        <v>0</v>
      </c>
      <c r="K77" s="8">
        <f>K76+L77</f>
        <v>0</v>
      </c>
      <c r="L77" s="8">
        <f>IF($D77="CBB",$C77,0)</f>
        <v>0</v>
      </c>
    </row>
    <row r="78" spans="1:12" x14ac:dyDescent="0.25">
      <c r="A78" s="6">
        <v>41334</v>
      </c>
      <c r="B78" t="s">
        <v>43</v>
      </c>
      <c r="C78" s="7">
        <v>3226</v>
      </c>
      <c r="D78" t="s">
        <v>6</v>
      </c>
      <c r="E78" s="8">
        <f>E77+F78</f>
        <v>15028</v>
      </c>
      <c r="F78" s="8">
        <f>IF($D78="CR01",$C78,0)</f>
        <v>3226</v>
      </c>
      <c r="G78" s="8">
        <f>G77+H78</f>
        <v>0</v>
      </c>
      <c r="H78" s="8">
        <f>IF($D78="VISA",$C78,0)</f>
        <v>0</v>
      </c>
      <c r="I78" s="8">
        <f>I77+J78</f>
        <v>0</v>
      </c>
      <c r="J78" s="8">
        <f>IF($D78="ACC",$C78,0)</f>
        <v>0</v>
      </c>
      <c r="K78" s="8">
        <f>K77+L78</f>
        <v>0</v>
      </c>
      <c r="L78" s="8">
        <f>IF($D78="CBB",$C78,0)</f>
        <v>0</v>
      </c>
    </row>
    <row r="79" spans="1:12" x14ac:dyDescent="0.25">
      <c r="A79" s="6">
        <v>41334</v>
      </c>
      <c r="B79" t="s">
        <v>58</v>
      </c>
      <c r="C79" s="7">
        <v>-200</v>
      </c>
      <c r="D79" t="s">
        <v>6</v>
      </c>
      <c r="E79" s="8">
        <f>E78+F79</f>
        <v>14828</v>
      </c>
      <c r="F79" s="8">
        <f>IF($D79="CR01",$C79,0)</f>
        <v>-200</v>
      </c>
      <c r="G79" s="8">
        <f>G78+H79</f>
        <v>0</v>
      </c>
      <c r="H79" s="8">
        <f>IF($D79="VISA",$C79,0)</f>
        <v>0</v>
      </c>
      <c r="I79" s="8">
        <f>I78+J79</f>
        <v>0</v>
      </c>
      <c r="J79" s="8">
        <f>IF($D79="ACC",$C79,0)</f>
        <v>0</v>
      </c>
      <c r="K79" s="8">
        <f>K78+L79</f>
        <v>0</v>
      </c>
      <c r="L79" s="8">
        <f>IF($D79="CBB",$C79,0)</f>
        <v>0</v>
      </c>
    </row>
    <row r="80" spans="1:12" x14ac:dyDescent="0.25">
      <c r="A80" s="6">
        <v>41334</v>
      </c>
      <c r="B80" t="s">
        <v>60</v>
      </c>
      <c r="C80" s="7">
        <v>-400</v>
      </c>
      <c r="D80" t="s">
        <v>6</v>
      </c>
      <c r="E80" s="8">
        <f>E79+F80</f>
        <v>14428</v>
      </c>
      <c r="F80" s="8">
        <f>IF($D80="CR01",$C80,0)</f>
        <v>-400</v>
      </c>
      <c r="G80" s="8">
        <f>G79+H80</f>
        <v>0</v>
      </c>
      <c r="H80" s="8">
        <f>IF($D80="VISA",$C80,0)</f>
        <v>0</v>
      </c>
      <c r="I80" s="8">
        <f>I79+J80</f>
        <v>0</v>
      </c>
      <c r="J80" s="8">
        <f>IF($D80="ACC",$C80,0)</f>
        <v>0</v>
      </c>
      <c r="K80" s="8">
        <f>K79+L80</f>
        <v>0</v>
      </c>
      <c r="L80" s="8">
        <f>IF($D80="CBB",$C80,0)</f>
        <v>0</v>
      </c>
    </row>
    <row r="81" spans="1:12" x14ac:dyDescent="0.25">
      <c r="A81" s="6">
        <v>41334</v>
      </c>
      <c r="B81" t="s">
        <v>64</v>
      </c>
      <c r="C81" s="7">
        <v>-26</v>
      </c>
      <c r="D81" t="s">
        <v>6</v>
      </c>
      <c r="E81" s="8">
        <f>E80+F81</f>
        <v>14402</v>
      </c>
      <c r="F81" s="8">
        <f>IF($D81="CR01",$C81,0)</f>
        <v>-26</v>
      </c>
      <c r="G81" s="8">
        <f>G80+H81</f>
        <v>0</v>
      </c>
      <c r="H81" s="8">
        <f>IF($D81="VISA",$C81,0)</f>
        <v>0</v>
      </c>
      <c r="I81" s="8">
        <f>I80+J81</f>
        <v>0</v>
      </c>
      <c r="J81" s="8">
        <f>IF($D81="ACC",$C81,0)</f>
        <v>0</v>
      </c>
      <c r="K81" s="8">
        <f>K80+L81</f>
        <v>0</v>
      </c>
      <c r="L81" s="8">
        <f>IF($D81="CBB",$C81,0)</f>
        <v>0</v>
      </c>
    </row>
    <row r="82" spans="1:12" x14ac:dyDescent="0.25">
      <c r="A82" s="6">
        <v>41334</v>
      </c>
      <c r="B82" t="s">
        <v>65</v>
      </c>
      <c r="C82" s="7">
        <v>-240</v>
      </c>
      <c r="D82" t="s">
        <v>6</v>
      </c>
      <c r="E82" s="8">
        <f>E81+F82</f>
        <v>14162</v>
      </c>
      <c r="F82" s="8">
        <f>IF($D82="CR01",$C82,0)</f>
        <v>-240</v>
      </c>
      <c r="G82" s="8">
        <f>G81+H82</f>
        <v>0</v>
      </c>
      <c r="H82" s="8">
        <f>IF($D82="VISA",$C82,0)</f>
        <v>0</v>
      </c>
      <c r="I82" s="8">
        <f>I81+J82</f>
        <v>0</v>
      </c>
      <c r="J82" s="8">
        <f>IF($D82="ACC",$C82,0)</f>
        <v>0</v>
      </c>
      <c r="K82" s="8">
        <f>K81+L82</f>
        <v>0</v>
      </c>
      <c r="L82" s="8">
        <f>IF($D82="CBB",$C82,0)</f>
        <v>0</v>
      </c>
    </row>
    <row r="83" spans="1:12" x14ac:dyDescent="0.25">
      <c r="A83" s="6">
        <v>41334</v>
      </c>
      <c r="B83" t="s">
        <v>66</v>
      </c>
      <c r="C83" s="7">
        <v>-120</v>
      </c>
      <c r="D83" t="s">
        <v>6</v>
      </c>
      <c r="E83" s="8">
        <f>E82+F83</f>
        <v>14042</v>
      </c>
      <c r="F83" s="8">
        <f>IF($D83="CR01",$C83,0)</f>
        <v>-120</v>
      </c>
      <c r="G83" s="8">
        <f>G82+H83</f>
        <v>0</v>
      </c>
      <c r="H83" s="8">
        <f>IF($D83="VISA",$C83,0)</f>
        <v>0</v>
      </c>
      <c r="I83" s="8">
        <f>I82+J83</f>
        <v>0</v>
      </c>
      <c r="J83" s="8">
        <f>IF($D83="ACC",$C83,0)</f>
        <v>0</v>
      </c>
      <c r="K83" s="8">
        <f>K82+L83</f>
        <v>0</v>
      </c>
      <c r="L83" s="8">
        <f>IF($D83="CBB",$C83,0)</f>
        <v>0</v>
      </c>
    </row>
    <row r="84" spans="1:12" x14ac:dyDescent="0.25">
      <c r="A84" s="6">
        <v>41335</v>
      </c>
      <c r="B84" t="s">
        <v>59</v>
      </c>
      <c r="C84" s="7">
        <v>-900</v>
      </c>
      <c r="D84" t="s">
        <v>6</v>
      </c>
      <c r="E84" s="8">
        <f>E83+F84</f>
        <v>13142</v>
      </c>
      <c r="F84" s="8">
        <f>IF($D84="CR01",$C84,0)</f>
        <v>-900</v>
      </c>
      <c r="G84" s="8">
        <f>G83+H84</f>
        <v>0</v>
      </c>
      <c r="H84" s="8">
        <f>IF($D84="VISA",$C84,0)</f>
        <v>0</v>
      </c>
      <c r="I84" s="8">
        <f>I83+J84</f>
        <v>0</v>
      </c>
      <c r="J84" s="8">
        <f>IF($D84="ACC",$C84,0)</f>
        <v>0</v>
      </c>
      <c r="K84" s="8">
        <f>K83+L84</f>
        <v>0</v>
      </c>
      <c r="L84" s="8">
        <f>IF($D84="CBB",$C84,0)</f>
        <v>0</v>
      </c>
    </row>
    <row r="85" spans="1:12" x14ac:dyDescent="0.25">
      <c r="A85" s="6">
        <v>41338</v>
      </c>
      <c r="B85" t="s">
        <v>48</v>
      </c>
      <c r="C85" s="7">
        <v>-100</v>
      </c>
      <c r="D85" t="s">
        <v>6</v>
      </c>
      <c r="E85" s="8">
        <f>E84+F85</f>
        <v>13042</v>
      </c>
      <c r="F85" s="8">
        <f>IF($D85="CR01",$C85,0)</f>
        <v>-100</v>
      </c>
      <c r="G85" s="8">
        <f>G84+H85</f>
        <v>0</v>
      </c>
      <c r="H85" s="8">
        <f>IF($D85="VISA",$C85,0)</f>
        <v>0</v>
      </c>
      <c r="I85" s="8">
        <f>I84+J85</f>
        <v>0</v>
      </c>
      <c r="J85" s="8">
        <f>IF($D85="ACC",$C85,0)</f>
        <v>0</v>
      </c>
      <c r="K85" s="8">
        <f>K84+L85</f>
        <v>0</v>
      </c>
      <c r="L85" s="8">
        <f>IF($D85="CBB",$C85,0)</f>
        <v>0</v>
      </c>
    </row>
    <row r="86" spans="1:12" x14ac:dyDescent="0.25">
      <c r="A86" s="6">
        <v>41339</v>
      </c>
      <c r="B86" t="s">
        <v>47</v>
      </c>
      <c r="C86" s="7">
        <v>-120</v>
      </c>
      <c r="D86" t="s">
        <v>6</v>
      </c>
      <c r="E86" s="8">
        <f>E85+F86</f>
        <v>12922</v>
      </c>
      <c r="F86" s="8">
        <f>IF($D86="CR01",$C86,0)</f>
        <v>-120</v>
      </c>
      <c r="G86" s="8">
        <f>G85+H86</f>
        <v>0</v>
      </c>
      <c r="H86" s="8">
        <f>IF($D86="VISA",$C86,0)</f>
        <v>0</v>
      </c>
      <c r="I86" s="8">
        <f>I85+J86</f>
        <v>0</v>
      </c>
      <c r="J86" s="8">
        <f>IF($D86="ACC",$C86,0)</f>
        <v>0</v>
      </c>
      <c r="K86" s="8">
        <f>K85+L86</f>
        <v>0</v>
      </c>
      <c r="L86" s="8">
        <f>IF($D86="CBB",$C86,0)</f>
        <v>0</v>
      </c>
    </row>
    <row r="87" spans="1:12" x14ac:dyDescent="0.25">
      <c r="A87" s="6">
        <v>41340</v>
      </c>
      <c r="B87" t="s">
        <v>44</v>
      </c>
      <c r="C87" s="7">
        <v>-400</v>
      </c>
      <c r="D87" t="s">
        <v>6</v>
      </c>
      <c r="E87" s="8">
        <f>E86+F87</f>
        <v>12522</v>
      </c>
      <c r="F87" s="8">
        <f>IF($D87="CR01",$C87,0)</f>
        <v>-400</v>
      </c>
      <c r="G87" s="8">
        <f>G86+H87</f>
        <v>0</v>
      </c>
      <c r="H87" s="8">
        <f>IF($D87="VISA",$C87,0)</f>
        <v>0</v>
      </c>
      <c r="I87" s="8">
        <f>I86+J87</f>
        <v>0</v>
      </c>
      <c r="J87" s="8">
        <f>IF($D87="ACC",$C87,0)</f>
        <v>0</v>
      </c>
      <c r="K87" s="8">
        <f>K86+L87</f>
        <v>0</v>
      </c>
      <c r="L87" s="8">
        <f>IF($D87="CBB",$C87,0)</f>
        <v>0</v>
      </c>
    </row>
    <row r="88" spans="1:12" x14ac:dyDescent="0.25">
      <c r="A88" s="6">
        <v>41340</v>
      </c>
      <c r="B88" t="s">
        <v>45</v>
      </c>
      <c r="C88" s="7">
        <v>-180</v>
      </c>
      <c r="D88" t="s">
        <v>6</v>
      </c>
      <c r="E88" s="8">
        <f>E87+F88</f>
        <v>12342</v>
      </c>
      <c r="F88" s="8">
        <f>IF($D88="CR01",$C88,0)</f>
        <v>-180</v>
      </c>
      <c r="G88" s="8">
        <f>G87+H88</f>
        <v>0</v>
      </c>
      <c r="H88" s="8">
        <f>IF($D88="VISA",$C88,0)</f>
        <v>0</v>
      </c>
      <c r="I88" s="8">
        <f>I87+J88</f>
        <v>0</v>
      </c>
      <c r="J88" s="8">
        <f>IF($D88="ACC",$C88,0)</f>
        <v>0</v>
      </c>
      <c r="K88" s="8">
        <f>K87+L88</f>
        <v>0</v>
      </c>
      <c r="L88" s="8">
        <f>IF($D88="CBB",$C88,0)</f>
        <v>0</v>
      </c>
    </row>
    <row r="89" spans="1:12" x14ac:dyDescent="0.25">
      <c r="A89" s="6">
        <v>41340</v>
      </c>
      <c r="B89" t="s">
        <v>46</v>
      </c>
      <c r="C89" s="7">
        <v>-300</v>
      </c>
      <c r="D89" t="s">
        <v>6</v>
      </c>
      <c r="E89" s="8">
        <f>E88+F89</f>
        <v>12042</v>
      </c>
      <c r="F89" s="8">
        <f>IF($D89="CR01",$C89,0)</f>
        <v>-300</v>
      </c>
      <c r="G89" s="8">
        <f>G88+H89</f>
        <v>0</v>
      </c>
      <c r="H89" s="8">
        <f>IF($D89="VISA",$C89,0)</f>
        <v>0</v>
      </c>
      <c r="I89" s="8">
        <f>I88+J89</f>
        <v>0</v>
      </c>
      <c r="J89" s="8">
        <f>IF($D89="ACC",$C89,0)</f>
        <v>0</v>
      </c>
      <c r="K89" s="8">
        <f>K88+L89</f>
        <v>0</v>
      </c>
      <c r="L89" s="8">
        <f>IF($D89="CBB",$C89,0)</f>
        <v>0</v>
      </c>
    </row>
    <row r="90" spans="1:12" x14ac:dyDescent="0.25">
      <c r="A90" s="6">
        <v>41342</v>
      </c>
      <c r="B90" t="s">
        <v>67</v>
      </c>
      <c r="C90" s="7">
        <v>5200</v>
      </c>
      <c r="D90" t="s">
        <v>6</v>
      </c>
      <c r="E90" s="8">
        <f>E89+F90</f>
        <v>17242</v>
      </c>
      <c r="F90" s="8">
        <f>IF($D90="CR01",$C90,0)</f>
        <v>5200</v>
      </c>
      <c r="G90" s="8">
        <f>G89+H90</f>
        <v>0</v>
      </c>
      <c r="H90" s="8">
        <f>IF($D90="VISA",$C90,0)</f>
        <v>0</v>
      </c>
      <c r="I90" s="8">
        <f>I89+J90</f>
        <v>0</v>
      </c>
      <c r="J90" s="8">
        <f>IF($D90="ACC",$C90,0)</f>
        <v>0</v>
      </c>
      <c r="K90" s="8">
        <f>K89+L90</f>
        <v>0</v>
      </c>
      <c r="L90" s="8">
        <f>IF($D90="CBB",$C90,0)</f>
        <v>0</v>
      </c>
    </row>
    <row r="91" spans="1:12" x14ac:dyDescent="0.25">
      <c r="A91" s="6">
        <v>41345</v>
      </c>
      <c r="B91" t="s">
        <v>42</v>
      </c>
      <c r="C91" s="7">
        <v>-2806</v>
      </c>
      <c r="D91" t="s">
        <v>6</v>
      </c>
      <c r="E91" s="8">
        <f>E90+F91</f>
        <v>14436</v>
      </c>
      <c r="F91" s="8">
        <f>IF($D91="CR01",$C91,0)</f>
        <v>-2806</v>
      </c>
      <c r="G91" s="8">
        <f>G90+H91</f>
        <v>0</v>
      </c>
      <c r="H91" s="8">
        <f>IF($D91="VISA",$C91,0)</f>
        <v>0</v>
      </c>
      <c r="I91" s="8">
        <f>I90+J91</f>
        <v>0</v>
      </c>
      <c r="J91" s="8">
        <f>IF($D91="ACC",$C91,0)</f>
        <v>0</v>
      </c>
      <c r="K91" s="8">
        <f>K90+L91</f>
        <v>0</v>
      </c>
      <c r="L91" s="8">
        <f>IF($D91="CBB",$C91,0)</f>
        <v>0</v>
      </c>
    </row>
    <row r="92" spans="1:12" x14ac:dyDescent="0.25">
      <c r="A92" s="6">
        <v>41345</v>
      </c>
      <c r="B92" t="s">
        <v>48</v>
      </c>
      <c r="C92" s="7">
        <v>-100</v>
      </c>
      <c r="D92" t="s">
        <v>6</v>
      </c>
      <c r="E92" s="8">
        <f>E91+F92</f>
        <v>14336</v>
      </c>
      <c r="F92" s="8">
        <f>IF($D92="CR01",$C92,0)</f>
        <v>-100</v>
      </c>
      <c r="G92" s="8">
        <f>G91+H92</f>
        <v>0</v>
      </c>
      <c r="H92" s="8">
        <f>IF($D92="VISA",$C92,0)</f>
        <v>0</v>
      </c>
      <c r="I92" s="8">
        <f>I91+J92</f>
        <v>0</v>
      </c>
      <c r="J92" s="8">
        <f>IF($D92="ACC",$C92,0)</f>
        <v>0</v>
      </c>
      <c r="K92" s="8">
        <f>K91+L92</f>
        <v>0</v>
      </c>
      <c r="L92" s="8">
        <f>IF($D92="CBB",$C92,0)</f>
        <v>0</v>
      </c>
    </row>
    <row r="93" spans="1:12" x14ac:dyDescent="0.25">
      <c r="A93" s="6">
        <v>41346</v>
      </c>
      <c r="B93" t="s">
        <v>47</v>
      </c>
      <c r="C93" s="7">
        <v>-120</v>
      </c>
      <c r="D93" t="s">
        <v>6</v>
      </c>
      <c r="E93" s="8">
        <f>E92+F93</f>
        <v>14216</v>
      </c>
      <c r="F93" s="8">
        <f>IF($D93="CR01",$C93,0)</f>
        <v>-120</v>
      </c>
      <c r="G93" s="8">
        <f>G92+H93</f>
        <v>0</v>
      </c>
      <c r="H93" s="8">
        <f>IF($D93="VISA",$C93,0)</f>
        <v>0</v>
      </c>
      <c r="I93" s="8">
        <f>I92+J93</f>
        <v>0</v>
      </c>
      <c r="J93" s="8">
        <f>IF($D93="ACC",$C93,0)</f>
        <v>0</v>
      </c>
      <c r="K93" s="8">
        <f>K92+L93</f>
        <v>0</v>
      </c>
      <c r="L93" s="8">
        <f>IF($D93="CBB",$C93,0)</f>
        <v>0</v>
      </c>
    </row>
    <row r="94" spans="1:12" x14ac:dyDescent="0.25">
      <c r="A94" s="6">
        <v>41347</v>
      </c>
      <c r="B94" t="s">
        <v>44</v>
      </c>
      <c r="C94" s="7">
        <v>-400</v>
      </c>
      <c r="D94" t="s">
        <v>6</v>
      </c>
      <c r="E94" s="8">
        <f>E93+F94</f>
        <v>13816</v>
      </c>
      <c r="F94" s="8">
        <f>IF($D94="CR01",$C94,0)</f>
        <v>-400</v>
      </c>
      <c r="G94" s="8">
        <f>G93+H94</f>
        <v>0</v>
      </c>
      <c r="H94" s="8">
        <f>IF($D94="VISA",$C94,0)</f>
        <v>0</v>
      </c>
      <c r="I94" s="8">
        <f>I93+J94</f>
        <v>0</v>
      </c>
      <c r="J94" s="8">
        <f>IF($D94="ACC",$C94,0)</f>
        <v>0</v>
      </c>
      <c r="K94" s="8">
        <f>K93+L94</f>
        <v>0</v>
      </c>
      <c r="L94" s="8">
        <f>IF($D94="CBB",$C94,0)</f>
        <v>0</v>
      </c>
    </row>
    <row r="95" spans="1:12" x14ac:dyDescent="0.25">
      <c r="A95" s="6">
        <v>41347</v>
      </c>
      <c r="B95" t="s">
        <v>45</v>
      </c>
      <c r="C95" s="7">
        <v>-180</v>
      </c>
      <c r="D95" t="s">
        <v>6</v>
      </c>
      <c r="E95" s="8">
        <f>E94+F95</f>
        <v>13636</v>
      </c>
      <c r="F95" s="8">
        <f>IF($D95="CR01",$C95,0)</f>
        <v>-180</v>
      </c>
      <c r="G95" s="8">
        <f>G94+H95</f>
        <v>0</v>
      </c>
      <c r="H95" s="8">
        <f>IF($D95="VISA",$C95,0)</f>
        <v>0</v>
      </c>
      <c r="I95" s="8">
        <f>I94+J95</f>
        <v>0</v>
      </c>
      <c r="J95" s="8">
        <f>IF($D95="ACC",$C95,0)</f>
        <v>0</v>
      </c>
      <c r="K95" s="8">
        <f>K94+L95</f>
        <v>0</v>
      </c>
      <c r="L95" s="8">
        <f>IF($D95="CBB",$C95,0)</f>
        <v>0</v>
      </c>
    </row>
    <row r="96" spans="1:12" x14ac:dyDescent="0.25">
      <c r="A96" s="6">
        <v>41347</v>
      </c>
      <c r="B96" t="s">
        <v>46</v>
      </c>
      <c r="C96" s="7">
        <v>-300</v>
      </c>
      <c r="D96" t="s">
        <v>6</v>
      </c>
      <c r="E96" s="8">
        <f>E95+F96</f>
        <v>13336</v>
      </c>
      <c r="F96" s="8">
        <f>IF($D96="CR01",$C96,0)</f>
        <v>-300</v>
      </c>
      <c r="G96" s="8">
        <f>G95+H96</f>
        <v>0</v>
      </c>
      <c r="H96" s="8">
        <f>IF($D96="VISA",$C96,0)</f>
        <v>0</v>
      </c>
      <c r="I96" s="8">
        <f>I95+J96</f>
        <v>0</v>
      </c>
      <c r="J96" s="8">
        <f>IF($D96="ACC",$C96,0)</f>
        <v>0</v>
      </c>
      <c r="K96" s="8">
        <f>K95+L96</f>
        <v>0</v>
      </c>
      <c r="L96" s="8">
        <f>IF($D96="CBB",$C96,0)</f>
        <v>0</v>
      </c>
    </row>
    <row r="97" spans="1:12" x14ac:dyDescent="0.25">
      <c r="A97" s="6">
        <v>41348</v>
      </c>
      <c r="B97" t="s">
        <v>43</v>
      </c>
      <c r="C97" s="7">
        <v>3226</v>
      </c>
      <c r="D97" t="s">
        <v>6</v>
      </c>
      <c r="E97" s="8">
        <f>E96+F97</f>
        <v>16562</v>
      </c>
      <c r="F97" s="8">
        <f>IF($D97="CR01",$C97,0)</f>
        <v>3226</v>
      </c>
      <c r="G97" s="8">
        <f>G96+H97</f>
        <v>0</v>
      </c>
      <c r="H97" s="8">
        <f>IF($D97="VISA",$C97,0)</f>
        <v>0</v>
      </c>
      <c r="I97" s="8">
        <f>I96+J97</f>
        <v>0</v>
      </c>
      <c r="J97" s="8">
        <f>IF($D97="ACC",$C97,0)</f>
        <v>0</v>
      </c>
      <c r="K97" s="8">
        <f>K96+L97</f>
        <v>0</v>
      </c>
      <c r="L97" s="8">
        <f>IF($D97="CBB",$C97,0)</f>
        <v>0</v>
      </c>
    </row>
    <row r="98" spans="1:12" x14ac:dyDescent="0.25">
      <c r="A98" s="6">
        <v>41352</v>
      </c>
      <c r="B98" t="s">
        <v>48</v>
      </c>
      <c r="C98" s="7">
        <v>-100</v>
      </c>
      <c r="D98" t="s">
        <v>6</v>
      </c>
      <c r="E98" s="8">
        <f>E97+F98</f>
        <v>16462</v>
      </c>
      <c r="F98" s="8">
        <f>IF($D98="CR01",$C98,0)</f>
        <v>-100</v>
      </c>
      <c r="G98" s="8">
        <f>G97+H98</f>
        <v>0</v>
      </c>
      <c r="H98" s="8">
        <f>IF($D98="VISA",$C98,0)</f>
        <v>0</v>
      </c>
      <c r="I98" s="8">
        <f>I97+J98</f>
        <v>0</v>
      </c>
      <c r="J98" s="8">
        <f>IF($D98="ACC",$C98,0)</f>
        <v>0</v>
      </c>
      <c r="K98" s="8">
        <f>K97+L98</f>
        <v>0</v>
      </c>
      <c r="L98" s="8">
        <f>IF($D98="CBB",$C98,0)</f>
        <v>0</v>
      </c>
    </row>
    <row r="99" spans="1:12" x14ac:dyDescent="0.25">
      <c r="A99" s="6">
        <v>41353</v>
      </c>
      <c r="B99" t="s">
        <v>47</v>
      </c>
      <c r="C99" s="7">
        <v>-120</v>
      </c>
      <c r="D99" t="s">
        <v>6</v>
      </c>
      <c r="E99" s="8">
        <f>E98+F99</f>
        <v>16342</v>
      </c>
      <c r="F99" s="8">
        <f>IF($D99="CR01",$C99,0)</f>
        <v>-120</v>
      </c>
      <c r="G99" s="8">
        <f>G98+H99</f>
        <v>0</v>
      </c>
      <c r="H99" s="8">
        <f>IF($D99="VISA",$C99,0)</f>
        <v>0</v>
      </c>
      <c r="I99" s="8">
        <f>I98+J99</f>
        <v>0</v>
      </c>
      <c r="J99" s="8">
        <f>IF($D99="ACC",$C99,0)</f>
        <v>0</v>
      </c>
      <c r="K99" s="8">
        <f>K98+L99</f>
        <v>0</v>
      </c>
      <c r="L99" s="8">
        <f>IF($D99="CBB",$C99,0)</f>
        <v>0</v>
      </c>
    </row>
    <row r="100" spans="1:12" x14ac:dyDescent="0.25">
      <c r="A100" s="6">
        <v>41354</v>
      </c>
      <c r="B100" t="s">
        <v>44</v>
      </c>
      <c r="C100" s="7">
        <v>-400</v>
      </c>
      <c r="D100" t="s">
        <v>6</v>
      </c>
      <c r="E100" s="8">
        <f>E99+F100</f>
        <v>15942</v>
      </c>
      <c r="F100" s="8">
        <f>IF($D100="CR01",$C100,0)</f>
        <v>-400</v>
      </c>
      <c r="G100" s="8">
        <f>G99+H100</f>
        <v>0</v>
      </c>
      <c r="H100" s="8">
        <f>IF($D100="VISA",$C100,0)</f>
        <v>0</v>
      </c>
      <c r="I100" s="8">
        <f>I99+J100</f>
        <v>0</v>
      </c>
      <c r="J100" s="8">
        <f>IF($D100="ACC",$C100,0)</f>
        <v>0</v>
      </c>
      <c r="K100" s="8">
        <f>K99+L100</f>
        <v>0</v>
      </c>
      <c r="L100" s="8">
        <f>IF($D100="CBB",$C100,0)</f>
        <v>0</v>
      </c>
    </row>
    <row r="101" spans="1:12" x14ac:dyDescent="0.25">
      <c r="A101" s="6">
        <v>41354</v>
      </c>
      <c r="B101" t="s">
        <v>45</v>
      </c>
      <c r="C101" s="7">
        <v>-180</v>
      </c>
      <c r="D101" t="s">
        <v>6</v>
      </c>
      <c r="E101" s="8">
        <f>E100+F101</f>
        <v>15762</v>
      </c>
      <c r="F101" s="8">
        <f>IF($D101="CR01",$C101,0)</f>
        <v>-180</v>
      </c>
      <c r="G101" s="8">
        <f>G100+H101</f>
        <v>0</v>
      </c>
      <c r="H101" s="8">
        <f>IF($D101="VISA",$C101,0)</f>
        <v>0</v>
      </c>
      <c r="I101" s="8">
        <f>I100+J101</f>
        <v>0</v>
      </c>
      <c r="J101" s="8">
        <f>IF($D101="ACC",$C101,0)</f>
        <v>0</v>
      </c>
      <c r="K101" s="8">
        <f>K100+L101</f>
        <v>0</v>
      </c>
      <c r="L101" s="8">
        <f>IF($D101="CBB",$C101,0)</f>
        <v>0</v>
      </c>
    </row>
    <row r="102" spans="1:12" x14ac:dyDescent="0.25">
      <c r="A102" s="6">
        <v>41354</v>
      </c>
      <c r="B102" t="s">
        <v>46</v>
      </c>
      <c r="C102" s="7">
        <v>-300</v>
      </c>
      <c r="D102" t="s">
        <v>6</v>
      </c>
      <c r="E102" s="8">
        <f>E101+F102</f>
        <v>15462</v>
      </c>
      <c r="F102" s="8">
        <f>IF($D102="CR01",$C102,0)</f>
        <v>-300</v>
      </c>
      <c r="G102" s="8">
        <f>G101+H102</f>
        <v>0</v>
      </c>
      <c r="H102" s="8">
        <f>IF($D102="VISA",$C102,0)</f>
        <v>0</v>
      </c>
      <c r="I102" s="8">
        <f>I101+J102</f>
        <v>0</v>
      </c>
      <c r="J102" s="8">
        <f>IF($D102="ACC",$C102,0)</f>
        <v>0</v>
      </c>
      <c r="K102" s="8">
        <f>K101+L102</f>
        <v>0</v>
      </c>
      <c r="L102" s="8">
        <f>IF($D102="CBB",$C102,0)</f>
        <v>0</v>
      </c>
    </row>
    <row r="103" spans="1:12" x14ac:dyDescent="0.25">
      <c r="A103" s="6">
        <v>41356</v>
      </c>
      <c r="B103" t="s">
        <v>67</v>
      </c>
      <c r="C103" s="7">
        <v>5200</v>
      </c>
      <c r="D103" t="s">
        <v>6</v>
      </c>
      <c r="E103" s="8">
        <f>E102+F103</f>
        <v>20662</v>
      </c>
      <c r="F103" s="8">
        <f>IF($D103="CR01",$C103,0)</f>
        <v>5200</v>
      </c>
      <c r="G103" s="8">
        <f>G102+H103</f>
        <v>0</v>
      </c>
      <c r="H103" s="8">
        <f>IF($D103="VISA",$C103,0)</f>
        <v>0</v>
      </c>
      <c r="I103" s="8">
        <f>I102+J103</f>
        <v>0</v>
      </c>
      <c r="J103" s="8">
        <f>IF($D103="ACC",$C103,0)</f>
        <v>0</v>
      </c>
      <c r="K103" s="8">
        <f>K102+L103</f>
        <v>0</v>
      </c>
      <c r="L103" s="8">
        <f>IF($D103="CBB",$C103,0)</f>
        <v>0</v>
      </c>
    </row>
    <row r="104" spans="1:12" x14ac:dyDescent="0.25">
      <c r="A104" s="6">
        <v>41359</v>
      </c>
      <c r="B104" t="s">
        <v>42</v>
      </c>
      <c r="C104" s="7">
        <v>-2806</v>
      </c>
      <c r="D104" t="s">
        <v>6</v>
      </c>
      <c r="E104" s="8">
        <f>E103+F104</f>
        <v>17856</v>
      </c>
      <c r="F104" s="8">
        <f>IF($D104="CR01",$C104,0)</f>
        <v>-2806</v>
      </c>
      <c r="G104" s="8">
        <f>G103+H104</f>
        <v>0</v>
      </c>
      <c r="H104" s="8">
        <f>IF($D104="VISA",$C104,0)</f>
        <v>0</v>
      </c>
      <c r="I104" s="8">
        <f>I103+J104</f>
        <v>0</v>
      </c>
      <c r="J104" s="8">
        <f>IF($D104="ACC",$C104,0)</f>
        <v>0</v>
      </c>
      <c r="K104" s="8">
        <f>K103+L104</f>
        <v>0</v>
      </c>
      <c r="L104" s="8">
        <f>IF($D104="CBB",$C104,0)</f>
        <v>0</v>
      </c>
    </row>
    <row r="105" spans="1:12" x14ac:dyDescent="0.25">
      <c r="A105" s="6">
        <v>41359</v>
      </c>
      <c r="B105" t="s">
        <v>48</v>
      </c>
      <c r="C105" s="7">
        <v>-100</v>
      </c>
      <c r="D105" t="s">
        <v>6</v>
      </c>
      <c r="E105" s="8">
        <f>E104+F105</f>
        <v>17756</v>
      </c>
      <c r="F105" s="8">
        <f>IF($D105="CR01",$C105,0)</f>
        <v>-100</v>
      </c>
      <c r="G105" s="8">
        <f>G104+H105</f>
        <v>0</v>
      </c>
      <c r="H105" s="8">
        <f>IF($D105="VISA",$C105,0)</f>
        <v>0</v>
      </c>
      <c r="I105" s="8">
        <f>I104+J105</f>
        <v>0</v>
      </c>
      <c r="J105" s="8">
        <f>IF($D105="ACC",$C105,0)</f>
        <v>0</v>
      </c>
      <c r="K105" s="8">
        <f>K104+L105</f>
        <v>0</v>
      </c>
      <c r="L105" s="8">
        <f>IF($D105="CBB",$C105,0)</f>
        <v>0</v>
      </c>
    </row>
    <row r="106" spans="1:12" x14ac:dyDescent="0.25">
      <c r="A106" s="6">
        <v>41360</v>
      </c>
      <c r="B106" t="s">
        <v>47</v>
      </c>
      <c r="C106" s="7">
        <v>-120</v>
      </c>
      <c r="D106" t="s">
        <v>6</v>
      </c>
      <c r="E106" s="8">
        <f>E105+F106</f>
        <v>17636</v>
      </c>
      <c r="F106" s="8">
        <f>IF($D106="CR01",$C106,0)</f>
        <v>-120</v>
      </c>
      <c r="G106" s="8">
        <f>G105+H106</f>
        <v>0</v>
      </c>
      <c r="H106" s="8">
        <f>IF($D106="VISA",$C106,0)</f>
        <v>0</v>
      </c>
      <c r="I106" s="8">
        <f>I105+J106</f>
        <v>0</v>
      </c>
      <c r="J106" s="8">
        <f>IF($D106="ACC",$C106,0)</f>
        <v>0</v>
      </c>
      <c r="K106" s="8">
        <f>K105+L106</f>
        <v>0</v>
      </c>
      <c r="L106" s="8">
        <f>IF($D106="CBB",$C106,0)</f>
        <v>0</v>
      </c>
    </row>
    <row r="107" spans="1:12" x14ac:dyDescent="0.25">
      <c r="A107" s="6">
        <v>41361</v>
      </c>
      <c r="B107" t="s">
        <v>44</v>
      </c>
      <c r="C107" s="7">
        <v>-400</v>
      </c>
      <c r="D107" t="s">
        <v>6</v>
      </c>
      <c r="E107" s="8">
        <f>E106+F107</f>
        <v>17236</v>
      </c>
      <c r="F107" s="8">
        <f>IF($D107="CR01",$C107,0)</f>
        <v>-400</v>
      </c>
      <c r="G107" s="8">
        <f>G106+H107</f>
        <v>0</v>
      </c>
      <c r="H107" s="8">
        <f>IF($D107="VISA",$C107,0)</f>
        <v>0</v>
      </c>
      <c r="I107" s="8">
        <f>I106+J107</f>
        <v>0</v>
      </c>
      <c r="J107" s="8">
        <f>IF($D107="ACC",$C107,0)</f>
        <v>0</v>
      </c>
      <c r="K107" s="8">
        <f>K106+L107</f>
        <v>0</v>
      </c>
      <c r="L107" s="8">
        <f>IF($D107="CBB",$C107,0)</f>
        <v>0</v>
      </c>
    </row>
    <row r="108" spans="1:12" x14ac:dyDescent="0.25">
      <c r="A108" s="6">
        <v>41361</v>
      </c>
      <c r="B108" t="s">
        <v>45</v>
      </c>
      <c r="C108" s="7">
        <v>-180</v>
      </c>
      <c r="D108" t="s">
        <v>6</v>
      </c>
      <c r="E108" s="8">
        <f>E107+F108</f>
        <v>17056</v>
      </c>
      <c r="F108" s="8">
        <f>IF($D108="CR01",$C108,0)</f>
        <v>-180</v>
      </c>
      <c r="G108" s="8">
        <f>G107+H108</f>
        <v>0</v>
      </c>
      <c r="H108" s="8">
        <f>IF($D108="VISA",$C108,0)</f>
        <v>0</v>
      </c>
      <c r="I108" s="8">
        <f>I107+J108</f>
        <v>0</v>
      </c>
      <c r="J108" s="8">
        <f>IF($D108="ACC",$C108,0)</f>
        <v>0</v>
      </c>
      <c r="K108" s="8">
        <f>K107+L108</f>
        <v>0</v>
      </c>
      <c r="L108" s="8">
        <f>IF($D108="CBB",$C108,0)</f>
        <v>0</v>
      </c>
    </row>
    <row r="109" spans="1:12" x14ac:dyDescent="0.25">
      <c r="A109" s="6">
        <v>41361</v>
      </c>
      <c r="B109" t="s">
        <v>46</v>
      </c>
      <c r="C109" s="7">
        <v>-300</v>
      </c>
      <c r="D109" t="s">
        <v>6</v>
      </c>
      <c r="E109" s="8">
        <f>E108+F109</f>
        <v>16756</v>
      </c>
      <c r="F109" s="8">
        <f>IF($D109="CR01",$C109,0)</f>
        <v>-300</v>
      </c>
      <c r="G109" s="8">
        <f>G108+H109</f>
        <v>0</v>
      </c>
      <c r="H109" s="8">
        <f>IF($D109="VISA",$C109,0)</f>
        <v>0</v>
      </c>
      <c r="I109" s="8">
        <f>I108+J109</f>
        <v>0</v>
      </c>
      <c r="J109" s="8">
        <f>IF($D109="ACC",$C109,0)</f>
        <v>0</v>
      </c>
      <c r="K109" s="8">
        <f>K108+L109</f>
        <v>0</v>
      </c>
      <c r="L109" s="8">
        <f>IF($D109="CBB",$C109,0)</f>
        <v>0</v>
      </c>
    </row>
    <row r="110" spans="1:12" x14ac:dyDescent="0.25">
      <c r="A110" s="6">
        <v>41362</v>
      </c>
      <c r="B110" t="s">
        <v>43</v>
      </c>
      <c r="C110" s="7">
        <v>3226</v>
      </c>
      <c r="D110" t="s">
        <v>6</v>
      </c>
      <c r="E110" s="8">
        <f>E109+F110</f>
        <v>19982</v>
      </c>
      <c r="F110" s="8">
        <f>IF($D110="CR01",$C110,0)</f>
        <v>3226</v>
      </c>
      <c r="G110" s="8">
        <f>G109+H110</f>
        <v>0</v>
      </c>
      <c r="H110" s="8">
        <f>IF($D110="VISA",$C110,0)</f>
        <v>0</v>
      </c>
      <c r="I110" s="8">
        <f>I109+J110</f>
        <v>0</v>
      </c>
      <c r="J110" s="8">
        <f>IF($D110="ACC",$C110,0)</f>
        <v>0</v>
      </c>
      <c r="K110" s="8">
        <f>K109+L110</f>
        <v>0</v>
      </c>
      <c r="L110" s="8">
        <f>IF($D110="CBB",$C110,0)</f>
        <v>0</v>
      </c>
    </row>
    <row r="111" spans="1:12" x14ac:dyDescent="0.25">
      <c r="A111" s="6">
        <v>41365</v>
      </c>
      <c r="B111" t="s">
        <v>58</v>
      </c>
      <c r="C111" s="7">
        <v>-200</v>
      </c>
      <c r="D111" t="s">
        <v>6</v>
      </c>
      <c r="E111" s="8">
        <f>E110+F111</f>
        <v>19782</v>
      </c>
      <c r="F111" s="8">
        <f>IF($D111="CR01",$C111,0)</f>
        <v>-200</v>
      </c>
      <c r="G111" s="8">
        <f>G110+H111</f>
        <v>0</v>
      </c>
      <c r="H111" s="8">
        <f>IF($D111="VISA",$C111,0)</f>
        <v>0</v>
      </c>
      <c r="I111" s="8">
        <f>I110+J111</f>
        <v>0</v>
      </c>
      <c r="J111" s="8">
        <f>IF($D111="ACC",$C111,0)</f>
        <v>0</v>
      </c>
      <c r="K111" s="8">
        <f>K110+L111</f>
        <v>0</v>
      </c>
      <c r="L111" s="8">
        <f>IF($D111="CBB",$C111,0)</f>
        <v>0</v>
      </c>
    </row>
    <row r="112" spans="1:12" x14ac:dyDescent="0.25">
      <c r="A112" s="6">
        <v>41365</v>
      </c>
      <c r="B112" t="s">
        <v>60</v>
      </c>
      <c r="C112" s="7">
        <v>-400</v>
      </c>
      <c r="D112" t="s">
        <v>6</v>
      </c>
      <c r="E112" s="8">
        <f>E111+F112</f>
        <v>19382</v>
      </c>
      <c r="F112" s="8">
        <f>IF($D112="CR01",$C112,0)</f>
        <v>-400</v>
      </c>
      <c r="G112" s="8">
        <f>G111+H112</f>
        <v>0</v>
      </c>
      <c r="H112" s="8">
        <f>IF($D112="VISA",$C112,0)</f>
        <v>0</v>
      </c>
      <c r="I112" s="8">
        <f>I111+J112</f>
        <v>0</v>
      </c>
      <c r="J112" s="8">
        <f>IF($D112="ACC",$C112,0)</f>
        <v>0</v>
      </c>
      <c r="K112" s="8">
        <f>K111+L112</f>
        <v>0</v>
      </c>
      <c r="L112" s="8">
        <f>IF($D112="CBB",$C112,0)</f>
        <v>0</v>
      </c>
    </row>
    <row r="113" spans="1:12" x14ac:dyDescent="0.25">
      <c r="A113" s="6">
        <v>41365</v>
      </c>
      <c r="B113" t="s">
        <v>61</v>
      </c>
      <c r="C113" s="7">
        <v>-300</v>
      </c>
      <c r="D113" t="s">
        <v>6</v>
      </c>
      <c r="E113" s="8">
        <f>E112+F113</f>
        <v>19082</v>
      </c>
      <c r="F113" s="8">
        <f>IF($D113="CR01",$C113,0)</f>
        <v>-300</v>
      </c>
      <c r="G113" s="8">
        <f>G112+H113</f>
        <v>0</v>
      </c>
      <c r="H113" s="8">
        <f>IF($D113="VISA",$C113,0)</f>
        <v>0</v>
      </c>
      <c r="I113" s="8">
        <f>I112+J113</f>
        <v>0</v>
      </c>
      <c r="J113" s="8">
        <f>IF($D113="ACC",$C113,0)</f>
        <v>0</v>
      </c>
      <c r="K113" s="8">
        <f>K112+L113</f>
        <v>0</v>
      </c>
      <c r="L113" s="8">
        <f>IF($D113="CBB",$C113,0)</f>
        <v>0</v>
      </c>
    </row>
    <row r="114" spans="1:12" x14ac:dyDescent="0.25">
      <c r="A114" s="6">
        <v>41365</v>
      </c>
      <c r="B114" t="s">
        <v>64</v>
      </c>
      <c r="C114" s="7">
        <v>-26</v>
      </c>
      <c r="D114" t="s">
        <v>6</v>
      </c>
      <c r="E114" s="8">
        <f>E113+F114</f>
        <v>19056</v>
      </c>
      <c r="F114" s="8">
        <f>IF($D114="CR01",$C114,0)</f>
        <v>-26</v>
      </c>
      <c r="G114" s="8">
        <f>G113+H114</f>
        <v>0</v>
      </c>
      <c r="H114" s="8">
        <f>IF($D114="VISA",$C114,0)</f>
        <v>0</v>
      </c>
      <c r="I114" s="8">
        <f>I113+J114</f>
        <v>0</v>
      </c>
      <c r="J114" s="8">
        <f>IF($D114="ACC",$C114,0)</f>
        <v>0</v>
      </c>
      <c r="K114" s="8">
        <f>K113+L114</f>
        <v>0</v>
      </c>
      <c r="L114" s="8">
        <f>IF($D114="CBB",$C114,0)</f>
        <v>0</v>
      </c>
    </row>
    <row r="115" spans="1:12" x14ac:dyDescent="0.25">
      <c r="A115" s="6">
        <v>41365</v>
      </c>
      <c r="B115" t="s">
        <v>65</v>
      </c>
      <c r="C115" s="7">
        <v>-240</v>
      </c>
      <c r="D115" t="s">
        <v>6</v>
      </c>
      <c r="E115" s="8">
        <f>E114+F115</f>
        <v>18816</v>
      </c>
      <c r="F115" s="8">
        <f>IF($D115="CR01",$C115,0)</f>
        <v>-240</v>
      </c>
      <c r="G115" s="8">
        <f>G114+H115</f>
        <v>0</v>
      </c>
      <c r="H115" s="8">
        <f>IF($D115="VISA",$C115,0)</f>
        <v>0</v>
      </c>
      <c r="I115" s="8">
        <f>I114+J115</f>
        <v>0</v>
      </c>
      <c r="J115" s="8">
        <f>IF($D115="ACC",$C115,0)</f>
        <v>0</v>
      </c>
      <c r="K115" s="8">
        <f>K114+L115</f>
        <v>0</v>
      </c>
      <c r="L115" s="8">
        <f>IF($D115="CBB",$C115,0)</f>
        <v>0</v>
      </c>
    </row>
    <row r="116" spans="1:12" x14ac:dyDescent="0.25">
      <c r="A116" s="6">
        <v>41365</v>
      </c>
      <c r="B116" t="s">
        <v>66</v>
      </c>
      <c r="C116" s="7">
        <v>-120</v>
      </c>
      <c r="D116" t="s">
        <v>6</v>
      </c>
      <c r="E116" s="8">
        <f>E115+F116</f>
        <v>18696</v>
      </c>
      <c r="F116" s="8">
        <f>IF($D116="CR01",$C116,0)</f>
        <v>-120</v>
      </c>
      <c r="G116" s="8">
        <f>G115+H116</f>
        <v>0</v>
      </c>
      <c r="H116" s="8">
        <f>IF($D116="VISA",$C116,0)</f>
        <v>0</v>
      </c>
      <c r="I116" s="8">
        <f>I115+J116</f>
        <v>0</v>
      </c>
      <c r="J116" s="8">
        <f>IF($D116="ACC",$C116,0)</f>
        <v>0</v>
      </c>
      <c r="K116" s="8">
        <f>K115+L116</f>
        <v>0</v>
      </c>
      <c r="L116" s="8">
        <f>IF($D116="CBB",$C116,0)</f>
        <v>0</v>
      </c>
    </row>
    <row r="117" spans="1:12" x14ac:dyDescent="0.25">
      <c r="A117" s="6">
        <v>41365</v>
      </c>
      <c r="B117" t="s">
        <v>69</v>
      </c>
      <c r="C117" s="7">
        <v>-1500</v>
      </c>
      <c r="D117" t="s">
        <v>6</v>
      </c>
      <c r="E117" s="8">
        <f>E116+F117</f>
        <v>17196</v>
      </c>
      <c r="F117" s="8">
        <f>IF($D117="CR01",$C117,0)</f>
        <v>-1500</v>
      </c>
      <c r="G117" s="8">
        <f>G116+H117</f>
        <v>0</v>
      </c>
      <c r="H117" s="8">
        <f>IF($D117="VISA",$C117,0)</f>
        <v>0</v>
      </c>
      <c r="I117" s="8">
        <f>I116+J117</f>
        <v>0</v>
      </c>
      <c r="J117" s="8">
        <f>IF($D117="ACC",$C117,0)</f>
        <v>0</v>
      </c>
      <c r="K117" s="8">
        <f>K116+L117</f>
        <v>0</v>
      </c>
      <c r="L117" s="8">
        <f>IF($D117="CBB",$C117,0)</f>
        <v>0</v>
      </c>
    </row>
    <row r="118" spans="1:12" x14ac:dyDescent="0.25">
      <c r="A118" s="6">
        <v>41366</v>
      </c>
      <c r="B118" t="s">
        <v>48</v>
      </c>
      <c r="C118" s="7">
        <v>-100</v>
      </c>
      <c r="D118" t="s">
        <v>6</v>
      </c>
      <c r="E118" s="8">
        <f>E117+F118</f>
        <v>17096</v>
      </c>
      <c r="F118" s="8">
        <f>IF($D118="CR01",$C118,0)</f>
        <v>-100</v>
      </c>
      <c r="G118" s="8">
        <f>G117+H118</f>
        <v>0</v>
      </c>
      <c r="H118" s="8">
        <f>IF($D118="VISA",$C118,0)</f>
        <v>0</v>
      </c>
      <c r="I118" s="8">
        <f>I117+J118</f>
        <v>0</v>
      </c>
      <c r="J118" s="8">
        <f>IF($D118="ACC",$C118,0)</f>
        <v>0</v>
      </c>
      <c r="K118" s="8">
        <f>K117+L118</f>
        <v>0</v>
      </c>
      <c r="L118" s="8">
        <f>IF($D118="CBB",$C118,0)</f>
        <v>0</v>
      </c>
    </row>
    <row r="119" spans="1:12" x14ac:dyDescent="0.25">
      <c r="A119" s="6">
        <v>41366</v>
      </c>
      <c r="B119" t="s">
        <v>59</v>
      </c>
      <c r="C119" s="7">
        <v>-900</v>
      </c>
      <c r="D119" t="s">
        <v>6</v>
      </c>
      <c r="E119" s="8">
        <f>E118+F119</f>
        <v>16196</v>
      </c>
      <c r="F119" s="8">
        <f>IF($D119="CR01",$C119,0)</f>
        <v>-900</v>
      </c>
      <c r="G119" s="8">
        <f>G118+H119</f>
        <v>0</v>
      </c>
      <c r="H119" s="8">
        <f>IF($D119="VISA",$C119,0)</f>
        <v>0</v>
      </c>
      <c r="I119" s="8">
        <f>I118+J119</f>
        <v>0</v>
      </c>
      <c r="J119" s="8">
        <f>IF($D119="ACC",$C119,0)</f>
        <v>0</v>
      </c>
      <c r="K119" s="8">
        <f>K118+L119</f>
        <v>0</v>
      </c>
      <c r="L119" s="8">
        <f>IF($D119="CBB",$C119,0)</f>
        <v>0</v>
      </c>
    </row>
    <row r="120" spans="1:12" x14ac:dyDescent="0.25">
      <c r="A120" s="6">
        <v>41367</v>
      </c>
      <c r="B120" t="s">
        <v>47</v>
      </c>
      <c r="C120" s="7">
        <v>-120</v>
      </c>
      <c r="D120" t="s">
        <v>6</v>
      </c>
      <c r="E120" s="8">
        <f>E119+F120</f>
        <v>16076</v>
      </c>
      <c r="F120" s="8">
        <f>IF($D120="CR01",$C120,0)</f>
        <v>-120</v>
      </c>
      <c r="G120" s="8">
        <f>G119+H120</f>
        <v>0</v>
      </c>
      <c r="H120" s="8">
        <f>IF($D120="VISA",$C120,0)</f>
        <v>0</v>
      </c>
      <c r="I120" s="8">
        <f>I119+J120</f>
        <v>0</v>
      </c>
      <c r="J120" s="8">
        <f>IF($D120="ACC",$C120,0)</f>
        <v>0</v>
      </c>
      <c r="K120" s="8">
        <f>K119+L120</f>
        <v>0</v>
      </c>
      <c r="L120" s="8">
        <f>IF($D120="CBB",$C120,0)</f>
        <v>0</v>
      </c>
    </row>
    <row r="121" spans="1:12" x14ac:dyDescent="0.25">
      <c r="A121" s="6">
        <v>41368</v>
      </c>
      <c r="B121" t="s">
        <v>44</v>
      </c>
      <c r="C121" s="7">
        <v>-400</v>
      </c>
      <c r="D121" t="s">
        <v>6</v>
      </c>
      <c r="E121" s="8">
        <f>E120+F121</f>
        <v>15676</v>
      </c>
      <c r="F121" s="8">
        <f>IF($D121="CR01",$C121,0)</f>
        <v>-400</v>
      </c>
      <c r="G121" s="8">
        <f>G120+H121</f>
        <v>0</v>
      </c>
      <c r="H121" s="8">
        <f>IF($D121="VISA",$C121,0)</f>
        <v>0</v>
      </c>
      <c r="I121" s="8">
        <f>I120+J121</f>
        <v>0</v>
      </c>
      <c r="J121" s="8">
        <f>IF($D121="ACC",$C121,0)</f>
        <v>0</v>
      </c>
      <c r="K121" s="8">
        <f>K120+L121</f>
        <v>0</v>
      </c>
      <c r="L121" s="8">
        <f>IF($D121="CBB",$C121,0)</f>
        <v>0</v>
      </c>
    </row>
    <row r="122" spans="1:12" x14ac:dyDescent="0.25">
      <c r="A122" s="6">
        <v>41368</v>
      </c>
      <c r="B122" t="s">
        <v>45</v>
      </c>
      <c r="C122" s="7">
        <v>-180</v>
      </c>
      <c r="D122" t="s">
        <v>6</v>
      </c>
      <c r="E122" s="8">
        <f>E121+F122</f>
        <v>15496</v>
      </c>
      <c r="F122" s="8">
        <f>IF($D122="CR01",$C122,0)</f>
        <v>-180</v>
      </c>
      <c r="G122" s="8">
        <f>G121+H122</f>
        <v>0</v>
      </c>
      <c r="H122" s="8">
        <f>IF($D122="VISA",$C122,0)</f>
        <v>0</v>
      </c>
      <c r="I122" s="8">
        <f>I121+J122</f>
        <v>0</v>
      </c>
      <c r="J122" s="8">
        <f>IF($D122="ACC",$C122,0)</f>
        <v>0</v>
      </c>
      <c r="K122" s="8">
        <f>K121+L122</f>
        <v>0</v>
      </c>
      <c r="L122" s="8">
        <f>IF($D122="CBB",$C122,0)</f>
        <v>0</v>
      </c>
    </row>
    <row r="123" spans="1:12" x14ac:dyDescent="0.25">
      <c r="A123" s="6">
        <v>41368</v>
      </c>
      <c r="B123" t="s">
        <v>46</v>
      </c>
      <c r="C123" s="7">
        <v>-300</v>
      </c>
      <c r="D123" t="s">
        <v>6</v>
      </c>
      <c r="E123" s="8">
        <f>E122+F123</f>
        <v>15196</v>
      </c>
      <c r="F123" s="8">
        <f>IF($D123="CR01",$C123,0)</f>
        <v>-300</v>
      </c>
      <c r="G123" s="8">
        <f>G122+H123</f>
        <v>0</v>
      </c>
      <c r="H123" s="8">
        <f>IF($D123="VISA",$C123,0)</f>
        <v>0</v>
      </c>
      <c r="I123" s="8">
        <f>I122+J123</f>
        <v>0</v>
      </c>
      <c r="J123" s="8">
        <f>IF($D123="ACC",$C123,0)</f>
        <v>0</v>
      </c>
      <c r="K123" s="8">
        <f>K122+L123</f>
        <v>0</v>
      </c>
      <c r="L123" s="8">
        <f>IF($D123="CBB",$C123,0)</f>
        <v>0</v>
      </c>
    </row>
    <row r="124" spans="1:12" x14ac:dyDescent="0.25">
      <c r="A124" s="6">
        <v>41370</v>
      </c>
      <c r="B124" t="s">
        <v>67</v>
      </c>
      <c r="C124" s="7">
        <v>5200</v>
      </c>
      <c r="D124" t="s">
        <v>6</v>
      </c>
      <c r="E124" s="8">
        <f>E123+F124</f>
        <v>20396</v>
      </c>
      <c r="F124" s="8">
        <f>IF($D124="CR01",$C124,0)</f>
        <v>5200</v>
      </c>
      <c r="G124" s="8">
        <f>G123+H124</f>
        <v>0</v>
      </c>
      <c r="H124" s="8">
        <f>IF($D124="VISA",$C124,0)</f>
        <v>0</v>
      </c>
      <c r="I124" s="8">
        <f>I123+J124</f>
        <v>0</v>
      </c>
      <c r="J124" s="8">
        <f>IF($D124="ACC",$C124,0)</f>
        <v>0</v>
      </c>
      <c r="K124" s="8">
        <f>K123+L124</f>
        <v>0</v>
      </c>
      <c r="L124" s="8">
        <f>IF($D124="CBB",$C124,0)</f>
        <v>0</v>
      </c>
    </row>
    <row r="125" spans="1:12" x14ac:dyDescent="0.25">
      <c r="A125" s="6">
        <v>41373</v>
      </c>
      <c r="B125" t="s">
        <v>42</v>
      </c>
      <c r="C125" s="7">
        <v>-2806</v>
      </c>
      <c r="D125" t="s">
        <v>6</v>
      </c>
      <c r="E125" s="8">
        <f>E124+F125</f>
        <v>17590</v>
      </c>
      <c r="F125" s="8">
        <f>IF($D125="CR01",$C125,0)</f>
        <v>-2806</v>
      </c>
      <c r="G125" s="8">
        <f>G124+H125</f>
        <v>0</v>
      </c>
      <c r="H125" s="8">
        <f>IF($D125="VISA",$C125,0)</f>
        <v>0</v>
      </c>
      <c r="I125" s="8">
        <f>I124+J125</f>
        <v>0</v>
      </c>
      <c r="J125" s="8">
        <f>IF($D125="ACC",$C125,0)</f>
        <v>0</v>
      </c>
      <c r="K125" s="8">
        <f>K124+L125</f>
        <v>0</v>
      </c>
      <c r="L125" s="8">
        <f>IF($D125="CBB",$C125,0)</f>
        <v>0</v>
      </c>
    </row>
    <row r="126" spans="1:12" x14ac:dyDescent="0.25">
      <c r="A126" s="6">
        <v>41373</v>
      </c>
      <c r="B126" t="s">
        <v>48</v>
      </c>
      <c r="C126" s="7">
        <v>-100</v>
      </c>
      <c r="D126" t="s">
        <v>6</v>
      </c>
      <c r="E126" s="8">
        <f>E125+F126</f>
        <v>17490</v>
      </c>
      <c r="F126" s="8">
        <f>IF($D126="CR01",$C126,0)</f>
        <v>-100</v>
      </c>
      <c r="G126" s="8">
        <f>G125+H126</f>
        <v>0</v>
      </c>
      <c r="H126" s="8">
        <f>IF($D126="VISA",$C126,0)</f>
        <v>0</v>
      </c>
      <c r="I126" s="8">
        <f>I125+J126</f>
        <v>0</v>
      </c>
      <c r="J126" s="8">
        <f>IF($D126="ACC",$C126,0)</f>
        <v>0</v>
      </c>
      <c r="K126" s="8">
        <f>K125+L126</f>
        <v>0</v>
      </c>
      <c r="L126" s="8">
        <f>IF($D126="CBB",$C126,0)</f>
        <v>0</v>
      </c>
    </row>
    <row r="127" spans="1:12" x14ac:dyDescent="0.25">
      <c r="A127" s="6">
        <v>41374</v>
      </c>
      <c r="B127" t="s">
        <v>47</v>
      </c>
      <c r="C127" s="7">
        <v>-120</v>
      </c>
      <c r="D127" t="s">
        <v>6</v>
      </c>
      <c r="E127" s="8">
        <f>E126+F127</f>
        <v>17370</v>
      </c>
      <c r="F127" s="8">
        <f>IF($D127="CR01",$C127,0)</f>
        <v>-120</v>
      </c>
      <c r="G127" s="8">
        <f>G126+H127</f>
        <v>0</v>
      </c>
      <c r="H127" s="8">
        <f>IF($D127="VISA",$C127,0)</f>
        <v>0</v>
      </c>
      <c r="I127" s="8">
        <f>I126+J127</f>
        <v>0</v>
      </c>
      <c r="J127" s="8">
        <f>IF($D127="ACC",$C127,0)</f>
        <v>0</v>
      </c>
      <c r="K127" s="8">
        <f>K126+L127</f>
        <v>0</v>
      </c>
      <c r="L127" s="8">
        <f>IF($D127="CBB",$C127,0)</f>
        <v>0</v>
      </c>
    </row>
    <row r="128" spans="1:12" x14ac:dyDescent="0.25">
      <c r="A128" s="6">
        <v>41375</v>
      </c>
      <c r="B128" t="s">
        <v>44</v>
      </c>
      <c r="C128" s="7">
        <v>-400</v>
      </c>
      <c r="D128" t="s">
        <v>6</v>
      </c>
      <c r="E128" s="8">
        <f>E127+F128</f>
        <v>16970</v>
      </c>
      <c r="F128" s="8">
        <f>IF($D128="CR01",$C128,0)</f>
        <v>-400</v>
      </c>
      <c r="G128" s="8">
        <f>G127+H128</f>
        <v>0</v>
      </c>
      <c r="H128" s="8">
        <f>IF($D128="VISA",$C128,0)</f>
        <v>0</v>
      </c>
      <c r="I128" s="8">
        <f>I127+J128</f>
        <v>0</v>
      </c>
      <c r="J128" s="8">
        <f>IF($D128="ACC",$C128,0)</f>
        <v>0</v>
      </c>
      <c r="K128" s="8">
        <f>K127+L128</f>
        <v>0</v>
      </c>
      <c r="L128" s="8">
        <f>IF($D128="CBB",$C128,0)</f>
        <v>0</v>
      </c>
    </row>
    <row r="129" spans="1:12" x14ac:dyDescent="0.25">
      <c r="A129" s="6">
        <v>41375</v>
      </c>
      <c r="B129" t="s">
        <v>45</v>
      </c>
      <c r="C129" s="7">
        <v>-180</v>
      </c>
      <c r="D129" t="s">
        <v>6</v>
      </c>
      <c r="E129" s="8">
        <f>E128+F129</f>
        <v>16790</v>
      </c>
      <c r="F129" s="8">
        <f>IF($D129="CR01",$C129,0)</f>
        <v>-180</v>
      </c>
      <c r="G129" s="8">
        <f>G128+H129</f>
        <v>0</v>
      </c>
      <c r="H129" s="8">
        <f>IF($D129="VISA",$C129,0)</f>
        <v>0</v>
      </c>
      <c r="I129" s="8">
        <f>I128+J129</f>
        <v>0</v>
      </c>
      <c r="J129" s="8">
        <f>IF($D129="ACC",$C129,0)</f>
        <v>0</v>
      </c>
      <c r="K129" s="8">
        <f>K128+L129</f>
        <v>0</v>
      </c>
      <c r="L129" s="8">
        <f>IF($D129="CBB",$C129,0)</f>
        <v>0</v>
      </c>
    </row>
    <row r="130" spans="1:12" x14ac:dyDescent="0.25">
      <c r="A130" s="6">
        <v>41375</v>
      </c>
      <c r="B130" t="s">
        <v>46</v>
      </c>
      <c r="C130" s="7">
        <v>-300</v>
      </c>
      <c r="D130" t="s">
        <v>6</v>
      </c>
      <c r="E130" s="8">
        <f>E129+F130</f>
        <v>16490</v>
      </c>
      <c r="F130" s="8">
        <f>IF($D130="CR01",$C130,0)</f>
        <v>-300</v>
      </c>
      <c r="G130" s="8">
        <f>G129+H130</f>
        <v>0</v>
      </c>
      <c r="H130" s="8">
        <f>IF($D130="VISA",$C130,0)</f>
        <v>0</v>
      </c>
      <c r="I130" s="8">
        <f>I129+J130</f>
        <v>0</v>
      </c>
      <c r="J130" s="8">
        <f>IF($D130="ACC",$C130,0)</f>
        <v>0</v>
      </c>
      <c r="K130" s="8">
        <f>K129+L130</f>
        <v>0</v>
      </c>
      <c r="L130" s="8">
        <f>IF($D130="CBB",$C130,0)</f>
        <v>0</v>
      </c>
    </row>
    <row r="131" spans="1:12" x14ac:dyDescent="0.25">
      <c r="A131" s="6">
        <v>41376</v>
      </c>
      <c r="B131" t="s">
        <v>43</v>
      </c>
      <c r="C131" s="7">
        <v>3226</v>
      </c>
      <c r="D131" t="s">
        <v>6</v>
      </c>
      <c r="E131" s="8">
        <f>E130+F131</f>
        <v>19716</v>
      </c>
      <c r="F131" s="8">
        <f>IF($D131="CR01",$C131,0)</f>
        <v>3226</v>
      </c>
      <c r="G131" s="8">
        <f>G130+H131</f>
        <v>0</v>
      </c>
      <c r="H131" s="8">
        <f>IF($D131="VISA",$C131,0)</f>
        <v>0</v>
      </c>
      <c r="I131" s="8">
        <f>I130+J131</f>
        <v>0</v>
      </c>
      <c r="J131" s="8">
        <f>IF($D131="ACC",$C131,0)</f>
        <v>0</v>
      </c>
      <c r="K131" s="8">
        <f>K130+L131</f>
        <v>0</v>
      </c>
      <c r="L131" s="8">
        <f>IF($D131="CBB",$C131,0)</f>
        <v>0</v>
      </c>
    </row>
    <row r="132" spans="1:12" x14ac:dyDescent="0.25">
      <c r="A132" s="6">
        <v>41380</v>
      </c>
      <c r="B132" t="s">
        <v>48</v>
      </c>
      <c r="C132" s="7">
        <v>-100</v>
      </c>
      <c r="D132" t="s">
        <v>6</v>
      </c>
      <c r="E132" s="8">
        <f>E131+F132</f>
        <v>19616</v>
      </c>
      <c r="F132" s="8">
        <f>IF($D132="CR01",$C132,0)</f>
        <v>-100</v>
      </c>
      <c r="G132" s="8">
        <f>G131+H132</f>
        <v>0</v>
      </c>
      <c r="H132" s="8">
        <f>IF($D132="VISA",$C132,0)</f>
        <v>0</v>
      </c>
      <c r="I132" s="8">
        <f>I131+J132</f>
        <v>0</v>
      </c>
      <c r="J132" s="8">
        <f>IF($D132="ACC",$C132,0)</f>
        <v>0</v>
      </c>
      <c r="K132" s="8">
        <f>K131+L132</f>
        <v>0</v>
      </c>
      <c r="L132" s="8">
        <f>IF($D132="CBB",$C132,0)</f>
        <v>0</v>
      </c>
    </row>
    <row r="133" spans="1:12" x14ac:dyDescent="0.25">
      <c r="A133" s="6">
        <v>41381</v>
      </c>
      <c r="B133" t="s">
        <v>47</v>
      </c>
      <c r="C133" s="7">
        <v>-120</v>
      </c>
      <c r="D133" t="s">
        <v>6</v>
      </c>
      <c r="E133" s="8">
        <f>E132+F133</f>
        <v>19496</v>
      </c>
      <c r="F133" s="8">
        <f>IF($D133="CR01",$C133,0)</f>
        <v>-120</v>
      </c>
      <c r="G133" s="8">
        <f>G132+H133</f>
        <v>0</v>
      </c>
      <c r="H133" s="8">
        <f>IF($D133="VISA",$C133,0)</f>
        <v>0</v>
      </c>
      <c r="I133" s="8">
        <f>I132+J133</f>
        <v>0</v>
      </c>
      <c r="J133" s="8">
        <f>IF($D133="ACC",$C133,0)</f>
        <v>0</v>
      </c>
      <c r="K133" s="8">
        <f>K132+L133</f>
        <v>0</v>
      </c>
      <c r="L133" s="8">
        <f>IF($D133="CBB",$C133,0)</f>
        <v>0</v>
      </c>
    </row>
    <row r="134" spans="1:12" x14ac:dyDescent="0.25">
      <c r="A134" s="6">
        <v>41382</v>
      </c>
      <c r="B134" t="s">
        <v>44</v>
      </c>
      <c r="C134" s="7">
        <v>-400</v>
      </c>
      <c r="D134" t="s">
        <v>6</v>
      </c>
      <c r="E134" s="8">
        <f>E133+F134</f>
        <v>19096</v>
      </c>
      <c r="F134" s="8">
        <f>IF($D134="CR01",$C134,0)</f>
        <v>-400</v>
      </c>
      <c r="G134" s="8">
        <f>G133+H134</f>
        <v>0</v>
      </c>
      <c r="H134" s="8">
        <f>IF($D134="VISA",$C134,0)</f>
        <v>0</v>
      </c>
      <c r="I134" s="8">
        <f>I133+J134</f>
        <v>0</v>
      </c>
      <c r="J134" s="8">
        <f>IF($D134="ACC",$C134,0)</f>
        <v>0</v>
      </c>
      <c r="K134" s="8">
        <f>K133+L134</f>
        <v>0</v>
      </c>
      <c r="L134" s="8">
        <f>IF($D134="CBB",$C134,0)</f>
        <v>0</v>
      </c>
    </row>
    <row r="135" spans="1:12" x14ac:dyDescent="0.25">
      <c r="A135" s="6">
        <v>41382</v>
      </c>
      <c r="B135" t="s">
        <v>45</v>
      </c>
      <c r="C135" s="7">
        <v>-180</v>
      </c>
      <c r="D135" t="s">
        <v>6</v>
      </c>
      <c r="E135" s="8">
        <f>E134+F135</f>
        <v>18916</v>
      </c>
      <c r="F135" s="8">
        <f>IF($D135="CR01",$C135,0)</f>
        <v>-180</v>
      </c>
      <c r="G135" s="8">
        <f>G134+H135</f>
        <v>0</v>
      </c>
      <c r="H135" s="8">
        <f>IF($D135="VISA",$C135,0)</f>
        <v>0</v>
      </c>
      <c r="I135" s="8">
        <f>I134+J135</f>
        <v>0</v>
      </c>
      <c r="J135" s="8">
        <f>IF($D135="ACC",$C135,0)</f>
        <v>0</v>
      </c>
      <c r="K135" s="8">
        <f>K134+L135</f>
        <v>0</v>
      </c>
      <c r="L135" s="8">
        <f>IF($D135="CBB",$C135,0)</f>
        <v>0</v>
      </c>
    </row>
    <row r="136" spans="1:12" x14ac:dyDescent="0.25">
      <c r="A136" s="6">
        <v>41382</v>
      </c>
      <c r="B136" t="s">
        <v>46</v>
      </c>
      <c r="C136" s="7">
        <v>-300</v>
      </c>
      <c r="D136" t="s">
        <v>6</v>
      </c>
      <c r="E136" s="8">
        <f>E135+F136</f>
        <v>18616</v>
      </c>
      <c r="F136" s="8">
        <f>IF($D136="CR01",$C136,0)</f>
        <v>-300</v>
      </c>
      <c r="G136" s="8">
        <f>G135+H136</f>
        <v>0</v>
      </c>
      <c r="H136" s="8">
        <f>IF($D136="VISA",$C136,0)</f>
        <v>0</v>
      </c>
      <c r="I136" s="8">
        <f>I135+J136</f>
        <v>0</v>
      </c>
      <c r="J136" s="8">
        <f>IF($D136="ACC",$C136,0)</f>
        <v>0</v>
      </c>
      <c r="K136" s="8">
        <f>K135+L136</f>
        <v>0</v>
      </c>
      <c r="L136" s="8">
        <f>IF($D136="CBB",$C136,0)</f>
        <v>0</v>
      </c>
    </row>
    <row r="137" spans="1:12" x14ac:dyDescent="0.25">
      <c r="A137" s="6">
        <v>41384</v>
      </c>
      <c r="B137" t="s">
        <v>67</v>
      </c>
      <c r="C137" s="7">
        <v>5200</v>
      </c>
      <c r="D137" t="s">
        <v>6</v>
      </c>
      <c r="E137" s="8">
        <f>E136+F137</f>
        <v>23816</v>
      </c>
      <c r="F137" s="8">
        <f>IF($D137="CR01",$C137,0)</f>
        <v>5200</v>
      </c>
      <c r="G137" s="8">
        <f>G136+H137</f>
        <v>0</v>
      </c>
      <c r="H137" s="8">
        <f>IF($D137="VISA",$C137,0)</f>
        <v>0</v>
      </c>
      <c r="I137" s="8">
        <f>I136+J137</f>
        <v>0</v>
      </c>
      <c r="J137" s="8">
        <f>IF($D137="ACC",$C137,0)</f>
        <v>0</v>
      </c>
      <c r="K137" s="8">
        <f>K136+L137</f>
        <v>0</v>
      </c>
      <c r="L137" s="8">
        <f>IF($D137="CBB",$C137,0)</f>
        <v>0</v>
      </c>
    </row>
    <row r="138" spans="1:12" x14ac:dyDescent="0.25">
      <c r="A138" s="6">
        <v>41387</v>
      </c>
      <c r="B138" t="s">
        <v>42</v>
      </c>
      <c r="C138" s="7">
        <v>-2806</v>
      </c>
      <c r="D138" t="s">
        <v>6</v>
      </c>
      <c r="E138" s="8">
        <f>E137+F138</f>
        <v>21010</v>
      </c>
      <c r="F138" s="8">
        <f>IF($D138="CR01",$C138,0)</f>
        <v>-2806</v>
      </c>
      <c r="G138" s="8">
        <f>G137+H138</f>
        <v>0</v>
      </c>
      <c r="H138" s="8">
        <f>IF($D138="VISA",$C138,0)</f>
        <v>0</v>
      </c>
      <c r="I138" s="8">
        <f>I137+J138</f>
        <v>0</v>
      </c>
      <c r="J138" s="8">
        <f>IF($D138="ACC",$C138,0)</f>
        <v>0</v>
      </c>
      <c r="K138" s="8">
        <f>K137+L138</f>
        <v>0</v>
      </c>
      <c r="L138" s="8">
        <f>IF($D138="CBB",$C138,0)</f>
        <v>0</v>
      </c>
    </row>
    <row r="139" spans="1:12" x14ac:dyDescent="0.25">
      <c r="A139" s="6">
        <v>41387</v>
      </c>
      <c r="B139" t="s">
        <v>48</v>
      </c>
      <c r="C139" s="7">
        <v>-100</v>
      </c>
      <c r="D139" t="s">
        <v>6</v>
      </c>
      <c r="E139" s="8">
        <f>E138+F139</f>
        <v>20910</v>
      </c>
      <c r="F139" s="8">
        <f>IF($D139="CR01",$C139,0)</f>
        <v>-100</v>
      </c>
      <c r="G139" s="8">
        <f>G138+H139</f>
        <v>0</v>
      </c>
      <c r="H139" s="8">
        <f>IF($D139="VISA",$C139,0)</f>
        <v>0</v>
      </c>
      <c r="I139" s="8">
        <f>I138+J139</f>
        <v>0</v>
      </c>
      <c r="J139" s="8">
        <f>IF($D139="ACC",$C139,0)</f>
        <v>0</v>
      </c>
      <c r="K139" s="8">
        <f>K138+L139</f>
        <v>0</v>
      </c>
      <c r="L139" s="8">
        <f>IF($D139="CBB",$C139,0)</f>
        <v>0</v>
      </c>
    </row>
    <row r="140" spans="1:12" x14ac:dyDescent="0.25">
      <c r="A140" s="6">
        <v>41388</v>
      </c>
      <c r="B140" t="s">
        <v>47</v>
      </c>
      <c r="C140" s="7">
        <v>-120</v>
      </c>
      <c r="D140" t="s">
        <v>6</v>
      </c>
      <c r="E140" s="8">
        <f>E139+F140</f>
        <v>20790</v>
      </c>
      <c r="F140" s="8">
        <f>IF($D140="CR01",$C140,0)</f>
        <v>-120</v>
      </c>
      <c r="G140" s="8">
        <f>G139+H140</f>
        <v>0</v>
      </c>
      <c r="H140" s="8">
        <f>IF($D140="VISA",$C140,0)</f>
        <v>0</v>
      </c>
      <c r="I140" s="8">
        <f>I139+J140</f>
        <v>0</v>
      </c>
      <c r="J140" s="8">
        <f>IF($D140="ACC",$C140,0)</f>
        <v>0</v>
      </c>
      <c r="K140" s="8">
        <f>K139+L140</f>
        <v>0</v>
      </c>
      <c r="L140" s="8">
        <f>IF($D140="CBB",$C140,0)</f>
        <v>0</v>
      </c>
    </row>
    <row r="141" spans="1:12" x14ac:dyDescent="0.25">
      <c r="A141" s="6">
        <v>41389</v>
      </c>
      <c r="B141" t="s">
        <v>44</v>
      </c>
      <c r="C141" s="7">
        <v>-400</v>
      </c>
      <c r="D141" t="s">
        <v>6</v>
      </c>
      <c r="E141" s="8">
        <f>E140+F141</f>
        <v>20390</v>
      </c>
      <c r="F141" s="8">
        <f>IF($D141="CR01",$C141,0)</f>
        <v>-400</v>
      </c>
      <c r="G141" s="8">
        <f>G140+H141</f>
        <v>0</v>
      </c>
      <c r="H141" s="8">
        <f>IF($D141="VISA",$C141,0)</f>
        <v>0</v>
      </c>
      <c r="I141" s="8">
        <f>I140+J141</f>
        <v>0</v>
      </c>
      <c r="J141" s="8">
        <f>IF($D141="ACC",$C141,0)</f>
        <v>0</v>
      </c>
      <c r="K141" s="8">
        <f>K140+L141</f>
        <v>0</v>
      </c>
      <c r="L141" s="8">
        <f>IF($D141="CBB",$C141,0)</f>
        <v>0</v>
      </c>
    </row>
    <row r="142" spans="1:12" x14ac:dyDescent="0.25">
      <c r="A142" s="6">
        <v>41389</v>
      </c>
      <c r="B142" t="s">
        <v>45</v>
      </c>
      <c r="C142" s="7">
        <v>-180</v>
      </c>
      <c r="D142" t="s">
        <v>6</v>
      </c>
      <c r="E142" s="8">
        <f>E141+F142</f>
        <v>20210</v>
      </c>
      <c r="F142" s="8">
        <f>IF($D142="CR01",$C142,0)</f>
        <v>-180</v>
      </c>
      <c r="G142" s="8">
        <f>G141+H142</f>
        <v>0</v>
      </c>
      <c r="H142" s="8">
        <f>IF($D142="VISA",$C142,0)</f>
        <v>0</v>
      </c>
      <c r="I142" s="8">
        <f>I141+J142</f>
        <v>0</v>
      </c>
      <c r="J142" s="8">
        <f>IF($D142="ACC",$C142,0)</f>
        <v>0</v>
      </c>
      <c r="K142" s="8">
        <f>K141+L142</f>
        <v>0</v>
      </c>
      <c r="L142" s="8">
        <f>IF($D142="CBB",$C142,0)</f>
        <v>0</v>
      </c>
    </row>
    <row r="143" spans="1:12" x14ac:dyDescent="0.25">
      <c r="A143" s="6">
        <v>41389</v>
      </c>
      <c r="B143" t="s">
        <v>46</v>
      </c>
      <c r="C143" s="7">
        <v>-300</v>
      </c>
      <c r="D143" t="s">
        <v>6</v>
      </c>
      <c r="E143" s="8">
        <f>E142+F143</f>
        <v>19910</v>
      </c>
      <c r="F143" s="8">
        <f>IF($D143="CR01",$C143,0)</f>
        <v>-300</v>
      </c>
      <c r="G143" s="8">
        <f>G142+H143</f>
        <v>0</v>
      </c>
      <c r="H143" s="8">
        <f>IF($D143="VISA",$C143,0)</f>
        <v>0</v>
      </c>
      <c r="I143" s="8">
        <f>I142+J143</f>
        <v>0</v>
      </c>
      <c r="J143" s="8">
        <f>IF($D143="ACC",$C143,0)</f>
        <v>0</v>
      </c>
      <c r="K143" s="8">
        <f>K142+L143</f>
        <v>0</v>
      </c>
      <c r="L143" s="8">
        <f>IF($D143="CBB",$C143,0)</f>
        <v>0</v>
      </c>
    </row>
    <row r="144" spans="1:12" x14ac:dyDescent="0.25">
      <c r="A144" s="6">
        <v>41390</v>
      </c>
      <c r="B144" t="s">
        <v>43</v>
      </c>
      <c r="C144" s="7">
        <v>3226</v>
      </c>
      <c r="D144" t="s">
        <v>6</v>
      </c>
      <c r="E144" s="8">
        <f>E143+F144</f>
        <v>23136</v>
      </c>
      <c r="F144" s="8">
        <f>IF($D144="CR01",$C144,0)</f>
        <v>3226</v>
      </c>
      <c r="G144" s="8">
        <f>G143+H144</f>
        <v>0</v>
      </c>
      <c r="H144" s="8">
        <f>IF($D144="VISA",$C144,0)</f>
        <v>0</v>
      </c>
      <c r="I144" s="8">
        <f>I143+J144</f>
        <v>0</v>
      </c>
      <c r="J144" s="8">
        <f>IF($D144="ACC",$C144,0)</f>
        <v>0</v>
      </c>
      <c r="K144" s="8">
        <f>K143+L144</f>
        <v>0</v>
      </c>
      <c r="L144" s="8">
        <f>IF($D144="CBB",$C144,0)</f>
        <v>0</v>
      </c>
    </row>
    <row r="145" spans="1:12" x14ac:dyDescent="0.25">
      <c r="A145" s="6">
        <v>41394</v>
      </c>
      <c r="B145" t="s">
        <v>48</v>
      </c>
      <c r="C145" s="7">
        <v>-100</v>
      </c>
      <c r="D145" t="s">
        <v>6</v>
      </c>
      <c r="E145" s="8">
        <f>E144+F145</f>
        <v>23036</v>
      </c>
      <c r="F145" s="8">
        <f>IF($D145="CR01",$C145,0)</f>
        <v>-100</v>
      </c>
      <c r="G145" s="8">
        <f>G144+H145</f>
        <v>0</v>
      </c>
      <c r="H145" s="8">
        <f>IF($D145="VISA",$C145,0)</f>
        <v>0</v>
      </c>
      <c r="I145" s="8">
        <f>I144+J145</f>
        <v>0</v>
      </c>
      <c r="J145" s="8">
        <f>IF($D145="ACC",$C145,0)</f>
        <v>0</v>
      </c>
      <c r="K145" s="8">
        <f>K144+L145</f>
        <v>0</v>
      </c>
      <c r="L145" s="8">
        <f>IF($D145="CBB",$C145,0)</f>
        <v>0</v>
      </c>
    </row>
    <row r="146" spans="1:12" x14ac:dyDescent="0.25">
      <c r="A146" s="6">
        <v>41395</v>
      </c>
      <c r="B146" t="s">
        <v>47</v>
      </c>
      <c r="C146" s="7">
        <v>-120</v>
      </c>
      <c r="D146" t="s">
        <v>6</v>
      </c>
      <c r="E146" s="8">
        <f>E145+F146</f>
        <v>22916</v>
      </c>
      <c r="F146" s="8">
        <f>IF($D146="CR01",$C146,0)</f>
        <v>-120</v>
      </c>
      <c r="G146" s="8">
        <f>G145+H146</f>
        <v>0</v>
      </c>
      <c r="H146" s="8">
        <f>IF($D146="VISA",$C146,0)</f>
        <v>0</v>
      </c>
      <c r="I146" s="8">
        <f>I145+J146</f>
        <v>0</v>
      </c>
      <c r="J146" s="8">
        <f>IF($D146="ACC",$C146,0)</f>
        <v>0</v>
      </c>
      <c r="K146" s="8">
        <f>K145+L146</f>
        <v>0</v>
      </c>
      <c r="L146" s="8">
        <f>IF($D146="CBB",$C146,0)</f>
        <v>0</v>
      </c>
    </row>
    <row r="147" spans="1:12" x14ac:dyDescent="0.25">
      <c r="A147" s="6">
        <v>41395</v>
      </c>
      <c r="B147" t="s">
        <v>58</v>
      </c>
      <c r="C147" s="7">
        <v>-200</v>
      </c>
      <c r="D147" t="s">
        <v>6</v>
      </c>
      <c r="E147" s="8">
        <f>E146+F147</f>
        <v>22716</v>
      </c>
      <c r="F147" s="8">
        <f>IF($D147="CR01",$C147,0)</f>
        <v>-200</v>
      </c>
      <c r="G147" s="8">
        <f>G146+H147</f>
        <v>0</v>
      </c>
      <c r="H147" s="8">
        <f>IF($D147="VISA",$C147,0)</f>
        <v>0</v>
      </c>
      <c r="I147" s="8">
        <f>I146+J147</f>
        <v>0</v>
      </c>
      <c r="J147" s="8">
        <f>IF($D147="ACC",$C147,0)</f>
        <v>0</v>
      </c>
      <c r="K147" s="8">
        <f>K146+L147</f>
        <v>0</v>
      </c>
      <c r="L147" s="8">
        <f>IF($D147="CBB",$C147,0)</f>
        <v>0</v>
      </c>
    </row>
    <row r="148" spans="1:12" x14ac:dyDescent="0.25">
      <c r="A148" s="6">
        <v>41395</v>
      </c>
      <c r="B148" t="s">
        <v>60</v>
      </c>
      <c r="C148" s="7">
        <v>-400</v>
      </c>
      <c r="D148" t="s">
        <v>6</v>
      </c>
      <c r="E148" s="8">
        <f>E147+F148</f>
        <v>22316</v>
      </c>
      <c r="F148" s="8">
        <f>IF($D148="CR01",$C148,0)</f>
        <v>-400</v>
      </c>
      <c r="G148" s="8">
        <f>G147+H148</f>
        <v>0</v>
      </c>
      <c r="H148" s="8">
        <f>IF($D148="VISA",$C148,0)</f>
        <v>0</v>
      </c>
      <c r="I148" s="8">
        <f>I147+J148</f>
        <v>0</v>
      </c>
      <c r="J148" s="8">
        <f>IF($D148="ACC",$C148,0)</f>
        <v>0</v>
      </c>
      <c r="K148" s="8">
        <f>K147+L148</f>
        <v>0</v>
      </c>
      <c r="L148" s="8">
        <f>IF($D148="CBB",$C148,0)</f>
        <v>0</v>
      </c>
    </row>
    <row r="149" spans="1:12" x14ac:dyDescent="0.25">
      <c r="A149" s="6">
        <v>41395</v>
      </c>
      <c r="B149" t="s">
        <v>62</v>
      </c>
      <c r="C149" s="7">
        <v>-300</v>
      </c>
      <c r="D149" t="s">
        <v>6</v>
      </c>
      <c r="E149" s="8">
        <f>E148+F149</f>
        <v>22016</v>
      </c>
      <c r="F149" s="8">
        <f>IF($D149="CR01",$C149,0)</f>
        <v>-300</v>
      </c>
      <c r="G149" s="8">
        <f>G148+H149</f>
        <v>0</v>
      </c>
      <c r="H149" s="8">
        <f>IF($D149="VISA",$C149,0)</f>
        <v>0</v>
      </c>
      <c r="I149" s="8">
        <f>I148+J149</f>
        <v>0</v>
      </c>
      <c r="J149" s="8">
        <f>IF($D149="ACC",$C149,0)</f>
        <v>0</v>
      </c>
      <c r="K149" s="8">
        <f>K148+L149</f>
        <v>0</v>
      </c>
      <c r="L149" s="8">
        <f>IF($D149="CBB",$C149,0)</f>
        <v>0</v>
      </c>
    </row>
    <row r="150" spans="1:12" x14ac:dyDescent="0.25">
      <c r="A150" s="6">
        <v>41395</v>
      </c>
      <c r="B150" t="s">
        <v>63</v>
      </c>
      <c r="C150" s="7">
        <v>-300</v>
      </c>
      <c r="D150" t="s">
        <v>6</v>
      </c>
      <c r="E150" s="8">
        <f>E149+F150</f>
        <v>21716</v>
      </c>
      <c r="F150" s="8">
        <f>IF($D150="CR01",$C150,0)</f>
        <v>-300</v>
      </c>
      <c r="G150" s="8">
        <f>G149+H150</f>
        <v>0</v>
      </c>
      <c r="H150" s="8">
        <f>IF($D150="VISA",$C150,0)</f>
        <v>0</v>
      </c>
      <c r="I150" s="8">
        <f>I149+J150</f>
        <v>0</v>
      </c>
      <c r="J150" s="8">
        <f>IF($D150="ACC",$C150,0)</f>
        <v>0</v>
      </c>
      <c r="K150" s="8">
        <f>K149+L150</f>
        <v>0</v>
      </c>
      <c r="L150" s="8">
        <f>IF($D150="CBB",$C150,0)</f>
        <v>0</v>
      </c>
    </row>
    <row r="151" spans="1:12" x14ac:dyDescent="0.25">
      <c r="A151" s="6">
        <v>41395</v>
      </c>
      <c r="B151" t="s">
        <v>64</v>
      </c>
      <c r="C151" s="7">
        <v>-26</v>
      </c>
      <c r="D151" t="s">
        <v>6</v>
      </c>
      <c r="E151" s="8">
        <f>E150+F151</f>
        <v>21690</v>
      </c>
      <c r="F151" s="8">
        <f>IF($D151="CR01",$C151,0)</f>
        <v>-26</v>
      </c>
      <c r="G151" s="8">
        <f>G150+H151</f>
        <v>0</v>
      </c>
      <c r="H151" s="8">
        <f>IF($D151="VISA",$C151,0)</f>
        <v>0</v>
      </c>
      <c r="I151" s="8">
        <f>I150+J151</f>
        <v>0</v>
      </c>
      <c r="J151" s="8">
        <f>IF($D151="ACC",$C151,0)</f>
        <v>0</v>
      </c>
      <c r="K151" s="8">
        <f>K150+L151</f>
        <v>0</v>
      </c>
      <c r="L151" s="8">
        <f>IF($D151="CBB",$C151,0)</f>
        <v>0</v>
      </c>
    </row>
    <row r="152" spans="1:12" x14ac:dyDescent="0.25">
      <c r="A152" s="6">
        <v>41395</v>
      </c>
      <c r="B152" t="s">
        <v>65</v>
      </c>
      <c r="C152" s="7">
        <v>-240</v>
      </c>
      <c r="D152" t="s">
        <v>6</v>
      </c>
      <c r="E152" s="8">
        <f>E151+F152</f>
        <v>21450</v>
      </c>
      <c r="F152" s="8">
        <f>IF($D152="CR01",$C152,0)</f>
        <v>-240</v>
      </c>
      <c r="G152" s="8">
        <f>G151+H152</f>
        <v>0</v>
      </c>
      <c r="H152" s="8">
        <f>IF($D152="VISA",$C152,0)</f>
        <v>0</v>
      </c>
      <c r="I152" s="8">
        <f>I151+J152</f>
        <v>0</v>
      </c>
      <c r="J152" s="8">
        <f>IF($D152="ACC",$C152,0)</f>
        <v>0</v>
      </c>
      <c r="K152" s="8">
        <f>K151+L152</f>
        <v>0</v>
      </c>
      <c r="L152" s="8">
        <f>IF($D152="CBB",$C152,0)</f>
        <v>0</v>
      </c>
    </row>
    <row r="153" spans="1:12" x14ac:dyDescent="0.25">
      <c r="A153" s="6">
        <v>41395</v>
      </c>
      <c r="B153" t="s">
        <v>66</v>
      </c>
      <c r="C153" s="7">
        <v>-120</v>
      </c>
      <c r="D153" t="s">
        <v>6</v>
      </c>
      <c r="E153" s="8">
        <f>E152+F153</f>
        <v>21330</v>
      </c>
      <c r="F153" s="8">
        <f>IF($D153="CR01",$C153,0)</f>
        <v>-120</v>
      </c>
      <c r="G153" s="8">
        <f>G152+H153</f>
        <v>0</v>
      </c>
      <c r="H153" s="8">
        <f>IF($D153="VISA",$C153,0)</f>
        <v>0</v>
      </c>
      <c r="I153" s="8">
        <f>I152+J153</f>
        <v>0</v>
      </c>
      <c r="J153" s="8">
        <f>IF($D153="ACC",$C153,0)</f>
        <v>0</v>
      </c>
      <c r="K153" s="8">
        <f>K152+L153</f>
        <v>0</v>
      </c>
      <c r="L153" s="8">
        <f>IF($D153="CBB",$C153,0)</f>
        <v>0</v>
      </c>
    </row>
    <row r="154" spans="1:12" x14ac:dyDescent="0.25">
      <c r="A154" s="6">
        <v>41396</v>
      </c>
      <c r="B154" t="s">
        <v>44</v>
      </c>
      <c r="C154" s="7">
        <v>-400</v>
      </c>
      <c r="D154" t="s">
        <v>6</v>
      </c>
      <c r="E154" s="8">
        <f>E153+F154</f>
        <v>20930</v>
      </c>
      <c r="F154" s="8">
        <f>IF($D154="CR01",$C154,0)</f>
        <v>-400</v>
      </c>
      <c r="G154" s="8">
        <f>G153+H154</f>
        <v>0</v>
      </c>
      <c r="H154" s="8">
        <f>IF($D154="VISA",$C154,0)</f>
        <v>0</v>
      </c>
      <c r="I154" s="8">
        <f>I153+J154</f>
        <v>0</v>
      </c>
      <c r="J154" s="8">
        <f>IF($D154="ACC",$C154,0)</f>
        <v>0</v>
      </c>
      <c r="K154" s="8">
        <f>K153+L154</f>
        <v>0</v>
      </c>
      <c r="L154" s="8">
        <f>IF($D154="CBB",$C154,0)</f>
        <v>0</v>
      </c>
    </row>
    <row r="155" spans="1:12" x14ac:dyDescent="0.25">
      <c r="A155" s="6">
        <v>41396</v>
      </c>
      <c r="B155" t="s">
        <v>45</v>
      </c>
      <c r="C155" s="7">
        <v>-180</v>
      </c>
      <c r="D155" t="s">
        <v>6</v>
      </c>
      <c r="E155" s="8">
        <f>E154+F155</f>
        <v>20750</v>
      </c>
      <c r="F155" s="8">
        <f>IF($D155="CR01",$C155,0)</f>
        <v>-180</v>
      </c>
      <c r="G155" s="8">
        <f>G154+H155</f>
        <v>0</v>
      </c>
      <c r="H155" s="8">
        <f>IF($D155="VISA",$C155,0)</f>
        <v>0</v>
      </c>
      <c r="I155" s="8">
        <f>I154+J155</f>
        <v>0</v>
      </c>
      <c r="J155" s="8">
        <f>IF($D155="ACC",$C155,0)</f>
        <v>0</v>
      </c>
      <c r="K155" s="8">
        <f>K154+L155</f>
        <v>0</v>
      </c>
      <c r="L155" s="8">
        <f>IF($D155="CBB",$C155,0)</f>
        <v>0</v>
      </c>
    </row>
    <row r="156" spans="1:12" x14ac:dyDescent="0.25">
      <c r="A156" s="6">
        <v>41396</v>
      </c>
      <c r="B156" t="s">
        <v>46</v>
      </c>
      <c r="C156" s="7">
        <v>-300</v>
      </c>
      <c r="D156" t="s">
        <v>6</v>
      </c>
      <c r="E156" s="8">
        <f>E155+F156</f>
        <v>20450</v>
      </c>
      <c r="F156" s="8">
        <f>IF($D156="CR01",$C156,0)</f>
        <v>-300</v>
      </c>
      <c r="G156" s="8">
        <f>G155+H156</f>
        <v>0</v>
      </c>
      <c r="H156" s="8">
        <f>IF($D156="VISA",$C156,0)</f>
        <v>0</v>
      </c>
      <c r="I156" s="8">
        <f>I155+J156</f>
        <v>0</v>
      </c>
      <c r="J156" s="8">
        <f>IF($D156="ACC",$C156,0)</f>
        <v>0</v>
      </c>
      <c r="K156" s="8">
        <f>K155+L156</f>
        <v>0</v>
      </c>
      <c r="L156" s="8">
        <f>IF($D156="CBB",$C156,0)</f>
        <v>0</v>
      </c>
    </row>
    <row r="157" spans="1:12" x14ac:dyDescent="0.25">
      <c r="A157" s="6">
        <v>41396</v>
      </c>
      <c r="B157" t="s">
        <v>59</v>
      </c>
      <c r="C157" s="7">
        <v>-900</v>
      </c>
      <c r="D157" t="s">
        <v>6</v>
      </c>
      <c r="E157" s="8">
        <f>E156+F157</f>
        <v>19550</v>
      </c>
      <c r="F157" s="8">
        <f>IF($D157="CR01",$C157,0)</f>
        <v>-900</v>
      </c>
      <c r="G157" s="8">
        <f>G156+H157</f>
        <v>0</v>
      </c>
      <c r="H157" s="8">
        <f>IF($D157="VISA",$C157,0)</f>
        <v>0</v>
      </c>
      <c r="I157" s="8">
        <f>I156+J157</f>
        <v>0</v>
      </c>
      <c r="J157" s="8">
        <f>IF($D157="ACC",$C157,0)</f>
        <v>0</v>
      </c>
      <c r="K157" s="8">
        <f>K156+L157</f>
        <v>0</v>
      </c>
      <c r="L157" s="8">
        <f>IF($D157="CBB",$C157,0)</f>
        <v>0</v>
      </c>
    </row>
    <row r="158" spans="1:12" x14ac:dyDescent="0.25">
      <c r="A158" s="6">
        <v>41398</v>
      </c>
      <c r="B158" t="s">
        <v>67</v>
      </c>
      <c r="C158" s="7">
        <v>5200</v>
      </c>
      <c r="D158" t="s">
        <v>6</v>
      </c>
      <c r="E158" s="8">
        <f>E157+F158</f>
        <v>24750</v>
      </c>
      <c r="F158" s="8">
        <f>IF($D158="CR01",$C158,0)</f>
        <v>5200</v>
      </c>
      <c r="G158" s="8">
        <f>G157+H158</f>
        <v>0</v>
      </c>
      <c r="H158" s="8">
        <f>IF($D158="VISA",$C158,0)</f>
        <v>0</v>
      </c>
      <c r="I158" s="8">
        <f>I157+J158</f>
        <v>0</v>
      </c>
      <c r="J158" s="8">
        <f>IF($D158="ACC",$C158,0)</f>
        <v>0</v>
      </c>
      <c r="K158" s="8">
        <f>K157+L158</f>
        <v>0</v>
      </c>
      <c r="L158" s="8">
        <f>IF($D158="CBB",$C158,0)</f>
        <v>0</v>
      </c>
    </row>
    <row r="159" spans="1:12" x14ac:dyDescent="0.25">
      <c r="A159" s="6">
        <v>41401</v>
      </c>
      <c r="B159" t="s">
        <v>42</v>
      </c>
      <c r="C159" s="7">
        <v>-2806</v>
      </c>
      <c r="D159" t="s">
        <v>6</v>
      </c>
      <c r="E159" s="8">
        <f>E158+F159</f>
        <v>21944</v>
      </c>
      <c r="F159" s="8">
        <f>IF($D159="CR01",$C159,0)</f>
        <v>-2806</v>
      </c>
      <c r="G159" s="8">
        <f>G158+H159</f>
        <v>0</v>
      </c>
      <c r="H159" s="8">
        <f>IF($D159="VISA",$C159,0)</f>
        <v>0</v>
      </c>
      <c r="I159" s="8">
        <f>I158+J159</f>
        <v>0</v>
      </c>
      <c r="J159" s="8">
        <f>IF($D159="ACC",$C159,0)</f>
        <v>0</v>
      </c>
      <c r="K159" s="8">
        <f>K158+L159</f>
        <v>0</v>
      </c>
      <c r="L159" s="8">
        <f>IF($D159="CBB",$C159,0)</f>
        <v>0</v>
      </c>
    </row>
    <row r="160" spans="1:12" x14ac:dyDescent="0.25">
      <c r="A160" s="6">
        <v>41401</v>
      </c>
      <c r="B160" t="s">
        <v>48</v>
      </c>
      <c r="C160" s="7">
        <v>-100</v>
      </c>
      <c r="D160" t="s">
        <v>6</v>
      </c>
      <c r="E160" s="8">
        <f>E159+F160</f>
        <v>21844</v>
      </c>
      <c r="F160" s="8">
        <f>IF($D160="CR01",$C160,0)</f>
        <v>-100</v>
      </c>
      <c r="G160" s="8">
        <f>G159+H160</f>
        <v>0</v>
      </c>
      <c r="H160" s="8">
        <f>IF($D160="VISA",$C160,0)</f>
        <v>0</v>
      </c>
      <c r="I160" s="8">
        <f>I159+J160</f>
        <v>0</v>
      </c>
      <c r="J160" s="8">
        <f>IF($D160="ACC",$C160,0)</f>
        <v>0</v>
      </c>
      <c r="K160" s="8">
        <f>K159+L160</f>
        <v>0</v>
      </c>
      <c r="L160" s="8">
        <f>IF($D160="CBB",$C160,0)</f>
        <v>0</v>
      </c>
    </row>
    <row r="161" spans="1:12" x14ac:dyDescent="0.25">
      <c r="A161" s="6">
        <v>41402</v>
      </c>
      <c r="B161" t="s">
        <v>47</v>
      </c>
      <c r="C161" s="7">
        <v>-120</v>
      </c>
      <c r="D161" t="s">
        <v>6</v>
      </c>
      <c r="E161" s="8">
        <f>E160+F161</f>
        <v>21724</v>
      </c>
      <c r="F161" s="8">
        <f>IF($D161="CR01",$C161,0)</f>
        <v>-120</v>
      </c>
      <c r="G161" s="8">
        <f>G160+H161</f>
        <v>0</v>
      </c>
      <c r="H161" s="8">
        <f>IF($D161="VISA",$C161,0)</f>
        <v>0</v>
      </c>
      <c r="I161" s="8">
        <f>I160+J161</f>
        <v>0</v>
      </c>
      <c r="J161" s="8">
        <f>IF($D161="ACC",$C161,0)</f>
        <v>0</v>
      </c>
      <c r="K161" s="8">
        <f>K160+L161</f>
        <v>0</v>
      </c>
      <c r="L161" s="8">
        <f>IF($D161="CBB",$C161,0)</f>
        <v>0</v>
      </c>
    </row>
    <row r="162" spans="1:12" x14ac:dyDescent="0.25">
      <c r="A162" s="6">
        <v>41403</v>
      </c>
      <c r="B162" t="s">
        <v>44</v>
      </c>
      <c r="C162" s="7">
        <v>-400</v>
      </c>
      <c r="D162" t="s">
        <v>6</v>
      </c>
      <c r="E162" s="8">
        <f>E161+F162</f>
        <v>21324</v>
      </c>
      <c r="F162" s="8">
        <f>IF($D162="CR01",$C162,0)</f>
        <v>-400</v>
      </c>
      <c r="G162" s="8">
        <f>G161+H162</f>
        <v>0</v>
      </c>
      <c r="H162" s="8">
        <f>IF($D162="VISA",$C162,0)</f>
        <v>0</v>
      </c>
      <c r="I162" s="8">
        <f>I161+J162</f>
        <v>0</v>
      </c>
      <c r="J162" s="8">
        <f>IF($D162="ACC",$C162,0)</f>
        <v>0</v>
      </c>
      <c r="K162" s="8">
        <f>K161+L162</f>
        <v>0</v>
      </c>
      <c r="L162" s="8">
        <f>IF($D162="CBB",$C162,0)</f>
        <v>0</v>
      </c>
    </row>
    <row r="163" spans="1:12" x14ac:dyDescent="0.25">
      <c r="A163" s="6">
        <v>41403</v>
      </c>
      <c r="B163" t="s">
        <v>45</v>
      </c>
      <c r="C163" s="7">
        <v>-180</v>
      </c>
      <c r="D163" t="s">
        <v>6</v>
      </c>
      <c r="E163" s="8">
        <f>E162+F163</f>
        <v>21144</v>
      </c>
      <c r="F163" s="8">
        <f>IF($D163="CR01",$C163,0)</f>
        <v>-180</v>
      </c>
      <c r="G163" s="8">
        <f>G162+H163</f>
        <v>0</v>
      </c>
      <c r="H163" s="8">
        <f>IF($D163="VISA",$C163,0)</f>
        <v>0</v>
      </c>
      <c r="I163" s="8">
        <f>I162+J163</f>
        <v>0</v>
      </c>
      <c r="J163" s="8">
        <f>IF($D163="ACC",$C163,0)</f>
        <v>0</v>
      </c>
      <c r="K163" s="8">
        <f>K162+L163</f>
        <v>0</v>
      </c>
      <c r="L163" s="8">
        <f>IF($D163="CBB",$C163,0)</f>
        <v>0</v>
      </c>
    </row>
    <row r="164" spans="1:12" x14ac:dyDescent="0.25">
      <c r="A164" s="6">
        <v>41403</v>
      </c>
      <c r="B164" t="s">
        <v>46</v>
      </c>
      <c r="C164" s="7">
        <v>-300</v>
      </c>
      <c r="D164" t="s">
        <v>6</v>
      </c>
      <c r="E164" s="8">
        <f>E163+F164</f>
        <v>20844</v>
      </c>
      <c r="F164" s="8">
        <f>IF($D164="CR01",$C164,0)</f>
        <v>-300</v>
      </c>
      <c r="G164" s="8">
        <f>G163+H164</f>
        <v>0</v>
      </c>
      <c r="H164" s="8">
        <f>IF($D164="VISA",$C164,0)</f>
        <v>0</v>
      </c>
      <c r="I164" s="8">
        <f>I163+J164</f>
        <v>0</v>
      </c>
      <c r="J164" s="8">
        <f>IF($D164="ACC",$C164,0)</f>
        <v>0</v>
      </c>
      <c r="K164" s="8">
        <f>K163+L164</f>
        <v>0</v>
      </c>
      <c r="L164" s="8">
        <f>IF($D164="CBB",$C164,0)</f>
        <v>0</v>
      </c>
    </row>
    <row r="165" spans="1:12" x14ac:dyDescent="0.25">
      <c r="A165" s="6">
        <v>41404</v>
      </c>
      <c r="B165" t="s">
        <v>43</v>
      </c>
      <c r="C165" s="7">
        <v>3226</v>
      </c>
      <c r="D165" t="s">
        <v>6</v>
      </c>
      <c r="E165" s="8">
        <f>E164+F165</f>
        <v>24070</v>
      </c>
      <c r="F165" s="8">
        <f>IF($D165="CR01",$C165,0)</f>
        <v>3226</v>
      </c>
      <c r="G165" s="8">
        <f>G164+H165</f>
        <v>0</v>
      </c>
      <c r="H165" s="8">
        <f>IF($D165="VISA",$C165,0)</f>
        <v>0</v>
      </c>
      <c r="I165" s="8">
        <f>I164+J165</f>
        <v>0</v>
      </c>
      <c r="J165" s="8">
        <f>IF($D165="ACC",$C165,0)</f>
        <v>0</v>
      </c>
      <c r="K165" s="8">
        <f>K164+L165</f>
        <v>0</v>
      </c>
      <c r="L165" s="8">
        <f>IF($D165="CBB",$C165,0)</f>
        <v>0</v>
      </c>
    </row>
    <row r="166" spans="1:12" x14ac:dyDescent="0.25">
      <c r="A166" s="6">
        <v>41408</v>
      </c>
      <c r="B166" t="s">
        <v>48</v>
      </c>
      <c r="C166" s="7">
        <v>-100</v>
      </c>
      <c r="D166" t="s">
        <v>6</v>
      </c>
      <c r="E166" s="8">
        <f>E165+F166</f>
        <v>23970</v>
      </c>
      <c r="F166" s="8">
        <f>IF($D166="CR01",$C166,0)</f>
        <v>-100</v>
      </c>
      <c r="G166" s="8">
        <f>G165+H166</f>
        <v>0</v>
      </c>
      <c r="H166" s="8">
        <f>IF($D166="VISA",$C166,0)</f>
        <v>0</v>
      </c>
      <c r="I166" s="8">
        <f>I165+J166</f>
        <v>0</v>
      </c>
      <c r="J166" s="8">
        <f>IF($D166="ACC",$C166,0)</f>
        <v>0</v>
      </c>
      <c r="K166" s="8">
        <f>K165+L166</f>
        <v>0</v>
      </c>
      <c r="L166" s="8">
        <f>IF($D166="CBB",$C166,0)</f>
        <v>0</v>
      </c>
    </row>
    <row r="167" spans="1:12" x14ac:dyDescent="0.25">
      <c r="A167" s="6">
        <v>41409</v>
      </c>
      <c r="B167" t="s">
        <v>47</v>
      </c>
      <c r="C167" s="7">
        <v>-120</v>
      </c>
      <c r="D167" t="s">
        <v>6</v>
      </c>
      <c r="E167" s="8">
        <f>E166+F167</f>
        <v>23850</v>
      </c>
      <c r="F167" s="8">
        <f>IF($D167="CR01",$C167,0)</f>
        <v>-120</v>
      </c>
      <c r="G167" s="8">
        <f>G166+H167</f>
        <v>0</v>
      </c>
      <c r="H167" s="8">
        <f>IF($D167="VISA",$C167,0)</f>
        <v>0</v>
      </c>
      <c r="I167" s="8">
        <f>I166+J167</f>
        <v>0</v>
      </c>
      <c r="J167" s="8">
        <f>IF($D167="ACC",$C167,0)</f>
        <v>0</v>
      </c>
      <c r="K167" s="8">
        <f>K166+L167</f>
        <v>0</v>
      </c>
      <c r="L167" s="8">
        <f>IF($D167="CBB",$C167,0)</f>
        <v>0</v>
      </c>
    </row>
    <row r="168" spans="1:12" x14ac:dyDescent="0.25">
      <c r="A168" s="6">
        <v>41410</v>
      </c>
      <c r="B168" t="s">
        <v>44</v>
      </c>
      <c r="C168" s="7">
        <v>-400</v>
      </c>
      <c r="D168" t="s">
        <v>6</v>
      </c>
      <c r="E168" s="8">
        <f>E167+F168</f>
        <v>23450</v>
      </c>
      <c r="F168" s="8">
        <f>IF($D168="CR01",$C168,0)</f>
        <v>-400</v>
      </c>
      <c r="G168" s="8">
        <f>G167+H168</f>
        <v>0</v>
      </c>
      <c r="H168" s="8">
        <f>IF($D168="VISA",$C168,0)</f>
        <v>0</v>
      </c>
      <c r="I168" s="8">
        <f>I167+J168</f>
        <v>0</v>
      </c>
      <c r="J168" s="8">
        <f>IF($D168="ACC",$C168,0)</f>
        <v>0</v>
      </c>
      <c r="K168" s="8">
        <f>K167+L168</f>
        <v>0</v>
      </c>
      <c r="L168" s="8">
        <f>IF($D168="CBB",$C168,0)</f>
        <v>0</v>
      </c>
    </row>
    <row r="169" spans="1:12" x14ac:dyDescent="0.25">
      <c r="A169" s="6">
        <v>41410</v>
      </c>
      <c r="B169" t="s">
        <v>45</v>
      </c>
      <c r="C169" s="7">
        <v>-180</v>
      </c>
      <c r="D169" t="s">
        <v>6</v>
      </c>
      <c r="E169" s="8">
        <f>E168+F169</f>
        <v>23270</v>
      </c>
      <c r="F169" s="8">
        <f>IF($D169="CR01",$C169,0)</f>
        <v>-180</v>
      </c>
      <c r="G169" s="8">
        <f>G168+H169</f>
        <v>0</v>
      </c>
      <c r="H169" s="8">
        <f>IF($D169="VISA",$C169,0)</f>
        <v>0</v>
      </c>
      <c r="I169" s="8">
        <f>I168+J169</f>
        <v>0</v>
      </c>
      <c r="J169" s="8">
        <f>IF($D169="ACC",$C169,0)</f>
        <v>0</v>
      </c>
      <c r="K169" s="8">
        <f>K168+L169</f>
        <v>0</v>
      </c>
      <c r="L169" s="8">
        <f>IF($D169="CBB",$C169,0)</f>
        <v>0</v>
      </c>
    </row>
    <row r="170" spans="1:12" x14ac:dyDescent="0.25">
      <c r="A170" s="6">
        <v>41410</v>
      </c>
      <c r="B170" t="s">
        <v>46</v>
      </c>
      <c r="C170" s="7">
        <v>-300</v>
      </c>
      <c r="D170" t="s">
        <v>6</v>
      </c>
      <c r="E170" s="8">
        <f>E169+F170</f>
        <v>22970</v>
      </c>
      <c r="F170" s="8">
        <f>IF($D170="CR01",$C170,0)</f>
        <v>-300</v>
      </c>
      <c r="G170" s="8">
        <f>G169+H170</f>
        <v>0</v>
      </c>
      <c r="H170" s="8">
        <f>IF($D170="VISA",$C170,0)</f>
        <v>0</v>
      </c>
      <c r="I170" s="8">
        <f>I169+J170</f>
        <v>0</v>
      </c>
      <c r="J170" s="8">
        <f>IF($D170="ACC",$C170,0)</f>
        <v>0</v>
      </c>
      <c r="K170" s="8">
        <f>K169+L170</f>
        <v>0</v>
      </c>
      <c r="L170" s="8">
        <f>IF($D170="CBB",$C170,0)</f>
        <v>0</v>
      </c>
    </row>
    <row r="171" spans="1:12" x14ac:dyDescent="0.25">
      <c r="A171" s="6">
        <v>41412</v>
      </c>
      <c r="B171" t="s">
        <v>67</v>
      </c>
      <c r="C171" s="7">
        <v>5200</v>
      </c>
      <c r="D171" t="s">
        <v>6</v>
      </c>
      <c r="E171" s="8">
        <f>E170+F171</f>
        <v>28170</v>
      </c>
      <c r="F171" s="8">
        <f>IF($D171="CR01",$C171,0)</f>
        <v>5200</v>
      </c>
      <c r="G171" s="8">
        <f>G170+H171</f>
        <v>0</v>
      </c>
      <c r="H171" s="8">
        <f>IF($D171="VISA",$C171,0)</f>
        <v>0</v>
      </c>
      <c r="I171" s="8">
        <f>I170+J171</f>
        <v>0</v>
      </c>
      <c r="J171" s="8">
        <f>IF($D171="ACC",$C171,0)</f>
        <v>0</v>
      </c>
      <c r="K171" s="8">
        <f>K170+L171</f>
        <v>0</v>
      </c>
      <c r="L171" s="8">
        <f>IF($D171="CBB",$C171,0)</f>
        <v>0</v>
      </c>
    </row>
    <row r="172" spans="1:12" x14ac:dyDescent="0.25">
      <c r="A172" s="6">
        <v>41415</v>
      </c>
      <c r="B172" t="s">
        <v>42</v>
      </c>
      <c r="C172" s="7">
        <v>-2806</v>
      </c>
      <c r="D172" t="s">
        <v>6</v>
      </c>
      <c r="E172" s="8">
        <f>E171+F172</f>
        <v>25364</v>
      </c>
      <c r="F172" s="8">
        <f>IF($D172="CR01",$C172,0)</f>
        <v>-2806</v>
      </c>
      <c r="G172" s="8">
        <f>G171+H172</f>
        <v>0</v>
      </c>
      <c r="H172" s="8">
        <f>IF($D172="VISA",$C172,0)</f>
        <v>0</v>
      </c>
      <c r="I172" s="8">
        <f>I171+J172</f>
        <v>0</v>
      </c>
      <c r="J172" s="8">
        <f>IF($D172="ACC",$C172,0)</f>
        <v>0</v>
      </c>
      <c r="K172" s="8">
        <f>K171+L172</f>
        <v>0</v>
      </c>
      <c r="L172" s="8">
        <f>IF($D172="CBB",$C172,0)</f>
        <v>0</v>
      </c>
    </row>
    <row r="173" spans="1:12" x14ac:dyDescent="0.25">
      <c r="A173" s="6">
        <v>41415</v>
      </c>
      <c r="B173" t="s">
        <v>48</v>
      </c>
      <c r="C173" s="7">
        <v>-100</v>
      </c>
      <c r="D173" t="s">
        <v>6</v>
      </c>
      <c r="E173" s="8">
        <f>E172+F173</f>
        <v>25264</v>
      </c>
      <c r="F173" s="8">
        <f>IF($D173="CR01",$C173,0)</f>
        <v>-100</v>
      </c>
      <c r="G173" s="8">
        <f>G172+H173</f>
        <v>0</v>
      </c>
      <c r="H173" s="8">
        <f>IF($D173="VISA",$C173,0)</f>
        <v>0</v>
      </c>
      <c r="I173" s="8">
        <f>I172+J173</f>
        <v>0</v>
      </c>
      <c r="J173" s="8">
        <f>IF($D173="ACC",$C173,0)</f>
        <v>0</v>
      </c>
      <c r="K173" s="8">
        <f>K172+L173</f>
        <v>0</v>
      </c>
      <c r="L173" s="8">
        <f>IF($D173="CBB",$C173,0)</f>
        <v>0</v>
      </c>
    </row>
    <row r="174" spans="1:12" x14ac:dyDescent="0.25">
      <c r="A174" s="6">
        <v>41416</v>
      </c>
      <c r="B174" t="s">
        <v>47</v>
      </c>
      <c r="C174" s="7">
        <v>-120</v>
      </c>
      <c r="D174" t="s">
        <v>6</v>
      </c>
      <c r="E174" s="8">
        <f>E173+F174</f>
        <v>25144</v>
      </c>
      <c r="F174" s="8">
        <f>IF($D174="CR01",$C174,0)</f>
        <v>-120</v>
      </c>
      <c r="G174" s="8">
        <f>G173+H174</f>
        <v>0</v>
      </c>
      <c r="H174" s="8">
        <f>IF($D174="VISA",$C174,0)</f>
        <v>0</v>
      </c>
      <c r="I174" s="8">
        <f>I173+J174</f>
        <v>0</v>
      </c>
      <c r="J174" s="8">
        <f>IF($D174="ACC",$C174,0)</f>
        <v>0</v>
      </c>
      <c r="K174" s="8">
        <f>K173+L174</f>
        <v>0</v>
      </c>
      <c r="L174" s="8">
        <f>IF($D174="CBB",$C174,0)</f>
        <v>0</v>
      </c>
    </row>
    <row r="175" spans="1:12" x14ac:dyDescent="0.25">
      <c r="A175" s="6">
        <v>41417</v>
      </c>
      <c r="B175" t="s">
        <v>44</v>
      </c>
      <c r="C175" s="7">
        <v>-400</v>
      </c>
      <c r="D175" t="s">
        <v>6</v>
      </c>
      <c r="E175" s="8">
        <f>E174+F175</f>
        <v>24744</v>
      </c>
      <c r="F175" s="8">
        <f>IF($D175="CR01",$C175,0)</f>
        <v>-400</v>
      </c>
      <c r="G175" s="8">
        <f>G174+H175</f>
        <v>0</v>
      </c>
      <c r="H175" s="8">
        <f>IF($D175="VISA",$C175,0)</f>
        <v>0</v>
      </c>
      <c r="I175" s="8">
        <f>I174+J175</f>
        <v>0</v>
      </c>
      <c r="J175" s="8">
        <f>IF($D175="ACC",$C175,0)</f>
        <v>0</v>
      </c>
      <c r="K175" s="8">
        <f>K174+L175</f>
        <v>0</v>
      </c>
      <c r="L175" s="8">
        <f>IF($D175="CBB",$C175,0)</f>
        <v>0</v>
      </c>
    </row>
    <row r="176" spans="1:12" x14ac:dyDescent="0.25">
      <c r="A176" s="6">
        <v>41417</v>
      </c>
      <c r="B176" t="s">
        <v>45</v>
      </c>
      <c r="C176" s="7">
        <v>-180</v>
      </c>
      <c r="D176" t="s">
        <v>6</v>
      </c>
      <c r="E176" s="8">
        <f>E175+F176</f>
        <v>24564</v>
      </c>
      <c r="F176" s="8">
        <f>IF($D176="CR01",$C176,0)</f>
        <v>-180</v>
      </c>
      <c r="G176" s="8">
        <f>G175+H176</f>
        <v>0</v>
      </c>
      <c r="H176" s="8">
        <f>IF($D176="VISA",$C176,0)</f>
        <v>0</v>
      </c>
      <c r="I176" s="8">
        <f>I175+J176</f>
        <v>0</v>
      </c>
      <c r="J176" s="8">
        <f>IF($D176="ACC",$C176,0)</f>
        <v>0</v>
      </c>
      <c r="K176" s="8">
        <f>K175+L176</f>
        <v>0</v>
      </c>
      <c r="L176" s="8">
        <f>IF($D176="CBB",$C176,0)</f>
        <v>0</v>
      </c>
    </row>
    <row r="177" spans="1:12" x14ac:dyDescent="0.25">
      <c r="A177" s="6">
        <v>41417</v>
      </c>
      <c r="B177" t="s">
        <v>46</v>
      </c>
      <c r="C177" s="7">
        <v>-300</v>
      </c>
      <c r="D177" t="s">
        <v>6</v>
      </c>
      <c r="E177" s="8">
        <f>E176+F177</f>
        <v>24264</v>
      </c>
      <c r="F177" s="8">
        <f>IF($D177="CR01",$C177,0)</f>
        <v>-300</v>
      </c>
      <c r="G177" s="8">
        <f>G176+H177</f>
        <v>0</v>
      </c>
      <c r="H177" s="8">
        <f>IF($D177="VISA",$C177,0)</f>
        <v>0</v>
      </c>
      <c r="I177" s="8">
        <f>I176+J177</f>
        <v>0</v>
      </c>
      <c r="J177" s="8">
        <f>IF($D177="ACC",$C177,0)</f>
        <v>0</v>
      </c>
      <c r="K177" s="8">
        <f>K176+L177</f>
        <v>0</v>
      </c>
      <c r="L177" s="8">
        <f>IF($D177="CBB",$C177,0)</f>
        <v>0</v>
      </c>
    </row>
    <row r="178" spans="1:12" x14ac:dyDescent="0.25">
      <c r="A178" s="6">
        <v>41418</v>
      </c>
      <c r="B178" t="s">
        <v>43</v>
      </c>
      <c r="C178" s="7">
        <v>3226</v>
      </c>
      <c r="D178" t="s">
        <v>6</v>
      </c>
      <c r="E178" s="8">
        <f>E177+F178</f>
        <v>27490</v>
      </c>
      <c r="F178" s="8">
        <f>IF($D178="CR01",$C178,0)</f>
        <v>3226</v>
      </c>
      <c r="G178" s="8">
        <f>G177+H178</f>
        <v>0</v>
      </c>
      <c r="H178" s="8">
        <f>IF($D178="VISA",$C178,0)</f>
        <v>0</v>
      </c>
      <c r="I178" s="8">
        <f>I177+J178</f>
        <v>0</v>
      </c>
      <c r="J178" s="8">
        <f>IF($D178="ACC",$C178,0)</f>
        <v>0</v>
      </c>
      <c r="K178" s="8">
        <f>K177+L178</f>
        <v>0</v>
      </c>
      <c r="L178" s="8">
        <f>IF($D178="CBB",$C178,0)</f>
        <v>0</v>
      </c>
    </row>
    <row r="179" spans="1:12" x14ac:dyDescent="0.25">
      <c r="A179" s="6">
        <v>41422</v>
      </c>
      <c r="B179" t="s">
        <v>48</v>
      </c>
      <c r="C179" s="7">
        <v>-100</v>
      </c>
      <c r="D179" t="s">
        <v>6</v>
      </c>
      <c r="E179" s="8">
        <f>E178+F179</f>
        <v>27390</v>
      </c>
      <c r="F179" s="8">
        <f>IF($D179="CR01",$C179,0)</f>
        <v>-100</v>
      </c>
      <c r="G179" s="8">
        <f>G178+H179</f>
        <v>0</v>
      </c>
      <c r="H179" s="8">
        <f>IF($D179="VISA",$C179,0)</f>
        <v>0</v>
      </c>
      <c r="I179" s="8">
        <f>I178+J179</f>
        <v>0</v>
      </c>
      <c r="J179" s="8">
        <f>IF($D179="ACC",$C179,0)</f>
        <v>0</v>
      </c>
      <c r="K179" s="8">
        <f>K178+L179</f>
        <v>0</v>
      </c>
      <c r="L179" s="8">
        <f>IF($D179="CBB",$C179,0)</f>
        <v>0</v>
      </c>
    </row>
    <row r="180" spans="1:12" x14ac:dyDescent="0.25">
      <c r="A180" s="6">
        <v>41423</v>
      </c>
      <c r="B180" t="s">
        <v>47</v>
      </c>
      <c r="C180" s="7">
        <v>-120</v>
      </c>
      <c r="D180" t="s">
        <v>6</v>
      </c>
      <c r="E180" s="8">
        <f>E179+F180</f>
        <v>27270</v>
      </c>
      <c r="F180" s="8">
        <f>IF($D180="CR01",$C180,0)</f>
        <v>-120</v>
      </c>
      <c r="G180" s="8">
        <f>G179+H180</f>
        <v>0</v>
      </c>
      <c r="H180" s="8">
        <f>IF($D180="VISA",$C180,0)</f>
        <v>0</v>
      </c>
      <c r="I180" s="8">
        <f>I179+J180</f>
        <v>0</v>
      </c>
      <c r="J180" s="8">
        <f>IF($D180="ACC",$C180,0)</f>
        <v>0</v>
      </c>
      <c r="K180" s="8">
        <f>K179+L180</f>
        <v>0</v>
      </c>
      <c r="L180" s="8">
        <f>IF($D180="CBB",$C180,0)</f>
        <v>0</v>
      </c>
    </row>
    <row r="181" spans="1:12" x14ac:dyDescent="0.25">
      <c r="A181" s="6">
        <v>41424</v>
      </c>
      <c r="B181" t="s">
        <v>44</v>
      </c>
      <c r="C181" s="7">
        <v>-400</v>
      </c>
      <c r="D181" t="s">
        <v>6</v>
      </c>
      <c r="E181" s="8">
        <f>E180+F181</f>
        <v>26870</v>
      </c>
      <c r="F181" s="8">
        <f>IF($D181="CR01",$C181,0)</f>
        <v>-400</v>
      </c>
      <c r="G181" s="8">
        <f>G180+H181</f>
        <v>0</v>
      </c>
      <c r="H181" s="8">
        <f>IF($D181="VISA",$C181,0)</f>
        <v>0</v>
      </c>
      <c r="I181" s="8">
        <f>I180+J181</f>
        <v>0</v>
      </c>
      <c r="J181" s="8">
        <f>IF($D181="ACC",$C181,0)</f>
        <v>0</v>
      </c>
      <c r="K181" s="8">
        <f>K180+L181</f>
        <v>0</v>
      </c>
      <c r="L181" s="8">
        <f>IF($D181="CBB",$C181,0)</f>
        <v>0</v>
      </c>
    </row>
    <row r="182" spans="1:12" x14ac:dyDescent="0.25">
      <c r="A182" s="6">
        <v>41424</v>
      </c>
      <c r="B182" t="s">
        <v>45</v>
      </c>
      <c r="C182" s="7">
        <v>-180</v>
      </c>
      <c r="D182" t="s">
        <v>6</v>
      </c>
      <c r="E182" s="8">
        <f>E181+F182</f>
        <v>26690</v>
      </c>
      <c r="F182" s="8">
        <f>IF($D182="CR01",$C182,0)</f>
        <v>-180</v>
      </c>
      <c r="G182" s="8">
        <f>G181+H182</f>
        <v>0</v>
      </c>
      <c r="H182" s="8">
        <f>IF($D182="VISA",$C182,0)</f>
        <v>0</v>
      </c>
      <c r="I182" s="8">
        <f>I181+J182</f>
        <v>0</v>
      </c>
      <c r="J182" s="8">
        <f>IF($D182="ACC",$C182,0)</f>
        <v>0</v>
      </c>
      <c r="K182" s="8">
        <f>K181+L182</f>
        <v>0</v>
      </c>
      <c r="L182" s="8">
        <f>IF($D182="CBB",$C182,0)</f>
        <v>0</v>
      </c>
    </row>
    <row r="183" spans="1:12" x14ac:dyDescent="0.25">
      <c r="A183" s="6">
        <v>41424</v>
      </c>
      <c r="B183" t="s">
        <v>46</v>
      </c>
      <c r="C183" s="7">
        <v>-300</v>
      </c>
      <c r="D183" t="s">
        <v>6</v>
      </c>
      <c r="E183" s="8">
        <f>E182+F183</f>
        <v>26390</v>
      </c>
      <c r="F183" s="8">
        <f>IF($D183="CR01",$C183,0)</f>
        <v>-300</v>
      </c>
      <c r="G183" s="8">
        <f>G182+H183</f>
        <v>0</v>
      </c>
      <c r="H183" s="8">
        <f>IF($D183="VISA",$C183,0)</f>
        <v>0</v>
      </c>
      <c r="I183" s="8">
        <f>I182+J183</f>
        <v>0</v>
      </c>
      <c r="J183" s="8">
        <f>IF($D183="ACC",$C183,0)</f>
        <v>0</v>
      </c>
      <c r="K183" s="8">
        <f>K182+L183</f>
        <v>0</v>
      </c>
      <c r="L183" s="8">
        <f>IF($D183="CBB",$C183,0)</f>
        <v>0</v>
      </c>
    </row>
    <row r="184" spans="1:12" x14ac:dyDescent="0.25">
      <c r="A184" s="6">
        <v>41426</v>
      </c>
      <c r="B184" t="s">
        <v>67</v>
      </c>
      <c r="C184" s="7">
        <v>5200</v>
      </c>
      <c r="D184" t="s">
        <v>6</v>
      </c>
      <c r="E184" s="8">
        <f>E183+F184</f>
        <v>31590</v>
      </c>
      <c r="F184" s="8">
        <f>IF($D184="CR01",$C184,0)</f>
        <v>5200</v>
      </c>
      <c r="G184" s="8">
        <f>G183+H184</f>
        <v>0</v>
      </c>
      <c r="H184" s="8">
        <f>IF($D184="VISA",$C184,0)</f>
        <v>0</v>
      </c>
      <c r="I184" s="8">
        <f>I183+J184</f>
        <v>0</v>
      </c>
      <c r="J184" s="8">
        <f>IF($D184="ACC",$C184,0)</f>
        <v>0</v>
      </c>
      <c r="K184" s="8">
        <f>K183+L184</f>
        <v>0</v>
      </c>
      <c r="L184" s="8">
        <f>IF($D184="CBB",$C184,0)</f>
        <v>0</v>
      </c>
    </row>
    <row r="185" spans="1:12" x14ac:dyDescent="0.25">
      <c r="A185" s="6">
        <v>41426</v>
      </c>
      <c r="B185" t="s">
        <v>58</v>
      </c>
      <c r="C185" s="7">
        <v>-200</v>
      </c>
      <c r="D185" t="s">
        <v>6</v>
      </c>
      <c r="E185" s="8">
        <f>E184+F185</f>
        <v>31390</v>
      </c>
      <c r="F185" s="8">
        <f>IF($D185="CR01",$C185,0)</f>
        <v>-200</v>
      </c>
      <c r="G185" s="8">
        <f>G184+H185</f>
        <v>0</v>
      </c>
      <c r="H185" s="8">
        <f>IF($D185="VISA",$C185,0)</f>
        <v>0</v>
      </c>
      <c r="I185" s="8">
        <f>I184+J185</f>
        <v>0</v>
      </c>
      <c r="J185" s="8">
        <f>IF($D185="ACC",$C185,0)</f>
        <v>0</v>
      </c>
      <c r="K185" s="8">
        <f>K184+L185</f>
        <v>0</v>
      </c>
      <c r="L185" s="8">
        <f>IF($D185="CBB",$C185,0)</f>
        <v>0</v>
      </c>
    </row>
    <row r="186" spans="1:12" x14ac:dyDescent="0.25">
      <c r="A186" s="6">
        <v>41426</v>
      </c>
      <c r="B186" t="s">
        <v>60</v>
      </c>
      <c r="C186" s="7">
        <v>-400</v>
      </c>
      <c r="D186" t="s">
        <v>6</v>
      </c>
      <c r="E186" s="8">
        <f>E185+F186</f>
        <v>30990</v>
      </c>
      <c r="F186" s="8">
        <f>IF($D186="CR01",$C186,0)</f>
        <v>-400</v>
      </c>
      <c r="G186" s="8">
        <f>G185+H186</f>
        <v>0</v>
      </c>
      <c r="H186" s="8">
        <f>IF($D186="VISA",$C186,0)</f>
        <v>0</v>
      </c>
      <c r="I186" s="8">
        <f>I185+J186</f>
        <v>0</v>
      </c>
      <c r="J186" s="8">
        <f>IF($D186="ACC",$C186,0)</f>
        <v>0</v>
      </c>
      <c r="K186" s="8">
        <f>K185+L186</f>
        <v>0</v>
      </c>
      <c r="L186" s="8">
        <f>IF($D186="CBB",$C186,0)</f>
        <v>0</v>
      </c>
    </row>
    <row r="187" spans="1:12" x14ac:dyDescent="0.25">
      <c r="A187" s="6">
        <v>41426</v>
      </c>
      <c r="B187" t="s">
        <v>64</v>
      </c>
      <c r="C187" s="7">
        <v>-26</v>
      </c>
      <c r="D187" t="s">
        <v>6</v>
      </c>
      <c r="E187" s="8">
        <f>E186+F187</f>
        <v>30964</v>
      </c>
      <c r="F187" s="8">
        <f>IF($D187="CR01",$C187,0)</f>
        <v>-26</v>
      </c>
      <c r="G187" s="8">
        <f>G186+H187</f>
        <v>0</v>
      </c>
      <c r="H187" s="8">
        <f>IF($D187="VISA",$C187,0)</f>
        <v>0</v>
      </c>
      <c r="I187" s="8">
        <f>I186+J187</f>
        <v>0</v>
      </c>
      <c r="J187" s="8">
        <f>IF($D187="ACC",$C187,0)</f>
        <v>0</v>
      </c>
      <c r="K187" s="8">
        <f>K186+L187</f>
        <v>0</v>
      </c>
      <c r="L187" s="8">
        <f>IF($D187="CBB",$C187,0)</f>
        <v>0</v>
      </c>
    </row>
    <row r="188" spans="1:12" x14ac:dyDescent="0.25">
      <c r="A188" s="6">
        <v>41426</v>
      </c>
      <c r="B188" t="s">
        <v>65</v>
      </c>
      <c r="C188" s="7">
        <v>-240</v>
      </c>
      <c r="D188" t="s">
        <v>6</v>
      </c>
      <c r="E188" s="8">
        <f>E187+F188</f>
        <v>30724</v>
      </c>
      <c r="F188" s="8">
        <f>IF($D188="CR01",$C188,0)</f>
        <v>-240</v>
      </c>
      <c r="G188" s="8">
        <f>G187+H188</f>
        <v>0</v>
      </c>
      <c r="H188" s="8">
        <f>IF($D188="VISA",$C188,0)</f>
        <v>0</v>
      </c>
      <c r="I188" s="8">
        <f>I187+J188</f>
        <v>0</v>
      </c>
      <c r="J188" s="8">
        <f>IF($D188="ACC",$C188,0)</f>
        <v>0</v>
      </c>
      <c r="K188" s="8">
        <f>K187+L188</f>
        <v>0</v>
      </c>
      <c r="L188" s="8">
        <f>IF($D188="CBB",$C188,0)</f>
        <v>0</v>
      </c>
    </row>
    <row r="189" spans="1:12" x14ac:dyDescent="0.25">
      <c r="A189" s="6">
        <v>41426</v>
      </c>
      <c r="B189" t="s">
        <v>66</v>
      </c>
      <c r="C189" s="7">
        <v>-120</v>
      </c>
      <c r="D189" t="s">
        <v>6</v>
      </c>
      <c r="E189" s="8">
        <f>E188+F189</f>
        <v>30604</v>
      </c>
      <c r="F189" s="8">
        <f>IF($D189="CR01",$C189,0)</f>
        <v>-120</v>
      </c>
      <c r="G189" s="8">
        <f>G188+H189</f>
        <v>0</v>
      </c>
      <c r="H189" s="8">
        <f>IF($D189="VISA",$C189,0)</f>
        <v>0</v>
      </c>
      <c r="I189" s="8">
        <f>I188+J189</f>
        <v>0</v>
      </c>
      <c r="J189" s="8">
        <f>IF($D189="ACC",$C189,0)</f>
        <v>0</v>
      </c>
      <c r="K189" s="8">
        <f>K188+L189</f>
        <v>0</v>
      </c>
      <c r="L189" s="8">
        <f>IF($D189="CBB",$C189,0)</f>
        <v>0</v>
      </c>
    </row>
    <row r="190" spans="1:12" x14ac:dyDescent="0.25">
      <c r="A190" s="6">
        <v>41427</v>
      </c>
      <c r="B190" t="s">
        <v>59</v>
      </c>
      <c r="C190" s="7">
        <v>-900</v>
      </c>
      <c r="D190" t="s">
        <v>6</v>
      </c>
      <c r="E190" s="8">
        <f>E189+F190</f>
        <v>29704</v>
      </c>
      <c r="F190" s="8">
        <f>IF($D190="CR01",$C190,0)</f>
        <v>-900</v>
      </c>
      <c r="G190" s="8">
        <f>G189+H190</f>
        <v>0</v>
      </c>
      <c r="H190" s="8">
        <f>IF($D190="VISA",$C190,0)</f>
        <v>0</v>
      </c>
      <c r="I190" s="8">
        <f>I189+J190</f>
        <v>0</v>
      </c>
      <c r="J190" s="8">
        <f>IF($D190="ACC",$C190,0)</f>
        <v>0</v>
      </c>
      <c r="K190" s="8">
        <f>K189+L190</f>
        <v>0</v>
      </c>
      <c r="L190" s="8">
        <f>IF($D190="CBB",$C190,0)</f>
        <v>0</v>
      </c>
    </row>
    <row r="191" spans="1:12" x14ac:dyDescent="0.25">
      <c r="A191" s="6">
        <v>41429</v>
      </c>
      <c r="B191" t="s">
        <v>42</v>
      </c>
      <c r="C191" s="7">
        <v>-2806</v>
      </c>
      <c r="D191" t="s">
        <v>6</v>
      </c>
      <c r="E191" s="8">
        <f>E190+F191</f>
        <v>26898</v>
      </c>
      <c r="F191" s="8">
        <f>IF($D191="CR01",$C191,0)</f>
        <v>-2806</v>
      </c>
      <c r="G191" s="8">
        <f>G190+H191</f>
        <v>0</v>
      </c>
      <c r="H191" s="8">
        <f>IF($D191="VISA",$C191,0)</f>
        <v>0</v>
      </c>
      <c r="I191" s="8">
        <f>I190+J191</f>
        <v>0</v>
      </c>
      <c r="J191" s="8">
        <f>IF($D191="ACC",$C191,0)</f>
        <v>0</v>
      </c>
      <c r="K191" s="8">
        <f>K190+L191</f>
        <v>0</v>
      </c>
      <c r="L191" s="8">
        <f>IF($D191="CBB",$C191,0)</f>
        <v>0</v>
      </c>
    </row>
    <row r="192" spans="1:12" x14ac:dyDescent="0.25">
      <c r="A192" s="6">
        <v>41429</v>
      </c>
      <c r="B192" t="s">
        <v>48</v>
      </c>
      <c r="C192" s="7">
        <v>-100</v>
      </c>
      <c r="D192" t="s">
        <v>6</v>
      </c>
      <c r="E192" s="8">
        <f>E191+F192</f>
        <v>26798</v>
      </c>
      <c r="F192" s="8">
        <f>IF($D192="CR01",$C192,0)</f>
        <v>-100</v>
      </c>
      <c r="G192" s="8">
        <f>G191+H192</f>
        <v>0</v>
      </c>
      <c r="H192" s="8">
        <f>IF($D192="VISA",$C192,0)</f>
        <v>0</v>
      </c>
      <c r="I192" s="8">
        <f>I191+J192</f>
        <v>0</v>
      </c>
      <c r="J192" s="8">
        <f>IF($D192="ACC",$C192,0)</f>
        <v>0</v>
      </c>
      <c r="K192" s="8">
        <f>K191+L192</f>
        <v>0</v>
      </c>
      <c r="L192" s="8">
        <f>IF($D192="CBB",$C192,0)</f>
        <v>0</v>
      </c>
    </row>
    <row r="193" spans="1:12" x14ac:dyDescent="0.25">
      <c r="A193" s="6">
        <v>41430</v>
      </c>
      <c r="B193" t="s">
        <v>47</v>
      </c>
      <c r="C193" s="7">
        <v>-120</v>
      </c>
      <c r="D193" t="s">
        <v>6</v>
      </c>
      <c r="E193" s="8">
        <f>E192+F193</f>
        <v>26678</v>
      </c>
      <c r="F193" s="8">
        <f>IF($D193="CR01",$C193,0)</f>
        <v>-120</v>
      </c>
      <c r="G193" s="8">
        <f>G192+H193</f>
        <v>0</v>
      </c>
      <c r="H193" s="8">
        <f>IF($D193="VISA",$C193,0)</f>
        <v>0</v>
      </c>
      <c r="I193" s="8">
        <f>I192+J193</f>
        <v>0</v>
      </c>
      <c r="J193" s="8">
        <f>IF($D193="ACC",$C193,0)</f>
        <v>0</v>
      </c>
      <c r="K193" s="8">
        <f>K192+L193</f>
        <v>0</v>
      </c>
      <c r="L193" s="8">
        <f>IF($D193="CBB",$C193,0)</f>
        <v>0</v>
      </c>
    </row>
    <row r="194" spans="1:12" x14ac:dyDescent="0.25">
      <c r="A194" s="6">
        <v>41431</v>
      </c>
      <c r="B194" t="s">
        <v>44</v>
      </c>
      <c r="C194" s="7">
        <v>-400</v>
      </c>
      <c r="D194" t="s">
        <v>6</v>
      </c>
      <c r="E194" s="8">
        <f>E193+F194</f>
        <v>26278</v>
      </c>
      <c r="F194" s="8">
        <f>IF($D194="CR01",$C194,0)</f>
        <v>-400</v>
      </c>
      <c r="G194" s="8">
        <f>G193+H194</f>
        <v>0</v>
      </c>
      <c r="H194" s="8">
        <f>IF($D194="VISA",$C194,0)</f>
        <v>0</v>
      </c>
      <c r="I194" s="8">
        <f>I193+J194</f>
        <v>0</v>
      </c>
      <c r="J194" s="8">
        <f>IF($D194="ACC",$C194,0)</f>
        <v>0</v>
      </c>
      <c r="K194" s="8">
        <f>K193+L194</f>
        <v>0</v>
      </c>
      <c r="L194" s="8">
        <f>IF($D194="CBB",$C194,0)</f>
        <v>0</v>
      </c>
    </row>
    <row r="195" spans="1:12" x14ac:dyDescent="0.25">
      <c r="A195" s="6">
        <v>41431</v>
      </c>
      <c r="B195" t="s">
        <v>45</v>
      </c>
      <c r="C195" s="7">
        <v>-180</v>
      </c>
      <c r="D195" t="s">
        <v>6</v>
      </c>
      <c r="E195" s="8">
        <f>E194+F195</f>
        <v>26098</v>
      </c>
      <c r="F195" s="8">
        <f>IF($D195="CR01",$C195,0)</f>
        <v>-180</v>
      </c>
      <c r="G195" s="8">
        <f>G194+H195</f>
        <v>0</v>
      </c>
      <c r="H195" s="8">
        <f>IF($D195="VISA",$C195,0)</f>
        <v>0</v>
      </c>
      <c r="I195" s="8">
        <f>I194+J195</f>
        <v>0</v>
      </c>
      <c r="J195" s="8">
        <f>IF($D195="ACC",$C195,0)</f>
        <v>0</v>
      </c>
      <c r="K195" s="8">
        <f>K194+L195</f>
        <v>0</v>
      </c>
      <c r="L195" s="8">
        <f>IF($D195="CBB",$C195,0)</f>
        <v>0</v>
      </c>
    </row>
    <row r="196" spans="1:12" x14ac:dyDescent="0.25">
      <c r="A196" s="6">
        <v>41431</v>
      </c>
      <c r="B196" t="s">
        <v>46</v>
      </c>
      <c r="C196" s="7">
        <v>-300</v>
      </c>
      <c r="D196" t="s">
        <v>6</v>
      </c>
      <c r="E196" s="8">
        <f>E195+F196</f>
        <v>25798</v>
      </c>
      <c r="F196" s="8">
        <f>IF($D196="CR01",$C196,0)</f>
        <v>-300</v>
      </c>
      <c r="G196" s="8">
        <f>G195+H196</f>
        <v>0</v>
      </c>
      <c r="H196" s="8">
        <f>IF($D196="VISA",$C196,0)</f>
        <v>0</v>
      </c>
      <c r="I196" s="8">
        <f>I195+J196</f>
        <v>0</v>
      </c>
      <c r="J196" s="8">
        <f>IF($D196="ACC",$C196,0)</f>
        <v>0</v>
      </c>
      <c r="K196" s="8">
        <f>K195+L196</f>
        <v>0</v>
      </c>
      <c r="L196" s="8">
        <f>IF($D196="CBB",$C196,0)</f>
        <v>0</v>
      </c>
    </row>
    <row r="197" spans="1:12" x14ac:dyDescent="0.25">
      <c r="A197" s="6">
        <v>41432</v>
      </c>
      <c r="B197" t="s">
        <v>43</v>
      </c>
      <c r="C197" s="7">
        <v>3226</v>
      </c>
      <c r="D197" t="s">
        <v>6</v>
      </c>
      <c r="E197" s="8">
        <f>E196+F197</f>
        <v>29024</v>
      </c>
      <c r="F197" s="8">
        <f>IF($D197="CR01",$C197,0)</f>
        <v>3226</v>
      </c>
      <c r="G197" s="8">
        <f>G196+H197</f>
        <v>0</v>
      </c>
      <c r="H197" s="8">
        <f>IF($D197="VISA",$C197,0)</f>
        <v>0</v>
      </c>
      <c r="I197" s="8">
        <f>I196+J197</f>
        <v>0</v>
      </c>
      <c r="J197" s="8">
        <f>IF($D197="ACC",$C197,0)</f>
        <v>0</v>
      </c>
      <c r="K197" s="8">
        <f>K196+L197</f>
        <v>0</v>
      </c>
      <c r="L197" s="8">
        <f>IF($D197="CBB",$C197,0)</f>
        <v>0</v>
      </c>
    </row>
    <row r="198" spans="1:12" x14ac:dyDescent="0.25">
      <c r="A198" s="6">
        <v>41436</v>
      </c>
      <c r="B198" t="s">
        <v>48</v>
      </c>
      <c r="C198" s="7">
        <v>-100</v>
      </c>
      <c r="D198" t="s">
        <v>6</v>
      </c>
      <c r="E198" s="8">
        <f>E197+F198</f>
        <v>28924</v>
      </c>
      <c r="F198" s="8">
        <f>IF($D198="CR01",$C198,0)</f>
        <v>-100</v>
      </c>
      <c r="G198" s="8">
        <f>G197+H198</f>
        <v>0</v>
      </c>
      <c r="H198" s="8">
        <f>IF($D198="VISA",$C198,0)</f>
        <v>0</v>
      </c>
      <c r="I198" s="8">
        <f>I197+J198</f>
        <v>0</v>
      </c>
      <c r="J198" s="8">
        <f>IF($D198="ACC",$C198,0)</f>
        <v>0</v>
      </c>
      <c r="K198" s="8">
        <f>K197+L198</f>
        <v>0</v>
      </c>
      <c r="L198" s="8">
        <f>IF($D198="CBB",$C198,0)</f>
        <v>0</v>
      </c>
    </row>
    <row r="199" spans="1:12" x14ac:dyDescent="0.25">
      <c r="A199" s="6">
        <v>41437</v>
      </c>
      <c r="B199" t="s">
        <v>47</v>
      </c>
      <c r="C199" s="7">
        <v>-120</v>
      </c>
      <c r="D199" t="s">
        <v>6</v>
      </c>
      <c r="E199" s="8">
        <f>E198+F199</f>
        <v>28804</v>
      </c>
      <c r="F199" s="8">
        <f>IF($D199="CR01",$C199,0)</f>
        <v>-120</v>
      </c>
      <c r="G199" s="8">
        <f>G198+H199</f>
        <v>0</v>
      </c>
      <c r="H199" s="8">
        <f>IF($D199="VISA",$C199,0)</f>
        <v>0</v>
      </c>
      <c r="I199" s="8">
        <f>I198+J199</f>
        <v>0</v>
      </c>
      <c r="J199" s="8">
        <f>IF($D199="ACC",$C199,0)</f>
        <v>0</v>
      </c>
      <c r="K199" s="8">
        <f>K198+L199</f>
        <v>0</v>
      </c>
      <c r="L199" s="8">
        <f>IF($D199="CBB",$C199,0)</f>
        <v>0</v>
      </c>
    </row>
    <row r="200" spans="1:12" x14ac:dyDescent="0.25">
      <c r="A200" s="6">
        <v>41438</v>
      </c>
      <c r="B200" t="s">
        <v>44</v>
      </c>
      <c r="C200" s="7">
        <v>-400</v>
      </c>
      <c r="D200" t="s">
        <v>6</v>
      </c>
      <c r="E200" s="8">
        <f>E199+F200</f>
        <v>28404</v>
      </c>
      <c r="F200" s="8">
        <f>IF($D200="CR01",$C200,0)</f>
        <v>-400</v>
      </c>
      <c r="G200" s="8">
        <f>G199+H200</f>
        <v>0</v>
      </c>
      <c r="H200" s="8">
        <f>IF($D200="VISA",$C200,0)</f>
        <v>0</v>
      </c>
      <c r="I200" s="8">
        <f>I199+J200</f>
        <v>0</v>
      </c>
      <c r="J200" s="8">
        <f>IF($D200="ACC",$C200,0)</f>
        <v>0</v>
      </c>
      <c r="K200" s="8">
        <f>K199+L200</f>
        <v>0</v>
      </c>
      <c r="L200" s="8">
        <f>IF($D200="CBB",$C200,0)</f>
        <v>0</v>
      </c>
    </row>
    <row r="201" spans="1:12" x14ac:dyDescent="0.25">
      <c r="A201" s="6">
        <v>41438</v>
      </c>
      <c r="B201" t="s">
        <v>45</v>
      </c>
      <c r="C201" s="7">
        <v>-180</v>
      </c>
      <c r="D201" t="s">
        <v>6</v>
      </c>
      <c r="E201" s="8">
        <f>E200+F201</f>
        <v>28224</v>
      </c>
      <c r="F201" s="8">
        <f>IF($D201="CR01",$C201,0)</f>
        <v>-180</v>
      </c>
      <c r="G201" s="8">
        <f>G200+H201</f>
        <v>0</v>
      </c>
      <c r="H201" s="8">
        <f>IF($D201="VISA",$C201,0)</f>
        <v>0</v>
      </c>
      <c r="I201" s="8">
        <f>I200+J201</f>
        <v>0</v>
      </c>
      <c r="J201" s="8">
        <f>IF($D201="ACC",$C201,0)</f>
        <v>0</v>
      </c>
      <c r="K201" s="8">
        <f>K200+L201</f>
        <v>0</v>
      </c>
      <c r="L201" s="8">
        <f>IF($D201="CBB",$C201,0)</f>
        <v>0</v>
      </c>
    </row>
    <row r="202" spans="1:12" x14ac:dyDescent="0.25">
      <c r="A202" s="6">
        <v>41438</v>
      </c>
      <c r="B202" t="s">
        <v>46</v>
      </c>
      <c r="C202" s="7">
        <v>-300</v>
      </c>
      <c r="D202" t="s">
        <v>6</v>
      </c>
      <c r="E202" s="8">
        <f>E201+F202</f>
        <v>27924</v>
      </c>
      <c r="F202" s="8">
        <f>IF($D202="CR01",$C202,0)</f>
        <v>-300</v>
      </c>
      <c r="G202" s="8">
        <f>G201+H202</f>
        <v>0</v>
      </c>
      <c r="H202" s="8">
        <f>IF($D202="VISA",$C202,0)</f>
        <v>0</v>
      </c>
      <c r="I202" s="8">
        <f>I201+J202</f>
        <v>0</v>
      </c>
      <c r="J202" s="8">
        <f>IF($D202="ACC",$C202,0)</f>
        <v>0</v>
      </c>
      <c r="K202" s="8">
        <f>K201+L202</f>
        <v>0</v>
      </c>
      <c r="L202" s="8">
        <f>IF($D202="CBB",$C202,0)</f>
        <v>0</v>
      </c>
    </row>
    <row r="203" spans="1:12" x14ac:dyDescent="0.25">
      <c r="A203" s="6">
        <v>41440</v>
      </c>
      <c r="B203" t="s">
        <v>67</v>
      </c>
      <c r="C203" s="7">
        <v>5200</v>
      </c>
      <c r="D203" t="s">
        <v>6</v>
      </c>
      <c r="E203" s="8">
        <f>E202+F203</f>
        <v>33124</v>
      </c>
      <c r="F203" s="8">
        <f>IF($D203="CR01",$C203,0)</f>
        <v>5200</v>
      </c>
      <c r="G203" s="8">
        <f>G202+H203</f>
        <v>0</v>
      </c>
      <c r="H203" s="8">
        <f>IF($D203="VISA",$C203,0)</f>
        <v>0</v>
      </c>
      <c r="I203" s="8">
        <f>I202+J203</f>
        <v>0</v>
      </c>
      <c r="J203" s="8">
        <f>IF($D203="ACC",$C203,0)</f>
        <v>0</v>
      </c>
      <c r="K203" s="8">
        <f>K202+L203</f>
        <v>0</v>
      </c>
      <c r="L203" s="8">
        <f>IF($D203="CBB",$C203,0)</f>
        <v>0</v>
      </c>
    </row>
    <row r="204" spans="1:12" x14ac:dyDescent="0.25">
      <c r="A204" s="6">
        <v>41443</v>
      </c>
      <c r="B204" t="s">
        <v>42</v>
      </c>
      <c r="C204" s="7">
        <v>-2806</v>
      </c>
      <c r="D204" t="s">
        <v>6</v>
      </c>
      <c r="E204" s="8">
        <f>E203+F204</f>
        <v>30318</v>
      </c>
      <c r="F204" s="8">
        <f>IF($D204="CR01",$C204,0)</f>
        <v>-2806</v>
      </c>
      <c r="G204" s="8">
        <f>G203+H204</f>
        <v>0</v>
      </c>
      <c r="H204" s="8">
        <f>IF($D204="VISA",$C204,0)</f>
        <v>0</v>
      </c>
      <c r="I204" s="8">
        <f>I203+J204</f>
        <v>0</v>
      </c>
      <c r="J204" s="8">
        <f>IF($D204="ACC",$C204,0)</f>
        <v>0</v>
      </c>
      <c r="K204" s="8">
        <f>K203+L204</f>
        <v>0</v>
      </c>
      <c r="L204" s="8">
        <f>IF($D204="CBB",$C204,0)</f>
        <v>0</v>
      </c>
    </row>
    <row r="205" spans="1:12" x14ac:dyDescent="0.25">
      <c r="A205" s="6">
        <v>41443</v>
      </c>
      <c r="B205" t="s">
        <v>48</v>
      </c>
      <c r="C205" s="7">
        <v>-100</v>
      </c>
      <c r="D205" t="s">
        <v>6</v>
      </c>
      <c r="E205" s="8">
        <f>E204+F205</f>
        <v>30218</v>
      </c>
      <c r="F205" s="8">
        <f>IF($D205="CR01",$C205,0)</f>
        <v>-100</v>
      </c>
      <c r="G205" s="8">
        <f>G204+H205</f>
        <v>0</v>
      </c>
      <c r="H205" s="8">
        <f>IF($D205="VISA",$C205,0)</f>
        <v>0</v>
      </c>
      <c r="I205" s="8">
        <f>I204+J205</f>
        <v>0</v>
      </c>
      <c r="J205" s="8">
        <f>IF($D205="ACC",$C205,0)</f>
        <v>0</v>
      </c>
      <c r="K205" s="8">
        <f>K204+L205</f>
        <v>0</v>
      </c>
      <c r="L205" s="8">
        <f>IF($D205="CBB",$C205,0)</f>
        <v>0</v>
      </c>
    </row>
    <row r="206" spans="1:12" x14ac:dyDescent="0.25">
      <c r="A206" s="6">
        <v>41444</v>
      </c>
      <c r="B206" t="s">
        <v>47</v>
      </c>
      <c r="C206" s="7">
        <v>-120</v>
      </c>
      <c r="D206" t="s">
        <v>6</v>
      </c>
      <c r="E206" s="8">
        <f>E205+F206</f>
        <v>30098</v>
      </c>
      <c r="F206" s="8">
        <f>IF($D206="CR01",$C206,0)</f>
        <v>-120</v>
      </c>
      <c r="G206" s="8">
        <f>G205+H206</f>
        <v>0</v>
      </c>
      <c r="H206" s="8">
        <f>IF($D206="VISA",$C206,0)</f>
        <v>0</v>
      </c>
      <c r="I206" s="8">
        <f>I205+J206</f>
        <v>0</v>
      </c>
      <c r="J206" s="8">
        <f>IF($D206="ACC",$C206,0)</f>
        <v>0</v>
      </c>
      <c r="K206" s="8">
        <f>K205+L206</f>
        <v>0</v>
      </c>
      <c r="L206" s="8">
        <f>IF($D206="CBB",$C206,0)</f>
        <v>0</v>
      </c>
    </row>
    <row r="207" spans="1:12" x14ac:dyDescent="0.25">
      <c r="A207" s="6">
        <v>41445</v>
      </c>
      <c r="B207" t="s">
        <v>44</v>
      </c>
      <c r="C207" s="7">
        <v>-400</v>
      </c>
      <c r="D207" t="s">
        <v>6</v>
      </c>
      <c r="E207" s="8">
        <f>E206+F207</f>
        <v>29698</v>
      </c>
      <c r="F207" s="8">
        <f>IF($D207="CR01",$C207,0)</f>
        <v>-400</v>
      </c>
      <c r="G207" s="8">
        <f>G206+H207</f>
        <v>0</v>
      </c>
      <c r="H207" s="8">
        <f>IF($D207="VISA",$C207,0)</f>
        <v>0</v>
      </c>
      <c r="I207" s="8">
        <f>I206+J207</f>
        <v>0</v>
      </c>
      <c r="J207" s="8">
        <f>IF($D207="ACC",$C207,0)</f>
        <v>0</v>
      </c>
      <c r="K207" s="8">
        <f>K206+L207</f>
        <v>0</v>
      </c>
      <c r="L207" s="8">
        <f>IF($D207="CBB",$C207,0)</f>
        <v>0</v>
      </c>
    </row>
    <row r="208" spans="1:12" x14ac:dyDescent="0.25">
      <c r="A208" s="6">
        <v>41445</v>
      </c>
      <c r="B208" t="s">
        <v>45</v>
      </c>
      <c r="C208" s="7">
        <v>-180</v>
      </c>
      <c r="D208" t="s">
        <v>6</v>
      </c>
      <c r="E208" s="8">
        <f>E207+F208</f>
        <v>29518</v>
      </c>
      <c r="F208" s="8">
        <f>IF($D208="CR01",$C208,0)</f>
        <v>-180</v>
      </c>
      <c r="G208" s="8">
        <f>G207+H208</f>
        <v>0</v>
      </c>
      <c r="H208" s="8">
        <f>IF($D208="VISA",$C208,0)</f>
        <v>0</v>
      </c>
      <c r="I208" s="8">
        <f>I207+J208</f>
        <v>0</v>
      </c>
      <c r="J208" s="8">
        <f>IF($D208="ACC",$C208,0)</f>
        <v>0</v>
      </c>
      <c r="K208" s="8">
        <f>K207+L208</f>
        <v>0</v>
      </c>
      <c r="L208" s="8">
        <f>IF($D208="CBB",$C208,0)</f>
        <v>0</v>
      </c>
    </row>
    <row r="209" spans="1:12" x14ac:dyDescent="0.25">
      <c r="A209" s="6">
        <v>41445</v>
      </c>
      <c r="B209" t="s">
        <v>46</v>
      </c>
      <c r="C209" s="7">
        <v>-300</v>
      </c>
      <c r="D209" t="s">
        <v>6</v>
      </c>
      <c r="E209" s="8">
        <f>E208+F209</f>
        <v>29218</v>
      </c>
      <c r="F209" s="8">
        <f>IF($D209="CR01",$C209,0)</f>
        <v>-300</v>
      </c>
      <c r="G209" s="8">
        <f>G208+H209</f>
        <v>0</v>
      </c>
      <c r="H209" s="8">
        <f>IF($D209="VISA",$C209,0)</f>
        <v>0</v>
      </c>
      <c r="I209" s="8">
        <f>I208+J209</f>
        <v>0</v>
      </c>
      <c r="J209" s="8">
        <f>IF($D209="ACC",$C209,0)</f>
        <v>0</v>
      </c>
      <c r="K209" s="8">
        <f>K208+L209</f>
        <v>0</v>
      </c>
      <c r="L209" s="8">
        <f>IF($D209="CBB",$C209,0)</f>
        <v>0</v>
      </c>
    </row>
    <row r="210" spans="1:12" x14ac:dyDescent="0.25">
      <c r="A210" s="6">
        <v>41446</v>
      </c>
      <c r="B210" t="s">
        <v>43</v>
      </c>
      <c r="C210" s="7">
        <v>3226</v>
      </c>
      <c r="D210" t="s">
        <v>6</v>
      </c>
      <c r="E210" s="8">
        <f>E209+F210</f>
        <v>32444</v>
      </c>
      <c r="F210" s="8">
        <f>IF($D210="CR01",$C210,0)</f>
        <v>3226</v>
      </c>
      <c r="G210" s="8">
        <f>G209+H210</f>
        <v>0</v>
      </c>
      <c r="H210" s="8">
        <f>IF($D210="VISA",$C210,0)</f>
        <v>0</v>
      </c>
      <c r="I210" s="8">
        <f>I209+J210</f>
        <v>0</v>
      </c>
      <c r="J210" s="8">
        <f>IF($D210="ACC",$C210,0)</f>
        <v>0</v>
      </c>
      <c r="K210" s="8">
        <f>K209+L210</f>
        <v>0</v>
      </c>
      <c r="L210" s="8">
        <f>IF($D210="CBB",$C210,0)</f>
        <v>0</v>
      </c>
    </row>
    <row r="211" spans="1:12" x14ac:dyDescent="0.25">
      <c r="A211" s="6">
        <v>41450</v>
      </c>
      <c r="B211" t="s">
        <v>48</v>
      </c>
      <c r="C211" s="7">
        <v>-100</v>
      </c>
      <c r="D211" t="s">
        <v>6</v>
      </c>
      <c r="E211" s="8">
        <f>E210+F211</f>
        <v>32344</v>
      </c>
      <c r="F211" s="8">
        <f>IF($D211="CR01",$C211,0)</f>
        <v>-100</v>
      </c>
      <c r="G211" s="8">
        <f>G210+H211</f>
        <v>0</v>
      </c>
      <c r="H211" s="8">
        <f>IF($D211="VISA",$C211,0)</f>
        <v>0</v>
      </c>
      <c r="I211" s="8">
        <f>I210+J211</f>
        <v>0</v>
      </c>
      <c r="J211" s="8">
        <f>IF($D211="ACC",$C211,0)</f>
        <v>0</v>
      </c>
      <c r="K211" s="8">
        <f>K210+L211</f>
        <v>0</v>
      </c>
      <c r="L211" s="8">
        <f>IF($D211="CBB",$C211,0)</f>
        <v>0</v>
      </c>
    </row>
    <row r="212" spans="1:12" x14ac:dyDescent="0.25">
      <c r="A212" s="6">
        <v>41451</v>
      </c>
      <c r="B212" t="s">
        <v>47</v>
      </c>
      <c r="C212" s="7">
        <v>-120</v>
      </c>
      <c r="D212" t="s">
        <v>6</v>
      </c>
      <c r="E212" s="8">
        <f>E211+F212</f>
        <v>32224</v>
      </c>
      <c r="F212" s="8">
        <f>IF($D212="CR01",$C212,0)</f>
        <v>-120</v>
      </c>
      <c r="G212" s="8">
        <f>G211+H212</f>
        <v>0</v>
      </c>
      <c r="H212" s="8">
        <f>IF($D212="VISA",$C212,0)</f>
        <v>0</v>
      </c>
      <c r="I212" s="8">
        <f>I211+J212</f>
        <v>0</v>
      </c>
      <c r="J212" s="8">
        <f>IF($D212="ACC",$C212,0)</f>
        <v>0</v>
      </c>
      <c r="K212" s="8">
        <f>K211+L212</f>
        <v>0</v>
      </c>
      <c r="L212" s="8">
        <f>IF($D212="CBB",$C212,0)</f>
        <v>0</v>
      </c>
    </row>
    <row r="213" spans="1:12" x14ac:dyDescent="0.25">
      <c r="A213" s="6">
        <v>41452</v>
      </c>
      <c r="B213" t="s">
        <v>44</v>
      </c>
      <c r="C213" s="7">
        <v>-400</v>
      </c>
      <c r="D213" t="s">
        <v>6</v>
      </c>
      <c r="E213" s="8">
        <f>E212+F213</f>
        <v>31824</v>
      </c>
      <c r="F213" s="8">
        <f>IF($D213="CR01",$C213,0)</f>
        <v>-400</v>
      </c>
      <c r="G213" s="8">
        <f>G212+H213</f>
        <v>0</v>
      </c>
      <c r="H213" s="8">
        <f>IF($D213="VISA",$C213,0)</f>
        <v>0</v>
      </c>
      <c r="I213" s="8">
        <f>I212+J213</f>
        <v>0</v>
      </c>
      <c r="J213" s="8">
        <f>IF($D213="ACC",$C213,0)</f>
        <v>0</v>
      </c>
      <c r="K213" s="8">
        <f>K212+L213</f>
        <v>0</v>
      </c>
      <c r="L213" s="8">
        <f>IF($D213="CBB",$C213,0)</f>
        <v>0</v>
      </c>
    </row>
    <row r="214" spans="1:12" x14ac:dyDescent="0.25">
      <c r="A214" s="6">
        <v>41452</v>
      </c>
      <c r="B214" t="s">
        <v>45</v>
      </c>
      <c r="C214" s="7">
        <v>-180</v>
      </c>
      <c r="D214" t="s">
        <v>6</v>
      </c>
      <c r="E214" s="8">
        <f>E213+F214</f>
        <v>31644</v>
      </c>
      <c r="F214" s="8">
        <f>IF($D214="CR01",$C214,0)</f>
        <v>-180</v>
      </c>
      <c r="G214" s="8">
        <f>G213+H214</f>
        <v>0</v>
      </c>
      <c r="H214" s="8">
        <f>IF($D214="VISA",$C214,0)</f>
        <v>0</v>
      </c>
      <c r="I214" s="8">
        <f>I213+J214</f>
        <v>0</v>
      </c>
      <c r="J214" s="8">
        <f>IF($D214="ACC",$C214,0)</f>
        <v>0</v>
      </c>
      <c r="K214" s="8">
        <f>K213+L214</f>
        <v>0</v>
      </c>
      <c r="L214" s="8">
        <f>IF($D214="CBB",$C214,0)</f>
        <v>0</v>
      </c>
    </row>
    <row r="215" spans="1:12" x14ac:dyDescent="0.25">
      <c r="A215" s="6">
        <v>41452</v>
      </c>
      <c r="B215" t="s">
        <v>46</v>
      </c>
      <c r="C215" s="7">
        <v>-300</v>
      </c>
      <c r="D215" t="s">
        <v>6</v>
      </c>
      <c r="E215" s="8">
        <f>E214+F215</f>
        <v>31344</v>
      </c>
      <c r="F215" s="8">
        <f>IF($D215="CR01",$C215,0)</f>
        <v>-300</v>
      </c>
      <c r="G215" s="8">
        <f>G214+H215</f>
        <v>0</v>
      </c>
      <c r="H215" s="8">
        <f>IF($D215="VISA",$C215,0)</f>
        <v>0</v>
      </c>
      <c r="I215" s="8">
        <f>I214+J215</f>
        <v>0</v>
      </c>
      <c r="J215" s="8">
        <f>IF($D215="ACC",$C215,0)</f>
        <v>0</v>
      </c>
      <c r="K215" s="8">
        <f>K214+L215</f>
        <v>0</v>
      </c>
      <c r="L215" s="8">
        <f>IF($D215="CBB",$C215,0)</f>
        <v>0</v>
      </c>
    </row>
    <row r="216" spans="1:12" x14ac:dyDescent="0.25">
      <c r="A216" s="6">
        <v>41454</v>
      </c>
      <c r="B216" t="s">
        <v>67</v>
      </c>
      <c r="C216" s="7">
        <v>5200</v>
      </c>
      <c r="D216" t="s">
        <v>6</v>
      </c>
      <c r="E216" s="8">
        <f>E215+F216</f>
        <v>36544</v>
      </c>
      <c r="F216" s="8">
        <f>IF($D216="CR01",$C216,0)</f>
        <v>5200</v>
      </c>
      <c r="G216" s="8">
        <f>G215+H216</f>
        <v>0</v>
      </c>
      <c r="H216" s="8">
        <f>IF($D216="VISA",$C216,0)</f>
        <v>0</v>
      </c>
      <c r="I216" s="8">
        <f>I215+J216</f>
        <v>0</v>
      </c>
      <c r="J216" s="8">
        <f>IF($D216="ACC",$C216,0)</f>
        <v>0</v>
      </c>
      <c r="K216" s="8">
        <f>K215+L216</f>
        <v>0</v>
      </c>
      <c r="L216" s="8">
        <f>IF($D216="CBB",$C216,0)</f>
        <v>0</v>
      </c>
    </row>
    <row r="217" spans="1:12" x14ac:dyDescent="0.25">
      <c r="A217" s="6">
        <v>41456</v>
      </c>
      <c r="B217" t="s">
        <v>58</v>
      </c>
      <c r="C217" s="7">
        <v>-200</v>
      </c>
      <c r="D217" t="s">
        <v>6</v>
      </c>
      <c r="E217" s="8">
        <f>E216+F217</f>
        <v>36344</v>
      </c>
      <c r="F217" s="8">
        <f>IF($D217="CR01",$C217,0)</f>
        <v>-200</v>
      </c>
      <c r="G217" s="8">
        <f>G216+H217</f>
        <v>0</v>
      </c>
      <c r="H217" s="8">
        <f>IF($D217="VISA",$C217,0)</f>
        <v>0</v>
      </c>
      <c r="I217" s="8">
        <f>I216+J217</f>
        <v>0</v>
      </c>
      <c r="J217" s="8">
        <f>IF($D217="ACC",$C217,0)</f>
        <v>0</v>
      </c>
      <c r="K217" s="8">
        <f>K216+L217</f>
        <v>0</v>
      </c>
      <c r="L217" s="8">
        <f>IF($D217="CBB",$C217,0)</f>
        <v>0</v>
      </c>
    </row>
    <row r="218" spans="1:12" x14ac:dyDescent="0.25">
      <c r="A218" s="6">
        <v>41456</v>
      </c>
      <c r="B218" t="s">
        <v>60</v>
      </c>
      <c r="C218" s="7">
        <v>-400</v>
      </c>
      <c r="D218" t="s">
        <v>6</v>
      </c>
      <c r="E218" s="8">
        <f>E217+F218</f>
        <v>35944</v>
      </c>
      <c r="F218" s="8">
        <f>IF($D218="CR01",$C218,0)</f>
        <v>-400</v>
      </c>
      <c r="G218" s="8">
        <f>G217+H218</f>
        <v>0</v>
      </c>
      <c r="H218" s="8">
        <f>IF($D218="VISA",$C218,0)</f>
        <v>0</v>
      </c>
      <c r="I218" s="8">
        <f>I217+J218</f>
        <v>0</v>
      </c>
      <c r="J218" s="8">
        <f>IF($D218="ACC",$C218,0)</f>
        <v>0</v>
      </c>
      <c r="K218" s="8">
        <f>K217+L218</f>
        <v>0</v>
      </c>
      <c r="L218" s="8">
        <f>IF($D218="CBB",$C218,0)</f>
        <v>0</v>
      </c>
    </row>
    <row r="219" spans="1:12" x14ac:dyDescent="0.25">
      <c r="A219" s="6">
        <v>41456</v>
      </c>
      <c r="B219" t="s">
        <v>61</v>
      </c>
      <c r="C219" s="7">
        <v>-300</v>
      </c>
      <c r="D219" t="s">
        <v>6</v>
      </c>
      <c r="E219" s="8">
        <f>E218+F219</f>
        <v>35644</v>
      </c>
      <c r="F219" s="8">
        <f>IF($D219="CR01",$C219,0)</f>
        <v>-300</v>
      </c>
      <c r="G219" s="8">
        <f>G218+H219</f>
        <v>0</v>
      </c>
      <c r="H219" s="8">
        <f>IF($D219="VISA",$C219,0)</f>
        <v>0</v>
      </c>
      <c r="I219" s="8">
        <f>I218+J219</f>
        <v>0</v>
      </c>
      <c r="J219" s="8">
        <f>IF($D219="ACC",$C219,0)</f>
        <v>0</v>
      </c>
      <c r="K219" s="8">
        <f>K218+L219</f>
        <v>0</v>
      </c>
      <c r="L219" s="8">
        <f>IF($D219="CBB",$C219,0)</f>
        <v>0</v>
      </c>
    </row>
    <row r="220" spans="1:12" x14ac:dyDescent="0.25">
      <c r="A220" s="6">
        <v>41456</v>
      </c>
      <c r="B220" t="s">
        <v>64</v>
      </c>
      <c r="C220" s="7">
        <v>-26</v>
      </c>
      <c r="D220" t="s">
        <v>6</v>
      </c>
      <c r="E220" s="8">
        <f>E219+F220</f>
        <v>35618</v>
      </c>
      <c r="F220" s="8">
        <f>IF($D220="CR01",$C220,0)</f>
        <v>-26</v>
      </c>
      <c r="G220" s="8">
        <f>G219+H220</f>
        <v>0</v>
      </c>
      <c r="H220" s="8">
        <f>IF($D220="VISA",$C220,0)</f>
        <v>0</v>
      </c>
      <c r="I220" s="8">
        <f>I219+J220</f>
        <v>0</v>
      </c>
      <c r="J220" s="8">
        <f>IF($D220="ACC",$C220,0)</f>
        <v>0</v>
      </c>
      <c r="K220" s="8">
        <f>K219+L220</f>
        <v>0</v>
      </c>
      <c r="L220" s="8">
        <f>IF($D220="CBB",$C220,0)</f>
        <v>0</v>
      </c>
    </row>
    <row r="221" spans="1:12" x14ac:dyDescent="0.25">
      <c r="A221" s="6">
        <v>41456</v>
      </c>
      <c r="B221" t="s">
        <v>65</v>
      </c>
      <c r="C221" s="7">
        <v>-240</v>
      </c>
      <c r="D221" t="s">
        <v>6</v>
      </c>
      <c r="E221" s="8">
        <f>E220+F221</f>
        <v>35378</v>
      </c>
      <c r="F221" s="8">
        <f>IF($D221="CR01",$C221,0)</f>
        <v>-240</v>
      </c>
      <c r="G221" s="8">
        <f>G220+H221</f>
        <v>0</v>
      </c>
      <c r="H221" s="8">
        <f>IF($D221="VISA",$C221,0)</f>
        <v>0</v>
      </c>
      <c r="I221" s="8">
        <f>I220+J221</f>
        <v>0</v>
      </c>
      <c r="J221" s="8">
        <f>IF($D221="ACC",$C221,0)</f>
        <v>0</v>
      </c>
      <c r="K221" s="8">
        <f>K220+L221</f>
        <v>0</v>
      </c>
      <c r="L221" s="8">
        <f>IF($D221="CBB",$C221,0)</f>
        <v>0</v>
      </c>
    </row>
    <row r="222" spans="1:12" x14ac:dyDescent="0.25">
      <c r="A222" s="6">
        <v>41456</v>
      </c>
      <c r="B222" t="s">
        <v>66</v>
      </c>
      <c r="C222" s="7">
        <v>-120</v>
      </c>
      <c r="D222" t="s">
        <v>6</v>
      </c>
      <c r="E222" s="8">
        <f>E221+F222</f>
        <v>35258</v>
      </c>
      <c r="F222" s="8">
        <f>IF($D222="CR01",$C222,0)</f>
        <v>-120</v>
      </c>
      <c r="G222" s="8">
        <f>G221+H222</f>
        <v>0</v>
      </c>
      <c r="H222" s="8">
        <f>IF($D222="VISA",$C222,0)</f>
        <v>0</v>
      </c>
      <c r="I222" s="8">
        <f>I221+J222</f>
        <v>0</v>
      </c>
      <c r="J222" s="8">
        <f>IF($D222="ACC",$C222,0)</f>
        <v>0</v>
      </c>
      <c r="K222" s="8">
        <f>K221+L222</f>
        <v>0</v>
      </c>
      <c r="L222" s="8">
        <f>IF($D222="CBB",$C222,0)</f>
        <v>0</v>
      </c>
    </row>
    <row r="223" spans="1:12" x14ac:dyDescent="0.25">
      <c r="A223" s="6">
        <v>41457</v>
      </c>
      <c r="B223" t="s">
        <v>42</v>
      </c>
      <c r="C223" s="7">
        <v>-2806</v>
      </c>
      <c r="D223" t="s">
        <v>6</v>
      </c>
      <c r="E223" s="8">
        <f>E222+F223</f>
        <v>32452</v>
      </c>
      <c r="F223" s="8">
        <f>IF($D223="CR01",$C223,0)</f>
        <v>-2806</v>
      </c>
      <c r="G223" s="8">
        <f>G222+H223</f>
        <v>0</v>
      </c>
      <c r="H223" s="8">
        <f>IF($D223="VISA",$C223,0)</f>
        <v>0</v>
      </c>
      <c r="I223" s="8">
        <f>I222+J223</f>
        <v>0</v>
      </c>
      <c r="J223" s="8">
        <f>IF($D223="ACC",$C223,0)</f>
        <v>0</v>
      </c>
      <c r="K223" s="8">
        <f>K222+L223</f>
        <v>0</v>
      </c>
      <c r="L223" s="8">
        <f>IF($D223="CBB",$C223,0)</f>
        <v>0</v>
      </c>
    </row>
    <row r="224" spans="1:12" x14ac:dyDescent="0.25">
      <c r="A224" s="6">
        <v>41457</v>
      </c>
      <c r="B224" t="s">
        <v>48</v>
      </c>
      <c r="C224" s="7">
        <v>-100</v>
      </c>
      <c r="D224" t="s">
        <v>6</v>
      </c>
      <c r="E224" s="8">
        <f>E223+F224</f>
        <v>32352</v>
      </c>
      <c r="F224" s="8">
        <f>IF($D224="CR01",$C224,0)</f>
        <v>-100</v>
      </c>
      <c r="G224" s="8">
        <f>G223+H224</f>
        <v>0</v>
      </c>
      <c r="H224" s="8">
        <f>IF($D224="VISA",$C224,0)</f>
        <v>0</v>
      </c>
      <c r="I224" s="8">
        <f>I223+J224</f>
        <v>0</v>
      </c>
      <c r="J224" s="8">
        <f>IF($D224="ACC",$C224,0)</f>
        <v>0</v>
      </c>
      <c r="K224" s="8">
        <f>K223+L224</f>
        <v>0</v>
      </c>
      <c r="L224" s="8">
        <f>IF($D224="CBB",$C224,0)</f>
        <v>0</v>
      </c>
    </row>
    <row r="225" spans="1:12" x14ac:dyDescent="0.25">
      <c r="A225" s="6">
        <v>41457</v>
      </c>
      <c r="B225" t="s">
        <v>59</v>
      </c>
      <c r="C225" s="7">
        <v>-900</v>
      </c>
      <c r="D225" t="s">
        <v>6</v>
      </c>
      <c r="E225" s="8">
        <f>E224+F225</f>
        <v>31452</v>
      </c>
      <c r="F225" s="8">
        <f>IF($D225="CR01",$C225,0)</f>
        <v>-900</v>
      </c>
      <c r="G225" s="8">
        <f>G224+H225</f>
        <v>0</v>
      </c>
      <c r="H225" s="8">
        <f>IF($D225="VISA",$C225,0)</f>
        <v>0</v>
      </c>
      <c r="I225" s="8">
        <f>I224+J225</f>
        <v>0</v>
      </c>
      <c r="J225" s="8">
        <f>IF($D225="ACC",$C225,0)</f>
        <v>0</v>
      </c>
      <c r="K225" s="8">
        <f>K224+L225</f>
        <v>0</v>
      </c>
      <c r="L225" s="8">
        <f>IF($D225="CBB",$C225,0)</f>
        <v>0</v>
      </c>
    </row>
    <row r="226" spans="1:12" x14ac:dyDescent="0.25">
      <c r="A226" s="6">
        <v>41458</v>
      </c>
      <c r="B226" t="s">
        <v>47</v>
      </c>
      <c r="C226" s="7">
        <v>-120</v>
      </c>
      <c r="D226" t="s">
        <v>6</v>
      </c>
      <c r="E226" s="8">
        <f>E225+F226</f>
        <v>31332</v>
      </c>
      <c r="F226" s="8">
        <f>IF($D226="CR01",$C226,0)</f>
        <v>-120</v>
      </c>
      <c r="G226" s="8">
        <f>G225+H226</f>
        <v>0</v>
      </c>
      <c r="H226" s="8">
        <f>IF($D226="VISA",$C226,0)</f>
        <v>0</v>
      </c>
      <c r="I226" s="8">
        <f>I225+J226</f>
        <v>0</v>
      </c>
      <c r="J226" s="8">
        <f>IF($D226="ACC",$C226,0)</f>
        <v>0</v>
      </c>
      <c r="K226" s="8">
        <f>K225+L226</f>
        <v>0</v>
      </c>
      <c r="L226" s="8">
        <f>IF($D226="CBB",$C226,0)</f>
        <v>0</v>
      </c>
    </row>
    <row r="227" spans="1:12" x14ac:dyDescent="0.25">
      <c r="A227" s="6">
        <v>41459</v>
      </c>
      <c r="B227" t="s">
        <v>44</v>
      </c>
      <c r="C227" s="7">
        <v>-400</v>
      </c>
      <c r="D227" t="s">
        <v>6</v>
      </c>
      <c r="E227" s="8">
        <f>E226+F227</f>
        <v>30932</v>
      </c>
      <c r="F227" s="8">
        <f>IF($D227="CR01",$C227,0)</f>
        <v>-400</v>
      </c>
      <c r="G227" s="8">
        <f>G226+H227</f>
        <v>0</v>
      </c>
      <c r="H227" s="8">
        <f>IF($D227="VISA",$C227,0)</f>
        <v>0</v>
      </c>
      <c r="I227" s="8">
        <f>I226+J227</f>
        <v>0</v>
      </c>
      <c r="J227" s="8">
        <f>IF($D227="ACC",$C227,0)</f>
        <v>0</v>
      </c>
      <c r="K227" s="8">
        <f>K226+L227</f>
        <v>0</v>
      </c>
      <c r="L227" s="8">
        <f>IF($D227="CBB",$C227,0)</f>
        <v>0</v>
      </c>
    </row>
    <row r="228" spans="1:12" x14ac:dyDescent="0.25">
      <c r="A228" s="6">
        <v>41459</v>
      </c>
      <c r="B228" t="s">
        <v>45</v>
      </c>
      <c r="C228" s="7">
        <v>-180</v>
      </c>
      <c r="D228" t="s">
        <v>6</v>
      </c>
      <c r="E228" s="8">
        <f>E227+F228</f>
        <v>30752</v>
      </c>
      <c r="F228" s="8">
        <f>IF($D228="CR01",$C228,0)</f>
        <v>-180</v>
      </c>
      <c r="G228" s="8">
        <f>G227+H228</f>
        <v>0</v>
      </c>
      <c r="H228" s="8">
        <f>IF($D228="VISA",$C228,0)</f>
        <v>0</v>
      </c>
      <c r="I228" s="8">
        <f>I227+J228</f>
        <v>0</v>
      </c>
      <c r="J228" s="8">
        <f>IF($D228="ACC",$C228,0)</f>
        <v>0</v>
      </c>
      <c r="K228" s="8">
        <f>K227+L228</f>
        <v>0</v>
      </c>
      <c r="L228" s="8">
        <f>IF($D228="CBB",$C228,0)</f>
        <v>0</v>
      </c>
    </row>
    <row r="229" spans="1:12" x14ac:dyDescent="0.25">
      <c r="A229" s="6">
        <v>41459</v>
      </c>
      <c r="B229" t="s">
        <v>46</v>
      </c>
      <c r="C229" s="7">
        <v>-300</v>
      </c>
      <c r="D229" t="s">
        <v>6</v>
      </c>
      <c r="E229" s="8">
        <f>E228+F229</f>
        <v>30452</v>
      </c>
      <c r="F229" s="8">
        <f>IF($D229="CR01",$C229,0)</f>
        <v>-300</v>
      </c>
      <c r="G229" s="8">
        <f>G228+H229</f>
        <v>0</v>
      </c>
      <c r="H229" s="8">
        <f>IF($D229="VISA",$C229,0)</f>
        <v>0</v>
      </c>
      <c r="I229" s="8">
        <f>I228+J229</f>
        <v>0</v>
      </c>
      <c r="J229" s="8">
        <f>IF($D229="ACC",$C229,0)</f>
        <v>0</v>
      </c>
      <c r="K229" s="8">
        <f>K228+L229</f>
        <v>0</v>
      </c>
      <c r="L229" s="8">
        <f>IF($D229="CBB",$C229,0)</f>
        <v>0</v>
      </c>
    </row>
    <row r="230" spans="1:12" x14ac:dyDescent="0.25">
      <c r="A230" s="6">
        <v>41460</v>
      </c>
      <c r="B230" t="s">
        <v>43</v>
      </c>
      <c r="C230" s="7">
        <v>3226</v>
      </c>
      <c r="D230" t="s">
        <v>6</v>
      </c>
      <c r="E230" s="8">
        <f>E229+F230</f>
        <v>33678</v>
      </c>
      <c r="F230" s="8">
        <f>IF($D230="CR01",$C230,0)</f>
        <v>3226</v>
      </c>
      <c r="G230" s="8">
        <f>G229+H230</f>
        <v>0</v>
      </c>
      <c r="H230" s="8">
        <f>IF($D230="VISA",$C230,0)</f>
        <v>0</v>
      </c>
      <c r="I230" s="8">
        <f>I229+J230</f>
        <v>0</v>
      </c>
      <c r="J230" s="8">
        <f>IF($D230="ACC",$C230,0)</f>
        <v>0</v>
      </c>
      <c r="K230" s="8">
        <f>K229+L230</f>
        <v>0</v>
      </c>
      <c r="L230" s="8">
        <f>IF($D230="CBB",$C230,0)</f>
        <v>0</v>
      </c>
    </row>
    <row r="231" spans="1:12" x14ac:dyDescent="0.25">
      <c r="A231" s="6">
        <v>41464</v>
      </c>
      <c r="B231" t="s">
        <v>48</v>
      </c>
      <c r="C231" s="7">
        <v>-100</v>
      </c>
      <c r="D231" t="s">
        <v>6</v>
      </c>
      <c r="E231" s="8">
        <f>E230+F231</f>
        <v>33578</v>
      </c>
      <c r="F231" s="8">
        <f>IF($D231="CR01",$C231,0)</f>
        <v>-100</v>
      </c>
      <c r="G231" s="8">
        <f>G230+H231</f>
        <v>0</v>
      </c>
      <c r="H231" s="8">
        <f>IF($D231="VISA",$C231,0)</f>
        <v>0</v>
      </c>
      <c r="I231" s="8">
        <f>I230+J231</f>
        <v>0</v>
      </c>
      <c r="J231" s="8">
        <f>IF($D231="ACC",$C231,0)</f>
        <v>0</v>
      </c>
      <c r="K231" s="8">
        <f>K230+L231</f>
        <v>0</v>
      </c>
      <c r="L231" s="8">
        <f>IF($D231="CBB",$C231,0)</f>
        <v>0</v>
      </c>
    </row>
    <row r="232" spans="1:12" x14ac:dyDescent="0.25">
      <c r="A232" s="6">
        <v>41465</v>
      </c>
      <c r="B232" t="s">
        <v>47</v>
      </c>
      <c r="C232" s="7">
        <v>-120</v>
      </c>
      <c r="D232" t="s">
        <v>6</v>
      </c>
      <c r="E232" s="8">
        <f>E231+F232</f>
        <v>33458</v>
      </c>
      <c r="F232" s="8">
        <f>IF($D232="CR01",$C232,0)</f>
        <v>-120</v>
      </c>
      <c r="G232" s="8">
        <f>G231+H232</f>
        <v>0</v>
      </c>
      <c r="H232" s="8">
        <f>IF($D232="VISA",$C232,0)</f>
        <v>0</v>
      </c>
      <c r="I232" s="8">
        <f>I231+J232</f>
        <v>0</v>
      </c>
      <c r="J232" s="8">
        <f>IF($D232="ACC",$C232,0)</f>
        <v>0</v>
      </c>
      <c r="K232" s="8">
        <f>K231+L232</f>
        <v>0</v>
      </c>
      <c r="L232" s="8">
        <f>IF($D232="CBB",$C232,0)</f>
        <v>0</v>
      </c>
    </row>
    <row r="233" spans="1:12" x14ac:dyDescent="0.25">
      <c r="A233" s="6">
        <v>41466</v>
      </c>
      <c r="B233" t="s">
        <v>44</v>
      </c>
      <c r="C233" s="7">
        <v>-400</v>
      </c>
      <c r="D233" t="s">
        <v>6</v>
      </c>
      <c r="E233" s="8">
        <f>E232+F233</f>
        <v>33058</v>
      </c>
      <c r="F233" s="8">
        <f>IF($D233="CR01",$C233,0)</f>
        <v>-400</v>
      </c>
      <c r="G233" s="8">
        <f>G232+H233</f>
        <v>0</v>
      </c>
      <c r="H233" s="8">
        <f>IF($D233="VISA",$C233,0)</f>
        <v>0</v>
      </c>
      <c r="I233" s="8">
        <f>I232+J233</f>
        <v>0</v>
      </c>
      <c r="J233" s="8">
        <f>IF($D233="ACC",$C233,0)</f>
        <v>0</v>
      </c>
      <c r="K233" s="8">
        <f>K232+L233</f>
        <v>0</v>
      </c>
      <c r="L233" s="8">
        <f>IF($D233="CBB",$C233,0)</f>
        <v>0</v>
      </c>
    </row>
    <row r="234" spans="1:12" x14ac:dyDescent="0.25">
      <c r="A234" s="6">
        <v>41466</v>
      </c>
      <c r="B234" t="s">
        <v>45</v>
      </c>
      <c r="C234" s="7">
        <v>-180</v>
      </c>
      <c r="D234" t="s">
        <v>6</v>
      </c>
      <c r="E234" s="8">
        <f>E233+F234</f>
        <v>32878</v>
      </c>
      <c r="F234" s="8">
        <f>IF($D234="CR01",$C234,0)</f>
        <v>-180</v>
      </c>
      <c r="G234" s="8">
        <f>G233+H234</f>
        <v>0</v>
      </c>
      <c r="H234" s="8">
        <f>IF($D234="VISA",$C234,0)</f>
        <v>0</v>
      </c>
      <c r="I234" s="8">
        <f>I233+J234</f>
        <v>0</v>
      </c>
      <c r="J234" s="8">
        <f>IF($D234="ACC",$C234,0)</f>
        <v>0</v>
      </c>
      <c r="K234" s="8">
        <f>K233+L234</f>
        <v>0</v>
      </c>
      <c r="L234" s="8">
        <f>IF($D234="CBB",$C234,0)</f>
        <v>0</v>
      </c>
    </row>
    <row r="235" spans="1:12" x14ac:dyDescent="0.25">
      <c r="A235" s="6">
        <v>41466</v>
      </c>
      <c r="B235" t="s">
        <v>46</v>
      </c>
      <c r="C235" s="7">
        <v>-300</v>
      </c>
      <c r="D235" t="s">
        <v>6</v>
      </c>
      <c r="E235" s="8">
        <f>E234+F235</f>
        <v>32578</v>
      </c>
      <c r="F235" s="8">
        <f>IF($D235="CR01",$C235,0)</f>
        <v>-300</v>
      </c>
      <c r="G235" s="8">
        <f>G234+H235</f>
        <v>0</v>
      </c>
      <c r="H235" s="8">
        <f>IF($D235="VISA",$C235,0)</f>
        <v>0</v>
      </c>
      <c r="I235" s="8">
        <f>I234+J235</f>
        <v>0</v>
      </c>
      <c r="J235" s="8">
        <f>IF($D235="ACC",$C235,0)</f>
        <v>0</v>
      </c>
      <c r="K235" s="8">
        <f>K234+L235</f>
        <v>0</v>
      </c>
      <c r="L235" s="8">
        <f>IF($D235="CBB",$C235,0)</f>
        <v>0</v>
      </c>
    </row>
    <row r="236" spans="1:12" x14ac:dyDescent="0.25">
      <c r="A236" s="6">
        <v>41468</v>
      </c>
      <c r="B236" t="s">
        <v>67</v>
      </c>
      <c r="C236" s="7">
        <v>5200</v>
      </c>
      <c r="D236" t="s">
        <v>6</v>
      </c>
      <c r="E236" s="8">
        <f>E235+F236</f>
        <v>37778</v>
      </c>
      <c r="F236" s="8">
        <f>IF($D236="CR01",$C236,0)</f>
        <v>5200</v>
      </c>
      <c r="G236" s="8">
        <f>G235+H236</f>
        <v>0</v>
      </c>
      <c r="H236" s="8">
        <f>IF($D236="VISA",$C236,0)</f>
        <v>0</v>
      </c>
      <c r="I236" s="8">
        <f>I235+J236</f>
        <v>0</v>
      </c>
      <c r="J236" s="8">
        <f>IF($D236="ACC",$C236,0)</f>
        <v>0</v>
      </c>
      <c r="K236" s="8">
        <f>K235+L236</f>
        <v>0</v>
      </c>
      <c r="L236" s="8">
        <f>IF($D236="CBB",$C236,0)</f>
        <v>0</v>
      </c>
    </row>
    <row r="237" spans="1:12" x14ac:dyDescent="0.25">
      <c r="A237" s="6">
        <v>41471</v>
      </c>
      <c r="B237" t="s">
        <v>42</v>
      </c>
      <c r="C237" s="7">
        <v>-2806</v>
      </c>
      <c r="D237" t="s">
        <v>6</v>
      </c>
      <c r="E237" s="8">
        <f>E236+F237</f>
        <v>34972</v>
      </c>
      <c r="F237" s="8">
        <f>IF($D237="CR01",$C237,0)</f>
        <v>-2806</v>
      </c>
      <c r="G237" s="8">
        <f>G236+H237</f>
        <v>0</v>
      </c>
      <c r="H237" s="8">
        <f>IF($D237="VISA",$C237,0)</f>
        <v>0</v>
      </c>
      <c r="I237" s="8">
        <f>I236+J237</f>
        <v>0</v>
      </c>
      <c r="J237" s="8">
        <f>IF($D237="ACC",$C237,0)</f>
        <v>0</v>
      </c>
      <c r="K237" s="8">
        <f>K236+L237</f>
        <v>0</v>
      </c>
      <c r="L237" s="8">
        <f>IF($D237="CBB",$C237,0)</f>
        <v>0</v>
      </c>
    </row>
    <row r="238" spans="1:12" x14ac:dyDescent="0.25">
      <c r="A238" s="6">
        <v>41471</v>
      </c>
      <c r="B238" t="s">
        <v>48</v>
      </c>
      <c r="C238" s="7">
        <v>-100</v>
      </c>
      <c r="D238" t="s">
        <v>6</v>
      </c>
      <c r="E238" s="8">
        <f>E237+F238</f>
        <v>34872</v>
      </c>
      <c r="F238" s="8">
        <f>IF($D238="CR01",$C238,0)</f>
        <v>-100</v>
      </c>
      <c r="G238" s="8">
        <f>G237+H238</f>
        <v>0</v>
      </c>
      <c r="H238" s="8">
        <f>IF($D238="VISA",$C238,0)</f>
        <v>0</v>
      </c>
      <c r="I238" s="8">
        <f>I237+J238</f>
        <v>0</v>
      </c>
      <c r="J238" s="8">
        <f>IF($D238="ACC",$C238,0)</f>
        <v>0</v>
      </c>
      <c r="K238" s="8">
        <f>K237+L238</f>
        <v>0</v>
      </c>
      <c r="L238" s="8">
        <f>IF($D238="CBB",$C238,0)</f>
        <v>0</v>
      </c>
    </row>
    <row r="239" spans="1:12" x14ac:dyDescent="0.25">
      <c r="A239" s="6">
        <v>41472</v>
      </c>
      <c r="B239" t="s">
        <v>47</v>
      </c>
      <c r="C239" s="7">
        <v>-120</v>
      </c>
      <c r="D239" t="s">
        <v>6</v>
      </c>
      <c r="E239" s="8">
        <f>E238+F239</f>
        <v>34752</v>
      </c>
      <c r="F239" s="8">
        <f>IF($D239="CR01",$C239,0)</f>
        <v>-120</v>
      </c>
      <c r="G239" s="8">
        <f>G238+H239</f>
        <v>0</v>
      </c>
      <c r="H239" s="8">
        <f>IF($D239="VISA",$C239,0)</f>
        <v>0</v>
      </c>
      <c r="I239" s="8">
        <f>I238+J239</f>
        <v>0</v>
      </c>
      <c r="J239" s="8">
        <f>IF($D239="ACC",$C239,0)</f>
        <v>0</v>
      </c>
      <c r="K239" s="8">
        <f>K238+L239</f>
        <v>0</v>
      </c>
      <c r="L239" s="8">
        <f>IF($D239="CBB",$C239,0)</f>
        <v>0</v>
      </c>
    </row>
    <row r="240" spans="1:12" x14ac:dyDescent="0.25">
      <c r="A240" s="6">
        <v>41473</v>
      </c>
      <c r="B240" t="s">
        <v>44</v>
      </c>
      <c r="C240" s="7">
        <v>-400</v>
      </c>
      <c r="D240" t="s">
        <v>6</v>
      </c>
      <c r="E240" s="8">
        <f>E239+F240</f>
        <v>34352</v>
      </c>
      <c r="F240" s="8">
        <f>IF($D240="CR01",$C240,0)</f>
        <v>-400</v>
      </c>
      <c r="G240" s="8">
        <f>G239+H240</f>
        <v>0</v>
      </c>
      <c r="H240" s="8">
        <f>IF($D240="VISA",$C240,0)</f>
        <v>0</v>
      </c>
      <c r="I240" s="8">
        <f>I239+J240</f>
        <v>0</v>
      </c>
      <c r="J240" s="8">
        <f>IF($D240="ACC",$C240,0)</f>
        <v>0</v>
      </c>
      <c r="K240" s="8">
        <f>K239+L240</f>
        <v>0</v>
      </c>
      <c r="L240" s="8">
        <f>IF($D240="CBB",$C240,0)</f>
        <v>0</v>
      </c>
    </row>
    <row r="241" spans="1:12" x14ac:dyDescent="0.25">
      <c r="A241" s="6">
        <v>41473</v>
      </c>
      <c r="B241" t="s">
        <v>45</v>
      </c>
      <c r="C241" s="7">
        <v>-180</v>
      </c>
      <c r="D241" t="s">
        <v>6</v>
      </c>
      <c r="E241" s="8">
        <f>E240+F241</f>
        <v>34172</v>
      </c>
      <c r="F241" s="8">
        <f>IF($D241="CR01",$C241,0)</f>
        <v>-180</v>
      </c>
      <c r="G241" s="8">
        <f>G240+H241</f>
        <v>0</v>
      </c>
      <c r="H241" s="8">
        <f>IF($D241="VISA",$C241,0)</f>
        <v>0</v>
      </c>
      <c r="I241" s="8">
        <f>I240+J241</f>
        <v>0</v>
      </c>
      <c r="J241" s="8">
        <f>IF($D241="ACC",$C241,0)</f>
        <v>0</v>
      </c>
      <c r="K241" s="8">
        <f>K240+L241</f>
        <v>0</v>
      </c>
      <c r="L241" s="8">
        <f>IF($D241="CBB",$C241,0)</f>
        <v>0</v>
      </c>
    </row>
    <row r="242" spans="1:12" x14ac:dyDescent="0.25">
      <c r="A242" s="6">
        <v>41473</v>
      </c>
      <c r="B242" t="s">
        <v>46</v>
      </c>
      <c r="C242" s="7">
        <v>-300</v>
      </c>
      <c r="D242" t="s">
        <v>6</v>
      </c>
      <c r="E242" s="8">
        <f>E241+F242</f>
        <v>33872</v>
      </c>
      <c r="F242" s="8">
        <f>IF($D242="CR01",$C242,0)</f>
        <v>-300</v>
      </c>
      <c r="G242" s="8">
        <f>G241+H242</f>
        <v>0</v>
      </c>
      <c r="H242" s="8">
        <f>IF($D242="VISA",$C242,0)</f>
        <v>0</v>
      </c>
      <c r="I242" s="8">
        <f>I241+J242</f>
        <v>0</v>
      </c>
      <c r="J242" s="8">
        <f>IF($D242="ACC",$C242,0)</f>
        <v>0</v>
      </c>
      <c r="K242" s="8">
        <f>K241+L242</f>
        <v>0</v>
      </c>
      <c r="L242" s="8">
        <f>IF($D242="CBB",$C242,0)</f>
        <v>0</v>
      </c>
    </row>
    <row r="243" spans="1:12" x14ac:dyDescent="0.25">
      <c r="A243" s="6">
        <v>41474</v>
      </c>
      <c r="B243" t="s">
        <v>43</v>
      </c>
      <c r="C243" s="7">
        <v>3226</v>
      </c>
      <c r="D243" t="s">
        <v>6</v>
      </c>
      <c r="E243" s="8">
        <f>E242+F243</f>
        <v>37098</v>
      </c>
      <c r="F243" s="8">
        <f>IF($D243="CR01",$C243,0)</f>
        <v>3226</v>
      </c>
      <c r="G243" s="8">
        <f>G242+H243</f>
        <v>0</v>
      </c>
      <c r="H243" s="8">
        <f>IF($D243="VISA",$C243,0)</f>
        <v>0</v>
      </c>
      <c r="I243" s="8">
        <f>I242+J243</f>
        <v>0</v>
      </c>
      <c r="J243" s="8">
        <f>IF($D243="ACC",$C243,0)</f>
        <v>0</v>
      </c>
      <c r="K243" s="8">
        <f>K242+L243</f>
        <v>0</v>
      </c>
      <c r="L243" s="8">
        <f>IF($D243="CBB",$C243,0)</f>
        <v>0</v>
      </c>
    </row>
    <row r="244" spans="1:12" x14ac:dyDescent="0.25">
      <c r="A244" s="6">
        <v>41478</v>
      </c>
      <c r="B244" t="s">
        <v>48</v>
      </c>
      <c r="C244" s="7">
        <v>-100</v>
      </c>
      <c r="D244" t="s">
        <v>6</v>
      </c>
      <c r="E244" s="8">
        <f>E243+F244</f>
        <v>36998</v>
      </c>
      <c r="F244" s="8">
        <f>IF($D244="CR01",$C244,0)</f>
        <v>-100</v>
      </c>
      <c r="G244" s="8">
        <f>G243+H244</f>
        <v>0</v>
      </c>
      <c r="H244" s="8">
        <f>IF($D244="VISA",$C244,0)</f>
        <v>0</v>
      </c>
      <c r="I244" s="8">
        <f>I243+J244</f>
        <v>0</v>
      </c>
      <c r="J244" s="8">
        <f>IF($D244="ACC",$C244,0)</f>
        <v>0</v>
      </c>
      <c r="K244" s="8">
        <f>K243+L244</f>
        <v>0</v>
      </c>
      <c r="L244" s="8">
        <f>IF($D244="CBB",$C244,0)</f>
        <v>0</v>
      </c>
    </row>
    <row r="245" spans="1:12" x14ac:dyDescent="0.25">
      <c r="A245" s="6">
        <v>41479</v>
      </c>
      <c r="B245" t="s">
        <v>47</v>
      </c>
      <c r="C245" s="7">
        <v>-120</v>
      </c>
      <c r="D245" t="s">
        <v>6</v>
      </c>
      <c r="E245" s="8">
        <f>E244+F245</f>
        <v>36878</v>
      </c>
      <c r="F245" s="8">
        <f>IF($D245="CR01",$C245,0)</f>
        <v>-120</v>
      </c>
      <c r="G245" s="8">
        <f>G244+H245</f>
        <v>0</v>
      </c>
      <c r="H245" s="8">
        <f>IF($D245="VISA",$C245,0)</f>
        <v>0</v>
      </c>
      <c r="I245" s="8">
        <f>I244+J245</f>
        <v>0</v>
      </c>
      <c r="J245" s="8">
        <f>IF($D245="ACC",$C245,0)</f>
        <v>0</v>
      </c>
      <c r="K245" s="8">
        <f>K244+L245</f>
        <v>0</v>
      </c>
      <c r="L245" s="8">
        <f>IF($D245="CBB",$C245,0)</f>
        <v>0</v>
      </c>
    </row>
    <row r="246" spans="1:12" x14ac:dyDescent="0.25">
      <c r="A246" s="6">
        <v>41480</v>
      </c>
      <c r="B246" t="s">
        <v>44</v>
      </c>
      <c r="C246" s="7">
        <v>-400</v>
      </c>
      <c r="D246" t="s">
        <v>6</v>
      </c>
      <c r="E246" s="8">
        <f>E245+F246</f>
        <v>36478</v>
      </c>
      <c r="F246" s="8">
        <f>IF($D246="CR01",$C246,0)</f>
        <v>-400</v>
      </c>
      <c r="G246" s="8">
        <f>G245+H246</f>
        <v>0</v>
      </c>
      <c r="H246" s="8">
        <f>IF($D246="VISA",$C246,0)</f>
        <v>0</v>
      </c>
      <c r="I246" s="8">
        <f>I245+J246</f>
        <v>0</v>
      </c>
      <c r="J246" s="8">
        <f>IF($D246="ACC",$C246,0)</f>
        <v>0</v>
      </c>
      <c r="K246" s="8">
        <f>K245+L246</f>
        <v>0</v>
      </c>
      <c r="L246" s="8">
        <f>IF($D246="CBB",$C246,0)</f>
        <v>0</v>
      </c>
    </row>
    <row r="247" spans="1:12" x14ac:dyDescent="0.25">
      <c r="A247" s="6">
        <v>41480</v>
      </c>
      <c r="B247" t="s">
        <v>45</v>
      </c>
      <c r="C247" s="7">
        <v>-180</v>
      </c>
      <c r="D247" t="s">
        <v>6</v>
      </c>
      <c r="E247" s="8">
        <f>E246+F247</f>
        <v>36298</v>
      </c>
      <c r="F247" s="8">
        <f>IF($D247="CR01",$C247,0)</f>
        <v>-180</v>
      </c>
      <c r="G247" s="8">
        <f>G246+H247</f>
        <v>0</v>
      </c>
      <c r="H247" s="8">
        <f>IF($D247="VISA",$C247,0)</f>
        <v>0</v>
      </c>
      <c r="I247" s="8">
        <f>I246+J247</f>
        <v>0</v>
      </c>
      <c r="J247" s="8">
        <f>IF($D247="ACC",$C247,0)</f>
        <v>0</v>
      </c>
      <c r="K247" s="8">
        <f>K246+L247</f>
        <v>0</v>
      </c>
      <c r="L247" s="8">
        <f>IF($D247="CBB",$C247,0)</f>
        <v>0</v>
      </c>
    </row>
    <row r="248" spans="1:12" x14ac:dyDescent="0.25">
      <c r="A248" s="6">
        <v>41480</v>
      </c>
      <c r="B248" t="s">
        <v>46</v>
      </c>
      <c r="C248" s="7">
        <v>-300</v>
      </c>
      <c r="D248" t="s">
        <v>6</v>
      </c>
      <c r="E248" s="8">
        <f>E247+F248</f>
        <v>35998</v>
      </c>
      <c r="F248" s="8">
        <f>IF($D248="CR01",$C248,0)</f>
        <v>-300</v>
      </c>
      <c r="G248" s="8">
        <f>G247+H248</f>
        <v>0</v>
      </c>
      <c r="H248" s="8">
        <f>IF($D248="VISA",$C248,0)</f>
        <v>0</v>
      </c>
      <c r="I248" s="8">
        <f>I247+J248</f>
        <v>0</v>
      </c>
      <c r="J248" s="8">
        <f>IF($D248="ACC",$C248,0)</f>
        <v>0</v>
      </c>
      <c r="K248" s="8">
        <f>K247+L248</f>
        <v>0</v>
      </c>
      <c r="L248" s="8">
        <f>IF($D248="CBB",$C248,0)</f>
        <v>0</v>
      </c>
    </row>
    <row r="249" spans="1:12" x14ac:dyDescent="0.25">
      <c r="A249" s="6">
        <v>41482</v>
      </c>
      <c r="B249" t="s">
        <v>67</v>
      </c>
      <c r="C249" s="7">
        <v>5200</v>
      </c>
      <c r="D249" t="s">
        <v>6</v>
      </c>
      <c r="E249" s="8">
        <f>E248+F249</f>
        <v>41198</v>
      </c>
      <c r="F249" s="8">
        <f>IF($D249="CR01",$C249,0)</f>
        <v>5200</v>
      </c>
      <c r="G249" s="8">
        <f>G248+H249</f>
        <v>0</v>
      </c>
      <c r="H249" s="8">
        <f>IF($D249="VISA",$C249,0)</f>
        <v>0</v>
      </c>
      <c r="I249" s="8">
        <f>I248+J249</f>
        <v>0</v>
      </c>
      <c r="J249" s="8">
        <f>IF($D249="ACC",$C249,0)</f>
        <v>0</v>
      </c>
      <c r="K249" s="8">
        <f>K248+L249</f>
        <v>0</v>
      </c>
      <c r="L249" s="8">
        <f>IF($D249="CBB",$C249,0)</f>
        <v>0</v>
      </c>
    </row>
    <row r="250" spans="1:12" x14ac:dyDescent="0.25">
      <c r="A250" s="6">
        <v>41485</v>
      </c>
      <c r="B250" t="s">
        <v>42</v>
      </c>
      <c r="C250" s="7">
        <v>-2806</v>
      </c>
      <c r="D250" t="s">
        <v>6</v>
      </c>
      <c r="E250" s="8">
        <f>E249+F250</f>
        <v>38392</v>
      </c>
      <c r="F250" s="8">
        <f>IF($D250="CR01",$C250,0)</f>
        <v>-2806</v>
      </c>
      <c r="G250" s="8">
        <f>G249+H250</f>
        <v>0</v>
      </c>
      <c r="H250" s="8">
        <f>IF($D250="VISA",$C250,0)</f>
        <v>0</v>
      </c>
      <c r="I250" s="8">
        <f>I249+J250</f>
        <v>0</v>
      </c>
      <c r="J250" s="8">
        <f>IF($D250="ACC",$C250,0)</f>
        <v>0</v>
      </c>
      <c r="K250" s="8">
        <f>K249+L250</f>
        <v>0</v>
      </c>
      <c r="L250" s="8">
        <f>IF($D250="CBB",$C250,0)</f>
        <v>0</v>
      </c>
    </row>
    <row r="251" spans="1:12" x14ac:dyDescent="0.25">
      <c r="A251" s="6">
        <v>41485</v>
      </c>
      <c r="B251" t="s">
        <v>48</v>
      </c>
      <c r="C251" s="7">
        <v>-100</v>
      </c>
      <c r="D251" t="s">
        <v>6</v>
      </c>
      <c r="E251" s="8">
        <f>E250+F251</f>
        <v>38292</v>
      </c>
      <c r="F251" s="8">
        <f>IF($D251="CR01",$C251,0)</f>
        <v>-100</v>
      </c>
      <c r="G251" s="8">
        <f>G250+H251</f>
        <v>0</v>
      </c>
      <c r="H251" s="8">
        <f>IF($D251="VISA",$C251,0)</f>
        <v>0</v>
      </c>
      <c r="I251" s="8">
        <f>I250+J251</f>
        <v>0</v>
      </c>
      <c r="J251" s="8">
        <f>IF($D251="ACC",$C251,0)</f>
        <v>0</v>
      </c>
      <c r="K251" s="8">
        <f>K250+L251</f>
        <v>0</v>
      </c>
      <c r="L251" s="8">
        <f>IF($D251="CBB",$C251,0)</f>
        <v>0</v>
      </c>
    </row>
    <row r="252" spans="1:12" x14ac:dyDescent="0.25">
      <c r="A252" s="6">
        <v>41486</v>
      </c>
      <c r="B252" t="s">
        <v>47</v>
      </c>
      <c r="C252" s="7">
        <v>-120</v>
      </c>
      <c r="D252" t="s">
        <v>6</v>
      </c>
      <c r="E252" s="8">
        <f>E251+F252</f>
        <v>38172</v>
      </c>
      <c r="F252" s="8">
        <f>IF($D252="CR01",$C252,0)</f>
        <v>-120</v>
      </c>
      <c r="G252" s="8">
        <f>G251+H252</f>
        <v>0</v>
      </c>
      <c r="H252" s="8">
        <f>IF($D252="VISA",$C252,0)</f>
        <v>0</v>
      </c>
      <c r="I252" s="8">
        <f>I251+J252</f>
        <v>0</v>
      </c>
      <c r="J252" s="8">
        <f>IF($D252="ACC",$C252,0)</f>
        <v>0</v>
      </c>
      <c r="K252" s="8">
        <f>K251+L252</f>
        <v>0</v>
      </c>
      <c r="L252" s="8">
        <f>IF($D252="CBB",$C252,0)</f>
        <v>0</v>
      </c>
    </row>
    <row r="253" spans="1:12" x14ac:dyDescent="0.25">
      <c r="A253" s="6">
        <v>41487</v>
      </c>
      <c r="B253" t="s">
        <v>44</v>
      </c>
      <c r="C253" s="7">
        <v>-400</v>
      </c>
      <c r="D253" t="s">
        <v>6</v>
      </c>
      <c r="E253" s="8">
        <f>E252+F253</f>
        <v>37772</v>
      </c>
      <c r="F253" s="8">
        <f>IF($D253="CR01",$C253,0)</f>
        <v>-400</v>
      </c>
      <c r="G253" s="8">
        <f>G252+H253</f>
        <v>0</v>
      </c>
      <c r="H253" s="8">
        <f>IF($D253="VISA",$C253,0)</f>
        <v>0</v>
      </c>
      <c r="I253" s="8">
        <f>I252+J253</f>
        <v>0</v>
      </c>
      <c r="J253" s="8">
        <f>IF($D253="ACC",$C253,0)</f>
        <v>0</v>
      </c>
      <c r="K253" s="8">
        <f>K252+L253</f>
        <v>0</v>
      </c>
      <c r="L253" s="8">
        <f>IF($D253="CBB",$C253,0)</f>
        <v>0</v>
      </c>
    </row>
    <row r="254" spans="1:12" x14ac:dyDescent="0.25">
      <c r="A254" s="6">
        <v>41487</v>
      </c>
      <c r="B254" t="s">
        <v>45</v>
      </c>
      <c r="C254" s="7">
        <v>-180</v>
      </c>
      <c r="D254" t="s">
        <v>6</v>
      </c>
      <c r="E254" s="8">
        <f>E253+F254</f>
        <v>37592</v>
      </c>
      <c r="F254" s="8">
        <f>IF($D254="CR01",$C254,0)</f>
        <v>-180</v>
      </c>
      <c r="G254" s="8">
        <f>G253+H254</f>
        <v>0</v>
      </c>
      <c r="H254" s="8">
        <f>IF($D254="VISA",$C254,0)</f>
        <v>0</v>
      </c>
      <c r="I254" s="8">
        <f>I253+J254</f>
        <v>0</v>
      </c>
      <c r="J254" s="8">
        <f>IF($D254="ACC",$C254,0)</f>
        <v>0</v>
      </c>
      <c r="K254" s="8">
        <f>K253+L254</f>
        <v>0</v>
      </c>
      <c r="L254" s="8">
        <f>IF($D254="CBB",$C254,0)</f>
        <v>0</v>
      </c>
    </row>
    <row r="255" spans="1:12" x14ac:dyDescent="0.25">
      <c r="A255" s="6">
        <v>41487</v>
      </c>
      <c r="B255" t="s">
        <v>46</v>
      </c>
      <c r="C255" s="7">
        <v>-300</v>
      </c>
      <c r="D255" t="s">
        <v>6</v>
      </c>
      <c r="E255" s="8">
        <f>E254+F255</f>
        <v>37292</v>
      </c>
      <c r="F255" s="8">
        <f>IF($D255="CR01",$C255,0)</f>
        <v>-300</v>
      </c>
      <c r="G255" s="8">
        <f>G254+H255</f>
        <v>0</v>
      </c>
      <c r="H255" s="8">
        <f>IF($D255="VISA",$C255,0)</f>
        <v>0</v>
      </c>
      <c r="I255" s="8">
        <f>I254+J255</f>
        <v>0</v>
      </c>
      <c r="J255" s="8">
        <f>IF($D255="ACC",$C255,0)</f>
        <v>0</v>
      </c>
      <c r="K255" s="8">
        <f>K254+L255</f>
        <v>0</v>
      </c>
      <c r="L255" s="8">
        <f>IF($D255="CBB",$C255,0)</f>
        <v>0</v>
      </c>
    </row>
    <row r="256" spans="1:12" x14ac:dyDescent="0.25">
      <c r="A256" s="6">
        <v>41487</v>
      </c>
      <c r="B256" t="s">
        <v>58</v>
      </c>
      <c r="C256" s="7">
        <v>-200</v>
      </c>
      <c r="D256" t="s">
        <v>6</v>
      </c>
      <c r="E256" s="8">
        <f>E255+F256</f>
        <v>37092</v>
      </c>
      <c r="F256" s="8">
        <f>IF($D256="CR01",$C256,0)</f>
        <v>-200</v>
      </c>
      <c r="G256" s="8">
        <f>G255+H256</f>
        <v>0</v>
      </c>
      <c r="H256" s="8">
        <f>IF($D256="VISA",$C256,0)</f>
        <v>0</v>
      </c>
      <c r="I256" s="8">
        <f>I255+J256</f>
        <v>0</v>
      </c>
      <c r="J256" s="8">
        <f>IF($D256="ACC",$C256,0)</f>
        <v>0</v>
      </c>
      <c r="K256" s="8">
        <f>K255+L256</f>
        <v>0</v>
      </c>
      <c r="L256" s="8">
        <f>IF($D256="CBB",$C256,0)</f>
        <v>0</v>
      </c>
    </row>
    <row r="257" spans="1:12" x14ac:dyDescent="0.25">
      <c r="A257" s="6">
        <v>41487</v>
      </c>
      <c r="B257" t="s">
        <v>60</v>
      </c>
      <c r="C257" s="7">
        <v>-400</v>
      </c>
      <c r="D257" t="s">
        <v>6</v>
      </c>
      <c r="E257" s="8">
        <f>E256+F257</f>
        <v>36692</v>
      </c>
      <c r="F257" s="8">
        <f>IF($D257="CR01",$C257,0)</f>
        <v>-400</v>
      </c>
      <c r="G257" s="8">
        <f>G256+H257</f>
        <v>0</v>
      </c>
      <c r="H257" s="8">
        <f>IF($D257="VISA",$C257,0)</f>
        <v>0</v>
      </c>
      <c r="I257" s="8">
        <f>I256+J257</f>
        <v>0</v>
      </c>
      <c r="J257" s="8">
        <f>IF($D257="ACC",$C257,0)</f>
        <v>0</v>
      </c>
      <c r="K257" s="8">
        <f>K256+L257</f>
        <v>0</v>
      </c>
      <c r="L257" s="8">
        <f>IF($D257="CBB",$C257,0)</f>
        <v>0</v>
      </c>
    </row>
    <row r="258" spans="1:12" x14ac:dyDescent="0.25">
      <c r="A258" s="6">
        <v>41487</v>
      </c>
      <c r="B258" t="s">
        <v>62</v>
      </c>
      <c r="C258" s="7">
        <v>-300</v>
      </c>
      <c r="D258" t="s">
        <v>6</v>
      </c>
      <c r="E258" s="8">
        <f>E257+F258</f>
        <v>36392</v>
      </c>
      <c r="F258" s="8">
        <f>IF($D258="CR01",$C258,0)</f>
        <v>-300</v>
      </c>
      <c r="G258" s="8">
        <f>G257+H258</f>
        <v>0</v>
      </c>
      <c r="H258" s="8">
        <f>IF($D258="VISA",$C258,0)</f>
        <v>0</v>
      </c>
      <c r="I258" s="8">
        <f>I257+J258</f>
        <v>0</v>
      </c>
      <c r="J258" s="8">
        <f>IF($D258="ACC",$C258,0)</f>
        <v>0</v>
      </c>
      <c r="K258" s="8">
        <f>K257+L258</f>
        <v>0</v>
      </c>
      <c r="L258" s="8">
        <f>IF($D258="CBB",$C258,0)</f>
        <v>0</v>
      </c>
    </row>
    <row r="259" spans="1:12" x14ac:dyDescent="0.25">
      <c r="A259" s="6">
        <v>41487</v>
      </c>
      <c r="B259" t="s">
        <v>63</v>
      </c>
      <c r="C259" s="7">
        <v>-300</v>
      </c>
      <c r="D259" t="s">
        <v>6</v>
      </c>
      <c r="E259" s="8">
        <f>E258+F259</f>
        <v>36092</v>
      </c>
      <c r="F259" s="8">
        <f>IF($D259="CR01",$C259,0)</f>
        <v>-300</v>
      </c>
      <c r="G259" s="8">
        <f>G258+H259</f>
        <v>0</v>
      </c>
      <c r="H259" s="8">
        <f>IF($D259="VISA",$C259,0)</f>
        <v>0</v>
      </c>
      <c r="I259" s="8">
        <f>I258+J259</f>
        <v>0</v>
      </c>
      <c r="J259" s="8">
        <f>IF($D259="ACC",$C259,0)</f>
        <v>0</v>
      </c>
      <c r="K259" s="8">
        <f>K258+L259</f>
        <v>0</v>
      </c>
      <c r="L259" s="8">
        <f>IF($D259="CBB",$C259,0)</f>
        <v>0</v>
      </c>
    </row>
    <row r="260" spans="1:12" x14ac:dyDescent="0.25">
      <c r="A260" s="6">
        <v>41487</v>
      </c>
      <c r="B260" t="s">
        <v>64</v>
      </c>
      <c r="C260" s="7">
        <v>-26</v>
      </c>
      <c r="D260" t="s">
        <v>6</v>
      </c>
      <c r="E260" s="8">
        <f>E259+F260</f>
        <v>36066</v>
      </c>
      <c r="F260" s="8">
        <f>IF($D260="CR01",$C260,0)</f>
        <v>-26</v>
      </c>
      <c r="G260" s="8">
        <f>G259+H260</f>
        <v>0</v>
      </c>
      <c r="H260" s="8">
        <f>IF($D260="VISA",$C260,0)</f>
        <v>0</v>
      </c>
      <c r="I260" s="8">
        <f>I259+J260</f>
        <v>0</v>
      </c>
      <c r="J260" s="8">
        <f>IF($D260="ACC",$C260,0)</f>
        <v>0</v>
      </c>
      <c r="K260" s="8">
        <f>K259+L260</f>
        <v>0</v>
      </c>
      <c r="L260" s="8">
        <f>IF($D260="CBB",$C260,0)</f>
        <v>0</v>
      </c>
    </row>
    <row r="261" spans="1:12" x14ac:dyDescent="0.25">
      <c r="A261" s="6">
        <v>41487</v>
      </c>
      <c r="B261" t="s">
        <v>65</v>
      </c>
      <c r="C261" s="7">
        <v>-240</v>
      </c>
      <c r="D261" t="s">
        <v>6</v>
      </c>
      <c r="E261" s="8">
        <f>E260+F261</f>
        <v>35826</v>
      </c>
      <c r="F261" s="8">
        <f>IF($D261="CR01",$C261,0)</f>
        <v>-240</v>
      </c>
      <c r="G261" s="8">
        <f>G260+H261</f>
        <v>0</v>
      </c>
      <c r="H261" s="8">
        <f>IF($D261="VISA",$C261,0)</f>
        <v>0</v>
      </c>
      <c r="I261" s="8">
        <f>I260+J261</f>
        <v>0</v>
      </c>
      <c r="J261" s="8">
        <f>IF($D261="ACC",$C261,0)</f>
        <v>0</v>
      </c>
      <c r="K261" s="8">
        <f>K260+L261</f>
        <v>0</v>
      </c>
      <c r="L261" s="8">
        <f>IF($D261="CBB",$C261,0)</f>
        <v>0</v>
      </c>
    </row>
    <row r="262" spans="1:12" x14ac:dyDescent="0.25">
      <c r="A262" s="6">
        <v>41487</v>
      </c>
      <c r="B262" t="s">
        <v>66</v>
      </c>
      <c r="C262" s="7">
        <v>-120</v>
      </c>
      <c r="D262" t="s">
        <v>6</v>
      </c>
      <c r="E262" s="8">
        <f>E261+F262</f>
        <v>35706</v>
      </c>
      <c r="F262" s="8">
        <f>IF($D262="CR01",$C262,0)</f>
        <v>-120</v>
      </c>
      <c r="G262" s="8">
        <f>G261+H262</f>
        <v>0</v>
      </c>
      <c r="H262" s="8">
        <f>IF($D262="VISA",$C262,0)</f>
        <v>0</v>
      </c>
      <c r="I262" s="8">
        <f>I261+J262</f>
        <v>0</v>
      </c>
      <c r="J262" s="8">
        <f>IF($D262="ACC",$C262,0)</f>
        <v>0</v>
      </c>
      <c r="K262" s="8">
        <f>K261+L262</f>
        <v>0</v>
      </c>
      <c r="L262" s="8">
        <f>IF($D262="CBB",$C262,0)</f>
        <v>0</v>
      </c>
    </row>
    <row r="263" spans="1:12" x14ac:dyDescent="0.25">
      <c r="A263" s="6">
        <v>41488</v>
      </c>
      <c r="B263" t="s">
        <v>43</v>
      </c>
      <c r="C263" s="7">
        <v>3226</v>
      </c>
      <c r="D263" t="s">
        <v>6</v>
      </c>
      <c r="E263" s="8">
        <f>E262+F263</f>
        <v>38932</v>
      </c>
      <c r="F263" s="8">
        <f>IF($D263="CR01",$C263,0)</f>
        <v>3226</v>
      </c>
      <c r="G263" s="8">
        <f>G262+H263</f>
        <v>0</v>
      </c>
      <c r="H263" s="8">
        <f>IF($D263="VISA",$C263,0)</f>
        <v>0</v>
      </c>
      <c r="I263" s="8">
        <f>I262+J263</f>
        <v>0</v>
      </c>
      <c r="J263" s="8">
        <f>IF($D263="ACC",$C263,0)</f>
        <v>0</v>
      </c>
      <c r="K263" s="8">
        <f>K262+L263</f>
        <v>0</v>
      </c>
      <c r="L263" s="8">
        <f>IF($D263="CBB",$C263,0)</f>
        <v>0</v>
      </c>
    </row>
    <row r="264" spans="1:12" x14ac:dyDescent="0.25">
      <c r="A264" s="6">
        <v>41488</v>
      </c>
      <c r="B264" t="s">
        <v>59</v>
      </c>
      <c r="C264" s="7">
        <v>-900</v>
      </c>
      <c r="D264" t="s">
        <v>6</v>
      </c>
      <c r="E264" s="8">
        <f>E263+F264</f>
        <v>38032</v>
      </c>
      <c r="F264" s="8">
        <f>IF($D264="CR01",$C264,0)</f>
        <v>-900</v>
      </c>
      <c r="G264" s="8">
        <f>G263+H264</f>
        <v>0</v>
      </c>
      <c r="H264" s="8">
        <f>IF($D264="VISA",$C264,0)</f>
        <v>0</v>
      </c>
      <c r="I264" s="8">
        <f>I263+J264</f>
        <v>0</v>
      </c>
      <c r="J264" s="8">
        <f>IF($D264="ACC",$C264,0)</f>
        <v>0</v>
      </c>
      <c r="K264" s="8">
        <f>K263+L264</f>
        <v>0</v>
      </c>
      <c r="L264" s="8">
        <f>IF($D264="CBB",$C264,0)</f>
        <v>0</v>
      </c>
    </row>
    <row r="265" spans="1:12" x14ac:dyDescent="0.25">
      <c r="A265" s="6">
        <v>41492</v>
      </c>
      <c r="B265" t="s">
        <v>48</v>
      </c>
      <c r="C265" s="7">
        <v>-100</v>
      </c>
      <c r="D265" t="s">
        <v>6</v>
      </c>
      <c r="E265" s="8">
        <f>E264+F265</f>
        <v>37932</v>
      </c>
      <c r="F265" s="8">
        <f>IF($D265="CR01",$C265,0)</f>
        <v>-100</v>
      </c>
      <c r="G265" s="8">
        <f>G264+H265</f>
        <v>0</v>
      </c>
      <c r="H265" s="8">
        <f>IF($D265="VISA",$C265,0)</f>
        <v>0</v>
      </c>
      <c r="I265" s="8">
        <f>I264+J265</f>
        <v>0</v>
      </c>
      <c r="J265" s="8">
        <f>IF($D265="ACC",$C265,0)</f>
        <v>0</v>
      </c>
      <c r="K265" s="8">
        <f>K264+L265</f>
        <v>0</v>
      </c>
      <c r="L265" s="8">
        <f>IF($D265="CBB",$C265,0)</f>
        <v>0</v>
      </c>
    </row>
    <row r="266" spans="1:12" x14ac:dyDescent="0.25">
      <c r="A266" s="6">
        <v>41493</v>
      </c>
      <c r="B266" t="s">
        <v>47</v>
      </c>
      <c r="C266" s="7">
        <v>-120</v>
      </c>
      <c r="D266" t="s">
        <v>6</v>
      </c>
      <c r="E266" s="8">
        <f>E265+F266</f>
        <v>37812</v>
      </c>
      <c r="F266" s="8">
        <f>IF($D266="CR01",$C266,0)</f>
        <v>-120</v>
      </c>
      <c r="G266" s="8">
        <f>G265+H266</f>
        <v>0</v>
      </c>
      <c r="H266" s="8">
        <f>IF($D266="VISA",$C266,0)</f>
        <v>0</v>
      </c>
      <c r="I266" s="8">
        <f>I265+J266</f>
        <v>0</v>
      </c>
      <c r="J266" s="8">
        <f>IF($D266="ACC",$C266,0)</f>
        <v>0</v>
      </c>
      <c r="K266" s="8">
        <f>K265+L266</f>
        <v>0</v>
      </c>
      <c r="L266" s="8">
        <f>IF($D266="CBB",$C266,0)</f>
        <v>0</v>
      </c>
    </row>
    <row r="267" spans="1:12" x14ac:dyDescent="0.25">
      <c r="A267" s="6">
        <v>41494</v>
      </c>
      <c r="B267" t="s">
        <v>44</v>
      </c>
      <c r="C267" s="7">
        <v>-400</v>
      </c>
      <c r="D267" t="s">
        <v>6</v>
      </c>
      <c r="E267" s="8">
        <f>E266+F267</f>
        <v>37412</v>
      </c>
      <c r="F267" s="8">
        <f>IF($D267="CR01",$C267,0)</f>
        <v>-400</v>
      </c>
      <c r="G267" s="8">
        <f>G266+H267</f>
        <v>0</v>
      </c>
      <c r="H267" s="8">
        <f>IF($D267="VISA",$C267,0)</f>
        <v>0</v>
      </c>
      <c r="I267" s="8">
        <f>I266+J267</f>
        <v>0</v>
      </c>
      <c r="J267" s="8">
        <f>IF($D267="ACC",$C267,0)</f>
        <v>0</v>
      </c>
      <c r="K267" s="8">
        <f>K266+L267</f>
        <v>0</v>
      </c>
      <c r="L267" s="8">
        <f>IF($D267="CBB",$C267,0)</f>
        <v>0</v>
      </c>
    </row>
    <row r="268" spans="1:12" x14ac:dyDescent="0.25">
      <c r="A268" s="6">
        <v>41494</v>
      </c>
      <c r="B268" t="s">
        <v>45</v>
      </c>
      <c r="C268" s="7">
        <v>-180</v>
      </c>
      <c r="D268" t="s">
        <v>6</v>
      </c>
      <c r="E268" s="8">
        <f>E267+F268</f>
        <v>37232</v>
      </c>
      <c r="F268" s="8">
        <f>IF($D268="CR01",$C268,0)</f>
        <v>-180</v>
      </c>
      <c r="G268" s="8">
        <f>G267+H268</f>
        <v>0</v>
      </c>
      <c r="H268" s="8">
        <f>IF($D268="VISA",$C268,0)</f>
        <v>0</v>
      </c>
      <c r="I268" s="8">
        <f>I267+J268</f>
        <v>0</v>
      </c>
      <c r="J268" s="8">
        <f>IF($D268="ACC",$C268,0)</f>
        <v>0</v>
      </c>
      <c r="K268" s="8">
        <f>K267+L268</f>
        <v>0</v>
      </c>
      <c r="L268" s="8">
        <f>IF($D268="CBB",$C268,0)</f>
        <v>0</v>
      </c>
    </row>
    <row r="269" spans="1:12" x14ac:dyDescent="0.25">
      <c r="A269" s="6">
        <v>41494</v>
      </c>
      <c r="B269" t="s">
        <v>46</v>
      </c>
      <c r="C269" s="7">
        <v>-300</v>
      </c>
      <c r="D269" t="s">
        <v>6</v>
      </c>
      <c r="E269" s="8">
        <f>E268+F269</f>
        <v>36932</v>
      </c>
      <c r="F269" s="8">
        <f>IF($D269="CR01",$C269,0)</f>
        <v>-300</v>
      </c>
      <c r="G269" s="8">
        <f>G268+H269</f>
        <v>0</v>
      </c>
      <c r="H269" s="8">
        <f>IF($D269="VISA",$C269,0)</f>
        <v>0</v>
      </c>
      <c r="I269" s="8">
        <f>I268+J269</f>
        <v>0</v>
      </c>
      <c r="J269" s="8">
        <f>IF($D269="ACC",$C269,0)</f>
        <v>0</v>
      </c>
      <c r="K269" s="8">
        <f>K268+L269</f>
        <v>0</v>
      </c>
      <c r="L269" s="8">
        <f>IF($D269="CBB",$C269,0)</f>
        <v>0</v>
      </c>
    </row>
    <row r="270" spans="1:12" x14ac:dyDescent="0.25">
      <c r="A270" s="6">
        <v>41496</v>
      </c>
      <c r="B270" t="s">
        <v>67</v>
      </c>
      <c r="C270" s="7">
        <v>5200</v>
      </c>
      <c r="D270" t="s">
        <v>6</v>
      </c>
      <c r="E270" s="8">
        <f>E269+F270</f>
        <v>42132</v>
      </c>
      <c r="F270" s="8">
        <f>IF($D270="CR01",$C270,0)</f>
        <v>5200</v>
      </c>
      <c r="G270" s="8">
        <f>G269+H270</f>
        <v>0</v>
      </c>
      <c r="H270" s="8">
        <f>IF($D270="VISA",$C270,0)</f>
        <v>0</v>
      </c>
      <c r="I270" s="8">
        <f>I269+J270</f>
        <v>0</v>
      </c>
      <c r="J270" s="8">
        <f>IF($D270="ACC",$C270,0)</f>
        <v>0</v>
      </c>
      <c r="K270" s="8">
        <f>K269+L270</f>
        <v>0</v>
      </c>
      <c r="L270" s="8">
        <f>IF($D270="CBB",$C270,0)</f>
        <v>0</v>
      </c>
    </row>
    <row r="271" spans="1:12" x14ac:dyDescent="0.25">
      <c r="A271" s="6">
        <v>41499</v>
      </c>
      <c r="B271" t="s">
        <v>42</v>
      </c>
      <c r="C271" s="7">
        <v>-2806</v>
      </c>
      <c r="D271" t="s">
        <v>6</v>
      </c>
      <c r="E271" s="8">
        <f>E270+F271</f>
        <v>39326</v>
      </c>
      <c r="F271" s="8">
        <f>IF($D271="CR01",$C271,0)</f>
        <v>-2806</v>
      </c>
      <c r="G271" s="8">
        <f>G270+H271</f>
        <v>0</v>
      </c>
      <c r="H271" s="8">
        <f>IF($D271="VISA",$C271,0)</f>
        <v>0</v>
      </c>
      <c r="I271" s="8">
        <f>I270+J271</f>
        <v>0</v>
      </c>
      <c r="J271" s="8">
        <f>IF($D271="ACC",$C271,0)</f>
        <v>0</v>
      </c>
      <c r="K271" s="8">
        <f>K270+L271</f>
        <v>0</v>
      </c>
      <c r="L271" s="8">
        <f>IF($D271="CBB",$C271,0)</f>
        <v>0</v>
      </c>
    </row>
    <row r="272" spans="1:12" x14ac:dyDescent="0.25">
      <c r="A272" s="6">
        <v>41499</v>
      </c>
      <c r="B272" t="s">
        <v>48</v>
      </c>
      <c r="C272" s="7">
        <v>-100</v>
      </c>
      <c r="D272" t="s">
        <v>6</v>
      </c>
      <c r="E272" s="8">
        <f>E271+F272</f>
        <v>39226</v>
      </c>
      <c r="F272" s="8">
        <f>IF($D272="CR01",$C272,0)</f>
        <v>-100</v>
      </c>
      <c r="G272" s="8">
        <f>G271+H272</f>
        <v>0</v>
      </c>
      <c r="H272" s="8">
        <f>IF($D272="VISA",$C272,0)</f>
        <v>0</v>
      </c>
      <c r="I272" s="8">
        <f>I271+J272</f>
        <v>0</v>
      </c>
      <c r="J272" s="8">
        <f>IF($D272="ACC",$C272,0)</f>
        <v>0</v>
      </c>
      <c r="K272" s="8">
        <f>K271+L272</f>
        <v>0</v>
      </c>
      <c r="L272" s="8">
        <f>IF($D272="CBB",$C272,0)</f>
        <v>0</v>
      </c>
    </row>
    <row r="273" spans="1:12" x14ac:dyDescent="0.25">
      <c r="A273" s="6">
        <v>41500</v>
      </c>
      <c r="B273" t="s">
        <v>47</v>
      </c>
      <c r="C273" s="7">
        <v>-120</v>
      </c>
      <c r="D273" t="s">
        <v>6</v>
      </c>
      <c r="E273" s="8">
        <f>E272+F273</f>
        <v>39106</v>
      </c>
      <c r="F273" s="8">
        <f>IF($D273="CR01",$C273,0)</f>
        <v>-120</v>
      </c>
      <c r="G273" s="8">
        <f>G272+H273</f>
        <v>0</v>
      </c>
      <c r="H273" s="8">
        <f>IF($D273="VISA",$C273,0)</f>
        <v>0</v>
      </c>
      <c r="I273" s="8">
        <f>I272+J273</f>
        <v>0</v>
      </c>
      <c r="J273" s="8">
        <f>IF($D273="ACC",$C273,0)</f>
        <v>0</v>
      </c>
      <c r="K273" s="8">
        <f>K272+L273</f>
        <v>0</v>
      </c>
      <c r="L273" s="8">
        <f>IF($D273="CBB",$C273,0)</f>
        <v>0</v>
      </c>
    </row>
    <row r="274" spans="1:12" x14ac:dyDescent="0.25">
      <c r="A274" s="6">
        <v>41501</v>
      </c>
      <c r="B274" t="s">
        <v>44</v>
      </c>
      <c r="C274" s="7">
        <v>-400</v>
      </c>
      <c r="D274" t="s">
        <v>6</v>
      </c>
      <c r="E274" s="8">
        <f>E273+F274</f>
        <v>38706</v>
      </c>
      <c r="F274" s="8">
        <f>IF($D274="CR01",$C274,0)</f>
        <v>-400</v>
      </c>
      <c r="G274" s="8">
        <f>G273+H274</f>
        <v>0</v>
      </c>
      <c r="H274" s="8">
        <f>IF($D274="VISA",$C274,0)</f>
        <v>0</v>
      </c>
      <c r="I274" s="8">
        <f>I273+J274</f>
        <v>0</v>
      </c>
      <c r="J274" s="8">
        <f>IF($D274="ACC",$C274,0)</f>
        <v>0</v>
      </c>
      <c r="K274" s="8">
        <f>K273+L274</f>
        <v>0</v>
      </c>
      <c r="L274" s="8">
        <f>IF($D274="CBB",$C274,0)</f>
        <v>0</v>
      </c>
    </row>
    <row r="275" spans="1:12" x14ac:dyDescent="0.25">
      <c r="A275" s="6">
        <v>41501</v>
      </c>
      <c r="B275" t="s">
        <v>45</v>
      </c>
      <c r="C275" s="7">
        <v>-180</v>
      </c>
      <c r="D275" t="s">
        <v>6</v>
      </c>
      <c r="E275" s="8">
        <f>E274+F275</f>
        <v>38526</v>
      </c>
      <c r="F275" s="8">
        <f>IF($D275="CR01",$C275,0)</f>
        <v>-180</v>
      </c>
      <c r="G275" s="8">
        <f>G274+H275</f>
        <v>0</v>
      </c>
      <c r="H275" s="8">
        <f>IF($D275="VISA",$C275,0)</f>
        <v>0</v>
      </c>
      <c r="I275" s="8">
        <f>I274+J275</f>
        <v>0</v>
      </c>
      <c r="J275" s="8">
        <f>IF($D275="ACC",$C275,0)</f>
        <v>0</v>
      </c>
      <c r="K275" s="8">
        <f>K274+L275</f>
        <v>0</v>
      </c>
      <c r="L275" s="8">
        <f>IF($D275="CBB",$C275,0)</f>
        <v>0</v>
      </c>
    </row>
    <row r="276" spans="1:12" x14ac:dyDescent="0.25">
      <c r="A276" s="6">
        <v>41501</v>
      </c>
      <c r="B276" t="s">
        <v>46</v>
      </c>
      <c r="C276" s="7">
        <v>-300</v>
      </c>
      <c r="D276" t="s">
        <v>6</v>
      </c>
      <c r="E276" s="8">
        <f>E275+F276</f>
        <v>38226</v>
      </c>
      <c r="F276" s="8">
        <f>IF($D276="CR01",$C276,0)</f>
        <v>-300</v>
      </c>
      <c r="G276" s="8">
        <f>G275+H276</f>
        <v>0</v>
      </c>
      <c r="H276" s="8">
        <f>IF($D276="VISA",$C276,0)</f>
        <v>0</v>
      </c>
      <c r="I276" s="8">
        <f>I275+J276</f>
        <v>0</v>
      </c>
      <c r="J276" s="8">
        <f>IF($D276="ACC",$C276,0)</f>
        <v>0</v>
      </c>
      <c r="K276" s="8">
        <f>K275+L276</f>
        <v>0</v>
      </c>
      <c r="L276" s="8">
        <f>IF($D276="CBB",$C276,0)</f>
        <v>0</v>
      </c>
    </row>
    <row r="277" spans="1:12" x14ac:dyDescent="0.25">
      <c r="A277" s="6">
        <v>41502</v>
      </c>
      <c r="B277" t="s">
        <v>43</v>
      </c>
      <c r="C277" s="7">
        <v>3226</v>
      </c>
      <c r="D277" t="s">
        <v>6</v>
      </c>
      <c r="E277" s="8">
        <f>E276+F277</f>
        <v>41452</v>
      </c>
      <c r="F277" s="8">
        <f>IF($D277="CR01",$C277,0)</f>
        <v>3226</v>
      </c>
      <c r="G277" s="8">
        <f>G276+H277</f>
        <v>0</v>
      </c>
      <c r="H277" s="8">
        <f>IF($D277="VISA",$C277,0)</f>
        <v>0</v>
      </c>
      <c r="I277" s="8">
        <f>I276+J277</f>
        <v>0</v>
      </c>
      <c r="J277" s="8">
        <f>IF($D277="ACC",$C277,0)</f>
        <v>0</v>
      </c>
      <c r="K277" s="8">
        <f>K276+L277</f>
        <v>0</v>
      </c>
      <c r="L277" s="8">
        <f>IF($D277="CBB",$C277,0)</f>
        <v>0</v>
      </c>
    </row>
    <row r="278" spans="1:12" x14ac:dyDescent="0.25">
      <c r="A278" s="6">
        <v>41506</v>
      </c>
      <c r="B278" t="s">
        <v>48</v>
      </c>
      <c r="C278" s="7">
        <v>-100</v>
      </c>
      <c r="D278" t="s">
        <v>6</v>
      </c>
      <c r="E278" s="8">
        <f>E277+F278</f>
        <v>41352</v>
      </c>
      <c r="F278" s="8">
        <f>IF($D278="CR01",$C278,0)</f>
        <v>-100</v>
      </c>
      <c r="G278" s="8">
        <f>G277+H278</f>
        <v>0</v>
      </c>
      <c r="H278" s="8">
        <f>IF($D278="VISA",$C278,0)</f>
        <v>0</v>
      </c>
      <c r="I278" s="8">
        <f>I277+J278</f>
        <v>0</v>
      </c>
      <c r="J278" s="8">
        <f>IF($D278="ACC",$C278,0)</f>
        <v>0</v>
      </c>
      <c r="K278" s="8">
        <f>K277+L278</f>
        <v>0</v>
      </c>
      <c r="L278" s="8">
        <f>IF($D278="CBB",$C278,0)</f>
        <v>0</v>
      </c>
    </row>
    <row r="279" spans="1:12" x14ac:dyDescent="0.25">
      <c r="A279" s="6">
        <v>41507</v>
      </c>
      <c r="B279" t="s">
        <v>47</v>
      </c>
      <c r="C279" s="7">
        <v>-120</v>
      </c>
      <c r="D279" t="s">
        <v>6</v>
      </c>
      <c r="E279" s="8">
        <f>E278+F279</f>
        <v>41232</v>
      </c>
      <c r="F279" s="8">
        <f>IF($D279="CR01",$C279,0)</f>
        <v>-120</v>
      </c>
      <c r="G279" s="8">
        <f>G278+H279</f>
        <v>0</v>
      </c>
      <c r="H279" s="8">
        <f>IF($D279="VISA",$C279,0)</f>
        <v>0</v>
      </c>
      <c r="I279" s="8">
        <f>I278+J279</f>
        <v>0</v>
      </c>
      <c r="J279" s="8">
        <f>IF($D279="ACC",$C279,0)</f>
        <v>0</v>
      </c>
      <c r="K279" s="8">
        <f>K278+L279</f>
        <v>0</v>
      </c>
      <c r="L279" s="8">
        <f>IF($D279="CBB",$C279,0)</f>
        <v>0</v>
      </c>
    </row>
    <row r="280" spans="1:12" x14ac:dyDescent="0.25">
      <c r="A280" s="6">
        <v>41508</v>
      </c>
      <c r="B280" t="s">
        <v>44</v>
      </c>
      <c r="C280" s="7">
        <v>-400</v>
      </c>
      <c r="D280" t="s">
        <v>6</v>
      </c>
      <c r="E280" s="8">
        <f>E279+F280</f>
        <v>40832</v>
      </c>
      <c r="F280" s="8">
        <f>IF($D280="CR01",$C280,0)</f>
        <v>-400</v>
      </c>
      <c r="G280" s="8">
        <f>G279+H280</f>
        <v>0</v>
      </c>
      <c r="H280" s="8">
        <f>IF($D280="VISA",$C280,0)</f>
        <v>0</v>
      </c>
      <c r="I280" s="8">
        <f>I279+J280</f>
        <v>0</v>
      </c>
      <c r="J280" s="8">
        <f>IF($D280="ACC",$C280,0)</f>
        <v>0</v>
      </c>
      <c r="K280" s="8">
        <f>K279+L280</f>
        <v>0</v>
      </c>
      <c r="L280" s="8">
        <f>IF($D280="CBB",$C280,0)</f>
        <v>0</v>
      </c>
    </row>
    <row r="281" spans="1:12" x14ac:dyDescent="0.25">
      <c r="A281" s="6">
        <v>41508</v>
      </c>
      <c r="B281" t="s">
        <v>45</v>
      </c>
      <c r="C281" s="7">
        <v>-180</v>
      </c>
      <c r="D281" t="s">
        <v>6</v>
      </c>
      <c r="E281" s="8">
        <f>E280+F281</f>
        <v>40652</v>
      </c>
      <c r="F281" s="8">
        <f>IF($D281="CR01",$C281,0)</f>
        <v>-180</v>
      </c>
      <c r="G281" s="8">
        <f>G280+H281</f>
        <v>0</v>
      </c>
      <c r="H281" s="8">
        <f>IF($D281="VISA",$C281,0)</f>
        <v>0</v>
      </c>
      <c r="I281" s="8">
        <f>I280+J281</f>
        <v>0</v>
      </c>
      <c r="J281" s="8">
        <f>IF($D281="ACC",$C281,0)</f>
        <v>0</v>
      </c>
      <c r="K281" s="8">
        <f>K280+L281</f>
        <v>0</v>
      </c>
      <c r="L281" s="8">
        <f>IF($D281="CBB",$C281,0)</f>
        <v>0</v>
      </c>
    </row>
    <row r="282" spans="1:12" x14ac:dyDescent="0.25">
      <c r="A282" s="6">
        <v>41508</v>
      </c>
      <c r="B282" t="s">
        <v>46</v>
      </c>
      <c r="C282" s="7">
        <v>-300</v>
      </c>
      <c r="D282" t="s">
        <v>6</v>
      </c>
      <c r="E282" s="8">
        <f>E281+F282</f>
        <v>40352</v>
      </c>
      <c r="F282" s="8">
        <f>IF($D282="CR01",$C282,0)</f>
        <v>-300</v>
      </c>
      <c r="G282" s="8">
        <f>G281+H282</f>
        <v>0</v>
      </c>
      <c r="H282" s="8">
        <f>IF($D282="VISA",$C282,0)</f>
        <v>0</v>
      </c>
      <c r="I282" s="8">
        <f>I281+J282</f>
        <v>0</v>
      </c>
      <c r="J282" s="8">
        <f>IF($D282="ACC",$C282,0)</f>
        <v>0</v>
      </c>
      <c r="K282" s="8">
        <f>K281+L282</f>
        <v>0</v>
      </c>
      <c r="L282" s="8">
        <f>IF($D282="CBB",$C282,0)</f>
        <v>0</v>
      </c>
    </row>
    <row r="283" spans="1:12" x14ac:dyDescent="0.25">
      <c r="A283" s="6">
        <v>41510</v>
      </c>
      <c r="B283" t="s">
        <v>67</v>
      </c>
      <c r="C283" s="7">
        <v>5200</v>
      </c>
      <c r="D283" t="s">
        <v>6</v>
      </c>
      <c r="E283" s="8">
        <f>E282+F283</f>
        <v>45552</v>
      </c>
      <c r="F283" s="8">
        <f>IF($D283="CR01",$C283,0)</f>
        <v>5200</v>
      </c>
      <c r="G283" s="8">
        <f>G282+H283</f>
        <v>0</v>
      </c>
      <c r="H283" s="8">
        <f>IF($D283="VISA",$C283,0)</f>
        <v>0</v>
      </c>
      <c r="I283" s="8">
        <f>I282+J283</f>
        <v>0</v>
      </c>
      <c r="J283" s="8">
        <f>IF($D283="ACC",$C283,0)</f>
        <v>0</v>
      </c>
      <c r="K283" s="8">
        <f>K282+L283</f>
        <v>0</v>
      </c>
      <c r="L283" s="8">
        <f>IF($D283="CBB",$C283,0)</f>
        <v>0</v>
      </c>
    </row>
    <row r="284" spans="1:12" x14ac:dyDescent="0.25">
      <c r="A284" s="6">
        <v>41513</v>
      </c>
      <c r="B284" t="s">
        <v>42</v>
      </c>
      <c r="C284" s="7">
        <v>-2806</v>
      </c>
      <c r="D284" t="s">
        <v>6</v>
      </c>
      <c r="E284" s="8">
        <f>E283+F284</f>
        <v>42746</v>
      </c>
      <c r="F284" s="8">
        <f>IF($D284="CR01",$C284,0)</f>
        <v>-2806</v>
      </c>
      <c r="G284" s="8">
        <f>G283+H284</f>
        <v>0</v>
      </c>
      <c r="H284" s="8">
        <f>IF($D284="VISA",$C284,0)</f>
        <v>0</v>
      </c>
      <c r="I284" s="8">
        <f>I283+J284</f>
        <v>0</v>
      </c>
      <c r="J284" s="8">
        <f>IF($D284="ACC",$C284,0)</f>
        <v>0</v>
      </c>
      <c r="K284" s="8">
        <f>K283+L284</f>
        <v>0</v>
      </c>
      <c r="L284" s="8">
        <f>IF($D284="CBB",$C284,0)</f>
        <v>0</v>
      </c>
    </row>
    <row r="285" spans="1:12" x14ac:dyDescent="0.25">
      <c r="A285" s="6">
        <v>41513</v>
      </c>
      <c r="B285" t="s">
        <v>48</v>
      </c>
      <c r="C285" s="7">
        <v>-100</v>
      </c>
      <c r="D285" t="s">
        <v>6</v>
      </c>
      <c r="E285" s="8">
        <f>E284+F285</f>
        <v>42646</v>
      </c>
      <c r="F285" s="8">
        <f>IF($D285="CR01",$C285,0)</f>
        <v>-100</v>
      </c>
      <c r="G285" s="8">
        <f>G284+H285</f>
        <v>0</v>
      </c>
      <c r="H285" s="8">
        <f>IF($D285="VISA",$C285,0)</f>
        <v>0</v>
      </c>
      <c r="I285" s="8">
        <f>I284+J285</f>
        <v>0</v>
      </c>
      <c r="J285" s="8">
        <f>IF($D285="ACC",$C285,0)</f>
        <v>0</v>
      </c>
      <c r="K285" s="8">
        <f>K284+L285</f>
        <v>0</v>
      </c>
      <c r="L285" s="8">
        <f>IF($D285="CBB",$C285,0)</f>
        <v>0</v>
      </c>
    </row>
    <row r="286" spans="1:12" x14ac:dyDescent="0.25">
      <c r="A286" s="6">
        <v>41514</v>
      </c>
      <c r="B286" t="s">
        <v>47</v>
      </c>
      <c r="C286" s="7">
        <v>-120</v>
      </c>
      <c r="D286" t="s">
        <v>6</v>
      </c>
      <c r="E286" s="8">
        <f>E285+F286</f>
        <v>42526</v>
      </c>
      <c r="F286" s="8">
        <f>IF($D286="CR01",$C286,0)</f>
        <v>-120</v>
      </c>
      <c r="G286" s="8">
        <f>G285+H286</f>
        <v>0</v>
      </c>
      <c r="H286" s="8">
        <f>IF($D286="VISA",$C286,0)</f>
        <v>0</v>
      </c>
      <c r="I286" s="8">
        <f>I285+J286</f>
        <v>0</v>
      </c>
      <c r="J286" s="8">
        <f>IF($D286="ACC",$C286,0)</f>
        <v>0</v>
      </c>
      <c r="K286" s="8">
        <f>K285+L286</f>
        <v>0</v>
      </c>
      <c r="L286" s="8">
        <f>IF($D286="CBB",$C286,0)</f>
        <v>0</v>
      </c>
    </row>
    <row r="287" spans="1:12" x14ac:dyDescent="0.25">
      <c r="A287" s="6">
        <v>41515</v>
      </c>
      <c r="B287" t="s">
        <v>44</v>
      </c>
      <c r="C287" s="7">
        <v>-400</v>
      </c>
      <c r="D287" t="s">
        <v>6</v>
      </c>
      <c r="E287" s="8">
        <f>E286+F287</f>
        <v>42126</v>
      </c>
      <c r="F287" s="8">
        <f>IF($D287="CR01",$C287,0)</f>
        <v>-400</v>
      </c>
      <c r="G287" s="8">
        <f>G286+H287</f>
        <v>0</v>
      </c>
      <c r="H287" s="8">
        <f>IF($D287="VISA",$C287,0)</f>
        <v>0</v>
      </c>
      <c r="I287" s="8">
        <f>I286+J287</f>
        <v>0</v>
      </c>
      <c r="J287" s="8">
        <f>IF($D287="ACC",$C287,0)</f>
        <v>0</v>
      </c>
      <c r="K287" s="8">
        <f>K286+L287</f>
        <v>0</v>
      </c>
      <c r="L287" s="8">
        <f>IF($D287="CBB",$C287,0)</f>
        <v>0</v>
      </c>
    </row>
    <row r="288" spans="1:12" x14ac:dyDescent="0.25">
      <c r="A288" s="6">
        <v>41515</v>
      </c>
      <c r="B288" t="s">
        <v>45</v>
      </c>
      <c r="C288" s="7">
        <v>-180</v>
      </c>
      <c r="D288" t="s">
        <v>6</v>
      </c>
      <c r="E288" s="8">
        <f>E287+F288</f>
        <v>41946</v>
      </c>
      <c r="F288" s="8">
        <f>IF($D288="CR01",$C288,0)</f>
        <v>-180</v>
      </c>
      <c r="G288" s="8">
        <f>G287+H288</f>
        <v>0</v>
      </c>
      <c r="H288" s="8">
        <f>IF($D288="VISA",$C288,0)</f>
        <v>0</v>
      </c>
      <c r="I288" s="8">
        <f>I287+J288</f>
        <v>0</v>
      </c>
      <c r="J288" s="8">
        <f>IF($D288="ACC",$C288,0)</f>
        <v>0</v>
      </c>
      <c r="K288" s="8">
        <f>K287+L288</f>
        <v>0</v>
      </c>
      <c r="L288" s="8">
        <f>IF($D288="CBB",$C288,0)</f>
        <v>0</v>
      </c>
    </row>
    <row r="289" spans="1:12" x14ac:dyDescent="0.25">
      <c r="A289" s="6">
        <v>41515</v>
      </c>
      <c r="B289" t="s">
        <v>46</v>
      </c>
      <c r="C289" s="7">
        <v>-300</v>
      </c>
      <c r="D289" t="s">
        <v>6</v>
      </c>
      <c r="E289" s="8">
        <f>E288+F289</f>
        <v>41646</v>
      </c>
      <c r="F289" s="8">
        <f>IF($D289="CR01",$C289,0)</f>
        <v>-300</v>
      </c>
      <c r="G289" s="8">
        <f>G288+H289</f>
        <v>0</v>
      </c>
      <c r="H289" s="8">
        <f>IF($D289="VISA",$C289,0)</f>
        <v>0</v>
      </c>
      <c r="I289" s="8">
        <f>I288+J289</f>
        <v>0</v>
      </c>
      <c r="J289" s="8">
        <f>IF($D289="ACC",$C289,0)</f>
        <v>0</v>
      </c>
      <c r="K289" s="8">
        <f>K288+L289</f>
        <v>0</v>
      </c>
      <c r="L289" s="8">
        <f>IF($D289="CBB",$C289,0)</f>
        <v>0</v>
      </c>
    </row>
    <row r="290" spans="1:12" x14ac:dyDescent="0.25">
      <c r="A290" s="6">
        <v>41516</v>
      </c>
      <c r="B290" t="s">
        <v>43</v>
      </c>
      <c r="C290" s="7">
        <v>3226</v>
      </c>
      <c r="D290" t="s">
        <v>6</v>
      </c>
      <c r="E290" s="8">
        <f>E289+F290</f>
        <v>44872</v>
      </c>
      <c r="F290" s="8">
        <f>IF($D290="CR01",$C290,0)</f>
        <v>3226</v>
      </c>
      <c r="G290" s="8">
        <f>G289+H290</f>
        <v>0</v>
      </c>
      <c r="H290" s="8">
        <f>IF($D290="VISA",$C290,0)</f>
        <v>0</v>
      </c>
      <c r="I290" s="8">
        <f>I289+J290</f>
        <v>0</v>
      </c>
      <c r="J290" s="8">
        <f>IF($D290="ACC",$C290,0)</f>
        <v>0</v>
      </c>
      <c r="K290" s="8">
        <f>K289+L290</f>
        <v>0</v>
      </c>
      <c r="L290" s="8">
        <f>IF($D290="CBB",$C290,0)</f>
        <v>0</v>
      </c>
    </row>
    <row r="291" spans="1:12" x14ac:dyDescent="0.25">
      <c r="A291" s="6">
        <v>41518</v>
      </c>
      <c r="B291" t="s">
        <v>58</v>
      </c>
      <c r="C291" s="7">
        <v>-200</v>
      </c>
      <c r="D291" t="s">
        <v>6</v>
      </c>
      <c r="E291" s="8">
        <f>E290+F291</f>
        <v>44672</v>
      </c>
      <c r="F291" s="8">
        <f>IF($D291="CR01",$C291,0)</f>
        <v>-200</v>
      </c>
      <c r="G291" s="8">
        <f>G290+H291</f>
        <v>0</v>
      </c>
      <c r="H291" s="8">
        <f>IF($D291="VISA",$C291,0)</f>
        <v>0</v>
      </c>
      <c r="I291" s="8">
        <f>I290+J291</f>
        <v>0</v>
      </c>
      <c r="J291" s="8">
        <f>IF($D291="ACC",$C291,0)</f>
        <v>0</v>
      </c>
      <c r="K291" s="8">
        <f>K290+L291</f>
        <v>0</v>
      </c>
      <c r="L291" s="8">
        <f>IF($D291="CBB",$C291,0)</f>
        <v>0</v>
      </c>
    </row>
    <row r="292" spans="1:12" x14ac:dyDescent="0.25">
      <c r="A292" s="6">
        <v>41518</v>
      </c>
      <c r="B292" t="s">
        <v>60</v>
      </c>
      <c r="C292" s="7">
        <v>-400</v>
      </c>
      <c r="D292" t="s">
        <v>6</v>
      </c>
      <c r="E292" s="8">
        <f>E291+F292</f>
        <v>44272</v>
      </c>
      <c r="F292" s="8">
        <f>IF($D292="CR01",$C292,0)</f>
        <v>-400</v>
      </c>
      <c r="G292" s="8">
        <f>G291+H292</f>
        <v>0</v>
      </c>
      <c r="H292" s="8">
        <f>IF($D292="VISA",$C292,0)</f>
        <v>0</v>
      </c>
      <c r="I292" s="8">
        <f>I291+J292</f>
        <v>0</v>
      </c>
      <c r="J292" s="8">
        <f>IF($D292="ACC",$C292,0)</f>
        <v>0</v>
      </c>
      <c r="K292" s="8">
        <f>K291+L292</f>
        <v>0</v>
      </c>
      <c r="L292" s="8">
        <f>IF($D292="CBB",$C292,0)</f>
        <v>0</v>
      </c>
    </row>
    <row r="293" spans="1:12" x14ac:dyDescent="0.25">
      <c r="A293" s="6">
        <v>41518</v>
      </c>
      <c r="B293" t="s">
        <v>64</v>
      </c>
      <c r="C293" s="7">
        <v>-26</v>
      </c>
      <c r="D293" t="s">
        <v>6</v>
      </c>
      <c r="E293" s="8">
        <f>E292+F293</f>
        <v>44246</v>
      </c>
      <c r="F293" s="8">
        <f>IF($D293="CR01",$C293,0)</f>
        <v>-26</v>
      </c>
      <c r="G293" s="8">
        <f>G292+H293</f>
        <v>0</v>
      </c>
      <c r="H293" s="8">
        <f>IF($D293="VISA",$C293,0)</f>
        <v>0</v>
      </c>
      <c r="I293" s="8">
        <f>I292+J293</f>
        <v>0</v>
      </c>
      <c r="J293" s="8">
        <f>IF($D293="ACC",$C293,0)</f>
        <v>0</v>
      </c>
      <c r="K293" s="8">
        <f>K292+L293</f>
        <v>0</v>
      </c>
      <c r="L293" s="8">
        <f>IF($D293="CBB",$C293,0)</f>
        <v>0</v>
      </c>
    </row>
    <row r="294" spans="1:12" x14ac:dyDescent="0.25">
      <c r="A294" s="6">
        <v>41518</v>
      </c>
      <c r="B294" t="s">
        <v>65</v>
      </c>
      <c r="C294" s="7">
        <v>-240</v>
      </c>
      <c r="D294" t="s">
        <v>6</v>
      </c>
      <c r="E294" s="8">
        <f>E293+F294</f>
        <v>44006</v>
      </c>
      <c r="F294" s="8">
        <f>IF($D294="CR01",$C294,0)</f>
        <v>-240</v>
      </c>
      <c r="G294" s="8">
        <f>G293+H294</f>
        <v>0</v>
      </c>
      <c r="H294" s="8">
        <f>IF($D294="VISA",$C294,0)</f>
        <v>0</v>
      </c>
      <c r="I294" s="8">
        <f>I293+J294</f>
        <v>0</v>
      </c>
      <c r="J294" s="8">
        <f>IF($D294="ACC",$C294,0)</f>
        <v>0</v>
      </c>
      <c r="K294" s="8">
        <f>K293+L294</f>
        <v>0</v>
      </c>
      <c r="L294" s="8">
        <f>IF($D294="CBB",$C294,0)</f>
        <v>0</v>
      </c>
    </row>
    <row r="295" spans="1:12" x14ac:dyDescent="0.25">
      <c r="A295" s="6">
        <v>41518</v>
      </c>
      <c r="B295" t="s">
        <v>66</v>
      </c>
      <c r="C295" s="7">
        <v>-120</v>
      </c>
      <c r="D295" t="s">
        <v>6</v>
      </c>
      <c r="E295" s="8">
        <f>E294+F295</f>
        <v>43886</v>
      </c>
      <c r="F295" s="8">
        <f>IF($D295="CR01",$C295,0)</f>
        <v>-120</v>
      </c>
      <c r="G295" s="8">
        <f>G294+H295</f>
        <v>0</v>
      </c>
      <c r="H295" s="8">
        <f>IF($D295="VISA",$C295,0)</f>
        <v>0</v>
      </c>
      <c r="I295" s="8">
        <f>I294+J295</f>
        <v>0</v>
      </c>
      <c r="J295" s="8">
        <f>IF($D295="ACC",$C295,0)</f>
        <v>0</v>
      </c>
      <c r="K295" s="8">
        <f>K294+L295</f>
        <v>0</v>
      </c>
      <c r="L295" s="8">
        <f>IF($D295="CBB",$C295,0)</f>
        <v>0</v>
      </c>
    </row>
    <row r="296" spans="1:12" x14ac:dyDescent="0.25">
      <c r="A296" s="6">
        <v>41519</v>
      </c>
      <c r="B296" t="s">
        <v>59</v>
      </c>
      <c r="C296" s="7">
        <v>-900</v>
      </c>
      <c r="D296" t="s">
        <v>6</v>
      </c>
      <c r="E296" s="8">
        <f>E295+F296</f>
        <v>42986</v>
      </c>
      <c r="F296" s="8">
        <f>IF($D296="CR01",$C296,0)</f>
        <v>-900</v>
      </c>
      <c r="G296" s="8">
        <f>G295+H296</f>
        <v>0</v>
      </c>
      <c r="H296" s="8">
        <f>IF($D296="VISA",$C296,0)</f>
        <v>0</v>
      </c>
      <c r="I296" s="8">
        <f>I295+J296</f>
        <v>0</v>
      </c>
      <c r="J296" s="8">
        <f>IF($D296="ACC",$C296,0)</f>
        <v>0</v>
      </c>
      <c r="K296" s="8">
        <f>K295+L296</f>
        <v>0</v>
      </c>
      <c r="L296" s="8">
        <f>IF($D296="CBB",$C296,0)</f>
        <v>0</v>
      </c>
    </row>
    <row r="297" spans="1:12" x14ac:dyDescent="0.25">
      <c r="A297" s="6">
        <v>41520</v>
      </c>
      <c r="B297" t="s">
        <v>48</v>
      </c>
      <c r="C297" s="7">
        <v>-100</v>
      </c>
      <c r="D297" t="s">
        <v>6</v>
      </c>
      <c r="E297" s="8">
        <f>E296+F297</f>
        <v>42886</v>
      </c>
      <c r="F297" s="8">
        <f>IF($D297="CR01",$C297,0)</f>
        <v>-100</v>
      </c>
      <c r="G297" s="8">
        <f>G296+H297</f>
        <v>0</v>
      </c>
      <c r="H297" s="8">
        <f>IF($D297="VISA",$C297,0)</f>
        <v>0</v>
      </c>
      <c r="I297" s="8">
        <f>I296+J297</f>
        <v>0</v>
      </c>
      <c r="J297" s="8">
        <f>IF($D297="ACC",$C297,0)</f>
        <v>0</v>
      </c>
      <c r="K297" s="8">
        <f>K296+L297</f>
        <v>0</v>
      </c>
      <c r="L297" s="8">
        <f>IF($D297="CBB",$C297,0)</f>
        <v>0</v>
      </c>
    </row>
    <row r="298" spans="1:12" x14ac:dyDescent="0.25">
      <c r="A298" s="6">
        <v>41521</v>
      </c>
      <c r="B298" t="s">
        <v>47</v>
      </c>
      <c r="C298" s="7">
        <v>-120</v>
      </c>
      <c r="D298" t="s">
        <v>6</v>
      </c>
      <c r="E298" s="8">
        <f>E297+F298</f>
        <v>42766</v>
      </c>
      <c r="F298" s="8">
        <f>IF($D298="CR01",$C298,0)</f>
        <v>-120</v>
      </c>
      <c r="G298" s="8">
        <f>G297+H298</f>
        <v>0</v>
      </c>
      <c r="H298" s="8">
        <f>IF($D298="VISA",$C298,0)</f>
        <v>0</v>
      </c>
      <c r="I298" s="8">
        <f>I297+J298</f>
        <v>0</v>
      </c>
      <c r="J298" s="8">
        <f>IF($D298="ACC",$C298,0)</f>
        <v>0</v>
      </c>
      <c r="K298" s="8">
        <f>K297+L298</f>
        <v>0</v>
      </c>
      <c r="L298" s="8">
        <f>IF($D298="CBB",$C298,0)</f>
        <v>0</v>
      </c>
    </row>
    <row r="299" spans="1:12" x14ac:dyDescent="0.25">
      <c r="A299" s="6">
        <v>41522</v>
      </c>
      <c r="B299" t="s">
        <v>44</v>
      </c>
      <c r="C299" s="7">
        <v>-400</v>
      </c>
      <c r="D299" t="s">
        <v>6</v>
      </c>
      <c r="E299" s="8">
        <f>E298+F299</f>
        <v>42366</v>
      </c>
      <c r="F299" s="8">
        <f>IF($D299="CR01",$C299,0)</f>
        <v>-400</v>
      </c>
      <c r="G299" s="8">
        <f>G298+H299</f>
        <v>0</v>
      </c>
      <c r="H299" s="8">
        <f>IF($D299="VISA",$C299,0)</f>
        <v>0</v>
      </c>
      <c r="I299" s="8">
        <f>I298+J299</f>
        <v>0</v>
      </c>
      <c r="J299" s="8">
        <f>IF($D299="ACC",$C299,0)</f>
        <v>0</v>
      </c>
      <c r="K299" s="8">
        <f>K298+L299</f>
        <v>0</v>
      </c>
      <c r="L299" s="8">
        <f>IF($D299="CBB",$C299,0)</f>
        <v>0</v>
      </c>
    </row>
    <row r="300" spans="1:12" x14ac:dyDescent="0.25">
      <c r="A300" s="6">
        <v>41522</v>
      </c>
      <c r="B300" t="s">
        <v>45</v>
      </c>
      <c r="C300" s="7">
        <v>-180</v>
      </c>
      <c r="D300" t="s">
        <v>6</v>
      </c>
      <c r="E300" s="8">
        <f>E299+F300</f>
        <v>42186</v>
      </c>
      <c r="F300" s="8">
        <f>IF($D300="CR01",$C300,0)</f>
        <v>-180</v>
      </c>
      <c r="G300" s="8">
        <f>G299+H300</f>
        <v>0</v>
      </c>
      <c r="H300" s="8">
        <f>IF($D300="VISA",$C300,0)</f>
        <v>0</v>
      </c>
      <c r="I300" s="8">
        <f>I299+J300</f>
        <v>0</v>
      </c>
      <c r="J300" s="8">
        <f>IF($D300="ACC",$C300,0)</f>
        <v>0</v>
      </c>
      <c r="K300" s="8">
        <f>K299+L300</f>
        <v>0</v>
      </c>
      <c r="L300" s="8">
        <f>IF($D300="CBB",$C300,0)</f>
        <v>0</v>
      </c>
    </row>
    <row r="301" spans="1:12" x14ac:dyDescent="0.25">
      <c r="A301" s="6">
        <v>41522</v>
      </c>
      <c r="B301" t="s">
        <v>46</v>
      </c>
      <c r="C301" s="7">
        <v>-300</v>
      </c>
      <c r="D301" t="s">
        <v>6</v>
      </c>
      <c r="E301" s="8">
        <f>E300+F301</f>
        <v>41886</v>
      </c>
      <c r="F301" s="8">
        <f>IF($D301="CR01",$C301,0)</f>
        <v>-300</v>
      </c>
      <c r="G301" s="8">
        <f>G300+H301</f>
        <v>0</v>
      </c>
      <c r="H301" s="8">
        <f>IF($D301="VISA",$C301,0)</f>
        <v>0</v>
      </c>
      <c r="I301" s="8">
        <f>I300+J301</f>
        <v>0</v>
      </c>
      <c r="J301" s="8">
        <f>IF($D301="ACC",$C301,0)</f>
        <v>0</v>
      </c>
      <c r="K301" s="8">
        <f>K300+L301</f>
        <v>0</v>
      </c>
      <c r="L301" s="8">
        <f>IF($D301="CBB",$C301,0)</f>
        <v>0</v>
      </c>
    </row>
    <row r="302" spans="1:12" x14ac:dyDescent="0.25">
      <c r="A302" s="6">
        <v>41524</v>
      </c>
      <c r="B302" t="s">
        <v>67</v>
      </c>
      <c r="C302" s="7">
        <v>5200</v>
      </c>
      <c r="D302" t="s">
        <v>6</v>
      </c>
      <c r="E302" s="8">
        <f>E301+F302</f>
        <v>47086</v>
      </c>
      <c r="F302" s="8">
        <f>IF($D302="CR01",$C302,0)</f>
        <v>5200</v>
      </c>
      <c r="G302" s="8">
        <f>G301+H302</f>
        <v>0</v>
      </c>
      <c r="H302" s="8">
        <f>IF($D302="VISA",$C302,0)</f>
        <v>0</v>
      </c>
      <c r="I302" s="8">
        <f>I301+J302</f>
        <v>0</v>
      </c>
      <c r="J302" s="8">
        <f>IF($D302="ACC",$C302,0)</f>
        <v>0</v>
      </c>
      <c r="K302" s="8">
        <f>K301+L302</f>
        <v>0</v>
      </c>
      <c r="L302" s="8">
        <f>IF($D302="CBB",$C302,0)</f>
        <v>0</v>
      </c>
    </row>
    <row r="303" spans="1:12" x14ac:dyDescent="0.25">
      <c r="A303" s="6">
        <v>41527</v>
      </c>
      <c r="B303" t="s">
        <v>42</v>
      </c>
      <c r="C303" s="7">
        <v>-2806</v>
      </c>
      <c r="D303" t="s">
        <v>6</v>
      </c>
      <c r="E303" s="8">
        <f>E302+F303</f>
        <v>44280</v>
      </c>
      <c r="F303" s="8">
        <f>IF($D303="CR01",$C303,0)</f>
        <v>-2806</v>
      </c>
      <c r="G303" s="8">
        <f>G302+H303</f>
        <v>0</v>
      </c>
      <c r="H303" s="8">
        <f>IF($D303="VISA",$C303,0)</f>
        <v>0</v>
      </c>
      <c r="I303" s="8">
        <f>I302+J303</f>
        <v>0</v>
      </c>
      <c r="J303" s="8">
        <f>IF($D303="ACC",$C303,0)</f>
        <v>0</v>
      </c>
      <c r="K303" s="8">
        <f>K302+L303</f>
        <v>0</v>
      </c>
      <c r="L303" s="8">
        <f>IF($D303="CBB",$C303,0)</f>
        <v>0</v>
      </c>
    </row>
    <row r="304" spans="1:12" x14ac:dyDescent="0.25">
      <c r="A304" s="6">
        <v>41527</v>
      </c>
      <c r="B304" t="s">
        <v>48</v>
      </c>
      <c r="C304" s="7">
        <v>-100</v>
      </c>
      <c r="D304" t="s">
        <v>6</v>
      </c>
      <c r="E304" s="8">
        <f>E303+F304</f>
        <v>44180</v>
      </c>
      <c r="F304" s="8">
        <f>IF($D304="CR01",$C304,0)</f>
        <v>-100</v>
      </c>
      <c r="G304" s="8">
        <f>G303+H304</f>
        <v>0</v>
      </c>
      <c r="H304" s="8">
        <f>IF($D304="VISA",$C304,0)</f>
        <v>0</v>
      </c>
      <c r="I304" s="8">
        <f>I303+J304</f>
        <v>0</v>
      </c>
      <c r="J304" s="8">
        <f>IF($D304="ACC",$C304,0)</f>
        <v>0</v>
      </c>
      <c r="K304" s="8">
        <f>K303+L304</f>
        <v>0</v>
      </c>
      <c r="L304" s="8">
        <f>IF($D304="CBB",$C304,0)</f>
        <v>0</v>
      </c>
    </row>
    <row r="305" spans="1:12" x14ac:dyDescent="0.25">
      <c r="A305" s="6">
        <v>41528</v>
      </c>
      <c r="B305" t="s">
        <v>47</v>
      </c>
      <c r="C305" s="7">
        <v>-120</v>
      </c>
      <c r="D305" t="s">
        <v>6</v>
      </c>
      <c r="E305" s="8">
        <f>E304+F305</f>
        <v>44060</v>
      </c>
      <c r="F305" s="8">
        <f>IF($D305="CR01",$C305,0)</f>
        <v>-120</v>
      </c>
      <c r="G305" s="8">
        <f>G304+H305</f>
        <v>0</v>
      </c>
      <c r="H305" s="8">
        <f>IF($D305="VISA",$C305,0)</f>
        <v>0</v>
      </c>
      <c r="I305" s="8">
        <f>I304+J305</f>
        <v>0</v>
      </c>
      <c r="J305" s="8">
        <f>IF($D305="ACC",$C305,0)</f>
        <v>0</v>
      </c>
      <c r="K305" s="8">
        <f>K304+L305</f>
        <v>0</v>
      </c>
      <c r="L305" s="8">
        <f>IF($D305="CBB",$C305,0)</f>
        <v>0</v>
      </c>
    </row>
    <row r="306" spans="1:12" x14ac:dyDescent="0.25">
      <c r="A306" s="6">
        <v>41529</v>
      </c>
      <c r="B306" t="s">
        <v>44</v>
      </c>
      <c r="C306" s="7">
        <v>-400</v>
      </c>
      <c r="D306" t="s">
        <v>6</v>
      </c>
      <c r="E306" s="8">
        <f>E305+F306</f>
        <v>43660</v>
      </c>
      <c r="F306" s="8">
        <f>IF($D306="CR01",$C306,0)</f>
        <v>-400</v>
      </c>
      <c r="G306" s="8">
        <f>G305+H306</f>
        <v>0</v>
      </c>
      <c r="H306" s="8">
        <f>IF($D306="VISA",$C306,0)</f>
        <v>0</v>
      </c>
      <c r="I306" s="8">
        <f>I305+J306</f>
        <v>0</v>
      </c>
      <c r="J306" s="8">
        <f>IF($D306="ACC",$C306,0)</f>
        <v>0</v>
      </c>
      <c r="K306" s="8">
        <f>K305+L306</f>
        <v>0</v>
      </c>
      <c r="L306" s="8">
        <f>IF($D306="CBB",$C306,0)</f>
        <v>0</v>
      </c>
    </row>
    <row r="307" spans="1:12" x14ac:dyDescent="0.25">
      <c r="A307" s="6">
        <v>41529</v>
      </c>
      <c r="B307" t="s">
        <v>45</v>
      </c>
      <c r="C307" s="7">
        <v>-180</v>
      </c>
      <c r="D307" t="s">
        <v>6</v>
      </c>
      <c r="E307" s="8">
        <f>E306+F307</f>
        <v>43480</v>
      </c>
      <c r="F307" s="8">
        <f>IF($D307="CR01",$C307,0)</f>
        <v>-180</v>
      </c>
      <c r="G307" s="8">
        <f>G306+H307</f>
        <v>0</v>
      </c>
      <c r="H307" s="8">
        <f>IF($D307="VISA",$C307,0)</f>
        <v>0</v>
      </c>
      <c r="I307" s="8">
        <f>I306+J307</f>
        <v>0</v>
      </c>
      <c r="J307" s="8">
        <f>IF($D307="ACC",$C307,0)</f>
        <v>0</v>
      </c>
      <c r="K307" s="8">
        <f>K306+L307</f>
        <v>0</v>
      </c>
      <c r="L307" s="8">
        <f>IF($D307="CBB",$C307,0)</f>
        <v>0</v>
      </c>
    </row>
    <row r="308" spans="1:12" x14ac:dyDescent="0.25">
      <c r="A308" s="6">
        <v>41529</v>
      </c>
      <c r="B308" t="s">
        <v>46</v>
      </c>
      <c r="C308" s="7">
        <v>-300</v>
      </c>
      <c r="D308" t="s">
        <v>6</v>
      </c>
      <c r="E308" s="8">
        <f>E307+F308</f>
        <v>43180</v>
      </c>
      <c r="F308" s="8">
        <f>IF($D308="CR01",$C308,0)</f>
        <v>-300</v>
      </c>
      <c r="G308" s="8">
        <f>G307+H308</f>
        <v>0</v>
      </c>
      <c r="H308" s="8">
        <f>IF($D308="VISA",$C308,0)</f>
        <v>0</v>
      </c>
      <c r="I308" s="8">
        <f>I307+J308</f>
        <v>0</v>
      </c>
      <c r="J308" s="8">
        <f>IF($D308="ACC",$C308,0)</f>
        <v>0</v>
      </c>
      <c r="K308" s="8">
        <f>K307+L308</f>
        <v>0</v>
      </c>
      <c r="L308" s="8">
        <f>IF($D308="CBB",$C308,0)</f>
        <v>0</v>
      </c>
    </row>
    <row r="309" spans="1:12" x14ac:dyDescent="0.25">
      <c r="A309" s="6">
        <v>41530</v>
      </c>
      <c r="B309" t="s">
        <v>43</v>
      </c>
      <c r="C309" s="7">
        <v>3226</v>
      </c>
      <c r="D309" t="s">
        <v>6</v>
      </c>
      <c r="E309" s="8">
        <f>E308+F309</f>
        <v>46406</v>
      </c>
      <c r="F309" s="8">
        <f>IF($D309="CR01",$C309,0)</f>
        <v>3226</v>
      </c>
      <c r="G309" s="8">
        <f>G308+H309</f>
        <v>0</v>
      </c>
      <c r="H309" s="8">
        <f>IF($D309="VISA",$C309,0)</f>
        <v>0</v>
      </c>
      <c r="I309" s="8">
        <f>I308+J309</f>
        <v>0</v>
      </c>
      <c r="J309" s="8">
        <f>IF($D309="ACC",$C309,0)</f>
        <v>0</v>
      </c>
      <c r="K309" s="8">
        <f>K308+L309</f>
        <v>0</v>
      </c>
      <c r="L309" s="8">
        <f>IF($D309="CBB",$C309,0)</f>
        <v>0</v>
      </c>
    </row>
    <row r="310" spans="1:12" x14ac:dyDescent="0.25">
      <c r="A310" s="6">
        <v>41534</v>
      </c>
      <c r="B310" t="s">
        <v>48</v>
      </c>
      <c r="C310" s="7">
        <v>-100</v>
      </c>
      <c r="D310" t="s">
        <v>6</v>
      </c>
      <c r="E310" s="8">
        <f>E309+F310</f>
        <v>46306</v>
      </c>
      <c r="F310" s="8">
        <f>IF($D310="CR01",$C310,0)</f>
        <v>-100</v>
      </c>
      <c r="G310" s="8">
        <f>G309+H310</f>
        <v>0</v>
      </c>
      <c r="H310" s="8">
        <f>IF($D310="VISA",$C310,0)</f>
        <v>0</v>
      </c>
      <c r="I310" s="8">
        <f>I309+J310</f>
        <v>0</v>
      </c>
      <c r="J310" s="8">
        <f>IF($D310="ACC",$C310,0)</f>
        <v>0</v>
      </c>
      <c r="K310" s="8">
        <f>K309+L310</f>
        <v>0</v>
      </c>
      <c r="L310" s="8">
        <f>IF($D310="CBB",$C310,0)</f>
        <v>0</v>
      </c>
    </row>
    <row r="311" spans="1:12" x14ac:dyDescent="0.25">
      <c r="A311" s="6">
        <v>41535</v>
      </c>
      <c r="B311" t="s">
        <v>47</v>
      </c>
      <c r="C311" s="7">
        <v>-120</v>
      </c>
      <c r="D311" t="s">
        <v>6</v>
      </c>
      <c r="E311" s="8">
        <f>E310+F311</f>
        <v>46186</v>
      </c>
      <c r="F311" s="8">
        <f>IF($D311="CR01",$C311,0)</f>
        <v>-120</v>
      </c>
      <c r="G311" s="8">
        <f>G310+H311</f>
        <v>0</v>
      </c>
      <c r="H311" s="8">
        <f>IF($D311="VISA",$C311,0)</f>
        <v>0</v>
      </c>
      <c r="I311" s="8">
        <f>I310+J311</f>
        <v>0</v>
      </c>
      <c r="J311" s="8">
        <f>IF($D311="ACC",$C311,0)</f>
        <v>0</v>
      </c>
      <c r="K311" s="8">
        <f>K310+L311</f>
        <v>0</v>
      </c>
      <c r="L311" s="8">
        <f>IF($D311="CBB",$C311,0)</f>
        <v>0</v>
      </c>
    </row>
    <row r="312" spans="1:12" x14ac:dyDescent="0.25">
      <c r="A312" s="6">
        <v>41536</v>
      </c>
      <c r="B312" t="s">
        <v>44</v>
      </c>
      <c r="C312" s="7">
        <v>-400</v>
      </c>
      <c r="D312" t="s">
        <v>6</v>
      </c>
      <c r="E312" s="8">
        <f>E311+F312</f>
        <v>45786</v>
      </c>
      <c r="F312" s="8">
        <f>IF($D312="CR01",$C312,0)</f>
        <v>-400</v>
      </c>
      <c r="G312" s="8">
        <f>G311+H312</f>
        <v>0</v>
      </c>
      <c r="H312" s="8">
        <f>IF($D312="VISA",$C312,0)</f>
        <v>0</v>
      </c>
      <c r="I312" s="8">
        <f>I311+J312</f>
        <v>0</v>
      </c>
      <c r="J312" s="8">
        <f>IF($D312="ACC",$C312,0)</f>
        <v>0</v>
      </c>
      <c r="K312" s="8">
        <f>K311+L312</f>
        <v>0</v>
      </c>
      <c r="L312" s="8">
        <f>IF($D312="CBB",$C312,0)</f>
        <v>0</v>
      </c>
    </row>
    <row r="313" spans="1:12" x14ac:dyDescent="0.25">
      <c r="A313" s="6">
        <v>41536</v>
      </c>
      <c r="B313" t="s">
        <v>45</v>
      </c>
      <c r="C313" s="7">
        <v>-180</v>
      </c>
      <c r="D313" t="s">
        <v>6</v>
      </c>
      <c r="E313" s="8">
        <f>E312+F313</f>
        <v>45606</v>
      </c>
      <c r="F313" s="8">
        <f>IF($D313="CR01",$C313,0)</f>
        <v>-180</v>
      </c>
      <c r="G313" s="8">
        <f>G312+H313</f>
        <v>0</v>
      </c>
      <c r="H313" s="8">
        <f>IF($D313="VISA",$C313,0)</f>
        <v>0</v>
      </c>
      <c r="I313" s="8">
        <f>I312+J313</f>
        <v>0</v>
      </c>
      <c r="J313" s="8">
        <f>IF($D313="ACC",$C313,0)</f>
        <v>0</v>
      </c>
      <c r="K313" s="8">
        <f>K312+L313</f>
        <v>0</v>
      </c>
      <c r="L313" s="8">
        <f>IF($D313="CBB",$C313,0)</f>
        <v>0</v>
      </c>
    </row>
    <row r="314" spans="1:12" x14ac:dyDescent="0.25">
      <c r="A314" s="6">
        <v>41536</v>
      </c>
      <c r="B314" t="s">
        <v>46</v>
      </c>
      <c r="C314" s="7">
        <v>-300</v>
      </c>
      <c r="D314" t="s">
        <v>6</v>
      </c>
      <c r="E314" s="8">
        <f>E313+F314</f>
        <v>45306</v>
      </c>
      <c r="F314" s="8">
        <f>IF($D314="CR01",$C314,0)</f>
        <v>-300</v>
      </c>
      <c r="G314" s="8">
        <f>G313+H314</f>
        <v>0</v>
      </c>
      <c r="H314" s="8">
        <f>IF($D314="VISA",$C314,0)</f>
        <v>0</v>
      </c>
      <c r="I314" s="8">
        <f>I313+J314</f>
        <v>0</v>
      </c>
      <c r="J314" s="8">
        <f>IF($D314="ACC",$C314,0)</f>
        <v>0</v>
      </c>
      <c r="K314" s="8">
        <f>K313+L314</f>
        <v>0</v>
      </c>
      <c r="L314" s="8">
        <f>IF($D314="CBB",$C314,0)</f>
        <v>0</v>
      </c>
    </row>
    <row r="315" spans="1:12" x14ac:dyDescent="0.25">
      <c r="A315" s="6">
        <v>41538</v>
      </c>
      <c r="B315" t="s">
        <v>67</v>
      </c>
      <c r="C315" s="7">
        <v>5200</v>
      </c>
      <c r="D315" t="s">
        <v>6</v>
      </c>
      <c r="E315" s="8">
        <f>E314+F315</f>
        <v>50506</v>
      </c>
      <c r="F315" s="8">
        <f>IF($D315="CR01",$C315,0)</f>
        <v>5200</v>
      </c>
      <c r="G315" s="8">
        <f>G314+H315</f>
        <v>0</v>
      </c>
      <c r="H315" s="8">
        <f>IF($D315="VISA",$C315,0)</f>
        <v>0</v>
      </c>
      <c r="I315" s="8">
        <f>I314+J315</f>
        <v>0</v>
      </c>
      <c r="J315" s="8">
        <f>IF($D315="ACC",$C315,0)</f>
        <v>0</v>
      </c>
      <c r="K315" s="8">
        <f>K314+L315</f>
        <v>0</v>
      </c>
      <c r="L315" s="8">
        <f>IF($D315="CBB",$C315,0)</f>
        <v>0</v>
      </c>
    </row>
    <row r="316" spans="1:12" x14ac:dyDescent="0.25">
      <c r="A316" s="6">
        <v>41541</v>
      </c>
      <c r="B316" t="s">
        <v>42</v>
      </c>
      <c r="C316" s="7">
        <v>-2806</v>
      </c>
      <c r="D316" t="s">
        <v>6</v>
      </c>
      <c r="E316" s="8">
        <f>E315+F316</f>
        <v>47700</v>
      </c>
      <c r="F316" s="8">
        <f>IF($D316="CR01",$C316,0)</f>
        <v>-2806</v>
      </c>
      <c r="G316" s="8">
        <f>G315+H316</f>
        <v>0</v>
      </c>
      <c r="H316" s="8">
        <f>IF($D316="VISA",$C316,0)</f>
        <v>0</v>
      </c>
      <c r="I316" s="8">
        <f>I315+J316</f>
        <v>0</v>
      </c>
      <c r="J316" s="8">
        <f>IF($D316="ACC",$C316,0)</f>
        <v>0</v>
      </c>
      <c r="K316" s="8">
        <f>K315+L316</f>
        <v>0</v>
      </c>
      <c r="L316" s="8">
        <f>IF($D316="CBB",$C316,0)</f>
        <v>0</v>
      </c>
    </row>
    <row r="317" spans="1:12" x14ac:dyDescent="0.25">
      <c r="A317" s="6">
        <v>41541</v>
      </c>
      <c r="B317" t="s">
        <v>48</v>
      </c>
      <c r="C317" s="7">
        <v>-100</v>
      </c>
      <c r="D317" t="s">
        <v>6</v>
      </c>
      <c r="E317" s="8">
        <f>E316+F317</f>
        <v>47600</v>
      </c>
      <c r="F317" s="8">
        <f>IF($D317="CR01",$C317,0)</f>
        <v>-100</v>
      </c>
      <c r="G317" s="8">
        <f>G316+H317</f>
        <v>0</v>
      </c>
      <c r="H317" s="8">
        <f>IF($D317="VISA",$C317,0)</f>
        <v>0</v>
      </c>
      <c r="I317" s="8">
        <f>I316+J317</f>
        <v>0</v>
      </c>
      <c r="J317" s="8">
        <f>IF($D317="ACC",$C317,0)</f>
        <v>0</v>
      </c>
      <c r="K317" s="8">
        <f>K316+L317</f>
        <v>0</v>
      </c>
      <c r="L317" s="8">
        <f>IF($D317="CBB",$C317,0)</f>
        <v>0</v>
      </c>
    </row>
    <row r="318" spans="1:12" x14ac:dyDescent="0.25">
      <c r="A318" s="6">
        <v>41542</v>
      </c>
      <c r="B318" t="s">
        <v>47</v>
      </c>
      <c r="C318" s="7">
        <v>-120</v>
      </c>
      <c r="D318" t="s">
        <v>6</v>
      </c>
      <c r="E318" s="8">
        <f>E317+F318</f>
        <v>47480</v>
      </c>
      <c r="F318" s="8">
        <f>IF($D318="CR01",$C318,0)</f>
        <v>-120</v>
      </c>
      <c r="G318" s="8">
        <f>G317+H318</f>
        <v>0</v>
      </c>
      <c r="H318" s="8">
        <f>IF($D318="VISA",$C318,0)</f>
        <v>0</v>
      </c>
      <c r="I318" s="8">
        <f>I317+J318</f>
        <v>0</v>
      </c>
      <c r="J318" s="8">
        <f>IF($D318="ACC",$C318,0)</f>
        <v>0</v>
      </c>
      <c r="K318" s="8">
        <f>K317+L318</f>
        <v>0</v>
      </c>
      <c r="L318" s="8">
        <f>IF($D318="CBB",$C318,0)</f>
        <v>0</v>
      </c>
    </row>
    <row r="319" spans="1:12" x14ac:dyDescent="0.25">
      <c r="A319" s="6">
        <v>41543</v>
      </c>
      <c r="B319" t="s">
        <v>44</v>
      </c>
      <c r="C319" s="7">
        <v>-400</v>
      </c>
      <c r="D319" t="s">
        <v>6</v>
      </c>
      <c r="E319" s="8">
        <f>E318+F319</f>
        <v>47080</v>
      </c>
      <c r="F319" s="8">
        <f>IF($D319="CR01",$C319,0)</f>
        <v>-400</v>
      </c>
      <c r="G319" s="8">
        <f>G318+H319</f>
        <v>0</v>
      </c>
      <c r="H319" s="8">
        <f>IF($D319="VISA",$C319,0)</f>
        <v>0</v>
      </c>
      <c r="I319" s="8">
        <f>I318+J319</f>
        <v>0</v>
      </c>
      <c r="J319" s="8">
        <f>IF($D319="ACC",$C319,0)</f>
        <v>0</v>
      </c>
      <c r="K319" s="8">
        <f>K318+L319</f>
        <v>0</v>
      </c>
      <c r="L319" s="8">
        <f>IF($D319="CBB",$C319,0)</f>
        <v>0</v>
      </c>
    </row>
    <row r="320" spans="1:12" x14ac:dyDescent="0.25">
      <c r="A320" s="6">
        <v>41543</v>
      </c>
      <c r="B320" t="s">
        <v>45</v>
      </c>
      <c r="C320" s="7">
        <v>-180</v>
      </c>
      <c r="D320" t="s">
        <v>6</v>
      </c>
      <c r="E320" s="8">
        <f>E319+F320</f>
        <v>46900</v>
      </c>
      <c r="F320" s="8">
        <f>IF($D320="CR01",$C320,0)</f>
        <v>-180</v>
      </c>
      <c r="G320" s="8">
        <f>G319+H320</f>
        <v>0</v>
      </c>
      <c r="H320" s="8">
        <f>IF($D320="VISA",$C320,0)</f>
        <v>0</v>
      </c>
      <c r="I320" s="8">
        <f>I319+J320</f>
        <v>0</v>
      </c>
      <c r="J320" s="8">
        <f>IF($D320="ACC",$C320,0)</f>
        <v>0</v>
      </c>
      <c r="K320" s="8">
        <f>K319+L320</f>
        <v>0</v>
      </c>
      <c r="L320" s="8">
        <f>IF($D320="CBB",$C320,0)</f>
        <v>0</v>
      </c>
    </row>
    <row r="321" spans="1:12" x14ac:dyDescent="0.25">
      <c r="A321" s="6">
        <v>41543</v>
      </c>
      <c r="B321" t="s">
        <v>46</v>
      </c>
      <c r="C321" s="7">
        <v>-300</v>
      </c>
      <c r="D321" t="s">
        <v>6</v>
      </c>
      <c r="E321" s="8">
        <f>E320+F321</f>
        <v>46600</v>
      </c>
      <c r="F321" s="8">
        <f>IF($D321="CR01",$C321,0)</f>
        <v>-300</v>
      </c>
      <c r="G321" s="8">
        <f>G320+H321</f>
        <v>0</v>
      </c>
      <c r="H321" s="8">
        <f>IF($D321="VISA",$C321,0)</f>
        <v>0</v>
      </c>
      <c r="I321" s="8">
        <f>I320+J321</f>
        <v>0</v>
      </c>
      <c r="J321" s="8">
        <f>IF($D321="ACC",$C321,0)</f>
        <v>0</v>
      </c>
      <c r="K321" s="8">
        <f>K320+L321</f>
        <v>0</v>
      </c>
      <c r="L321" s="8">
        <f>IF($D321="CBB",$C321,0)</f>
        <v>0</v>
      </c>
    </row>
    <row r="322" spans="1:12" x14ac:dyDescent="0.25">
      <c r="A322" s="6">
        <v>41544</v>
      </c>
      <c r="B322" t="s">
        <v>43</v>
      </c>
      <c r="C322" s="7">
        <v>3226</v>
      </c>
      <c r="D322" t="s">
        <v>6</v>
      </c>
      <c r="E322" s="8">
        <f>E321+F322</f>
        <v>49826</v>
      </c>
      <c r="F322" s="8">
        <f>IF($D322="CR01",$C322,0)</f>
        <v>3226</v>
      </c>
      <c r="G322" s="8">
        <f>G321+H322</f>
        <v>0</v>
      </c>
      <c r="H322" s="8">
        <f>IF($D322="VISA",$C322,0)</f>
        <v>0</v>
      </c>
      <c r="I322" s="8">
        <f>I321+J322</f>
        <v>0</v>
      </c>
      <c r="J322" s="8">
        <f>IF($D322="ACC",$C322,0)</f>
        <v>0</v>
      </c>
      <c r="K322" s="8">
        <f>K321+L322</f>
        <v>0</v>
      </c>
      <c r="L322" s="8">
        <f>IF($D322="CBB",$C322,0)</f>
        <v>0</v>
      </c>
    </row>
    <row r="323" spans="1:12" x14ac:dyDescent="0.25">
      <c r="A323" s="6">
        <v>41548</v>
      </c>
      <c r="B323" t="s">
        <v>48</v>
      </c>
      <c r="C323" s="7">
        <v>-100</v>
      </c>
      <c r="D323" t="s">
        <v>6</v>
      </c>
      <c r="E323" s="8">
        <f>E322+F323</f>
        <v>49726</v>
      </c>
      <c r="F323" s="8">
        <f>IF($D323="CR01",$C323,0)</f>
        <v>-100</v>
      </c>
      <c r="G323" s="8">
        <f>G322+H323</f>
        <v>0</v>
      </c>
      <c r="H323" s="8">
        <f>IF($D323="VISA",$C323,0)</f>
        <v>0</v>
      </c>
      <c r="I323" s="8">
        <f>I322+J323</f>
        <v>0</v>
      </c>
      <c r="J323" s="8">
        <f>IF($D323="ACC",$C323,0)</f>
        <v>0</v>
      </c>
      <c r="K323" s="8">
        <f>K322+L323</f>
        <v>0</v>
      </c>
      <c r="L323" s="8">
        <f>IF($D323="CBB",$C323,0)</f>
        <v>0</v>
      </c>
    </row>
    <row r="324" spans="1:12" x14ac:dyDescent="0.25">
      <c r="A324" s="6">
        <v>41548</v>
      </c>
      <c r="B324" t="s">
        <v>58</v>
      </c>
      <c r="C324" s="7">
        <v>-200</v>
      </c>
      <c r="D324" t="s">
        <v>6</v>
      </c>
      <c r="E324" s="8">
        <f>E323+F324</f>
        <v>49526</v>
      </c>
      <c r="F324" s="8">
        <f>IF($D324="CR01",$C324,0)</f>
        <v>-200</v>
      </c>
      <c r="G324" s="8">
        <f>G323+H324</f>
        <v>0</v>
      </c>
      <c r="H324" s="8">
        <f>IF($D324="VISA",$C324,0)</f>
        <v>0</v>
      </c>
      <c r="I324" s="8">
        <f>I323+J324</f>
        <v>0</v>
      </c>
      <c r="J324" s="8">
        <f>IF($D324="ACC",$C324,0)</f>
        <v>0</v>
      </c>
      <c r="K324" s="8">
        <f>K323+L324</f>
        <v>0</v>
      </c>
      <c r="L324" s="8">
        <f>IF($D324="CBB",$C324,0)</f>
        <v>0</v>
      </c>
    </row>
    <row r="325" spans="1:12" x14ac:dyDescent="0.25">
      <c r="A325" s="6">
        <v>41548</v>
      </c>
      <c r="B325" t="s">
        <v>60</v>
      </c>
      <c r="C325" s="7">
        <v>-400</v>
      </c>
      <c r="D325" t="s">
        <v>6</v>
      </c>
      <c r="E325" s="8">
        <f>E324+F325</f>
        <v>49126</v>
      </c>
      <c r="F325" s="8">
        <f>IF($D325="CR01",$C325,0)</f>
        <v>-400</v>
      </c>
      <c r="G325" s="8">
        <f>G324+H325</f>
        <v>0</v>
      </c>
      <c r="H325" s="8">
        <f>IF($D325="VISA",$C325,0)</f>
        <v>0</v>
      </c>
      <c r="I325" s="8">
        <f>I324+J325</f>
        <v>0</v>
      </c>
      <c r="J325" s="8">
        <f>IF($D325="ACC",$C325,0)</f>
        <v>0</v>
      </c>
      <c r="K325" s="8">
        <f>K324+L325</f>
        <v>0</v>
      </c>
      <c r="L325" s="8">
        <f>IF($D325="CBB",$C325,0)</f>
        <v>0</v>
      </c>
    </row>
    <row r="326" spans="1:12" x14ac:dyDescent="0.25">
      <c r="A326" s="6">
        <v>41548</v>
      </c>
      <c r="B326" t="s">
        <v>61</v>
      </c>
      <c r="C326" s="7">
        <v>-300</v>
      </c>
      <c r="D326" t="s">
        <v>6</v>
      </c>
      <c r="E326" s="8">
        <f>E325+F326</f>
        <v>48826</v>
      </c>
      <c r="F326" s="8">
        <f>IF($D326="CR01",$C326,0)</f>
        <v>-300</v>
      </c>
      <c r="G326" s="8">
        <f>G325+H326</f>
        <v>0</v>
      </c>
      <c r="H326" s="8">
        <f>IF($D326="VISA",$C326,0)</f>
        <v>0</v>
      </c>
      <c r="I326" s="8">
        <f>I325+J326</f>
        <v>0</v>
      </c>
      <c r="J326" s="8">
        <f>IF($D326="ACC",$C326,0)</f>
        <v>0</v>
      </c>
      <c r="K326" s="8">
        <f>K325+L326</f>
        <v>0</v>
      </c>
      <c r="L326" s="8">
        <f>IF($D326="CBB",$C326,0)</f>
        <v>0</v>
      </c>
    </row>
    <row r="327" spans="1:12" x14ac:dyDescent="0.25">
      <c r="A327" s="6">
        <v>41548</v>
      </c>
      <c r="B327" t="s">
        <v>64</v>
      </c>
      <c r="C327" s="7">
        <v>-26</v>
      </c>
      <c r="D327" t="s">
        <v>6</v>
      </c>
      <c r="E327" s="8">
        <f>E326+F327</f>
        <v>48800</v>
      </c>
      <c r="F327" s="8">
        <f>IF($D327="CR01",$C327,0)</f>
        <v>-26</v>
      </c>
      <c r="G327" s="8">
        <f>G326+H327</f>
        <v>0</v>
      </c>
      <c r="H327" s="8">
        <f>IF($D327="VISA",$C327,0)</f>
        <v>0</v>
      </c>
      <c r="I327" s="8">
        <f>I326+J327</f>
        <v>0</v>
      </c>
      <c r="J327" s="8">
        <f>IF($D327="ACC",$C327,0)</f>
        <v>0</v>
      </c>
      <c r="K327" s="8">
        <f>K326+L327</f>
        <v>0</v>
      </c>
      <c r="L327" s="8">
        <f>IF($D327="CBB",$C327,0)</f>
        <v>0</v>
      </c>
    </row>
    <row r="328" spans="1:12" x14ac:dyDescent="0.25">
      <c r="A328" s="6">
        <v>41548</v>
      </c>
      <c r="B328" t="s">
        <v>65</v>
      </c>
      <c r="C328" s="7">
        <v>-240</v>
      </c>
      <c r="D328" t="s">
        <v>6</v>
      </c>
      <c r="E328" s="8">
        <f>E327+F328</f>
        <v>48560</v>
      </c>
      <c r="F328" s="8">
        <f>IF($D328="CR01",$C328,0)</f>
        <v>-240</v>
      </c>
      <c r="G328" s="8">
        <f>G327+H328</f>
        <v>0</v>
      </c>
      <c r="H328" s="8">
        <f>IF($D328="VISA",$C328,0)</f>
        <v>0</v>
      </c>
      <c r="I328" s="8">
        <f>I327+J328</f>
        <v>0</v>
      </c>
      <c r="J328" s="8">
        <f>IF($D328="ACC",$C328,0)</f>
        <v>0</v>
      </c>
      <c r="K328" s="8">
        <f>K327+L328</f>
        <v>0</v>
      </c>
      <c r="L328" s="8">
        <f>IF($D328="CBB",$C328,0)</f>
        <v>0</v>
      </c>
    </row>
    <row r="329" spans="1:12" x14ac:dyDescent="0.25">
      <c r="A329" s="6">
        <v>41548</v>
      </c>
      <c r="B329" t="s">
        <v>66</v>
      </c>
      <c r="C329" s="7">
        <v>-120</v>
      </c>
      <c r="D329" t="s">
        <v>6</v>
      </c>
      <c r="E329" s="8">
        <f>E328+F329</f>
        <v>48440</v>
      </c>
      <c r="F329" s="8">
        <f>IF($D329="CR01",$C329,0)</f>
        <v>-120</v>
      </c>
      <c r="G329" s="8">
        <f>G328+H329</f>
        <v>0</v>
      </c>
      <c r="H329" s="8">
        <f>IF($D329="VISA",$C329,0)</f>
        <v>0</v>
      </c>
      <c r="I329" s="8">
        <f>I328+J329</f>
        <v>0</v>
      </c>
      <c r="J329" s="8">
        <f>IF($D329="ACC",$C329,0)</f>
        <v>0</v>
      </c>
      <c r="K329" s="8">
        <f>K328+L329</f>
        <v>0</v>
      </c>
      <c r="L329" s="8">
        <f>IF($D329="CBB",$C329,0)</f>
        <v>0</v>
      </c>
    </row>
    <row r="330" spans="1:12" x14ac:dyDescent="0.25">
      <c r="A330" s="6">
        <v>41549</v>
      </c>
      <c r="B330" t="s">
        <v>47</v>
      </c>
      <c r="C330" s="7">
        <v>-120</v>
      </c>
      <c r="D330" t="s">
        <v>6</v>
      </c>
      <c r="E330" s="8">
        <f>E329+F330</f>
        <v>48320</v>
      </c>
      <c r="F330" s="8">
        <f>IF($D330="CR01",$C330,0)</f>
        <v>-120</v>
      </c>
      <c r="G330" s="8">
        <f>G329+H330</f>
        <v>0</v>
      </c>
      <c r="H330" s="8">
        <f>IF($D330="VISA",$C330,0)</f>
        <v>0</v>
      </c>
      <c r="I330" s="8">
        <f>I329+J330</f>
        <v>0</v>
      </c>
      <c r="J330" s="8">
        <f>IF($D330="ACC",$C330,0)</f>
        <v>0</v>
      </c>
      <c r="K330" s="8">
        <f>K329+L330</f>
        <v>0</v>
      </c>
      <c r="L330" s="8">
        <f>IF($D330="CBB",$C330,0)</f>
        <v>0</v>
      </c>
    </row>
    <row r="331" spans="1:12" x14ac:dyDescent="0.25">
      <c r="A331" s="6">
        <v>41549</v>
      </c>
      <c r="B331" t="s">
        <v>59</v>
      </c>
      <c r="C331" s="7">
        <v>-900</v>
      </c>
      <c r="D331" t="s">
        <v>6</v>
      </c>
      <c r="E331" s="8">
        <f>E330+F331</f>
        <v>47420</v>
      </c>
      <c r="F331" s="8">
        <f>IF($D331="CR01",$C331,0)</f>
        <v>-900</v>
      </c>
      <c r="G331" s="8">
        <f>G330+H331</f>
        <v>0</v>
      </c>
      <c r="H331" s="8">
        <f>IF($D331="VISA",$C331,0)</f>
        <v>0</v>
      </c>
      <c r="I331" s="8">
        <f>I330+J331</f>
        <v>0</v>
      </c>
      <c r="J331" s="8">
        <f>IF($D331="ACC",$C331,0)</f>
        <v>0</v>
      </c>
      <c r="K331" s="8">
        <f>K330+L331</f>
        <v>0</v>
      </c>
      <c r="L331" s="8">
        <f>IF($D331="CBB",$C331,0)</f>
        <v>0</v>
      </c>
    </row>
    <row r="332" spans="1:12" x14ac:dyDescent="0.25">
      <c r="A332" s="6">
        <v>41550</v>
      </c>
      <c r="B332" t="s">
        <v>44</v>
      </c>
      <c r="C332" s="7">
        <v>-400</v>
      </c>
      <c r="D332" t="s">
        <v>6</v>
      </c>
      <c r="E332" s="8">
        <f>E331+F332</f>
        <v>47020</v>
      </c>
      <c r="F332" s="8">
        <f>IF($D332="CR01",$C332,0)</f>
        <v>-400</v>
      </c>
      <c r="G332" s="8">
        <f>G331+H332</f>
        <v>0</v>
      </c>
      <c r="H332" s="8">
        <f>IF($D332="VISA",$C332,0)</f>
        <v>0</v>
      </c>
      <c r="I332" s="8">
        <f>I331+J332</f>
        <v>0</v>
      </c>
      <c r="J332" s="8">
        <f>IF($D332="ACC",$C332,0)</f>
        <v>0</v>
      </c>
      <c r="K332" s="8">
        <f>K331+L332</f>
        <v>0</v>
      </c>
      <c r="L332" s="8">
        <f>IF($D332="CBB",$C332,0)</f>
        <v>0</v>
      </c>
    </row>
    <row r="333" spans="1:12" x14ac:dyDescent="0.25">
      <c r="A333" s="6">
        <v>41550</v>
      </c>
      <c r="B333" t="s">
        <v>45</v>
      </c>
      <c r="C333" s="7">
        <v>-180</v>
      </c>
      <c r="D333" t="s">
        <v>6</v>
      </c>
      <c r="E333" s="8">
        <f>E332+F333</f>
        <v>46840</v>
      </c>
      <c r="F333" s="8">
        <f>IF($D333="CR01",$C333,0)</f>
        <v>-180</v>
      </c>
      <c r="G333" s="8">
        <f>G332+H333</f>
        <v>0</v>
      </c>
      <c r="H333" s="8">
        <f>IF($D333="VISA",$C333,0)</f>
        <v>0</v>
      </c>
      <c r="I333" s="8">
        <f>I332+J333</f>
        <v>0</v>
      </c>
      <c r="J333" s="8">
        <f>IF($D333="ACC",$C333,0)</f>
        <v>0</v>
      </c>
      <c r="K333" s="8">
        <f>K332+L333</f>
        <v>0</v>
      </c>
      <c r="L333" s="8">
        <f>IF($D333="CBB",$C333,0)</f>
        <v>0</v>
      </c>
    </row>
    <row r="334" spans="1:12" x14ac:dyDescent="0.25">
      <c r="A334" s="6">
        <v>41550</v>
      </c>
      <c r="B334" t="s">
        <v>46</v>
      </c>
      <c r="C334" s="7">
        <v>-300</v>
      </c>
      <c r="D334" t="s">
        <v>6</v>
      </c>
      <c r="E334" s="8">
        <f>E333+F334</f>
        <v>46540</v>
      </c>
      <c r="F334" s="8">
        <f>IF($D334="CR01",$C334,0)</f>
        <v>-300</v>
      </c>
      <c r="G334" s="8">
        <f>G333+H334</f>
        <v>0</v>
      </c>
      <c r="H334" s="8">
        <f>IF($D334="VISA",$C334,0)</f>
        <v>0</v>
      </c>
      <c r="I334" s="8">
        <f>I333+J334</f>
        <v>0</v>
      </c>
      <c r="J334" s="8">
        <f>IF($D334="ACC",$C334,0)</f>
        <v>0</v>
      </c>
      <c r="K334" s="8">
        <f>K333+L334</f>
        <v>0</v>
      </c>
      <c r="L334" s="8">
        <f>IF($D334="CBB",$C334,0)</f>
        <v>0</v>
      </c>
    </row>
    <row r="335" spans="1:12" x14ac:dyDescent="0.25">
      <c r="A335" s="6">
        <v>41552</v>
      </c>
      <c r="B335" t="s">
        <v>67</v>
      </c>
      <c r="C335" s="7">
        <v>5200</v>
      </c>
      <c r="D335" t="s">
        <v>6</v>
      </c>
      <c r="E335" s="8">
        <f>E334+F335</f>
        <v>51740</v>
      </c>
      <c r="F335" s="8">
        <f>IF($D335="CR01",$C335,0)</f>
        <v>5200</v>
      </c>
      <c r="G335" s="8">
        <f>G334+H335</f>
        <v>0</v>
      </c>
      <c r="H335" s="8">
        <f>IF($D335="VISA",$C335,0)</f>
        <v>0</v>
      </c>
      <c r="I335" s="8">
        <f>I334+J335</f>
        <v>0</v>
      </c>
      <c r="J335" s="8">
        <f>IF($D335="ACC",$C335,0)</f>
        <v>0</v>
      </c>
      <c r="K335" s="8">
        <f>K334+L335</f>
        <v>0</v>
      </c>
      <c r="L335" s="8">
        <f>IF($D335="CBB",$C335,0)</f>
        <v>0</v>
      </c>
    </row>
    <row r="336" spans="1:12" x14ac:dyDescent="0.25">
      <c r="A336" s="6">
        <v>41555</v>
      </c>
      <c r="B336" t="s">
        <v>42</v>
      </c>
      <c r="C336" s="7">
        <v>-2806</v>
      </c>
      <c r="D336" t="s">
        <v>6</v>
      </c>
      <c r="E336" s="8">
        <f>E335+F336</f>
        <v>48934</v>
      </c>
      <c r="F336" s="8">
        <f>IF($D336="CR01",$C336,0)</f>
        <v>-2806</v>
      </c>
      <c r="G336" s="8">
        <f>G335+H336</f>
        <v>0</v>
      </c>
      <c r="H336" s="8">
        <f>IF($D336="VISA",$C336,0)</f>
        <v>0</v>
      </c>
      <c r="I336" s="8">
        <f>I335+J336</f>
        <v>0</v>
      </c>
      <c r="J336" s="8">
        <f>IF($D336="ACC",$C336,0)</f>
        <v>0</v>
      </c>
      <c r="K336" s="8">
        <f>K335+L336</f>
        <v>0</v>
      </c>
      <c r="L336" s="8">
        <f>IF($D336="CBB",$C336,0)</f>
        <v>0</v>
      </c>
    </row>
    <row r="337" spans="1:12" x14ac:dyDescent="0.25">
      <c r="A337" s="6">
        <v>41555</v>
      </c>
      <c r="B337" t="s">
        <v>48</v>
      </c>
      <c r="C337" s="7">
        <v>-100</v>
      </c>
      <c r="D337" t="s">
        <v>6</v>
      </c>
      <c r="E337" s="8">
        <f>E336+F337</f>
        <v>48834</v>
      </c>
      <c r="F337" s="8">
        <f>IF($D337="CR01",$C337,0)</f>
        <v>-100</v>
      </c>
      <c r="G337" s="8">
        <f>G336+H337</f>
        <v>0</v>
      </c>
      <c r="H337" s="8">
        <f>IF($D337="VISA",$C337,0)</f>
        <v>0</v>
      </c>
      <c r="I337" s="8">
        <f>I336+J337</f>
        <v>0</v>
      </c>
      <c r="J337" s="8">
        <f>IF($D337="ACC",$C337,0)</f>
        <v>0</v>
      </c>
      <c r="K337" s="8">
        <f>K336+L337</f>
        <v>0</v>
      </c>
      <c r="L337" s="8">
        <f>IF($D337="CBB",$C337,0)</f>
        <v>0</v>
      </c>
    </row>
    <row r="338" spans="1:12" x14ac:dyDescent="0.25">
      <c r="A338" s="6">
        <v>41556</v>
      </c>
      <c r="B338" t="s">
        <v>47</v>
      </c>
      <c r="C338" s="7">
        <v>-120</v>
      </c>
      <c r="D338" t="s">
        <v>6</v>
      </c>
      <c r="E338" s="8">
        <f>E337+F338</f>
        <v>48714</v>
      </c>
      <c r="F338" s="8">
        <f>IF($D338="CR01",$C338,0)</f>
        <v>-120</v>
      </c>
      <c r="G338" s="8">
        <f>G337+H338</f>
        <v>0</v>
      </c>
      <c r="H338" s="8">
        <f>IF($D338="VISA",$C338,0)</f>
        <v>0</v>
      </c>
      <c r="I338" s="8">
        <f>I337+J338</f>
        <v>0</v>
      </c>
      <c r="J338" s="8">
        <f>IF($D338="ACC",$C338,0)</f>
        <v>0</v>
      </c>
      <c r="K338" s="8">
        <f>K337+L338</f>
        <v>0</v>
      </c>
      <c r="L338" s="8">
        <f>IF($D338="CBB",$C338,0)</f>
        <v>0</v>
      </c>
    </row>
    <row r="339" spans="1:12" x14ac:dyDescent="0.25">
      <c r="A339" s="6">
        <v>41557</v>
      </c>
      <c r="B339" t="s">
        <v>44</v>
      </c>
      <c r="C339" s="7">
        <v>-400</v>
      </c>
      <c r="D339" t="s">
        <v>6</v>
      </c>
      <c r="E339" s="8">
        <f>E338+F339</f>
        <v>48314</v>
      </c>
      <c r="F339" s="8">
        <f>IF($D339="CR01",$C339,0)</f>
        <v>-400</v>
      </c>
      <c r="G339" s="8">
        <f>G338+H339</f>
        <v>0</v>
      </c>
      <c r="H339" s="8">
        <f>IF($D339="VISA",$C339,0)</f>
        <v>0</v>
      </c>
      <c r="I339" s="8">
        <f>I338+J339</f>
        <v>0</v>
      </c>
      <c r="J339" s="8">
        <f>IF($D339="ACC",$C339,0)</f>
        <v>0</v>
      </c>
      <c r="K339" s="8">
        <f>K338+L339</f>
        <v>0</v>
      </c>
      <c r="L339" s="8">
        <f>IF($D339="CBB",$C339,0)</f>
        <v>0</v>
      </c>
    </row>
    <row r="340" spans="1:12" x14ac:dyDescent="0.25">
      <c r="A340" s="6">
        <v>41557</v>
      </c>
      <c r="B340" t="s">
        <v>45</v>
      </c>
      <c r="C340" s="7">
        <v>-180</v>
      </c>
      <c r="D340" t="s">
        <v>6</v>
      </c>
      <c r="E340" s="8">
        <f>E339+F340</f>
        <v>48134</v>
      </c>
      <c r="F340" s="8">
        <f>IF($D340="CR01",$C340,0)</f>
        <v>-180</v>
      </c>
      <c r="G340" s="8">
        <f>G339+H340</f>
        <v>0</v>
      </c>
      <c r="H340" s="8">
        <f>IF($D340="VISA",$C340,0)</f>
        <v>0</v>
      </c>
      <c r="I340" s="8">
        <f>I339+J340</f>
        <v>0</v>
      </c>
      <c r="J340" s="8">
        <f>IF($D340="ACC",$C340,0)</f>
        <v>0</v>
      </c>
      <c r="K340" s="8">
        <f>K339+L340</f>
        <v>0</v>
      </c>
      <c r="L340" s="8">
        <f>IF($D340="CBB",$C340,0)</f>
        <v>0</v>
      </c>
    </row>
    <row r="341" spans="1:12" x14ac:dyDescent="0.25">
      <c r="A341" s="6">
        <v>41557</v>
      </c>
      <c r="B341" t="s">
        <v>46</v>
      </c>
      <c r="C341" s="7">
        <v>-300</v>
      </c>
      <c r="D341" t="s">
        <v>6</v>
      </c>
      <c r="E341" s="8">
        <f>E340+F341</f>
        <v>47834</v>
      </c>
      <c r="F341" s="8">
        <f>IF($D341="CR01",$C341,0)</f>
        <v>-300</v>
      </c>
      <c r="G341" s="8">
        <f>G340+H341</f>
        <v>0</v>
      </c>
      <c r="H341" s="8">
        <f>IF($D341="VISA",$C341,0)</f>
        <v>0</v>
      </c>
      <c r="I341" s="8">
        <f>I340+J341</f>
        <v>0</v>
      </c>
      <c r="J341" s="8">
        <f>IF($D341="ACC",$C341,0)</f>
        <v>0</v>
      </c>
      <c r="K341" s="8">
        <f>K340+L341</f>
        <v>0</v>
      </c>
      <c r="L341" s="8">
        <f>IF($D341="CBB",$C341,0)</f>
        <v>0</v>
      </c>
    </row>
    <row r="342" spans="1:12" x14ac:dyDescent="0.25">
      <c r="A342" s="6">
        <v>41558</v>
      </c>
      <c r="B342" t="s">
        <v>43</v>
      </c>
      <c r="C342" s="7">
        <v>3226</v>
      </c>
      <c r="D342" t="s">
        <v>6</v>
      </c>
      <c r="E342" s="8">
        <f>E341+F342</f>
        <v>51060</v>
      </c>
      <c r="F342" s="8">
        <f>IF($D342="CR01",$C342,0)</f>
        <v>3226</v>
      </c>
      <c r="G342" s="8">
        <f>G341+H342</f>
        <v>0</v>
      </c>
      <c r="H342" s="8">
        <f>IF($D342="VISA",$C342,0)</f>
        <v>0</v>
      </c>
      <c r="I342" s="8">
        <f>I341+J342</f>
        <v>0</v>
      </c>
      <c r="J342" s="8">
        <f>IF($D342="ACC",$C342,0)</f>
        <v>0</v>
      </c>
      <c r="K342" s="8">
        <f>K341+L342</f>
        <v>0</v>
      </c>
      <c r="L342" s="8">
        <f>IF($D342="CBB",$C342,0)</f>
        <v>0</v>
      </c>
    </row>
    <row r="343" spans="1:12" x14ac:dyDescent="0.25">
      <c r="A343" s="6">
        <v>41562</v>
      </c>
      <c r="B343" t="s">
        <v>48</v>
      </c>
      <c r="C343" s="7">
        <v>-100</v>
      </c>
      <c r="D343" t="s">
        <v>6</v>
      </c>
      <c r="E343" s="8">
        <f>E342+F343</f>
        <v>50960</v>
      </c>
      <c r="F343" s="8">
        <f>IF($D343="CR01",$C343,0)</f>
        <v>-100</v>
      </c>
      <c r="G343" s="8">
        <f>G342+H343</f>
        <v>0</v>
      </c>
      <c r="H343" s="8">
        <f>IF($D343="VISA",$C343,0)</f>
        <v>0</v>
      </c>
      <c r="I343" s="8">
        <f>I342+J343</f>
        <v>0</v>
      </c>
      <c r="J343" s="8">
        <f>IF($D343="ACC",$C343,0)</f>
        <v>0</v>
      </c>
      <c r="K343" s="8">
        <f>K342+L343</f>
        <v>0</v>
      </c>
      <c r="L343" s="8">
        <f>IF($D343="CBB",$C343,0)</f>
        <v>0</v>
      </c>
    </row>
    <row r="344" spans="1:12" x14ac:dyDescent="0.25">
      <c r="A344" s="6">
        <v>41563</v>
      </c>
      <c r="B344" t="s">
        <v>47</v>
      </c>
      <c r="C344" s="7">
        <v>-120</v>
      </c>
      <c r="D344" t="s">
        <v>6</v>
      </c>
      <c r="E344" s="8">
        <f>E343+F344</f>
        <v>50840</v>
      </c>
      <c r="F344" s="8">
        <f>IF($D344="CR01",$C344,0)</f>
        <v>-120</v>
      </c>
      <c r="G344" s="8">
        <f>G343+H344</f>
        <v>0</v>
      </c>
      <c r="H344" s="8">
        <f>IF($D344="VISA",$C344,0)</f>
        <v>0</v>
      </c>
      <c r="I344" s="8">
        <f>I343+J344</f>
        <v>0</v>
      </c>
      <c r="J344" s="8">
        <f>IF($D344="ACC",$C344,0)</f>
        <v>0</v>
      </c>
      <c r="K344" s="8">
        <f>K343+L344</f>
        <v>0</v>
      </c>
      <c r="L344" s="8">
        <f>IF($D344="CBB",$C344,0)</f>
        <v>0</v>
      </c>
    </row>
    <row r="345" spans="1:12" x14ac:dyDescent="0.25">
      <c r="A345" s="6">
        <v>41564</v>
      </c>
      <c r="B345" t="s">
        <v>44</v>
      </c>
      <c r="C345" s="7">
        <v>-400</v>
      </c>
      <c r="D345" t="s">
        <v>6</v>
      </c>
      <c r="E345" s="8">
        <f>E344+F345</f>
        <v>50440</v>
      </c>
      <c r="F345" s="8">
        <f>IF($D345="CR01",$C345,0)</f>
        <v>-400</v>
      </c>
      <c r="G345" s="8">
        <f>G344+H345</f>
        <v>0</v>
      </c>
      <c r="H345" s="8">
        <f>IF($D345="VISA",$C345,0)</f>
        <v>0</v>
      </c>
      <c r="I345" s="8">
        <f>I344+J345</f>
        <v>0</v>
      </c>
      <c r="J345" s="8">
        <f>IF($D345="ACC",$C345,0)</f>
        <v>0</v>
      </c>
      <c r="K345" s="8">
        <f>K344+L345</f>
        <v>0</v>
      </c>
      <c r="L345" s="8">
        <f>IF($D345="CBB",$C345,0)</f>
        <v>0</v>
      </c>
    </row>
    <row r="346" spans="1:12" x14ac:dyDescent="0.25">
      <c r="A346" s="6">
        <v>41564</v>
      </c>
      <c r="B346" t="s">
        <v>45</v>
      </c>
      <c r="C346" s="7">
        <v>-180</v>
      </c>
      <c r="D346" t="s">
        <v>6</v>
      </c>
      <c r="E346" s="8">
        <f>E345+F346</f>
        <v>50260</v>
      </c>
      <c r="F346" s="8">
        <f>IF($D346="CR01",$C346,0)</f>
        <v>-180</v>
      </c>
      <c r="G346" s="8">
        <f>G345+H346</f>
        <v>0</v>
      </c>
      <c r="H346" s="8">
        <f>IF($D346="VISA",$C346,0)</f>
        <v>0</v>
      </c>
      <c r="I346" s="8">
        <f>I345+J346</f>
        <v>0</v>
      </c>
      <c r="J346" s="8">
        <f>IF($D346="ACC",$C346,0)</f>
        <v>0</v>
      </c>
      <c r="K346" s="8">
        <f>K345+L346</f>
        <v>0</v>
      </c>
      <c r="L346" s="8">
        <f>IF($D346="CBB",$C346,0)</f>
        <v>0</v>
      </c>
    </row>
    <row r="347" spans="1:12" x14ac:dyDescent="0.25">
      <c r="A347" s="6">
        <v>41564</v>
      </c>
      <c r="B347" t="s">
        <v>46</v>
      </c>
      <c r="C347" s="7">
        <v>-300</v>
      </c>
      <c r="D347" t="s">
        <v>6</v>
      </c>
      <c r="E347" s="8">
        <f>E346+F347</f>
        <v>49960</v>
      </c>
      <c r="F347" s="8">
        <f>IF($D347="CR01",$C347,0)</f>
        <v>-300</v>
      </c>
      <c r="G347" s="8">
        <f>G346+H347</f>
        <v>0</v>
      </c>
      <c r="H347" s="8">
        <f>IF($D347="VISA",$C347,0)</f>
        <v>0</v>
      </c>
      <c r="I347" s="8">
        <f>I346+J347</f>
        <v>0</v>
      </c>
      <c r="J347" s="8">
        <f>IF($D347="ACC",$C347,0)</f>
        <v>0</v>
      </c>
      <c r="K347" s="8">
        <f>K346+L347</f>
        <v>0</v>
      </c>
      <c r="L347" s="8">
        <f>IF($D347="CBB",$C347,0)</f>
        <v>0</v>
      </c>
    </row>
    <row r="348" spans="1:12" x14ac:dyDescent="0.25">
      <c r="A348" s="6">
        <v>41566</v>
      </c>
      <c r="B348" t="s">
        <v>67</v>
      </c>
      <c r="C348" s="7">
        <v>5200</v>
      </c>
      <c r="D348" t="s">
        <v>6</v>
      </c>
      <c r="E348" s="8">
        <f>E347+F348</f>
        <v>55160</v>
      </c>
      <c r="F348" s="8">
        <f>IF($D348="CR01",$C348,0)</f>
        <v>5200</v>
      </c>
      <c r="G348" s="8">
        <f>G347+H348</f>
        <v>0</v>
      </c>
      <c r="H348" s="8">
        <f>IF($D348="VISA",$C348,0)</f>
        <v>0</v>
      </c>
      <c r="I348" s="8">
        <f>I347+J348</f>
        <v>0</v>
      </c>
      <c r="J348" s="8">
        <f>IF($D348="ACC",$C348,0)</f>
        <v>0</v>
      </c>
      <c r="K348" s="8">
        <f>K347+L348</f>
        <v>0</v>
      </c>
      <c r="L348" s="8">
        <f>IF($D348="CBB",$C348,0)</f>
        <v>0</v>
      </c>
    </row>
    <row r="349" spans="1:12" x14ac:dyDescent="0.25">
      <c r="A349" s="6">
        <v>41569</v>
      </c>
      <c r="B349" t="s">
        <v>42</v>
      </c>
      <c r="C349" s="7">
        <v>-2806</v>
      </c>
      <c r="D349" t="s">
        <v>6</v>
      </c>
      <c r="E349" s="8">
        <f>E348+F349</f>
        <v>52354</v>
      </c>
      <c r="F349" s="8">
        <f>IF($D349="CR01",$C349,0)</f>
        <v>-2806</v>
      </c>
      <c r="G349" s="8">
        <f>G348+H349</f>
        <v>0</v>
      </c>
      <c r="H349" s="8">
        <f>IF($D349="VISA",$C349,0)</f>
        <v>0</v>
      </c>
      <c r="I349" s="8">
        <f>I348+J349</f>
        <v>0</v>
      </c>
      <c r="J349" s="8">
        <f>IF($D349="ACC",$C349,0)</f>
        <v>0</v>
      </c>
      <c r="K349" s="8">
        <f>K348+L349</f>
        <v>0</v>
      </c>
      <c r="L349" s="8">
        <f>IF($D349="CBB",$C349,0)</f>
        <v>0</v>
      </c>
    </row>
    <row r="350" spans="1:12" x14ac:dyDescent="0.25">
      <c r="A350" s="6">
        <v>41569</v>
      </c>
      <c r="B350" t="s">
        <v>48</v>
      </c>
      <c r="C350" s="7">
        <v>-100</v>
      </c>
      <c r="D350" t="s">
        <v>6</v>
      </c>
      <c r="E350" s="8">
        <f>E349+F350</f>
        <v>52254</v>
      </c>
      <c r="F350" s="8">
        <f>IF($D350="CR01",$C350,0)</f>
        <v>-100</v>
      </c>
      <c r="G350" s="8">
        <f>G349+H350</f>
        <v>0</v>
      </c>
      <c r="H350" s="8">
        <f>IF($D350="VISA",$C350,0)</f>
        <v>0</v>
      </c>
      <c r="I350" s="8">
        <f>I349+J350</f>
        <v>0</v>
      </c>
      <c r="J350" s="8">
        <f>IF($D350="ACC",$C350,0)</f>
        <v>0</v>
      </c>
      <c r="K350" s="8">
        <f>K349+L350</f>
        <v>0</v>
      </c>
      <c r="L350" s="8">
        <f>IF($D350="CBB",$C350,0)</f>
        <v>0</v>
      </c>
    </row>
    <row r="351" spans="1:12" x14ac:dyDescent="0.25">
      <c r="A351" s="6">
        <v>41570</v>
      </c>
      <c r="B351" t="s">
        <v>47</v>
      </c>
      <c r="C351" s="7">
        <v>-120</v>
      </c>
      <c r="D351" t="s">
        <v>6</v>
      </c>
      <c r="E351" s="8">
        <f>E350+F351</f>
        <v>52134</v>
      </c>
      <c r="F351" s="8">
        <f>IF($D351="CR01",$C351,0)</f>
        <v>-120</v>
      </c>
      <c r="G351" s="8">
        <f>G350+H351</f>
        <v>0</v>
      </c>
      <c r="H351" s="8">
        <f>IF($D351="VISA",$C351,0)</f>
        <v>0</v>
      </c>
      <c r="I351" s="8">
        <f>I350+J351</f>
        <v>0</v>
      </c>
      <c r="J351" s="8">
        <f>IF($D351="ACC",$C351,0)</f>
        <v>0</v>
      </c>
      <c r="K351" s="8">
        <f>K350+L351</f>
        <v>0</v>
      </c>
      <c r="L351" s="8">
        <f>IF($D351="CBB",$C351,0)</f>
        <v>0</v>
      </c>
    </row>
    <row r="352" spans="1:12" x14ac:dyDescent="0.25">
      <c r="A352" s="6">
        <v>41571</v>
      </c>
      <c r="B352" t="s">
        <v>44</v>
      </c>
      <c r="C352" s="7">
        <v>-400</v>
      </c>
      <c r="D352" t="s">
        <v>6</v>
      </c>
      <c r="E352" s="8">
        <f>E351+F352</f>
        <v>51734</v>
      </c>
      <c r="F352" s="8">
        <f>IF($D352="CR01",$C352,0)</f>
        <v>-400</v>
      </c>
      <c r="G352" s="8">
        <f>G351+H352</f>
        <v>0</v>
      </c>
      <c r="H352" s="8">
        <f>IF($D352="VISA",$C352,0)</f>
        <v>0</v>
      </c>
      <c r="I352" s="8">
        <f>I351+J352</f>
        <v>0</v>
      </c>
      <c r="J352" s="8">
        <f>IF($D352="ACC",$C352,0)</f>
        <v>0</v>
      </c>
      <c r="K352" s="8">
        <f>K351+L352</f>
        <v>0</v>
      </c>
      <c r="L352" s="8">
        <f>IF($D352="CBB",$C352,0)</f>
        <v>0</v>
      </c>
    </row>
    <row r="353" spans="1:12" x14ac:dyDescent="0.25">
      <c r="A353" s="6">
        <v>41571</v>
      </c>
      <c r="B353" t="s">
        <v>45</v>
      </c>
      <c r="C353" s="7">
        <v>-180</v>
      </c>
      <c r="D353" t="s">
        <v>6</v>
      </c>
      <c r="E353" s="8">
        <f>E352+F353</f>
        <v>51554</v>
      </c>
      <c r="F353" s="8">
        <f>IF($D353="CR01",$C353,0)</f>
        <v>-180</v>
      </c>
      <c r="G353" s="8">
        <f>G352+H353</f>
        <v>0</v>
      </c>
      <c r="H353" s="8">
        <f>IF($D353="VISA",$C353,0)</f>
        <v>0</v>
      </c>
      <c r="I353" s="8">
        <f>I352+J353</f>
        <v>0</v>
      </c>
      <c r="J353" s="8">
        <f>IF($D353="ACC",$C353,0)</f>
        <v>0</v>
      </c>
      <c r="K353" s="8">
        <f>K352+L353</f>
        <v>0</v>
      </c>
      <c r="L353" s="8">
        <f>IF($D353="CBB",$C353,0)</f>
        <v>0</v>
      </c>
    </row>
    <row r="354" spans="1:12" x14ac:dyDescent="0.25">
      <c r="A354" s="6">
        <v>41571</v>
      </c>
      <c r="B354" t="s">
        <v>46</v>
      </c>
      <c r="C354" s="7">
        <v>-300</v>
      </c>
      <c r="D354" t="s">
        <v>6</v>
      </c>
      <c r="E354" s="8">
        <f>E353+F354</f>
        <v>51254</v>
      </c>
      <c r="F354" s="8">
        <f>IF($D354="CR01",$C354,0)</f>
        <v>-300</v>
      </c>
      <c r="G354" s="8">
        <f>G353+H354</f>
        <v>0</v>
      </c>
      <c r="H354" s="8">
        <f>IF($D354="VISA",$C354,0)</f>
        <v>0</v>
      </c>
      <c r="I354" s="8">
        <f>I353+J354</f>
        <v>0</v>
      </c>
      <c r="J354" s="8">
        <f>IF($D354="ACC",$C354,0)</f>
        <v>0</v>
      </c>
      <c r="K354" s="8">
        <f>K353+L354</f>
        <v>0</v>
      </c>
      <c r="L354" s="8">
        <f>IF($D354="CBB",$C354,0)</f>
        <v>0</v>
      </c>
    </row>
    <row r="355" spans="1:12" x14ac:dyDescent="0.25">
      <c r="A355" s="6">
        <v>41572</v>
      </c>
      <c r="B355" t="s">
        <v>43</v>
      </c>
      <c r="C355" s="7">
        <v>3226</v>
      </c>
      <c r="D355" t="s">
        <v>6</v>
      </c>
      <c r="E355" s="8">
        <f>E354+F355</f>
        <v>54480</v>
      </c>
      <c r="F355" s="8">
        <f>IF($D355="CR01",$C355,0)</f>
        <v>3226</v>
      </c>
      <c r="G355" s="8">
        <f>G354+H355</f>
        <v>0</v>
      </c>
      <c r="H355" s="8">
        <f>IF($D355="VISA",$C355,0)</f>
        <v>0</v>
      </c>
      <c r="I355" s="8">
        <f>I354+J355</f>
        <v>0</v>
      </c>
      <c r="J355" s="8">
        <f>IF($D355="ACC",$C355,0)</f>
        <v>0</v>
      </c>
      <c r="K355" s="8">
        <f>K354+L355</f>
        <v>0</v>
      </c>
      <c r="L355" s="8">
        <f>IF($D355="CBB",$C355,0)</f>
        <v>0</v>
      </c>
    </row>
    <row r="356" spans="1:12" x14ac:dyDescent="0.25">
      <c r="A356" s="6">
        <v>41576</v>
      </c>
      <c r="B356" t="s">
        <v>48</v>
      </c>
      <c r="C356" s="7">
        <v>-100</v>
      </c>
      <c r="D356" t="s">
        <v>6</v>
      </c>
      <c r="E356" s="8">
        <f>E355+F356</f>
        <v>54380</v>
      </c>
      <c r="F356" s="8">
        <f>IF($D356="CR01",$C356,0)</f>
        <v>-100</v>
      </c>
      <c r="G356" s="8">
        <f>G355+H356</f>
        <v>0</v>
      </c>
      <c r="H356" s="8">
        <f>IF($D356="VISA",$C356,0)</f>
        <v>0</v>
      </c>
      <c r="I356" s="8">
        <f>I355+J356</f>
        <v>0</v>
      </c>
      <c r="J356" s="8">
        <f>IF($D356="ACC",$C356,0)</f>
        <v>0</v>
      </c>
      <c r="K356" s="8">
        <f>K355+L356</f>
        <v>0</v>
      </c>
      <c r="L356" s="8">
        <f>IF($D356="CBB",$C356,0)</f>
        <v>0</v>
      </c>
    </row>
    <row r="357" spans="1:12" x14ac:dyDescent="0.25">
      <c r="A357" s="6">
        <v>41577</v>
      </c>
      <c r="B357" t="s">
        <v>47</v>
      </c>
      <c r="C357" s="7">
        <v>-120</v>
      </c>
      <c r="D357" t="s">
        <v>6</v>
      </c>
      <c r="E357" s="8">
        <f>E356+F357</f>
        <v>54260</v>
      </c>
      <c r="F357" s="8">
        <f>IF($D357="CR01",$C357,0)</f>
        <v>-120</v>
      </c>
      <c r="G357" s="8">
        <f>G356+H357</f>
        <v>0</v>
      </c>
      <c r="H357" s="8">
        <f>IF($D357="VISA",$C357,0)</f>
        <v>0</v>
      </c>
      <c r="I357" s="8">
        <f>I356+J357</f>
        <v>0</v>
      </c>
      <c r="J357" s="8">
        <f>IF($D357="ACC",$C357,0)</f>
        <v>0</v>
      </c>
      <c r="K357" s="8">
        <f>K356+L357</f>
        <v>0</v>
      </c>
      <c r="L357" s="8">
        <f>IF($D357="CBB",$C357,0)</f>
        <v>0</v>
      </c>
    </row>
    <row r="358" spans="1:12" x14ac:dyDescent="0.25">
      <c r="A358" s="6">
        <v>41578</v>
      </c>
      <c r="B358" t="s">
        <v>44</v>
      </c>
      <c r="C358" s="7">
        <v>-400</v>
      </c>
      <c r="D358" t="s">
        <v>6</v>
      </c>
      <c r="E358" s="8">
        <f>E357+F358</f>
        <v>53860</v>
      </c>
      <c r="F358" s="8">
        <f>IF($D358="CR01",$C358,0)</f>
        <v>-400</v>
      </c>
      <c r="G358" s="8">
        <f>G357+H358</f>
        <v>0</v>
      </c>
      <c r="H358" s="8">
        <f>IF($D358="VISA",$C358,0)</f>
        <v>0</v>
      </c>
      <c r="I358" s="8">
        <f>I357+J358</f>
        <v>0</v>
      </c>
      <c r="J358" s="8">
        <f>IF($D358="ACC",$C358,0)</f>
        <v>0</v>
      </c>
      <c r="K358" s="8">
        <f>K357+L358</f>
        <v>0</v>
      </c>
      <c r="L358" s="8">
        <f>IF($D358="CBB",$C358,0)</f>
        <v>0</v>
      </c>
    </row>
    <row r="359" spans="1:12" x14ac:dyDescent="0.25">
      <c r="A359" s="6">
        <v>41578</v>
      </c>
      <c r="B359" t="s">
        <v>45</v>
      </c>
      <c r="C359" s="7">
        <v>-180</v>
      </c>
      <c r="D359" t="s">
        <v>6</v>
      </c>
      <c r="E359" s="8">
        <f>E358+F359</f>
        <v>53680</v>
      </c>
      <c r="F359" s="8">
        <f>IF($D359="CR01",$C359,0)</f>
        <v>-180</v>
      </c>
      <c r="G359" s="8">
        <f>G358+H359</f>
        <v>0</v>
      </c>
      <c r="H359" s="8">
        <f>IF($D359="VISA",$C359,0)</f>
        <v>0</v>
      </c>
      <c r="I359" s="8">
        <f>I358+J359</f>
        <v>0</v>
      </c>
      <c r="J359" s="8">
        <f>IF($D359="ACC",$C359,0)</f>
        <v>0</v>
      </c>
      <c r="K359" s="8">
        <f>K358+L359</f>
        <v>0</v>
      </c>
      <c r="L359" s="8">
        <f>IF($D359="CBB",$C359,0)</f>
        <v>0</v>
      </c>
    </row>
    <row r="360" spans="1:12" x14ac:dyDescent="0.25">
      <c r="A360" s="6">
        <v>41578</v>
      </c>
      <c r="B360" t="s">
        <v>46</v>
      </c>
      <c r="C360" s="7">
        <v>-300</v>
      </c>
      <c r="D360" t="s">
        <v>6</v>
      </c>
      <c r="E360" s="8">
        <f>E359+F360</f>
        <v>53380</v>
      </c>
      <c r="F360" s="8">
        <f>IF($D360="CR01",$C360,0)</f>
        <v>-300</v>
      </c>
      <c r="G360" s="8">
        <f>G359+H360</f>
        <v>0</v>
      </c>
      <c r="H360" s="8">
        <f>IF($D360="VISA",$C360,0)</f>
        <v>0</v>
      </c>
      <c r="I360" s="8">
        <f>I359+J360</f>
        <v>0</v>
      </c>
      <c r="J360" s="8">
        <f>IF($D360="ACC",$C360,0)</f>
        <v>0</v>
      </c>
      <c r="K360" s="8">
        <f>K359+L360</f>
        <v>0</v>
      </c>
      <c r="L360" s="8">
        <f>IF($D360="CBB",$C360,0)</f>
        <v>0</v>
      </c>
    </row>
    <row r="361" spans="1:12" x14ac:dyDescent="0.25">
      <c r="A361" s="6">
        <v>41579</v>
      </c>
      <c r="B361" t="s">
        <v>58</v>
      </c>
      <c r="C361" s="7">
        <v>-200</v>
      </c>
      <c r="D361" t="s">
        <v>6</v>
      </c>
      <c r="E361" s="8">
        <f>E360+F361</f>
        <v>53180</v>
      </c>
      <c r="F361" s="8">
        <f>IF($D361="CR01",$C361,0)</f>
        <v>-200</v>
      </c>
      <c r="G361" s="8">
        <f>G360+H361</f>
        <v>0</v>
      </c>
      <c r="H361" s="8">
        <f>IF($D361="VISA",$C361,0)</f>
        <v>0</v>
      </c>
      <c r="I361" s="8">
        <f>I360+J361</f>
        <v>0</v>
      </c>
      <c r="J361" s="8">
        <f>IF($D361="ACC",$C361,0)</f>
        <v>0</v>
      </c>
      <c r="K361" s="8">
        <f>K360+L361</f>
        <v>0</v>
      </c>
      <c r="L361" s="8">
        <f>IF($D361="CBB",$C361,0)</f>
        <v>0</v>
      </c>
    </row>
    <row r="362" spans="1:12" x14ac:dyDescent="0.25">
      <c r="A362" s="6">
        <v>41579</v>
      </c>
      <c r="B362" t="s">
        <v>60</v>
      </c>
      <c r="C362" s="7">
        <v>-400</v>
      </c>
      <c r="D362" t="s">
        <v>6</v>
      </c>
      <c r="E362" s="8">
        <f>E361+F362</f>
        <v>52780</v>
      </c>
      <c r="F362" s="8">
        <f>IF($D362="CR01",$C362,0)</f>
        <v>-400</v>
      </c>
      <c r="G362" s="8">
        <f>G361+H362</f>
        <v>0</v>
      </c>
      <c r="H362" s="8">
        <f>IF($D362="VISA",$C362,0)</f>
        <v>0</v>
      </c>
      <c r="I362" s="8">
        <f>I361+J362</f>
        <v>0</v>
      </c>
      <c r="J362" s="8">
        <f>IF($D362="ACC",$C362,0)</f>
        <v>0</v>
      </c>
      <c r="K362" s="8">
        <f>K361+L362</f>
        <v>0</v>
      </c>
      <c r="L362" s="8">
        <f>IF($D362="CBB",$C362,0)</f>
        <v>0</v>
      </c>
    </row>
    <row r="363" spans="1:12" x14ac:dyDescent="0.25">
      <c r="A363" s="6">
        <v>41579</v>
      </c>
      <c r="B363" t="s">
        <v>62</v>
      </c>
      <c r="C363" s="7">
        <v>-300</v>
      </c>
      <c r="D363" t="s">
        <v>6</v>
      </c>
      <c r="E363" s="8">
        <f>E362+F363</f>
        <v>52480</v>
      </c>
      <c r="F363" s="8">
        <f>IF($D363="CR01",$C363,0)</f>
        <v>-300</v>
      </c>
      <c r="G363" s="8">
        <f>G362+H363</f>
        <v>0</v>
      </c>
      <c r="H363" s="8">
        <f>IF($D363="VISA",$C363,0)</f>
        <v>0</v>
      </c>
      <c r="I363" s="8">
        <f>I362+J363</f>
        <v>0</v>
      </c>
      <c r="J363" s="8">
        <f>IF($D363="ACC",$C363,0)</f>
        <v>0</v>
      </c>
      <c r="K363" s="8">
        <f>K362+L363</f>
        <v>0</v>
      </c>
      <c r="L363" s="8">
        <f>IF($D363="CBB",$C363,0)</f>
        <v>0</v>
      </c>
    </row>
    <row r="364" spans="1:12" x14ac:dyDescent="0.25">
      <c r="A364" s="6">
        <v>41579</v>
      </c>
      <c r="B364" t="s">
        <v>63</v>
      </c>
      <c r="C364" s="7">
        <v>-300</v>
      </c>
      <c r="D364" t="s">
        <v>6</v>
      </c>
      <c r="E364" s="8">
        <f>E363+F364</f>
        <v>52180</v>
      </c>
      <c r="F364" s="8">
        <f>IF($D364="CR01",$C364,0)</f>
        <v>-300</v>
      </c>
      <c r="G364" s="8">
        <f>G363+H364</f>
        <v>0</v>
      </c>
      <c r="H364" s="8">
        <f>IF($D364="VISA",$C364,0)</f>
        <v>0</v>
      </c>
      <c r="I364" s="8">
        <f>I363+J364</f>
        <v>0</v>
      </c>
      <c r="J364" s="8">
        <f>IF($D364="ACC",$C364,0)</f>
        <v>0</v>
      </c>
      <c r="K364" s="8">
        <f>K363+L364</f>
        <v>0</v>
      </c>
      <c r="L364" s="8">
        <f>IF($D364="CBB",$C364,0)</f>
        <v>0</v>
      </c>
    </row>
    <row r="365" spans="1:12" x14ac:dyDescent="0.25">
      <c r="A365" s="6">
        <v>41579</v>
      </c>
      <c r="B365" t="s">
        <v>64</v>
      </c>
      <c r="C365" s="7">
        <v>-26</v>
      </c>
      <c r="D365" t="s">
        <v>6</v>
      </c>
      <c r="E365" s="8">
        <f>E364+F365</f>
        <v>52154</v>
      </c>
      <c r="F365" s="8">
        <f>IF($D365="CR01",$C365,0)</f>
        <v>-26</v>
      </c>
      <c r="G365" s="8">
        <f>G364+H365</f>
        <v>0</v>
      </c>
      <c r="H365" s="8">
        <f>IF($D365="VISA",$C365,0)</f>
        <v>0</v>
      </c>
      <c r="I365" s="8">
        <f>I364+J365</f>
        <v>0</v>
      </c>
      <c r="J365" s="8">
        <f>IF($D365="ACC",$C365,0)</f>
        <v>0</v>
      </c>
      <c r="K365" s="8">
        <f>K364+L365</f>
        <v>0</v>
      </c>
      <c r="L365" s="8">
        <f>IF($D365="CBB",$C365,0)</f>
        <v>0</v>
      </c>
    </row>
    <row r="366" spans="1:12" x14ac:dyDescent="0.25">
      <c r="A366" s="6">
        <v>41579</v>
      </c>
      <c r="B366" t="s">
        <v>65</v>
      </c>
      <c r="C366" s="7">
        <v>-240</v>
      </c>
      <c r="D366" t="s">
        <v>6</v>
      </c>
      <c r="E366" s="8">
        <f>E365+F366</f>
        <v>51914</v>
      </c>
      <c r="F366" s="8">
        <f>IF($D366="CR01",$C366,0)</f>
        <v>-240</v>
      </c>
      <c r="G366" s="8">
        <f>G365+H366</f>
        <v>0</v>
      </c>
      <c r="H366" s="8">
        <f>IF($D366="VISA",$C366,0)</f>
        <v>0</v>
      </c>
      <c r="I366" s="8">
        <f>I365+J366</f>
        <v>0</v>
      </c>
      <c r="J366" s="8">
        <f>IF($D366="ACC",$C366,0)</f>
        <v>0</v>
      </c>
      <c r="K366" s="8">
        <f>K365+L366</f>
        <v>0</v>
      </c>
      <c r="L366" s="8">
        <f>IF($D366="CBB",$C366,0)</f>
        <v>0</v>
      </c>
    </row>
    <row r="367" spans="1:12" x14ac:dyDescent="0.25">
      <c r="A367" s="6">
        <v>41579</v>
      </c>
      <c r="B367" t="s">
        <v>66</v>
      </c>
      <c r="C367" s="7">
        <v>-120</v>
      </c>
      <c r="D367" t="s">
        <v>6</v>
      </c>
      <c r="E367" s="8">
        <f>E366+F367</f>
        <v>51794</v>
      </c>
      <c r="F367" s="8">
        <f>IF($D367="CR01",$C367,0)</f>
        <v>-120</v>
      </c>
      <c r="G367" s="8">
        <f>G366+H367</f>
        <v>0</v>
      </c>
      <c r="H367" s="8">
        <f>IF($D367="VISA",$C367,0)</f>
        <v>0</v>
      </c>
      <c r="I367" s="8">
        <f>I366+J367</f>
        <v>0</v>
      </c>
      <c r="J367" s="8">
        <f>IF($D367="ACC",$C367,0)</f>
        <v>0</v>
      </c>
      <c r="K367" s="8">
        <f>K366+L367</f>
        <v>0</v>
      </c>
      <c r="L367" s="8">
        <f>IF($D367="CBB",$C367,0)</f>
        <v>0</v>
      </c>
    </row>
    <row r="368" spans="1:12" x14ac:dyDescent="0.25">
      <c r="A368" s="6">
        <v>41580</v>
      </c>
      <c r="B368" t="s">
        <v>67</v>
      </c>
      <c r="C368" s="7">
        <v>5200</v>
      </c>
      <c r="D368" t="s">
        <v>6</v>
      </c>
      <c r="E368" s="8">
        <f>E367+F368</f>
        <v>56994</v>
      </c>
      <c r="F368" s="8">
        <f>IF($D368="CR01",$C368,0)</f>
        <v>5200</v>
      </c>
      <c r="G368" s="8">
        <f>G367+H368</f>
        <v>0</v>
      </c>
      <c r="H368" s="8">
        <f>IF($D368="VISA",$C368,0)</f>
        <v>0</v>
      </c>
      <c r="I368" s="8">
        <f>I367+J368</f>
        <v>0</v>
      </c>
      <c r="J368" s="8">
        <f>IF($D368="ACC",$C368,0)</f>
        <v>0</v>
      </c>
      <c r="K368" s="8">
        <f>K367+L368</f>
        <v>0</v>
      </c>
      <c r="L368" s="8">
        <f>IF($D368="CBB",$C368,0)</f>
        <v>0</v>
      </c>
    </row>
    <row r="369" spans="1:12" x14ac:dyDescent="0.25">
      <c r="A369" s="6">
        <v>41580</v>
      </c>
      <c r="B369" t="s">
        <v>59</v>
      </c>
      <c r="C369" s="7">
        <v>-900</v>
      </c>
      <c r="D369" t="s">
        <v>6</v>
      </c>
      <c r="E369" s="8">
        <f>E368+F369</f>
        <v>56094</v>
      </c>
      <c r="F369" s="8">
        <f>IF($D369="CR01",$C369,0)</f>
        <v>-900</v>
      </c>
      <c r="G369" s="8">
        <f>G368+H369</f>
        <v>0</v>
      </c>
      <c r="H369" s="8">
        <f>IF($D369="VISA",$C369,0)</f>
        <v>0</v>
      </c>
      <c r="I369" s="8">
        <f>I368+J369</f>
        <v>0</v>
      </c>
      <c r="J369" s="8">
        <f>IF($D369="ACC",$C369,0)</f>
        <v>0</v>
      </c>
      <c r="K369" s="8">
        <f>K368+L369</f>
        <v>0</v>
      </c>
      <c r="L369" s="8">
        <f>IF($D369="CBB",$C369,0)</f>
        <v>0</v>
      </c>
    </row>
    <row r="370" spans="1:12" x14ac:dyDescent="0.25">
      <c r="A370" s="6">
        <v>41583</v>
      </c>
      <c r="B370" t="s">
        <v>42</v>
      </c>
      <c r="C370" s="7">
        <v>-2806</v>
      </c>
      <c r="D370" t="s">
        <v>6</v>
      </c>
      <c r="E370" s="8">
        <f>E369+F370</f>
        <v>53288</v>
      </c>
      <c r="F370" s="8">
        <f>IF($D370="CR01",$C370,0)</f>
        <v>-2806</v>
      </c>
      <c r="G370" s="8">
        <f>G369+H370</f>
        <v>0</v>
      </c>
      <c r="H370" s="8">
        <f>IF($D370="VISA",$C370,0)</f>
        <v>0</v>
      </c>
      <c r="I370" s="8">
        <f>I369+J370</f>
        <v>0</v>
      </c>
      <c r="J370" s="8">
        <f>IF($D370="ACC",$C370,0)</f>
        <v>0</v>
      </c>
      <c r="K370" s="8">
        <f>K369+L370</f>
        <v>0</v>
      </c>
      <c r="L370" s="8">
        <f>IF($D370="CBB",$C370,0)</f>
        <v>0</v>
      </c>
    </row>
    <row r="371" spans="1:12" x14ac:dyDescent="0.25">
      <c r="A371" s="6">
        <v>41583</v>
      </c>
      <c r="B371" t="s">
        <v>48</v>
      </c>
      <c r="C371" s="7">
        <v>-100</v>
      </c>
      <c r="D371" t="s">
        <v>6</v>
      </c>
      <c r="E371" s="8">
        <f>E370+F371</f>
        <v>53188</v>
      </c>
      <c r="F371" s="8">
        <f>IF($D371="CR01",$C371,0)</f>
        <v>-100</v>
      </c>
      <c r="G371" s="8">
        <f>G370+H371</f>
        <v>0</v>
      </c>
      <c r="H371" s="8">
        <f>IF($D371="VISA",$C371,0)</f>
        <v>0</v>
      </c>
      <c r="I371" s="8">
        <f>I370+J371</f>
        <v>0</v>
      </c>
      <c r="J371" s="8">
        <f>IF($D371="ACC",$C371,0)</f>
        <v>0</v>
      </c>
      <c r="K371" s="8">
        <f>K370+L371</f>
        <v>0</v>
      </c>
      <c r="L371" s="8">
        <f>IF($D371="CBB",$C371,0)</f>
        <v>0</v>
      </c>
    </row>
    <row r="372" spans="1:12" x14ac:dyDescent="0.25">
      <c r="A372" s="6">
        <v>41584</v>
      </c>
      <c r="B372" t="s">
        <v>47</v>
      </c>
      <c r="C372" s="7">
        <v>-120</v>
      </c>
      <c r="D372" t="s">
        <v>6</v>
      </c>
      <c r="E372" s="8">
        <f>E371+F372</f>
        <v>53068</v>
      </c>
      <c r="F372" s="8">
        <f>IF($D372="CR01",$C372,0)</f>
        <v>-120</v>
      </c>
      <c r="G372" s="8">
        <f>G371+H372</f>
        <v>0</v>
      </c>
      <c r="H372" s="8">
        <f>IF($D372="VISA",$C372,0)</f>
        <v>0</v>
      </c>
      <c r="I372" s="8">
        <f>I371+J372</f>
        <v>0</v>
      </c>
      <c r="J372" s="8">
        <f>IF($D372="ACC",$C372,0)</f>
        <v>0</v>
      </c>
      <c r="K372" s="8">
        <f>K371+L372</f>
        <v>0</v>
      </c>
      <c r="L372" s="8">
        <f>IF($D372="CBB",$C372,0)</f>
        <v>0</v>
      </c>
    </row>
    <row r="373" spans="1:12" x14ac:dyDescent="0.25">
      <c r="A373" s="6">
        <v>41585</v>
      </c>
      <c r="B373" t="s">
        <v>44</v>
      </c>
      <c r="C373" s="7">
        <v>-400</v>
      </c>
      <c r="D373" t="s">
        <v>6</v>
      </c>
      <c r="E373" s="8">
        <f>E372+F373</f>
        <v>52668</v>
      </c>
      <c r="F373" s="8">
        <f>IF($D373="CR01",$C373,0)</f>
        <v>-400</v>
      </c>
      <c r="G373" s="8">
        <f>G372+H373</f>
        <v>0</v>
      </c>
      <c r="H373" s="8">
        <f>IF($D373="VISA",$C373,0)</f>
        <v>0</v>
      </c>
      <c r="I373" s="8">
        <f>I372+J373</f>
        <v>0</v>
      </c>
      <c r="J373" s="8">
        <f>IF($D373="ACC",$C373,0)</f>
        <v>0</v>
      </c>
      <c r="K373" s="8">
        <f>K372+L373</f>
        <v>0</v>
      </c>
      <c r="L373" s="8">
        <f>IF($D373="CBB",$C373,0)</f>
        <v>0</v>
      </c>
    </row>
    <row r="374" spans="1:12" x14ac:dyDescent="0.25">
      <c r="A374" s="6">
        <v>41585</v>
      </c>
      <c r="B374" t="s">
        <v>45</v>
      </c>
      <c r="C374" s="7">
        <v>-180</v>
      </c>
      <c r="D374" t="s">
        <v>6</v>
      </c>
      <c r="E374" s="8">
        <f>E373+F374</f>
        <v>52488</v>
      </c>
      <c r="F374" s="8">
        <f>IF($D374="CR01",$C374,0)</f>
        <v>-180</v>
      </c>
      <c r="G374" s="8">
        <f>G373+H374</f>
        <v>0</v>
      </c>
      <c r="H374" s="8">
        <f>IF($D374="VISA",$C374,0)</f>
        <v>0</v>
      </c>
      <c r="I374" s="8">
        <f>I373+J374</f>
        <v>0</v>
      </c>
      <c r="J374" s="8">
        <f>IF($D374="ACC",$C374,0)</f>
        <v>0</v>
      </c>
      <c r="K374" s="8">
        <f>K373+L374</f>
        <v>0</v>
      </c>
      <c r="L374" s="8">
        <f>IF($D374="CBB",$C374,0)</f>
        <v>0</v>
      </c>
    </row>
    <row r="375" spans="1:12" x14ac:dyDescent="0.25">
      <c r="A375" s="6">
        <v>41585</v>
      </c>
      <c r="B375" t="s">
        <v>46</v>
      </c>
      <c r="C375" s="7">
        <v>-300</v>
      </c>
      <c r="D375" t="s">
        <v>6</v>
      </c>
      <c r="E375" s="8">
        <f>E374+F375</f>
        <v>52188</v>
      </c>
      <c r="F375" s="8">
        <f>IF($D375="CR01",$C375,0)</f>
        <v>-300</v>
      </c>
      <c r="G375" s="8">
        <f>G374+H375</f>
        <v>0</v>
      </c>
      <c r="H375" s="8">
        <f>IF($D375="VISA",$C375,0)</f>
        <v>0</v>
      </c>
      <c r="I375" s="8">
        <f>I374+J375</f>
        <v>0</v>
      </c>
      <c r="J375" s="8">
        <f>IF($D375="ACC",$C375,0)</f>
        <v>0</v>
      </c>
      <c r="K375" s="8">
        <f>K374+L375</f>
        <v>0</v>
      </c>
      <c r="L375" s="8">
        <f>IF($D375="CBB",$C375,0)</f>
        <v>0</v>
      </c>
    </row>
    <row r="376" spans="1:12" x14ac:dyDescent="0.25">
      <c r="A376" s="6">
        <v>41586</v>
      </c>
      <c r="B376" t="s">
        <v>43</v>
      </c>
      <c r="C376" s="7">
        <v>3226</v>
      </c>
      <c r="D376" t="s">
        <v>6</v>
      </c>
      <c r="E376" s="8">
        <f>E375+F376</f>
        <v>55414</v>
      </c>
      <c r="F376" s="8">
        <f>IF($D376="CR01",$C376,0)</f>
        <v>3226</v>
      </c>
      <c r="G376" s="8">
        <f>G375+H376</f>
        <v>0</v>
      </c>
      <c r="H376" s="8">
        <f>IF($D376="VISA",$C376,0)</f>
        <v>0</v>
      </c>
      <c r="I376" s="8">
        <f>I375+J376</f>
        <v>0</v>
      </c>
      <c r="J376" s="8">
        <f>IF($D376="ACC",$C376,0)</f>
        <v>0</v>
      </c>
      <c r="K376" s="8">
        <f>K375+L376</f>
        <v>0</v>
      </c>
      <c r="L376" s="8">
        <f>IF($D376="CBB",$C376,0)</f>
        <v>0</v>
      </c>
    </row>
    <row r="377" spans="1:12" x14ac:dyDescent="0.25">
      <c r="A377" s="6">
        <v>41590</v>
      </c>
      <c r="B377" t="s">
        <v>48</v>
      </c>
      <c r="C377" s="7">
        <v>-100</v>
      </c>
      <c r="D377" t="s">
        <v>6</v>
      </c>
      <c r="E377" s="8">
        <f>E376+F377</f>
        <v>55314</v>
      </c>
      <c r="F377" s="8">
        <f>IF($D377="CR01",$C377,0)</f>
        <v>-100</v>
      </c>
      <c r="G377" s="8">
        <f>G376+H377</f>
        <v>0</v>
      </c>
      <c r="H377" s="8">
        <f>IF($D377="VISA",$C377,0)</f>
        <v>0</v>
      </c>
      <c r="I377" s="8">
        <f>I376+J377</f>
        <v>0</v>
      </c>
      <c r="J377" s="8">
        <f>IF($D377="ACC",$C377,0)</f>
        <v>0</v>
      </c>
      <c r="K377" s="8">
        <f>K376+L377</f>
        <v>0</v>
      </c>
      <c r="L377" s="8">
        <f>IF($D377="CBB",$C377,0)</f>
        <v>0</v>
      </c>
    </row>
    <row r="378" spans="1:12" x14ac:dyDescent="0.25">
      <c r="A378" s="6">
        <v>41591</v>
      </c>
      <c r="B378" t="s">
        <v>47</v>
      </c>
      <c r="C378" s="7">
        <v>-120</v>
      </c>
      <c r="D378" t="s">
        <v>6</v>
      </c>
      <c r="E378" s="8">
        <f>E377+F378</f>
        <v>55194</v>
      </c>
      <c r="F378" s="8">
        <f>IF($D378="CR01",$C378,0)</f>
        <v>-120</v>
      </c>
      <c r="G378" s="8">
        <f>G377+H378</f>
        <v>0</v>
      </c>
      <c r="H378" s="8">
        <f>IF($D378="VISA",$C378,0)</f>
        <v>0</v>
      </c>
      <c r="I378" s="8">
        <f>I377+J378</f>
        <v>0</v>
      </c>
      <c r="J378" s="8">
        <f>IF($D378="ACC",$C378,0)</f>
        <v>0</v>
      </c>
      <c r="K378" s="8">
        <f>K377+L378</f>
        <v>0</v>
      </c>
      <c r="L378" s="8">
        <f>IF($D378="CBB",$C378,0)</f>
        <v>0</v>
      </c>
    </row>
    <row r="379" spans="1:12" x14ac:dyDescent="0.25">
      <c r="A379" s="6">
        <v>41592</v>
      </c>
      <c r="B379" t="s">
        <v>44</v>
      </c>
      <c r="C379" s="7">
        <v>-400</v>
      </c>
      <c r="D379" t="s">
        <v>6</v>
      </c>
      <c r="E379" s="8">
        <f>E378+F379</f>
        <v>54794</v>
      </c>
      <c r="F379" s="8">
        <f>IF($D379="CR01",$C379,0)</f>
        <v>-400</v>
      </c>
      <c r="G379" s="8">
        <f>G378+H379</f>
        <v>0</v>
      </c>
      <c r="H379" s="8">
        <f>IF($D379="VISA",$C379,0)</f>
        <v>0</v>
      </c>
      <c r="I379" s="8">
        <f>I378+J379</f>
        <v>0</v>
      </c>
      <c r="J379" s="8">
        <f>IF($D379="ACC",$C379,0)</f>
        <v>0</v>
      </c>
      <c r="K379" s="8">
        <f>K378+L379</f>
        <v>0</v>
      </c>
      <c r="L379" s="8">
        <f>IF($D379="CBB",$C379,0)</f>
        <v>0</v>
      </c>
    </row>
    <row r="380" spans="1:12" x14ac:dyDescent="0.25">
      <c r="A380" s="6">
        <v>41592</v>
      </c>
      <c r="B380" t="s">
        <v>45</v>
      </c>
      <c r="C380" s="7">
        <v>-180</v>
      </c>
      <c r="D380" t="s">
        <v>6</v>
      </c>
      <c r="E380" s="8">
        <f>E379+F380</f>
        <v>54614</v>
      </c>
      <c r="F380" s="8">
        <f>IF($D380="CR01",$C380,0)</f>
        <v>-180</v>
      </c>
      <c r="G380" s="8">
        <f>G379+H380</f>
        <v>0</v>
      </c>
      <c r="H380" s="8">
        <f>IF($D380="VISA",$C380,0)</f>
        <v>0</v>
      </c>
      <c r="I380" s="8">
        <f>I379+J380</f>
        <v>0</v>
      </c>
      <c r="J380" s="8">
        <f>IF($D380="ACC",$C380,0)</f>
        <v>0</v>
      </c>
      <c r="K380" s="8">
        <f>K379+L380</f>
        <v>0</v>
      </c>
      <c r="L380" s="8">
        <f>IF($D380="CBB",$C380,0)</f>
        <v>0</v>
      </c>
    </row>
    <row r="381" spans="1:12" x14ac:dyDescent="0.25">
      <c r="A381" s="6">
        <v>41592</v>
      </c>
      <c r="B381" t="s">
        <v>46</v>
      </c>
      <c r="C381" s="7">
        <v>-300</v>
      </c>
      <c r="D381" t="s">
        <v>6</v>
      </c>
      <c r="E381" s="8">
        <f>E380+F381</f>
        <v>54314</v>
      </c>
      <c r="F381" s="8">
        <f>IF($D381="CR01",$C381,0)</f>
        <v>-300</v>
      </c>
      <c r="G381" s="8">
        <f>G380+H381</f>
        <v>0</v>
      </c>
      <c r="H381" s="8">
        <f>IF($D381="VISA",$C381,0)</f>
        <v>0</v>
      </c>
      <c r="I381" s="8">
        <f>I380+J381</f>
        <v>0</v>
      </c>
      <c r="J381" s="8">
        <f>IF($D381="ACC",$C381,0)</f>
        <v>0</v>
      </c>
      <c r="K381" s="8">
        <f>K380+L381</f>
        <v>0</v>
      </c>
      <c r="L381" s="8">
        <f>IF($D381="CBB",$C381,0)</f>
        <v>0</v>
      </c>
    </row>
    <row r="382" spans="1:12" x14ac:dyDescent="0.25">
      <c r="A382" s="6">
        <v>41594</v>
      </c>
      <c r="B382" t="s">
        <v>67</v>
      </c>
      <c r="C382" s="7">
        <v>5200</v>
      </c>
      <c r="D382" t="s">
        <v>6</v>
      </c>
      <c r="E382" s="8">
        <f>E381+F382</f>
        <v>59514</v>
      </c>
      <c r="F382" s="8">
        <f>IF($D382="CR01",$C382,0)</f>
        <v>5200</v>
      </c>
      <c r="G382" s="8">
        <f>G381+H382</f>
        <v>0</v>
      </c>
      <c r="H382" s="8">
        <f>IF($D382="VISA",$C382,0)</f>
        <v>0</v>
      </c>
      <c r="I382" s="8">
        <f>I381+J382</f>
        <v>0</v>
      </c>
      <c r="J382" s="8">
        <f>IF($D382="ACC",$C382,0)</f>
        <v>0</v>
      </c>
      <c r="K382" s="8">
        <f>K381+L382</f>
        <v>0</v>
      </c>
      <c r="L382" s="8">
        <f>IF($D382="CBB",$C382,0)</f>
        <v>0</v>
      </c>
    </row>
    <row r="383" spans="1:12" x14ac:dyDescent="0.25">
      <c r="A383" s="6">
        <v>41597</v>
      </c>
      <c r="B383" t="s">
        <v>42</v>
      </c>
      <c r="C383" s="7">
        <v>-2806</v>
      </c>
      <c r="D383" t="s">
        <v>6</v>
      </c>
      <c r="E383" s="8">
        <f>E382+F383</f>
        <v>56708</v>
      </c>
      <c r="F383" s="8">
        <f>IF($D383="CR01",$C383,0)</f>
        <v>-2806</v>
      </c>
      <c r="G383" s="8">
        <f>G382+H383</f>
        <v>0</v>
      </c>
      <c r="H383" s="8">
        <f>IF($D383="VISA",$C383,0)</f>
        <v>0</v>
      </c>
      <c r="I383" s="8">
        <f>I382+J383</f>
        <v>0</v>
      </c>
      <c r="J383" s="8">
        <f>IF($D383="ACC",$C383,0)</f>
        <v>0</v>
      </c>
      <c r="K383" s="8">
        <f>K382+L383</f>
        <v>0</v>
      </c>
      <c r="L383" s="8">
        <f>IF($D383="CBB",$C383,0)</f>
        <v>0</v>
      </c>
    </row>
    <row r="384" spans="1:12" x14ac:dyDescent="0.25">
      <c r="A384" s="6">
        <v>41597</v>
      </c>
      <c r="B384" t="s">
        <v>48</v>
      </c>
      <c r="C384" s="7">
        <v>-100</v>
      </c>
      <c r="D384" t="s">
        <v>6</v>
      </c>
      <c r="E384" s="8">
        <f>E383+F384</f>
        <v>56608</v>
      </c>
      <c r="F384" s="8">
        <f>IF($D384="CR01",$C384,0)</f>
        <v>-100</v>
      </c>
      <c r="G384" s="8">
        <f>G383+H384</f>
        <v>0</v>
      </c>
      <c r="H384" s="8">
        <f>IF($D384="VISA",$C384,0)</f>
        <v>0</v>
      </c>
      <c r="I384" s="8">
        <f>I383+J384</f>
        <v>0</v>
      </c>
      <c r="J384" s="8">
        <f>IF($D384="ACC",$C384,0)</f>
        <v>0</v>
      </c>
      <c r="K384" s="8">
        <f>K383+L384</f>
        <v>0</v>
      </c>
      <c r="L384" s="8">
        <f>IF($D384="CBB",$C384,0)</f>
        <v>0</v>
      </c>
    </row>
    <row r="385" spans="1:12" x14ac:dyDescent="0.25">
      <c r="A385" s="6">
        <v>41598</v>
      </c>
      <c r="B385" t="s">
        <v>47</v>
      </c>
      <c r="C385" s="7">
        <v>-120</v>
      </c>
      <c r="D385" t="s">
        <v>6</v>
      </c>
      <c r="E385" s="8">
        <f>E384+F385</f>
        <v>56488</v>
      </c>
      <c r="F385" s="8">
        <f>IF($D385="CR01",$C385,0)</f>
        <v>-120</v>
      </c>
      <c r="G385" s="8">
        <f>G384+H385</f>
        <v>0</v>
      </c>
      <c r="H385" s="8">
        <f>IF($D385="VISA",$C385,0)</f>
        <v>0</v>
      </c>
      <c r="I385" s="8">
        <f>I384+J385</f>
        <v>0</v>
      </c>
      <c r="J385" s="8">
        <f>IF($D385="ACC",$C385,0)</f>
        <v>0</v>
      </c>
      <c r="K385" s="8">
        <f>K384+L385</f>
        <v>0</v>
      </c>
      <c r="L385" s="8">
        <f>IF($D385="CBB",$C385,0)</f>
        <v>0</v>
      </c>
    </row>
    <row r="386" spans="1:12" x14ac:dyDescent="0.25">
      <c r="A386" s="6">
        <v>41599</v>
      </c>
      <c r="B386" t="s">
        <v>44</v>
      </c>
      <c r="C386" s="7">
        <v>-400</v>
      </c>
      <c r="D386" t="s">
        <v>6</v>
      </c>
      <c r="E386" s="8">
        <f>E385+F386</f>
        <v>56088</v>
      </c>
      <c r="F386" s="8">
        <f>IF($D386="CR01",$C386,0)</f>
        <v>-400</v>
      </c>
      <c r="G386" s="8">
        <f>G385+H386</f>
        <v>0</v>
      </c>
      <c r="H386" s="8">
        <f>IF($D386="VISA",$C386,0)</f>
        <v>0</v>
      </c>
      <c r="I386" s="8">
        <f>I385+J386</f>
        <v>0</v>
      </c>
      <c r="J386" s="8">
        <f>IF($D386="ACC",$C386,0)</f>
        <v>0</v>
      </c>
      <c r="K386" s="8">
        <f>K385+L386</f>
        <v>0</v>
      </c>
      <c r="L386" s="8">
        <f>IF($D386="CBB",$C386,0)</f>
        <v>0</v>
      </c>
    </row>
    <row r="387" spans="1:12" x14ac:dyDescent="0.25">
      <c r="A387" s="6">
        <v>41599</v>
      </c>
      <c r="B387" t="s">
        <v>45</v>
      </c>
      <c r="C387" s="7">
        <v>-180</v>
      </c>
      <c r="D387" t="s">
        <v>6</v>
      </c>
      <c r="E387" s="8">
        <f>E386+F387</f>
        <v>55908</v>
      </c>
      <c r="F387" s="8">
        <f>IF($D387="CR01",$C387,0)</f>
        <v>-180</v>
      </c>
      <c r="G387" s="8">
        <f>G386+H387</f>
        <v>0</v>
      </c>
      <c r="H387" s="8">
        <f>IF($D387="VISA",$C387,0)</f>
        <v>0</v>
      </c>
      <c r="I387" s="8">
        <f>I386+J387</f>
        <v>0</v>
      </c>
      <c r="J387" s="8">
        <f>IF($D387="ACC",$C387,0)</f>
        <v>0</v>
      </c>
      <c r="K387" s="8">
        <f>K386+L387</f>
        <v>0</v>
      </c>
      <c r="L387" s="8">
        <f>IF($D387="CBB",$C387,0)</f>
        <v>0</v>
      </c>
    </row>
    <row r="388" spans="1:12" x14ac:dyDescent="0.25">
      <c r="A388" s="6">
        <v>41599</v>
      </c>
      <c r="B388" t="s">
        <v>46</v>
      </c>
      <c r="C388" s="7">
        <v>-300</v>
      </c>
      <c r="D388" t="s">
        <v>6</v>
      </c>
      <c r="E388" s="8">
        <f>E387+F388</f>
        <v>55608</v>
      </c>
      <c r="F388" s="8">
        <f>IF($D388="CR01",$C388,0)</f>
        <v>-300</v>
      </c>
      <c r="G388" s="8">
        <f>G387+H388</f>
        <v>0</v>
      </c>
      <c r="H388" s="8">
        <f>IF($D388="VISA",$C388,0)</f>
        <v>0</v>
      </c>
      <c r="I388" s="8">
        <f>I387+J388</f>
        <v>0</v>
      </c>
      <c r="J388" s="8">
        <f>IF($D388="ACC",$C388,0)</f>
        <v>0</v>
      </c>
      <c r="K388" s="8">
        <f>K387+L388</f>
        <v>0</v>
      </c>
      <c r="L388" s="8">
        <f>IF($D388="CBB",$C388,0)</f>
        <v>0</v>
      </c>
    </row>
    <row r="389" spans="1:12" x14ac:dyDescent="0.25">
      <c r="A389" s="6">
        <v>41600</v>
      </c>
      <c r="B389" t="s">
        <v>43</v>
      </c>
      <c r="C389" s="7">
        <v>3226</v>
      </c>
      <c r="D389" t="s">
        <v>6</v>
      </c>
      <c r="E389" s="8">
        <f>E388+F389</f>
        <v>58834</v>
      </c>
      <c r="F389" s="8">
        <f>IF($D389="CR01",$C389,0)</f>
        <v>3226</v>
      </c>
      <c r="G389" s="8">
        <f>G388+H389</f>
        <v>0</v>
      </c>
      <c r="H389" s="8">
        <f>IF($D389="VISA",$C389,0)</f>
        <v>0</v>
      </c>
      <c r="I389" s="8">
        <f>I388+J389</f>
        <v>0</v>
      </c>
      <c r="J389" s="8">
        <f>IF($D389="ACC",$C389,0)</f>
        <v>0</v>
      </c>
      <c r="K389" s="8">
        <f>K388+L389</f>
        <v>0</v>
      </c>
      <c r="L389" s="8">
        <f>IF($D389="CBB",$C389,0)</f>
        <v>0</v>
      </c>
    </row>
    <row r="390" spans="1:12" x14ac:dyDescent="0.25">
      <c r="A390" s="6">
        <v>41604</v>
      </c>
      <c r="B390" t="s">
        <v>48</v>
      </c>
      <c r="C390" s="7">
        <v>-100</v>
      </c>
      <c r="D390" t="s">
        <v>6</v>
      </c>
      <c r="E390" s="8">
        <f>E389+F390</f>
        <v>58734</v>
      </c>
      <c r="F390" s="8">
        <f>IF($D390="CR01",$C390,0)</f>
        <v>-100</v>
      </c>
      <c r="G390" s="8">
        <f>G389+H390</f>
        <v>0</v>
      </c>
      <c r="H390" s="8">
        <f>IF($D390="VISA",$C390,0)</f>
        <v>0</v>
      </c>
      <c r="I390" s="8">
        <f>I389+J390</f>
        <v>0</v>
      </c>
      <c r="J390" s="8">
        <f>IF($D390="ACC",$C390,0)</f>
        <v>0</v>
      </c>
      <c r="K390" s="8">
        <f>K389+L390</f>
        <v>0</v>
      </c>
      <c r="L390" s="8">
        <f>IF($D390="CBB",$C390,0)</f>
        <v>0</v>
      </c>
    </row>
    <row r="391" spans="1:12" x14ac:dyDescent="0.25">
      <c r="A391" s="6">
        <v>41605</v>
      </c>
      <c r="B391" t="s">
        <v>47</v>
      </c>
      <c r="C391" s="7">
        <v>-120</v>
      </c>
      <c r="D391" t="s">
        <v>6</v>
      </c>
      <c r="E391" s="8">
        <f>E390+F391</f>
        <v>58614</v>
      </c>
      <c r="F391" s="8">
        <f>IF($D391="CR01",$C391,0)</f>
        <v>-120</v>
      </c>
      <c r="G391" s="8">
        <f>G390+H391</f>
        <v>0</v>
      </c>
      <c r="H391" s="8">
        <f>IF($D391="VISA",$C391,0)</f>
        <v>0</v>
      </c>
      <c r="I391" s="8">
        <f>I390+J391</f>
        <v>0</v>
      </c>
      <c r="J391" s="8">
        <f>IF($D391="ACC",$C391,0)</f>
        <v>0</v>
      </c>
      <c r="K391" s="8">
        <f>K390+L391</f>
        <v>0</v>
      </c>
      <c r="L391" s="8">
        <f>IF($D391="CBB",$C391,0)</f>
        <v>0</v>
      </c>
    </row>
    <row r="392" spans="1:12" x14ac:dyDescent="0.25">
      <c r="A392" s="6">
        <v>41606</v>
      </c>
      <c r="B392" t="s">
        <v>44</v>
      </c>
      <c r="C392" s="7">
        <v>-400</v>
      </c>
      <c r="D392" t="s">
        <v>6</v>
      </c>
      <c r="E392" s="8">
        <f>E391+F392</f>
        <v>58214</v>
      </c>
      <c r="F392" s="8">
        <f>IF($D392="CR01",$C392,0)</f>
        <v>-400</v>
      </c>
      <c r="G392" s="8">
        <f>G391+H392</f>
        <v>0</v>
      </c>
      <c r="H392" s="8">
        <f>IF($D392="VISA",$C392,0)</f>
        <v>0</v>
      </c>
      <c r="I392" s="8">
        <f>I391+J392</f>
        <v>0</v>
      </c>
      <c r="J392" s="8">
        <f>IF($D392="ACC",$C392,0)</f>
        <v>0</v>
      </c>
      <c r="K392" s="8">
        <f>K391+L392</f>
        <v>0</v>
      </c>
      <c r="L392" s="8">
        <f>IF($D392="CBB",$C392,0)</f>
        <v>0</v>
      </c>
    </row>
    <row r="393" spans="1:12" x14ac:dyDescent="0.25">
      <c r="A393" s="6">
        <v>41606</v>
      </c>
      <c r="B393" t="s">
        <v>45</v>
      </c>
      <c r="C393" s="7">
        <v>-180</v>
      </c>
      <c r="D393" t="s">
        <v>6</v>
      </c>
      <c r="E393" s="8">
        <f>E392+F393</f>
        <v>58034</v>
      </c>
      <c r="F393" s="8">
        <f>IF($D393="CR01",$C393,0)</f>
        <v>-180</v>
      </c>
      <c r="G393" s="8">
        <f>G392+H393</f>
        <v>0</v>
      </c>
      <c r="H393" s="8">
        <f>IF($D393="VISA",$C393,0)</f>
        <v>0</v>
      </c>
      <c r="I393" s="8">
        <f>I392+J393</f>
        <v>0</v>
      </c>
      <c r="J393" s="8">
        <f>IF($D393="ACC",$C393,0)</f>
        <v>0</v>
      </c>
      <c r="K393" s="8">
        <f>K392+L393</f>
        <v>0</v>
      </c>
      <c r="L393" s="8">
        <f>IF($D393="CBB",$C393,0)</f>
        <v>0</v>
      </c>
    </row>
    <row r="394" spans="1:12" x14ac:dyDescent="0.25">
      <c r="A394" s="6">
        <v>41606</v>
      </c>
      <c r="B394" t="s">
        <v>46</v>
      </c>
      <c r="C394" s="7">
        <v>-300</v>
      </c>
      <c r="D394" t="s">
        <v>6</v>
      </c>
      <c r="E394" s="8">
        <f>E393+F394</f>
        <v>57734</v>
      </c>
      <c r="F394" s="8">
        <f>IF($D394="CR01",$C394,0)</f>
        <v>-300</v>
      </c>
      <c r="G394" s="8">
        <f>G393+H394</f>
        <v>0</v>
      </c>
      <c r="H394" s="8">
        <f>IF($D394="VISA",$C394,0)</f>
        <v>0</v>
      </c>
      <c r="I394" s="8">
        <f>I393+J394</f>
        <v>0</v>
      </c>
      <c r="J394" s="8">
        <f>IF($D394="ACC",$C394,0)</f>
        <v>0</v>
      </c>
      <c r="K394" s="8">
        <f>K393+L394</f>
        <v>0</v>
      </c>
      <c r="L394" s="8">
        <f>IF($D394="CBB",$C394,0)</f>
        <v>0</v>
      </c>
    </row>
    <row r="395" spans="1:12" x14ac:dyDescent="0.25">
      <c r="A395" s="6">
        <v>41608</v>
      </c>
      <c r="B395" t="s">
        <v>67</v>
      </c>
      <c r="C395" s="7">
        <v>5200</v>
      </c>
      <c r="D395" t="s">
        <v>6</v>
      </c>
      <c r="E395" s="8">
        <f>E394+F395</f>
        <v>62934</v>
      </c>
      <c r="F395" s="8">
        <f>IF($D395="CR01",$C395,0)</f>
        <v>5200</v>
      </c>
      <c r="G395" s="8">
        <f>G394+H395</f>
        <v>0</v>
      </c>
      <c r="H395" s="8">
        <f>IF($D395="VISA",$C395,0)</f>
        <v>0</v>
      </c>
      <c r="I395" s="8">
        <f>I394+J395</f>
        <v>0</v>
      </c>
      <c r="J395" s="8">
        <f>IF($D395="ACC",$C395,0)</f>
        <v>0</v>
      </c>
      <c r="K395" s="8">
        <f>K394+L395</f>
        <v>0</v>
      </c>
      <c r="L395" s="8">
        <f>IF($D395="CBB",$C395,0)</f>
        <v>0</v>
      </c>
    </row>
    <row r="396" spans="1:12" x14ac:dyDescent="0.25">
      <c r="A396" s="6">
        <v>41609</v>
      </c>
      <c r="B396" t="s">
        <v>58</v>
      </c>
      <c r="C396" s="7">
        <v>-200</v>
      </c>
      <c r="D396" t="s">
        <v>6</v>
      </c>
      <c r="E396" s="8">
        <f>E395+F396</f>
        <v>62734</v>
      </c>
      <c r="F396" s="8">
        <f>IF($D396="CR01",$C396,0)</f>
        <v>-200</v>
      </c>
      <c r="G396" s="8">
        <f>G395+H396</f>
        <v>0</v>
      </c>
      <c r="H396" s="8">
        <f>IF($D396="VISA",$C396,0)</f>
        <v>0</v>
      </c>
      <c r="I396" s="8">
        <f>I395+J396</f>
        <v>0</v>
      </c>
      <c r="J396" s="8">
        <f>IF($D396="ACC",$C396,0)</f>
        <v>0</v>
      </c>
      <c r="K396" s="8">
        <f>K395+L396</f>
        <v>0</v>
      </c>
      <c r="L396" s="8">
        <f>IF($D396="CBB",$C396,0)</f>
        <v>0</v>
      </c>
    </row>
    <row r="397" spans="1:12" x14ac:dyDescent="0.25">
      <c r="A397" s="6">
        <v>41609</v>
      </c>
      <c r="B397" t="s">
        <v>60</v>
      </c>
      <c r="C397" s="7">
        <v>-400</v>
      </c>
      <c r="D397" t="s">
        <v>6</v>
      </c>
      <c r="E397" s="8">
        <f>E396+F397</f>
        <v>62334</v>
      </c>
      <c r="F397" s="8">
        <f>IF($D397="CR01",$C397,0)</f>
        <v>-400</v>
      </c>
      <c r="G397" s="8">
        <f>G396+H397</f>
        <v>0</v>
      </c>
      <c r="H397" s="8">
        <f>IF($D397="VISA",$C397,0)</f>
        <v>0</v>
      </c>
      <c r="I397" s="8">
        <f>I396+J397</f>
        <v>0</v>
      </c>
      <c r="J397" s="8">
        <f>IF($D397="ACC",$C397,0)</f>
        <v>0</v>
      </c>
      <c r="K397" s="8">
        <f>K396+L397</f>
        <v>0</v>
      </c>
      <c r="L397" s="8">
        <f>IF($D397="CBB",$C397,0)</f>
        <v>0</v>
      </c>
    </row>
    <row r="398" spans="1:12" x14ac:dyDescent="0.25">
      <c r="A398" s="6">
        <v>41609</v>
      </c>
      <c r="B398" t="s">
        <v>64</v>
      </c>
      <c r="C398" s="7">
        <v>-26</v>
      </c>
      <c r="D398" t="s">
        <v>6</v>
      </c>
      <c r="E398" s="8">
        <f>E397+F398</f>
        <v>62308</v>
      </c>
      <c r="F398" s="8">
        <f>IF($D398="CR01",$C398,0)</f>
        <v>-26</v>
      </c>
      <c r="G398" s="8">
        <f>G397+H398</f>
        <v>0</v>
      </c>
      <c r="H398" s="8">
        <f>IF($D398="VISA",$C398,0)</f>
        <v>0</v>
      </c>
      <c r="I398" s="8">
        <f>I397+J398</f>
        <v>0</v>
      </c>
      <c r="J398" s="8">
        <f>IF($D398="ACC",$C398,0)</f>
        <v>0</v>
      </c>
      <c r="K398" s="8">
        <f>K397+L398</f>
        <v>0</v>
      </c>
      <c r="L398" s="8">
        <f>IF($D398="CBB",$C398,0)</f>
        <v>0</v>
      </c>
    </row>
    <row r="399" spans="1:12" x14ac:dyDescent="0.25">
      <c r="A399" s="6">
        <v>41609</v>
      </c>
      <c r="B399" t="s">
        <v>65</v>
      </c>
      <c r="C399" s="7">
        <v>-240</v>
      </c>
      <c r="D399" t="s">
        <v>6</v>
      </c>
      <c r="E399" s="8">
        <f>E398+F399</f>
        <v>62068</v>
      </c>
      <c r="F399" s="8">
        <f>IF($D399="CR01",$C399,0)</f>
        <v>-240</v>
      </c>
      <c r="G399" s="8">
        <f>G398+H399</f>
        <v>0</v>
      </c>
      <c r="H399" s="8">
        <f>IF($D399="VISA",$C399,0)</f>
        <v>0</v>
      </c>
      <c r="I399" s="8">
        <f>I398+J399</f>
        <v>0</v>
      </c>
      <c r="J399" s="8">
        <f>IF($D399="ACC",$C399,0)</f>
        <v>0</v>
      </c>
      <c r="K399" s="8">
        <f>K398+L399</f>
        <v>0</v>
      </c>
      <c r="L399" s="8">
        <f>IF($D399="CBB",$C399,0)</f>
        <v>0</v>
      </c>
    </row>
    <row r="400" spans="1:12" x14ac:dyDescent="0.25">
      <c r="A400" s="6">
        <v>41609</v>
      </c>
      <c r="B400" t="s">
        <v>66</v>
      </c>
      <c r="C400" s="7">
        <v>-120</v>
      </c>
      <c r="D400" t="s">
        <v>6</v>
      </c>
      <c r="E400" s="8">
        <f>E399+F400</f>
        <v>61948</v>
      </c>
      <c r="F400" s="8">
        <f>IF($D400="CR01",$C400,0)</f>
        <v>-120</v>
      </c>
      <c r="G400" s="8">
        <f>G399+H400</f>
        <v>0</v>
      </c>
      <c r="H400" s="8">
        <f>IF($D400="VISA",$C400,0)</f>
        <v>0</v>
      </c>
      <c r="I400" s="8">
        <f>I399+J400</f>
        <v>0</v>
      </c>
      <c r="J400" s="8">
        <f>IF($D400="ACC",$C400,0)</f>
        <v>0</v>
      </c>
      <c r="K400" s="8">
        <f>K399+L400</f>
        <v>0</v>
      </c>
      <c r="L400" s="8">
        <f>IF($D400="CBB",$C400,0)</f>
        <v>0</v>
      </c>
    </row>
    <row r="401" spans="1:12" x14ac:dyDescent="0.25">
      <c r="A401" s="6">
        <v>41610</v>
      </c>
      <c r="B401" t="s">
        <v>59</v>
      </c>
      <c r="C401" s="7">
        <v>-900</v>
      </c>
      <c r="D401" t="s">
        <v>6</v>
      </c>
      <c r="E401" s="8">
        <f>E400+F401</f>
        <v>61048</v>
      </c>
      <c r="F401" s="8">
        <f>IF($D401="CR01",$C401,0)</f>
        <v>-900</v>
      </c>
      <c r="G401" s="8">
        <f>G400+H401</f>
        <v>0</v>
      </c>
      <c r="H401" s="8">
        <f>IF($D401="VISA",$C401,0)</f>
        <v>0</v>
      </c>
      <c r="I401" s="8">
        <f>I400+J401</f>
        <v>0</v>
      </c>
      <c r="J401" s="8">
        <f>IF($D401="ACC",$C401,0)</f>
        <v>0</v>
      </c>
      <c r="K401" s="8">
        <f>K400+L401</f>
        <v>0</v>
      </c>
      <c r="L401" s="8">
        <f>IF($D401="CBB",$C401,0)</f>
        <v>0</v>
      </c>
    </row>
    <row r="402" spans="1:12" x14ac:dyDescent="0.25">
      <c r="A402" s="6">
        <v>41611</v>
      </c>
      <c r="B402" t="s">
        <v>42</v>
      </c>
      <c r="C402" s="7">
        <v>-2806</v>
      </c>
      <c r="D402" t="s">
        <v>6</v>
      </c>
      <c r="E402" s="8">
        <f>E401+F402</f>
        <v>58242</v>
      </c>
      <c r="F402" s="8">
        <f>IF($D402="CR01",$C402,0)</f>
        <v>-2806</v>
      </c>
      <c r="G402" s="8">
        <f>G401+H402</f>
        <v>0</v>
      </c>
      <c r="H402" s="8">
        <f>IF($D402="VISA",$C402,0)</f>
        <v>0</v>
      </c>
      <c r="I402" s="8">
        <f>I401+J402</f>
        <v>0</v>
      </c>
      <c r="J402" s="8">
        <f>IF($D402="ACC",$C402,0)</f>
        <v>0</v>
      </c>
      <c r="K402" s="8">
        <f>K401+L402</f>
        <v>0</v>
      </c>
      <c r="L402" s="8">
        <f>IF($D402="CBB",$C402,0)</f>
        <v>0</v>
      </c>
    </row>
    <row r="403" spans="1:12" x14ac:dyDescent="0.25">
      <c r="A403" s="6">
        <v>41611</v>
      </c>
      <c r="B403" t="s">
        <v>48</v>
      </c>
      <c r="C403" s="7">
        <v>-100</v>
      </c>
      <c r="D403" t="s">
        <v>6</v>
      </c>
      <c r="E403" s="8">
        <f>E402+F403</f>
        <v>58142</v>
      </c>
      <c r="F403" s="8">
        <f>IF($D403="CR01",$C403,0)</f>
        <v>-100</v>
      </c>
      <c r="G403" s="8">
        <f>G402+H403</f>
        <v>0</v>
      </c>
      <c r="H403" s="8">
        <f>IF($D403="VISA",$C403,0)</f>
        <v>0</v>
      </c>
      <c r="I403" s="8">
        <f>I402+J403</f>
        <v>0</v>
      </c>
      <c r="J403" s="8">
        <f>IF($D403="ACC",$C403,0)</f>
        <v>0</v>
      </c>
      <c r="K403" s="8">
        <f>K402+L403</f>
        <v>0</v>
      </c>
      <c r="L403" s="8">
        <f>IF($D403="CBB",$C403,0)</f>
        <v>0</v>
      </c>
    </row>
    <row r="404" spans="1:12" x14ac:dyDescent="0.25">
      <c r="A404" s="6">
        <v>41612</v>
      </c>
      <c r="B404" t="s">
        <v>47</v>
      </c>
      <c r="C404" s="7">
        <v>-120</v>
      </c>
      <c r="D404" t="s">
        <v>6</v>
      </c>
      <c r="E404" s="8">
        <f>E403+F404</f>
        <v>58022</v>
      </c>
      <c r="F404" s="8">
        <f>IF($D404="CR01",$C404,0)</f>
        <v>-120</v>
      </c>
      <c r="G404" s="8">
        <f>G403+H404</f>
        <v>0</v>
      </c>
      <c r="H404" s="8">
        <f>IF($D404="VISA",$C404,0)</f>
        <v>0</v>
      </c>
      <c r="I404" s="8">
        <f>I403+J404</f>
        <v>0</v>
      </c>
      <c r="J404" s="8">
        <f>IF($D404="ACC",$C404,0)</f>
        <v>0</v>
      </c>
      <c r="K404" s="8">
        <f>K403+L404</f>
        <v>0</v>
      </c>
      <c r="L404" s="8">
        <f>IF($D404="CBB",$C404,0)</f>
        <v>0</v>
      </c>
    </row>
    <row r="405" spans="1:12" x14ac:dyDescent="0.25">
      <c r="A405" s="6">
        <v>41613</v>
      </c>
      <c r="B405" t="s">
        <v>44</v>
      </c>
      <c r="C405" s="7">
        <v>-400</v>
      </c>
      <c r="D405" t="s">
        <v>6</v>
      </c>
      <c r="E405" s="8">
        <f>E404+F405</f>
        <v>57622</v>
      </c>
      <c r="F405" s="8">
        <f>IF($D405="CR01",$C405,0)</f>
        <v>-400</v>
      </c>
      <c r="G405" s="8">
        <f>G404+H405</f>
        <v>0</v>
      </c>
      <c r="H405" s="8">
        <f>IF($D405="VISA",$C405,0)</f>
        <v>0</v>
      </c>
      <c r="I405" s="8">
        <f>I404+J405</f>
        <v>0</v>
      </c>
      <c r="J405" s="8">
        <f>IF($D405="ACC",$C405,0)</f>
        <v>0</v>
      </c>
      <c r="K405" s="8">
        <f>K404+L405</f>
        <v>0</v>
      </c>
      <c r="L405" s="8">
        <f>IF($D405="CBB",$C405,0)</f>
        <v>0</v>
      </c>
    </row>
    <row r="406" spans="1:12" x14ac:dyDescent="0.25">
      <c r="A406" s="6">
        <v>41613</v>
      </c>
      <c r="B406" t="s">
        <v>45</v>
      </c>
      <c r="C406" s="7">
        <v>-180</v>
      </c>
      <c r="D406" t="s">
        <v>6</v>
      </c>
      <c r="E406" s="8">
        <f>E405+F406</f>
        <v>57442</v>
      </c>
      <c r="F406" s="8">
        <f>IF($D406="CR01",$C406,0)</f>
        <v>-180</v>
      </c>
      <c r="G406" s="8">
        <f>G405+H406</f>
        <v>0</v>
      </c>
      <c r="H406" s="8">
        <f>IF($D406="VISA",$C406,0)</f>
        <v>0</v>
      </c>
      <c r="I406" s="8">
        <f>I405+J406</f>
        <v>0</v>
      </c>
      <c r="J406" s="8">
        <f>IF($D406="ACC",$C406,0)</f>
        <v>0</v>
      </c>
      <c r="K406" s="8">
        <f>K405+L406</f>
        <v>0</v>
      </c>
      <c r="L406" s="8">
        <f>IF($D406="CBB",$C406,0)</f>
        <v>0</v>
      </c>
    </row>
    <row r="407" spans="1:12" x14ac:dyDescent="0.25">
      <c r="A407" s="6">
        <v>41613</v>
      </c>
      <c r="B407" t="s">
        <v>46</v>
      </c>
      <c r="C407" s="7">
        <v>-300</v>
      </c>
      <c r="D407" t="s">
        <v>6</v>
      </c>
      <c r="E407" s="8">
        <f>E406+F407</f>
        <v>57142</v>
      </c>
      <c r="F407" s="8">
        <f>IF($D407="CR01",$C407,0)</f>
        <v>-300</v>
      </c>
      <c r="G407" s="8">
        <f>G406+H407</f>
        <v>0</v>
      </c>
      <c r="H407" s="8">
        <f>IF($D407="VISA",$C407,0)</f>
        <v>0</v>
      </c>
      <c r="I407" s="8">
        <f>I406+J407</f>
        <v>0</v>
      </c>
      <c r="J407" s="8">
        <f>IF($D407="ACC",$C407,0)</f>
        <v>0</v>
      </c>
      <c r="K407" s="8">
        <f>K406+L407</f>
        <v>0</v>
      </c>
      <c r="L407" s="8">
        <f>IF($D407="CBB",$C407,0)</f>
        <v>0</v>
      </c>
    </row>
    <row r="408" spans="1:12" x14ac:dyDescent="0.25">
      <c r="A408" s="6">
        <v>41614</v>
      </c>
      <c r="B408" t="s">
        <v>43</v>
      </c>
      <c r="C408" s="7">
        <v>3226</v>
      </c>
      <c r="D408" t="s">
        <v>6</v>
      </c>
      <c r="E408" s="8">
        <f>E407+F408</f>
        <v>60368</v>
      </c>
      <c r="F408" s="8">
        <f>IF($D408="CR01",$C408,0)</f>
        <v>3226</v>
      </c>
      <c r="G408" s="8">
        <f>G407+H408</f>
        <v>0</v>
      </c>
      <c r="H408" s="8">
        <f>IF($D408="VISA",$C408,0)</f>
        <v>0</v>
      </c>
      <c r="I408" s="8">
        <f>I407+J408</f>
        <v>0</v>
      </c>
      <c r="J408" s="8">
        <f>IF($D408="ACC",$C408,0)</f>
        <v>0</v>
      </c>
      <c r="K408" s="8">
        <f>K407+L408</f>
        <v>0</v>
      </c>
      <c r="L408" s="8">
        <f>IF($D408="CBB",$C408,0)</f>
        <v>0</v>
      </c>
    </row>
    <row r="409" spans="1:12" x14ac:dyDescent="0.25">
      <c r="A409" s="6">
        <v>41618</v>
      </c>
      <c r="B409" t="s">
        <v>48</v>
      </c>
      <c r="C409" s="7">
        <v>-100</v>
      </c>
      <c r="D409" t="s">
        <v>6</v>
      </c>
      <c r="E409" s="8">
        <f>E408+F409</f>
        <v>60268</v>
      </c>
      <c r="F409" s="8">
        <f>IF($D409="CR01",$C409,0)</f>
        <v>-100</v>
      </c>
      <c r="G409" s="8">
        <f>G408+H409</f>
        <v>0</v>
      </c>
      <c r="H409" s="8">
        <f>IF($D409="VISA",$C409,0)</f>
        <v>0</v>
      </c>
      <c r="I409" s="8">
        <f>I408+J409</f>
        <v>0</v>
      </c>
      <c r="J409" s="8">
        <f>IF($D409="ACC",$C409,0)</f>
        <v>0</v>
      </c>
      <c r="K409" s="8">
        <f>K408+L409</f>
        <v>0</v>
      </c>
      <c r="L409" s="8">
        <f>IF($D409="CBB",$C409,0)</f>
        <v>0</v>
      </c>
    </row>
    <row r="410" spans="1:12" x14ac:dyDescent="0.25">
      <c r="A410" s="6">
        <v>41619</v>
      </c>
      <c r="B410" t="s">
        <v>47</v>
      </c>
      <c r="C410" s="7">
        <v>-120</v>
      </c>
      <c r="D410" t="s">
        <v>6</v>
      </c>
      <c r="E410" s="8">
        <f>E409+F410</f>
        <v>60148</v>
      </c>
      <c r="F410" s="8">
        <f>IF($D410="CR01",$C410,0)</f>
        <v>-120</v>
      </c>
      <c r="G410" s="8">
        <f>G409+H410</f>
        <v>0</v>
      </c>
      <c r="H410" s="8">
        <f>IF($D410="VISA",$C410,0)</f>
        <v>0</v>
      </c>
      <c r="I410" s="8">
        <f>I409+J410</f>
        <v>0</v>
      </c>
      <c r="J410" s="8">
        <f>IF($D410="ACC",$C410,0)</f>
        <v>0</v>
      </c>
      <c r="K410" s="8">
        <f>K409+L410</f>
        <v>0</v>
      </c>
      <c r="L410" s="8">
        <f>IF($D410="CBB",$C410,0)</f>
        <v>0</v>
      </c>
    </row>
    <row r="411" spans="1:12" x14ac:dyDescent="0.25">
      <c r="A411" s="6">
        <v>41620</v>
      </c>
      <c r="B411" t="s">
        <v>44</v>
      </c>
      <c r="C411" s="7">
        <v>-400</v>
      </c>
      <c r="D411" t="s">
        <v>6</v>
      </c>
      <c r="E411" s="8">
        <f>E410+F411</f>
        <v>59748</v>
      </c>
      <c r="F411" s="8">
        <f>IF($D411="CR01",$C411,0)</f>
        <v>-400</v>
      </c>
      <c r="G411" s="8">
        <f>G410+H411</f>
        <v>0</v>
      </c>
      <c r="H411" s="8">
        <f>IF($D411="VISA",$C411,0)</f>
        <v>0</v>
      </c>
      <c r="I411" s="8">
        <f>I410+J411</f>
        <v>0</v>
      </c>
      <c r="J411" s="8">
        <f>IF($D411="ACC",$C411,0)</f>
        <v>0</v>
      </c>
      <c r="K411" s="8">
        <f>K410+L411</f>
        <v>0</v>
      </c>
      <c r="L411" s="8">
        <f>IF($D411="CBB",$C411,0)</f>
        <v>0</v>
      </c>
    </row>
    <row r="412" spans="1:12" x14ac:dyDescent="0.25">
      <c r="A412" s="6">
        <v>41620</v>
      </c>
      <c r="B412" t="s">
        <v>45</v>
      </c>
      <c r="C412" s="7">
        <v>-180</v>
      </c>
      <c r="D412" t="s">
        <v>6</v>
      </c>
      <c r="E412" s="8">
        <f>E411+F412</f>
        <v>59568</v>
      </c>
      <c r="F412" s="8">
        <f>IF($D412="CR01",$C412,0)</f>
        <v>-180</v>
      </c>
      <c r="G412" s="8">
        <f>G411+H412</f>
        <v>0</v>
      </c>
      <c r="H412" s="8">
        <f>IF($D412="VISA",$C412,0)</f>
        <v>0</v>
      </c>
      <c r="I412" s="8">
        <f>I411+J412</f>
        <v>0</v>
      </c>
      <c r="J412" s="8">
        <f>IF($D412="ACC",$C412,0)</f>
        <v>0</v>
      </c>
      <c r="K412" s="8">
        <f>K411+L412</f>
        <v>0</v>
      </c>
      <c r="L412" s="8">
        <f>IF($D412="CBB",$C412,0)</f>
        <v>0</v>
      </c>
    </row>
    <row r="413" spans="1:12" x14ac:dyDescent="0.25">
      <c r="A413" s="6">
        <v>41620</v>
      </c>
      <c r="B413" t="s">
        <v>46</v>
      </c>
      <c r="C413" s="7">
        <v>-300</v>
      </c>
      <c r="D413" t="s">
        <v>6</v>
      </c>
      <c r="E413" s="8">
        <f>E412+F413</f>
        <v>59268</v>
      </c>
      <c r="F413" s="8">
        <f>IF($D413="CR01",$C413,0)</f>
        <v>-300</v>
      </c>
      <c r="G413" s="8">
        <f>G412+H413</f>
        <v>0</v>
      </c>
      <c r="H413" s="8">
        <f>IF($D413="VISA",$C413,0)</f>
        <v>0</v>
      </c>
      <c r="I413" s="8">
        <f>I412+J413</f>
        <v>0</v>
      </c>
      <c r="J413" s="8">
        <f>IF($D413="ACC",$C413,0)</f>
        <v>0</v>
      </c>
      <c r="K413" s="8">
        <f>K412+L413</f>
        <v>0</v>
      </c>
      <c r="L413" s="8">
        <f>IF($D413="CBB",$C413,0)</f>
        <v>0</v>
      </c>
    </row>
    <row r="414" spans="1:12" x14ac:dyDescent="0.25">
      <c r="A414" s="6">
        <v>41622</v>
      </c>
      <c r="B414" t="s">
        <v>67</v>
      </c>
      <c r="C414" s="7">
        <v>5200</v>
      </c>
      <c r="D414" t="s">
        <v>6</v>
      </c>
      <c r="E414" s="8">
        <f>E413+F414</f>
        <v>64468</v>
      </c>
      <c r="F414" s="8">
        <f>IF($D414="CR01",$C414,0)</f>
        <v>5200</v>
      </c>
      <c r="G414" s="8">
        <f>G413+H414</f>
        <v>0</v>
      </c>
      <c r="H414" s="8">
        <f>IF($D414="VISA",$C414,0)</f>
        <v>0</v>
      </c>
      <c r="I414" s="8">
        <f>I413+J414</f>
        <v>0</v>
      </c>
      <c r="J414" s="8">
        <f>IF($D414="ACC",$C414,0)</f>
        <v>0</v>
      </c>
      <c r="K414" s="8">
        <f>K413+L414</f>
        <v>0</v>
      </c>
      <c r="L414" s="8">
        <f>IF($D414="CBB",$C414,0)</f>
        <v>0</v>
      </c>
    </row>
    <row r="415" spans="1:12" x14ac:dyDescent="0.25">
      <c r="A415" s="6">
        <v>41625</v>
      </c>
      <c r="B415" t="s">
        <v>42</v>
      </c>
      <c r="C415" s="7">
        <v>-2806</v>
      </c>
      <c r="D415" t="s">
        <v>6</v>
      </c>
      <c r="E415" s="8">
        <f>E414+F415</f>
        <v>61662</v>
      </c>
      <c r="F415" s="8">
        <f>IF($D415="CR01",$C415,0)</f>
        <v>-2806</v>
      </c>
      <c r="G415" s="8">
        <f>G414+H415</f>
        <v>0</v>
      </c>
      <c r="H415" s="8">
        <f>IF($D415="VISA",$C415,0)</f>
        <v>0</v>
      </c>
      <c r="I415" s="8">
        <f>I414+J415</f>
        <v>0</v>
      </c>
      <c r="J415" s="8">
        <f>IF($D415="ACC",$C415,0)</f>
        <v>0</v>
      </c>
      <c r="K415" s="8">
        <f>K414+L415</f>
        <v>0</v>
      </c>
      <c r="L415" s="8">
        <f>IF($D415="CBB",$C415,0)</f>
        <v>0</v>
      </c>
    </row>
    <row r="416" spans="1:12" x14ac:dyDescent="0.25">
      <c r="A416" s="6">
        <v>41625</v>
      </c>
      <c r="B416" t="s">
        <v>48</v>
      </c>
      <c r="C416" s="7">
        <v>-100</v>
      </c>
      <c r="D416" t="s">
        <v>6</v>
      </c>
      <c r="E416" s="8">
        <f>E415+F416</f>
        <v>61562</v>
      </c>
      <c r="F416" s="8">
        <f>IF($D416="CR01",$C416,0)</f>
        <v>-100</v>
      </c>
      <c r="G416" s="8">
        <f>G415+H416</f>
        <v>0</v>
      </c>
      <c r="H416" s="8">
        <f>IF($D416="VISA",$C416,0)</f>
        <v>0</v>
      </c>
      <c r="I416" s="8">
        <f>I415+J416</f>
        <v>0</v>
      </c>
      <c r="J416" s="8">
        <f>IF($D416="ACC",$C416,0)</f>
        <v>0</v>
      </c>
      <c r="K416" s="8">
        <f>K415+L416</f>
        <v>0</v>
      </c>
      <c r="L416" s="8">
        <f>IF($D416="CBB",$C416,0)</f>
        <v>0</v>
      </c>
    </row>
    <row r="417" spans="1:12" x14ac:dyDescent="0.25">
      <c r="A417" s="6">
        <v>41626</v>
      </c>
      <c r="B417" t="s">
        <v>47</v>
      </c>
      <c r="C417" s="7">
        <v>-120</v>
      </c>
      <c r="D417" t="s">
        <v>6</v>
      </c>
      <c r="E417" s="8">
        <f>E416+F417</f>
        <v>61442</v>
      </c>
      <c r="F417" s="8">
        <f>IF($D417="CR01",$C417,0)</f>
        <v>-120</v>
      </c>
      <c r="G417" s="8">
        <f>G416+H417</f>
        <v>0</v>
      </c>
      <c r="H417" s="8">
        <f>IF($D417="VISA",$C417,0)</f>
        <v>0</v>
      </c>
      <c r="I417" s="8">
        <f>I416+J417</f>
        <v>0</v>
      </c>
      <c r="J417" s="8">
        <f>IF($D417="ACC",$C417,0)</f>
        <v>0</v>
      </c>
      <c r="K417" s="8">
        <f>K416+L417</f>
        <v>0</v>
      </c>
      <c r="L417" s="8">
        <f>IF($D417="CBB",$C417,0)</f>
        <v>0</v>
      </c>
    </row>
    <row r="418" spans="1:12" x14ac:dyDescent="0.25">
      <c r="A418" s="6">
        <v>41627</v>
      </c>
      <c r="B418" t="s">
        <v>44</v>
      </c>
      <c r="C418" s="7">
        <v>-400</v>
      </c>
      <c r="D418" t="s">
        <v>6</v>
      </c>
      <c r="E418" s="8">
        <f>E417+F418</f>
        <v>61042</v>
      </c>
      <c r="F418" s="8">
        <f>IF($D418="CR01",$C418,0)</f>
        <v>-400</v>
      </c>
      <c r="G418" s="8">
        <f>G417+H418</f>
        <v>0</v>
      </c>
      <c r="H418" s="8">
        <f>IF($D418="VISA",$C418,0)</f>
        <v>0</v>
      </c>
      <c r="I418" s="8">
        <f>I417+J418</f>
        <v>0</v>
      </c>
      <c r="J418" s="8">
        <f>IF($D418="ACC",$C418,0)</f>
        <v>0</v>
      </c>
      <c r="K418" s="8">
        <f>K417+L418</f>
        <v>0</v>
      </c>
      <c r="L418" s="8">
        <f>IF($D418="CBB",$C418,0)</f>
        <v>0</v>
      </c>
    </row>
    <row r="419" spans="1:12" x14ac:dyDescent="0.25">
      <c r="A419" s="6">
        <v>41627</v>
      </c>
      <c r="B419" t="s">
        <v>45</v>
      </c>
      <c r="C419" s="7">
        <v>-180</v>
      </c>
      <c r="D419" t="s">
        <v>6</v>
      </c>
      <c r="E419" s="8">
        <f>E418+F419</f>
        <v>60862</v>
      </c>
      <c r="F419" s="8">
        <f>IF($D419="CR01",$C419,0)</f>
        <v>-180</v>
      </c>
      <c r="G419" s="8">
        <f>G418+H419</f>
        <v>0</v>
      </c>
      <c r="H419" s="8">
        <f>IF($D419="VISA",$C419,0)</f>
        <v>0</v>
      </c>
      <c r="I419" s="8">
        <f>I418+J419</f>
        <v>0</v>
      </c>
      <c r="J419" s="8">
        <f>IF($D419="ACC",$C419,0)</f>
        <v>0</v>
      </c>
      <c r="K419" s="8">
        <f>K418+L419</f>
        <v>0</v>
      </c>
      <c r="L419" s="8">
        <f>IF($D419="CBB",$C419,0)</f>
        <v>0</v>
      </c>
    </row>
    <row r="420" spans="1:12" x14ac:dyDescent="0.25">
      <c r="A420" s="6">
        <v>41627</v>
      </c>
      <c r="B420" t="s">
        <v>46</v>
      </c>
      <c r="C420" s="7">
        <v>-300</v>
      </c>
      <c r="D420" t="s">
        <v>6</v>
      </c>
      <c r="E420" s="8">
        <f>E419+F420</f>
        <v>60562</v>
      </c>
      <c r="F420" s="8">
        <f>IF($D420="CR01",$C420,0)</f>
        <v>-300</v>
      </c>
      <c r="G420" s="8">
        <f>G419+H420</f>
        <v>0</v>
      </c>
      <c r="H420" s="8">
        <f>IF($D420="VISA",$C420,0)</f>
        <v>0</v>
      </c>
      <c r="I420" s="8">
        <f>I419+J420</f>
        <v>0</v>
      </c>
      <c r="J420" s="8">
        <f>IF($D420="ACC",$C420,0)</f>
        <v>0</v>
      </c>
      <c r="K420" s="8">
        <f>K419+L420</f>
        <v>0</v>
      </c>
      <c r="L420" s="8">
        <f>IF($D420="CBB",$C420,0)</f>
        <v>0</v>
      </c>
    </row>
    <row r="421" spans="1:12" x14ac:dyDescent="0.25">
      <c r="A421" s="6">
        <v>41628</v>
      </c>
      <c r="B421" t="s">
        <v>43</v>
      </c>
      <c r="C421" s="7">
        <v>3226</v>
      </c>
      <c r="D421" t="s">
        <v>6</v>
      </c>
      <c r="E421" s="8">
        <f>E420+F421</f>
        <v>63788</v>
      </c>
      <c r="F421" s="8">
        <f>IF($D421="CR01",$C421,0)</f>
        <v>3226</v>
      </c>
      <c r="G421" s="8">
        <f>G420+H421</f>
        <v>0</v>
      </c>
      <c r="H421" s="8">
        <f>IF($D421="VISA",$C421,0)</f>
        <v>0</v>
      </c>
      <c r="I421" s="8">
        <f>I420+J421</f>
        <v>0</v>
      </c>
      <c r="J421" s="8">
        <f>IF($D421="ACC",$C421,0)</f>
        <v>0</v>
      </c>
      <c r="K421" s="8">
        <f>K420+L421</f>
        <v>0</v>
      </c>
      <c r="L421" s="8">
        <f>IF($D421="CBB",$C421,0)</f>
        <v>0</v>
      </c>
    </row>
    <row r="422" spans="1:12" x14ac:dyDescent="0.25">
      <c r="A422" s="6">
        <v>41632</v>
      </c>
      <c r="B422" t="s">
        <v>48</v>
      </c>
      <c r="C422" s="7">
        <v>-100</v>
      </c>
      <c r="D422" t="s">
        <v>6</v>
      </c>
      <c r="E422" s="8">
        <f>E421+F422</f>
        <v>63688</v>
      </c>
      <c r="F422" s="8">
        <f>IF($D422="CR01",$C422,0)</f>
        <v>-100</v>
      </c>
      <c r="G422" s="8">
        <f>G421+H422</f>
        <v>0</v>
      </c>
      <c r="H422" s="8">
        <f>IF($D422="VISA",$C422,0)</f>
        <v>0</v>
      </c>
      <c r="I422" s="8">
        <f>I421+J422</f>
        <v>0</v>
      </c>
      <c r="J422" s="8">
        <f>IF($D422="ACC",$C422,0)</f>
        <v>0</v>
      </c>
      <c r="K422" s="8">
        <f>K421+L422</f>
        <v>0</v>
      </c>
      <c r="L422" s="8">
        <f>IF($D422="CBB",$C422,0)</f>
        <v>0</v>
      </c>
    </row>
    <row r="423" spans="1:12" x14ac:dyDescent="0.25">
      <c r="A423" s="6">
        <v>41633</v>
      </c>
      <c r="B423" t="s">
        <v>47</v>
      </c>
      <c r="C423" s="7">
        <v>-120</v>
      </c>
      <c r="D423" t="s">
        <v>6</v>
      </c>
      <c r="E423" s="8">
        <f>E422+F423</f>
        <v>63568</v>
      </c>
      <c r="F423" s="8">
        <f>IF($D423="CR01",$C423,0)</f>
        <v>-120</v>
      </c>
      <c r="G423" s="8">
        <f>G422+H423</f>
        <v>0</v>
      </c>
      <c r="H423" s="8">
        <f>IF($D423="VISA",$C423,0)</f>
        <v>0</v>
      </c>
      <c r="I423" s="8">
        <f>I422+J423</f>
        <v>0</v>
      </c>
      <c r="J423" s="8">
        <f>IF($D423="ACC",$C423,0)</f>
        <v>0</v>
      </c>
      <c r="K423" s="8">
        <f>K422+L423</f>
        <v>0</v>
      </c>
      <c r="L423" s="8">
        <f>IF($D423="CBB",$C423,0)</f>
        <v>0</v>
      </c>
    </row>
    <row r="424" spans="1:12" x14ac:dyDescent="0.25">
      <c r="A424" s="6">
        <v>41634</v>
      </c>
      <c r="B424" t="s">
        <v>44</v>
      </c>
      <c r="C424" s="7">
        <v>-400</v>
      </c>
      <c r="D424" t="s">
        <v>6</v>
      </c>
      <c r="E424" s="8">
        <f>E423+F424</f>
        <v>63168</v>
      </c>
      <c r="F424" s="8">
        <f>IF($D424="CR01",$C424,0)</f>
        <v>-400</v>
      </c>
      <c r="G424" s="8">
        <f>G423+H424</f>
        <v>0</v>
      </c>
      <c r="H424" s="8">
        <f>IF($D424="VISA",$C424,0)</f>
        <v>0</v>
      </c>
      <c r="I424" s="8">
        <f>I423+J424</f>
        <v>0</v>
      </c>
      <c r="J424" s="8">
        <f>IF($D424="ACC",$C424,0)</f>
        <v>0</v>
      </c>
      <c r="K424" s="8">
        <f>K423+L424</f>
        <v>0</v>
      </c>
      <c r="L424" s="8">
        <f>IF($D424="CBB",$C424,0)</f>
        <v>0</v>
      </c>
    </row>
    <row r="425" spans="1:12" x14ac:dyDescent="0.25">
      <c r="A425" s="6">
        <v>41634</v>
      </c>
      <c r="B425" t="s">
        <v>45</v>
      </c>
      <c r="C425" s="7">
        <v>-180</v>
      </c>
      <c r="D425" t="s">
        <v>6</v>
      </c>
      <c r="E425" s="8">
        <f>E424+F425</f>
        <v>62988</v>
      </c>
      <c r="F425" s="8">
        <f>IF($D425="CR01",$C425,0)</f>
        <v>-180</v>
      </c>
      <c r="G425" s="8">
        <f>G424+H425</f>
        <v>0</v>
      </c>
      <c r="H425" s="8">
        <f>IF($D425="VISA",$C425,0)</f>
        <v>0</v>
      </c>
      <c r="I425" s="8">
        <f>I424+J425</f>
        <v>0</v>
      </c>
      <c r="J425" s="8">
        <f>IF($D425="ACC",$C425,0)</f>
        <v>0</v>
      </c>
      <c r="K425" s="8">
        <f>K424+L425</f>
        <v>0</v>
      </c>
      <c r="L425" s="8">
        <f>IF($D425="CBB",$C425,0)</f>
        <v>0</v>
      </c>
    </row>
    <row r="426" spans="1:12" x14ac:dyDescent="0.25">
      <c r="A426" s="6">
        <v>41634</v>
      </c>
      <c r="B426" t="s">
        <v>46</v>
      </c>
      <c r="C426" s="7">
        <v>-300</v>
      </c>
      <c r="D426" t="s">
        <v>6</v>
      </c>
      <c r="E426" s="8">
        <f>E425+F426</f>
        <v>62688</v>
      </c>
      <c r="F426" s="8">
        <f>IF($D426="CR01",$C426,0)</f>
        <v>-300</v>
      </c>
      <c r="G426" s="8">
        <f>G425+H426</f>
        <v>0</v>
      </c>
      <c r="H426" s="8">
        <f>IF($D426="VISA",$C426,0)</f>
        <v>0</v>
      </c>
      <c r="I426" s="8">
        <f>I425+J426</f>
        <v>0</v>
      </c>
      <c r="J426" s="8">
        <f>IF($D426="ACC",$C426,0)</f>
        <v>0</v>
      </c>
      <c r="K426" s="8">
        <f>K425+L426</f>
        <v>0</v>
      </c>
      <c r="L426" s="8">
        <f>IF($D426="CBB",$C426,0)</f>
        <v>0</v>
      </c>
    </row>
    <row r="427" spans="1:12" x14ac:dyDescent="0.25">
      <c r="A427" s="6">
        <v>41636</v>
      </c>
      <c r="B427" t="s">
        <v>67</v>
      </c>
      <c r="C427" s="7">
        <v>5200</v>
      </c>
      <c r="D427" t="s">
        <v>6</v>
      </c>
      <c r="E427" s="8">
        <f>E426+F427</f>
        <v>67888</v>
      </c>
      <c r="F427" s="8">
        <f>IF($D427="CR01",$C427,0)</f>
        <v>5200</v>
      </c>
      <c r="G427" s="8">
        <f>G426+H427</f>
        <v>0</v>
      </c>
      <c r="H427" s="8">
        <f>IF($D427="VISA",$C427,0)</f>
        <v>0</v>
      </c>
      <c r="I427" s="8">
        <f>I426+J427</f>
        <v>0</v>
      </c>
      <c r="J427" s="8">
        <f>IF($D427="ACC",$C427,0)</f>
        <v>0</v>
      </c>
      <c r="K427" s="8">
        <f>K426+L427</f>
        <v>0</v>
      </c>
      <c r="L427" s="8">
        <f>IF($D427="CBB",$C427,0)</f>
        <v>0</v>
      </c>
    </row>
    <row r="428" spans="1:12" x14ac:dyDescent="0.25">
      <c r="A428" s="6">
        <v>41639</v>
      </c>
      <c r="B428" t="s">
        <v>42</v>
      </c>
      <c r="C428" s="7">
        <v>-2806</v>
      </c>
      <c r="D428" t="s">
        <v>6</v>
      </c>
      <c r="E428" s="8">
        <f>E427+F428</f>
        <v>65082</v>
      </c>
      <c r="F428" s="8">
        <f>IF($D428="CR01",$C428,0)</f>
        <v>-2806</v>
      </c>
      <c r="G428" s="8">
        <f>G427+H428</f>
        <v>0</v>
      </c>
      <c r="H428" s="8">
        <f>IF($D428="VISA",$C428,0)</f>
        <v>0</v>
      </c>
      <c r="I428" s="8">
        <f>I427+J428</f>
        <v>0</v>
      </c>
      <c r="J428" s="8">
        <f>IF($D428="ACC",$C428,0)</f>
        <v>0</v>
      </c>
      <c r="K428" s="8">
        <f>K427+L428</f>
        <v>0</v>
      </c>
      <c r="L428" s="8">
        <f>IF($D428="CBB",$C428,0)</f>
        <v>0</v>
      </c>
    </row>
    <row r="429" spans="1:12" x14ac:dyDescent="0.25">
      <c r="A429" s="6">
        <v>41639</v>
      </c>
      <c r="B429" t="s">
        <v>48</v>
      </c>
      <c r="C429" s="7">
        <v>-100</v>
      </c>
      <c r="D429" t="s">
        <v>6</v>
      </c>
      <c r="E429" s="8">
        <f>E428+F429</f>
        <v>64982</v>
      </c>
      <c r="F429" s="8">
        <f>IF($D429="CR01",$C429,0)</f>
        <v>-100</v>
      </c>
      <c r="G429" s="8">
        <f>G428+H429</f>
        <v>0</v>
      </c>
      <c r="H429" s="8">
        <f>IF($D429="VISA",$C429,0)</f>
        <v>0</v>
      </c>
      <c r="I429" s="8">
        <f>I428+J429</f>
        <v>0</v>
      </c>
      <c r="J429" s="8">
        <f>IF($D429="ACC",$C429,0)</f>
        <v>0</v>
      </c>
      <c r="K429" s="8">
        <f>K428+L429</f>
        <v>0</v>
      </c>
      <c r="L429" s="8">
        <f>IF($D429="CBB",$C429,0)</f>
        <v>0</v>
      </c>
    </row>
    <row r="430" spans="1:12" x14ac:dyDescent="0.25">
      <c r="A430" s="6">
        <v>41640</v>
      </c>
      <c r="B430" t="s">
        <v>47</v>
      </c>
      <c r="C430" s="7">
        <v>-120</v>
      </c>
      <c r="D430" t="s">
        <v>6</v>
      </c>
      <c r="E430" s="8">
        <f>E429+F430</f>
        <v>64862</v>
      </c>
      <c r="F430" s="8">
        <f>IF($D430="CR01",$C430,0)</f>
        <v>-120</v>
      </c>
      <c r="G430" s="8">
        <f>G429+H430</f>
        <v>0</v>
      </c>
      <c r="H430" s="8">
        <f>IF($D430="VISA",$C430,0)</f>
        <v>0</v>
      </c>
      <c r="I430" s="8">
        <f>I429+J430</f>
        <v>0</v>
      </c>
      <c r="J430" s="8">
        <f>IF($D430="ACC",$C430,0)</f>
        <v>0</v>
      </c>
      <c r="K430" s="8">
        <f>K429+L430</f>
        <v>0</v>
      </c>
      <c r="L430" s="8">
        <f>IF($D430="CBB",$C430,0)</f>
        <v>0</v>
      </c>
    </row>
    <row r="431" spans="1:12" x14ac:dyDescent="0.25">
      <c r="A431" s="6">
        <v>41640</v>
      </c>
      <c r="B431" t="s">
        <v>58</v>
      </c>
      <c r="C431" s="7">
        <v>-200</v>
      </c>
      <c r="D431" t="s">
        <v>6</v>
      </c>
      <c r="E431" s="8">
        <f>E430+F431</f>
        <v>64662</v>
      </c>
      <c r="F431" s="8">
        <f>IF($D431="CR01",$C431,0)</f>
        <v>-200</v>
      </c>
      <c r="G431" s="8">
        <f>G430+H431</f>
        <v>0</v>
      </c>
      <c r="H431" s="8">
        <f>IF($D431="VISA",$C431,0)</f>
        <v>0</v>
      </c>
      <c r="I431" s="8">
        <f>I430+J431</f>
        <v>0</v>
      </c>
      <c r="J431" s="8">
        <f>IF($D431="ACC",$C431,0)</f>
        <v>0</v>
      </c>
      <c r="K431" s="8">
        <f>K430+L431</f>
        <v>0</v>
      </c>
      <c r="L431" s="8">
        <f>IF($D431="CBB",$C431,0)</f>
        <v>0</v>
      </c>
    </row>
    <row r="432" spans="1:12" x14ac:dyDescent="0.25">
      <c r="A432" s="6">
        <v>41640</v>
      </c>
      <c r="B432" t="s">
        <v>60</v>
      </c>
      <c r="C432" s="7">
        <v>-400</v>
      </c>
      <c r="D432" t="s">
        <v>6</v>
      </c>
      <c r="E432" s="8">
        <f>E431+F432</f>
        <v>64262</v>
      </c>
      <c r="F432" s="8">
        <f>IF($D432="CR01",$C432,0)</f>
        <v>-400</v>
      </c>
      <c r="G432" s="8">
        <f>G431+H432</f>
        <v>0</v>
      </c>
      <c r="H432" s="8">
        <f>IF($D432="VISA",$C432,0)</f>
        <v>0</v>
      </c>
      <c r="I432" s="8">
        <f>I431+J432</f>
        <v>0</v>
      </c>
      <c r="J432" s="8">
        <f>IF($D432="ACC",$C432,0)</f>
        <v>0</v>
      </c>
      <c r="K432" s="8">
        <f>K431+L432</f>
        <v>0</v>
      </c>
      <c r="L432" s="8">
        <f>IF($D432="CBB",$C432,0)</f>
        <v>0</v>
      </c>
    </row>
    <row r="433" spans="1:12" x14ac:dyDescent="0.25">
      <c r="A433" s="6">
        <v>41640</v>
      </c>
      <c r="B433" t="s">
        <v>61</v>
      </c>
      <c r="C433" s="7">
        <v>-300</v>
      </c>
      <c r="D433" t="s">
        <v>6</v>
      </c>
      <c r="E433" s="8">
        <f>E432+F433</f>
        <v>63962</v>
      </c>
      <c r="F433" s="8">
        <f>IF($D433="CR01",$C433,0)</f>
        <v>-300</v>
      </c>
      <c r="G433" s="8">
        <f>G432+H433</f>
        <v>0</v>
      </c>
      <c r="H433" s="8">
        <f>IF($D433="VISA",$C433,0)</f>
        <v>0</v>
      </c>
      <c r="I433" s="8">
        <f>I432+J433</f>
        <v>0</v>
      </c>
      <c r="J433" s="8">
        <f>IF($D433="ACC",$C433,0)</f>
        <v>0</v>
      </c>
      <c r="K433" s="8">
        <f>K432+L433</f>
        <v>0</v>
      </c>
      <c r="L433" s="8">
        <f>IF($D433="CBB",$C433,0)</f>
        <v>0</v>
      </c>
    </row>
    <row r="434" spans="1:12" x14ac:dyDescent="0.25">
      <c r="A434" s="6">
        <v>41640</v>
      </c>
      <c r="B434" t="s">
        <v>64</v>
      </c>
      <c r="C434" s="7">
        <v>-26</v>
      </c>
      <c r="D434" t="s">
        <v>6</v>
      </c>
      <c r="E434" s="8">
        <f>E433+F434</f>
        <v>63936</v>
      </c>
      <c r="F434" s="8">
        <f>IF($D434="CR01",$C434,0)</f>
        <v>-26</v>
      </c>
      <c r="G434" s="8">
        <f>G433+H434</f>
        <v>0</v>
      </c>
      <c r="H434" s="8">
        <f>IF($D434="VISA",$C434,0)</f>
        <v>0</v>
      </c>
      <c r="I434" s="8">
        <f>I433+J434</f>
        <v>0</v>
      </c>
      <c r="J434" s="8">
        <f>IF($D434="ACC",$C434,0)</f>
        <v>0</v>
      </c>
      <c r="K434" s="8">
        <f>K433+L434</f>
        <v>0</v>
      </c>
      <c r="L434" s="8">
        <f>IF($D434="CBB",$C434,0)</f>
        <v>0</v>
      </c>
    </row>
    <row r="435" spans="1:12" x14ac:dyDescent="0.25">
      <c r="A435" s="6">
        <v>41640</v>
      </c>
      <c r="B435" t="s">
        <v>65</v>
      </c>
      <c r="C435" s="7">
        <v>-240</v>
      </c>
      <c r="D435" t="s">
        <v>6</v>
      </c>
      <c r="E435" s="8">
        <f>E434+F435</f>
        <v>63696</v>
      </c>
      <c r="F435" s="8">
        <f>IF($D435="CR01",$C435,0)</f>
        <v>-240</v>
      </c>
      <c r="G435" s="8">
        <f>G434+H435</f>
        <v>0</v>
      </c>
      <c r="H435" s="8">
        <f>IF($D435="VISA",$C435,0)</f>
        <v>0</v>
      </c>
      <c r="I435" s="8">
        <f>I434+J435</f>
        <v>0</v>
      </c>
      <c r="J435" s="8">
        <f>IF($D435="ACC",$C435,0)</f>
        <v>0</v>
      </c>
      <c r="K435" s="8">
        <f>K434+L435</f>
        <v>0</v>
      </c>
      <c r="L435" s="8">
        <f>IF($D435="CBB",$C435,0)</f>
        <v>0</v>
      </c>
    </row>
    <row r="436" spans="1:12" x14ac:dyDescent="0.25">
      <c r="A436" s="6">
        <v>41640</v>
      </c>
      <c r="B436" t="s">
        <v>66</v>
      </c>
      <c r="C436" s="7">
        <v>-120</v>
      </c>
      <c r="D436" t="s">
        <v>6</v>
      </c>
      <c r="E436" s="8">
        <f>E435+F436</f>
        <v>63576</v>
      </c>
      <c r="F436" s="8">
        <f>IF($D436="CR01",$C436,0)</f>
        <v>-120</v>
      </c>
      <c r="G436" s="8">
        <f>G435+H436</f>
        <v>0</v>
      </c>
      <c r="H436" s="8">
        <f>IF($D436="VISA",$C436,0)</f>
        <v>0</v>
      </c>
      <c r="I436" s="8">
        <f>I435+J436</f>
        <v>0</v>
      </c>
      <c r="J436" s="8">
        <f>IF($D436="ACC",$C436,0)</f>
        <v>0</v>
      </c>
      <c r="K436" s="8">
        <f>K435+L436</f>
        <v>0</v>
      </c>
      <c r="L436" s="8">
        <f>IF($D436="CBB",$C436,0)</f>
        <v>0</v>
      </c>
    </row>
    <row r="437" spans="1:12" x14ac:dyDescent="0.25">
      <c r="A437" s="6">
        <v>41641</v>
      </c>
      <c r="B437" t="s">
        <v>44</v>
      </c>
      <c r="C437" s="7">
        <v>-400</v>
      </c>
      <c r="D437" t="s">
        <v>6</v>
      </c>
      <c r="E437" s="8">
        <f>E436+F437</f>
        <v>63176</v>
      </c>
      <c r="F437" s="8">
        <f>IF($D437="CR01",$C437,0)</f>
        <v>-400</v>
      </c>
      <c r="G437" s="8">
        <f>G436+H437</f>
        <v>0</v>
      </c>
      <c r="H437" s="8">
        <f>IF($D437="VISA",$C437,0)</f>
        <v>0</v>
      </c>
      <c r="I437" s="8">
        <f>I436+J437</f>
        <v>0</v>
      </c>
      <c r="J437" s="8">
        <f>IF($D437="ACC",$C437,0)</f>
        <v>0</v>
      </c>
      <c r="K437" s="8">
        <f>K436+L437</f>
        <v>0</v>
      </c>
      <c r="L437" s="8">
        <f>IF($D437="CBB",$C437,0)</f>
        <v>0</v>
      </c>
    </row>
    <row r="438" spans="1:12" x14ac:dyDescent="0.25">
      <c r="A438" s="6">
        <v>41641</v>
      </c>
      <c r="B438" t="s">
        <v>45</v>
      </c>
      <c r="C438" s="7">
        <v>-180</v>
      </c>
      <c r="D438" t="s">
        <v>6</v>
      </c>
      <c r="E438" s="8">
        <f>E437+F438</f>
        <v>62996</v>
      </c>
      <c r="F438" s="8">
        <f>IF($D438="CR01",$C438,0)</f>
        <v>-180</v>
      </c>
      <c r="G438" s="8">
        <f>G437+H438</f>
        <v>0</v>
      </c>
      <c r="H438" s="8">
        <f>IF($D438="VISA",$C438,0)</f>
        <v>0</v>
      </c>
      <c r="I438" s="8">
        <f>I437+J438</f>
        <v>0</v>
      </c>
      <c r="J438" s="8">
        <f>IF($D438="ACC",$C438,0)</f>
        <v>0</v>
      </c>
      <c r="K438" s="8">
        <f>K437+L438</f>
        <v>0</v>
      </c>
      <c r="L438" s="8">
        <f>IF($D438="CBB",$C438,0)</f>
        <v>0</v>
      </c>
    </row>
    <row r="439" spans="1:12" x14ac:dyDescent="0.25">
      <c r="A439" s="6">
        <v>41641</v>
      </c>
      <c r="B439" t="s">
        <v>46</v>
      </c>
      <c r="C439" s="7">
        <v>-300</v>
      </c>
      <c r="D439" t="s">
        <v>6</v>
      </c>
      <c r="E439" s="8">
        <f>E438+F439</f>
        <v>62696</v>
      </c>
      <c r="F439" s="8">
        <f>IF($D439="CR01",$C439,0)</f>
        <v>-300</v>
      </c>
      <c r="G439" s="8">
        <f>G438+H439</f>
        <v>0</v>
      </c>
      <c r="H439" s="8">
        <f>IF($D439="VISA",$C439,0)</f>
        <v>0</v>
      </c>
      <c r="I439" s="8">
        <f>I438+J439</f>
        <v>0</v>
      </c>
      <c r="J439" s="8">
        <f>IF($D439="ACC",$C439,0)</f>
        <v>0</v>
      </c>
      <c r="K439" s="8">
        <f>K438+L439</f>
        <v>0</v>
      </c>
      <c r="L439" s="8">
        <f>IF($D439="CBB",$C439,0)</f>
        <v>0</v>
      </c>
    </row>
    <row r="440" spans="1:12" x14ac:dyDescent="0.25">
      <c r="A440" s="6">
        <v>41641</v>
      </c>
      <c r="B440" t="s">
        <v>59</v>
      </c>
      <c r="C440" s="7">
        <v>-900</v>
      </c>
      <c r="D440" t="s">
        <v>6</v>
      </c>
      <c r="E440" s="8">
        <f>E439+F440</f>
        <v>61796</v>
      </c>
      <c r="F440" s="8">
        <f>IF($D440="CR01",$C440,0)</f>
        <v>-900</v>
      </c>
      <c r="G440" s="8">
        <f>G439+H440</f>
        <v>0</v>
      </c>
      <c r="H440" s="8">
        <f>IF($D440="VISA",$C440,0)</f>
        <v>0</v>
      </c>
      <c r="I440" s="8">
        <f>I439+J440</f>
        <v>0</v>
      </c>
      <c r="J440" s="8">
        <f>IF($D440="ACC",$C440,0)</f>
        <v>0</v>
      </c>
      <c r="K440" s="8">
        <f>K439+L440</f>
        <v>0</v>
      </c>
      <c r="L440" s="8">
        <f>IF($D440="CBB",$C440,0)</f>
        <v>0</v>
      </c>
    </row>
    <row r="441" spans="1:12" x14ac:dyDescent="0.25">
      <c r="A441" s="6">
        <v>41642</v>
      </c>
      <c r="B441" t="s">
        <v>43</v>
      </c>
      <c r="C441" s="7">
        <v>3226</v>
      </c>
      <c r="D441" t="s">
        <v>6</v>
      </c>
      <c r="E441" s="8">
        <f>E440+F441</f>
        <v>65022</v>
      </c>
      <c r="F441" s="8">
        <f>IF($D441="CR01",$C441,0)</f>
        <v>3226</v>
      </c>
      <c r="G441" s="8">
        <f>G440+H441</f>
        <v>0</v>
      </c>
      <c r="H441" s="8">
        <f>IF($D441="VISA",$C441,0)</f>
        <v>0</v>
      </c>
      <c r="I441" s="8">
        <f>I440+J441</f>
        <v>0</v>
      </c>
      <c r="J441" s="8">
        <f>IF($D441="ACC",$C441,0)</f>
        <v>0</v>
      </c>
      <c r="K441" s="8">
        <f>K440+L441</f>
        <v>0</v>
      </c>
      <c r="L441" s="8">
        <f>IF($D441="CBB",$C441,0)</f>
        <v>0</v>
      </c>
    </row>
    <row r="442" spans="1:12" x14ac:dyDescent="0.25">
      <c r="A442" s="6">
        <v>41646</v>
      </c>
      <c r="B442" t="s">
        <v>48</v>
      </c>
      <c r="C442" s="7">
        <v>-100</v>
      </c>
      <c r="D442" t="s">
        <v>6</v>
      </c>
      <c r="E442" s="8">
        <f>E441+F442</f>
        <v>64922</v>
      </c>
      <c r="F442" s="8">
        <f>IF($D442="CR01",$C442,0)</f>
        <v>-100</v>
      </c>
      <c r="G442" s="8">
        <f>G441+H442</f>
        <v>0</v>
      </c>
      <c r="H442" s="8">
        <f>IF($D442="VISA",$C442,0)</f>
        <v>0</v>
      </c>
      <c r="I442" s="8">
        <f>I441+J442</f>
        <v>0</v>
      </c>
      <c r="J442" s="8">
        <f>IF($D442="ACC",$C442,0)</f>
        <v>0</v>
      </c>
      <c r="K442" s="8">
        <f>K441+L442</f>
        <v>0</v>
      </c>
      <c r="L442" s="8">
        <f>IF($D442="CBB",$C442,0)</f>
        <v>0</v>
      </c>
    </row>
    <row r="443" spans="1:12" x14ac:dyDescent="0.25">
      <c r="A443" s="6">
        <v>41647</v>
      </c>
      <c r="B443" t="s">
        <v>47</v>
      </c>
      <c r="C443" s="7">
        <v>-120</v>
      </c>
      <c r="D443" t="s">
        <v>6</v>
      </c>
      <c r="E443" s="8">
        <f>E442+F443</f>
        <v>64802</v>
      </c>
      <c r="F443" s="8">
        <f>IF($D443="CR01",$C443,0)</f>
        <v>-120</v>
      </c>
      <c r="G443" s="8">
        <f>G442+H443</f>
        <v>0</v>
      </c>
      <c r="H443" s="8">
        <f>IF($D443="VISA",$C443,0)</f>
        <v>0</v>
      </c>
      <c r="I443" s="8">
        <f>I442+J443</f>
        <v>0</v>
      </c>
      <c r="J443" s="8">
        <f>IF($D443="ACC",$C443,0)</f>
        <v>0</v>
      </c>
      <c r="K443" s="8">
        <f>K442+L443</f>
        <v>0</v>
      </c>
      <c r="L443" s="8">
        <f>IF($D443="CBB",$C443,0)</f>
        <v>0</v>
      </c>
    </row>
    <row r="444" spans="1:12" x14ac:dyDescent="0.25">
      <c r="A444" s="6">
        <v>41648</v>
      </c>
      <c r="B444" t="s">
        <v>44</v>
      </c>
      <c r="C444" s="7">
        <v>-400</v>
      </c>
      <c r="D444" t="s">
        <v>6</v>
      </c>
      <c r="E444" s="8">
        <f>E443+F444</f>
        <v>64402</v>
      </c>
      <c r="F444" s="8">
        <f>IF($D444="CR01",$C444,0)</f>
        <v>-400</v>
      </c>
      <c r="G444" s="8">
        <f>G443+H444</f>
        <v>0</v>
      </c>
      <c r="H444" s="8">
        <f>IF($D444="VISA",$C444,0)</f>
        <v>0</v>
      </c>
      <c r="I444" s="8">
        <f>I443+J444</f>
        <v>0</v>
      </c>
      <c r="J444" s="8">
        <f>IF($D444="ACC",$C444,0)</f>
        <v>0</v>
      </c>
      <c r="K444" s="8">
        <f>K443+L444</f>
        <v>0</v>
      </c>
      <c r="L444" s="8">
        <f>IF($D444="CBB",$C444,0)</f>
        <v>0</v>
      </c>
    </row>
    <row r="445" spans="1:12" x14ac:dyDescent="0.25">
      <c r="A445" s="6">
        <v>41648</v>
      </c>
      <c r="B445" t="s">
        <v>45</v>
      </c>
      <c r="C445" s="7">
        <v>-180</v>
      </c>
      <c r="D445" t="s">
        <v>6</v>
      </c>
      <c r="E445" s="8">
        <f>E444+F445</f>
        <v>64222</v>
      </c>
      <c r="F445" s="8">
        <f>IF($D445="CR01",$C445,0)</f>
        <v>-180</v>
      </c>
      <c r="G445" s="8">
        <f>G444+H445</f>
        <v>0</v>
      </c>
      <c r="H445" s="8">
        <f>IF($D445="VISA",$C445,0)</f>
        <v>0</v>
      </c>
      <c r="I445" s="8">
        <f>I444+J445</f>
        <v>0</v>
      </c>
      <c r="J445" s="8">
        <f>IF($D445="ACC",$C445,0)</f>
        <v>0</v>
      </c>
      <c r="K445" s="8">
        <f>K444+L445</f>
        <v>0</v>
      </c>
      <c r="L445" s="8">
        <f>IF($D445="CBB",$C445,0)</f>
        <v>0</v>
      </c>
    </row>
    <row r="446" spans="1:12" x14ac:dyDescent="0.25">
      <c r="A446" s="6">
        <v>41648</v>
      </c>
      <c r="B446" t="s">
        <v>46</v>
      </c>
      <c r="C446" s="7">
        <v>-300</v>
      </c>
      <c r="D446" t="s">
        <v>6</v>
      </c>
      <c r="E446" s="8">
        <f>E445+F446</f>
        <v>63922</v>
      </c>
      <c r="F446" s="8">
        <f>IF($D446="CR01",$C446,0)</f>
        <v>-300</v>
      </c>
      <c r="G446" s="8">
        <f>G445+H446</f>
        <v>0</v>
      </c>
      <c r="H446" s="8">
        <f>IF($D446="VISA",$C446,0)</f>
        <v>0</v>
      </c>
      <c r="I446" s="8">
        <f>I445+J446</f>
        <v>0</v>
      </c>
      <c r="J446" s="8">
        <f>IF($D446="ACC",$C446,0)</f>
        <v>0</v>
      </c>
      <c r="K446" s="8">
        <f>K445+L446</f>
        <v>0</v>
      </c>
      <c r="L446" s="8">
        <f>IF($D446="CBB",$C446,0)</f>
        <v>0</v>
      </c>
    </row>
    <row r="447" spans="1:12" x14ac:dyDescent="0.25">
      <c r="A447" s="6">
        <v>41650</v>
      </c>
      <c r="B447" t="s">
        <v>67</v>
      </c>
      <c r="C447" s="7">
        <v>5200</v>
      </c>
      <c r="D447" t="s">
        <v>6</v>
      </c>
      <c r="E447" s="8">
        <f>E446+F447</f>
        <v>69122</v>
      </c>
      <c r="F447" s="8">
        <f>IF($D447="CR01",$C447,0)</f>
        <v>5200</v>
      </c>
      <c r="G447" s="8">
        <f>G446+H447</f>
        <v>0</v>
      </c>
      <c r="H447" s="8">
        <f>IF($D447="VISA",$C447,0)</f>
        <v>0</v>
      </c>
      <c r="I447" s="8">
        <f>I446+J447</f>
        <v>0</v>
      </c>
      <c r="J447" s="8">
        <f>IF($D447="ACC",$C447,0)</f>
        <v>0</v>
      </c>
      <c r="K447" s="8">
        <f>K446+L447</f>
        <v>0</v>
      </c>
      <c r="L447" s="8">
        <f>IF($D447="CBB",$C447,0)</f>
        <v>0</v>
      </c>
    </row>
    <row r="448" spans="1:12" x14ac:dyDescent="0.25">
      <c r="A448" s="6">
        <v>41653</v>
      </c>
      <c r="B448" t="s">
        <v>42</v>
      </c>
      <c r="C448" s="7">
        <v>-2806</v>
      </c>
      <c r="D448" t="s">
        <v>6</v>
      </c>
      <c r="E448" s="8">
        <f>E447+F448</f>
        <v>66316</v>
      </c>
      <c r="F448" s="8">
        <f>IF($D448="CR01",$C448,0)</f>
        <v>-2806</v>
      </c>
      <c r="G448" s="8">
        <f>G447+H448</f>
        <v>0</v>
      </c>
      <c r="H448" s="8">
        <f>IF($D448="VISA",$C448,0)</f>
        <v>0</v>
      </c>
      <c r="I448" s="8">
        <f>I447+J448</f>
        <v>0</v>
      </c>
      <c r="J448" s="8">
        <f>IF($D448="ACC",$C448,0)</f>
        <v>0</v>
      </c>
      <c r="K448" s="8">
        <f>K447+L448</f>
        <v>0</v>
      </c>
      <c r="L448" s="8">
        <f>IF($D448="CBB",$C448,0)</f>
        <v>0</v>
      </c>
    </row>
    <row r="449" spans="1:12" x14ac:dyDescent="0.25">
      <c r="A449" s="6">
        <v>41653</v>
      </c>
      <c r="B449" t="s">
        <v>48</v>
      </c>
      <c r="C449" s="7">
        <v>-100</v>
      </c>
      <c r="D449" t="s">
        <v>6</v>
      </c>
      <c r="E449" s="8">
        <f>E448+F449</f>
        <v>66216</v>
      </c>
      <c r="F449" s="8">
        <f>IF($D449="CR01",$C449,0)</f>
        <v>-100</v>
      </c>
      <c r="G449" s="8">
        <f>G448+H449</f>
        <v>0</v>
      </c>
      <c r="H449" s="8">
        <f>IF($D449="VISA",$C449,0)</f>
        <v>0</v>
      </c>
      <c r="I449" s="8">
        <f>I448+J449</f>
        <v>0</v>
      </c>
      <c r="J449" s="8">
        <f>IF($D449="ACC",$C449,0)</f>
        <v>0</v>
      </c>
      <c r="K449" s="8">
        <f>K448+L449</f>
        <v>0</v>
      </c>
      <c r="L449" s="8">
        <f>IF($D449="CBB",$C449,0)</f>
        <v>0</v>
      </c>
    </row>
    <row r="450" spans="1:12" x14ac:dyDescent="0.25">
      <c r="A450" s="6">
        <v>41654</v>
      </c>
      <c r="B450" t="s">
        <v>47</v>
      </c>
      <c r="C450" s="7">
        <v>-120</v>
      </c>
      <c r="D450" t="s">
        <v>6</v>
      </c>
      <c r="E450" s="8">
        <f>E449+F450</f>
        <v>66096</v>
      </c>
      <c r="F450" s="8">
        <f>IF($D450="CR01",$C450,0)</f>
        <v>-120</v>
      </c>
      <c r="G450" s="8">
        <f>G449+H450</f>
        <v>0</v>
      </c>
      <c r="H450" s="8">
        <f>IF($D450="VISA",$C450,0)</f>
        <v>0</v>
      </c>
      <c r="I450" s="8">
        <f>I449+J450</f>
        <v>0</v>
      </c>
      <c r="J450" s="8">
        <f>IF($D450="ACC",$C450,0)</f>
        <v>0</v>
      </c>
      <c r="K450" s="8">
        <f>K449+L450</f>
        <v>0</v>
      </c>
      <c r="L450" s="8">
        <f>IF($D450="CBB",$C450,0)</f>
        <v>0</v>
      </c>
    </row>
    <row r="451" spans="1:12" x14ac:dyDescent="0.25">
      <c r="A451" s="6">
        <v>41655</v>
      </c>
      <c r="B451" t="s">
        <v>44</v>
      </c>
      <c r="C451" s="7">
        <v>-400</v>
      </c>
      <c r="D451" t="s">
        <v>6</v>
      </c>
      <c r="E451" s="8">
        <f>E450+F451</f>
        <v>65696</v>
      </c>
      <c r="F451" s="8">
        <f>IF($D451="CR01",$C451,0)</f>
        <v>-400</v>
      </c>
      <c r="G451" s="8">
        <f>G450+H451</f>
        <v>0</v>
      </c>
      <c r="H451" s="8">
        <f>IF($D451="VISA",$C451,0)</f>
        <v>0</v>
      </c>
      <c r="I451" s="8">
        <f>I450+J451</f>
        <v>0</v>
      </c>
      <c r="J451" s="8">
        <f>IF($D451="ACC",$C451,0)</f>
        <v>0</v>
      </c>
      <c r="K451" s="8">
        <f>K450+L451</f>
        <v>0</v>
      </c>
      <c r="L451" s="8">
        <f>IF($D451="CBB",$C451,0)</f>
        <v>0</v>
      </c>
    </row>
    <row r="452" spans="1:12" x14ac:dyDescent="0.25">
      <c r="A452" s="6">
        <v>41655</v>
      </c>
      <c r="B452" t="s">
        <v>45</v>
      </c>
      <c r="C452" s="7">
        <v>-180</v>
      </c>
      <c r="D452" t="s">
        <v>6</v>
      </c>
      <c r="E452" s="8">
        <f>E451+F452</f>
        <v>65516</v>
      </c>
      <c r="F452" s="8">
        <f>IF($D452="CR01",$C452,0)</f>
        <v>-180</v>
      </c>
      <c r="G452" s="8">
        <f>G451+H452</f>
        <v>0</v>
      </c>
      <c r="H452" s="8">
        <f>IF($D452="VISA",$C452,0)</f>
        <v>0</v>
      </c>
      <c r="I452" s="8">
        <f>I451+J452</f>
        <v>0</v>
      </c>
      <c r="J452" s="8">
        <f>IF($D452="ACC",$C452,0)</f>
        <v>0</v>
      </c>
      <c r="K452" s="8">
        <f>K451+L452</f>
        <v>0</v>
      </c>
      <c r="L452" s="8">
        <f>IF($D452="CBB",$C452,0)</f>
        <v>0</v>
      </c>
    </row>
    <row r="453" spans="1:12" x14ac:dyDescent="0.25">
      <c r="A453" s="6">
        <v>41655</v>
      </c>
      <c r="B453" t="s">
        <v>46</v>
      </c>
      <c r="C453" s="7">
        <v>-300</v>
      </c>
      <c r="D453" t="s">
        <v>6</v>
      </c>
      <c r="E453" s="8">
        <f>E452+F453</f>
        <v>65216</v>
      </c>
      <c r="F453" s="8">
        <f>IF($D453="CR01",$C453,0)</f>
        <v>-300</v>
      </c>
      <c r="G453" s="8">
        <f>G452+H453</f>
        <v>0</v>
      </c>
      <c r="H453" s="8">
        <f>IF($D453="VISA",$C453,0)</f>
        <v>0</v>
      </c>
      <c r="I453" s="8">
        <f>I452+J453</f>
        <v>0</v>
      </c>
      <c r="J453" s="8">
        <f>IF($D453="ACC",$C453,0)</f>
        <v>0</v>
      </c>
      <c r="K453" s="8">
        <f>K452+L453</f>
        <v>0</v>
      </c>
      <c r="L453" s="8">
        <f>IF($D453="CBB",$C453,0)</f>
        <v>0</v>
      </c>
    </row>
    <row r="454" spans="1:12" x14ac:dyDescent="0.25">
      <c r="A454" s="6">
        <v>41656</v>
      </c>
      <c r="B454" t="s">
        <v>43</v>
      </c>
      <c r="C454" s="7">
        <v>3226</v>
      </c>
      <c r="D454" t="s">
        <v>6</v>
      </c>
      <c r="E454" s="8">
        <f>E453+F454</f>
        <v>68442</v>
      </c>
      <c r="F454" s="8">
        <f>IF($D454="CR01",$C454,0)</f>
        <v>3226</v>
      </c>
      <c r="G454" s="8">
        <f>G453+H454</f>
        <v>0</v>
      </c>
      <c r="H454" s="8">
        <f>IF($D454="VISA",$C454,0)</f>
        <v>0</v>
      </c>
      <c r="I454" s="8">
        <f>I453+J454</f>
        <v>0</v>
      </c>
      <c r="J454" s="8">
        <f>IF($D454="ACC",$C454,0)</f>
        <v>0</v>
      </c>
      <c r="K454" s="8">
        <f>K453+L454</f>
        <v>0</v>
      </c>
      <c r="L454" s="8">
        <f>IF($D454="CBB",$C454,0)</f>
        <v>0</v>
      </c>
    </row>
    <row r="455" spans="1:12" x14ac:dyDescent="0.25">
      <c r="A455" s="6">
        <v>41660</v>
      </c>
      <c r="B455" t="s">
        <v>48</v>
      </c>
      <c r="C455" s="7">
        <v>-100</v>
      </c>
      <c r="D455" t="s">
        <v>6</v>
      </c>
      <c r="E455" s="8">
        <f>E454+F455</f>
        <v>68342</v>
      </c>
      <c r="F455" s="8">
        <f>IF($D455="CR01",$C455,0)</f>
        <v>-100</v>
      </c>
      <c r="G455" s="8">
        <f>G454+H455</f>
        <v>0</v>
      </c>
      <c r="H455" s="8">
        <f>IF($D455="VISA",$C455,0)</f>
        <v>0</v>
      </c>
      <c r="I455" s="8">
        <f>I454+J455</f>
        <v>0</v>
      </c>
      <c r="J455" s="8">
        <f>IF($D455="ACC",$C455,0)</f>
        <v>0</v>
      </c>
      <c r="K455" s="8">
        <f>K454+L455</f>
        <v>0</v>
      </c>
      <c r="L455" s="8">
        <f>IF($D455="CBB",$C455,0)</f>
        <v>0</v>
      </c>
    </row>
    <row r="456" spans="1:12" x14ac:dyDescent="0.25">
      <c r="A456" s="6">
        <v>41661</v>
      </c>
      <c r="B456" t="s">
        <v>47</v>
      </c>
      <c r="C456" s="7">
        <v>-120</v>
      </c>
      <c r="D456" t="s">
        <v>6</v>
      </c>
      <c r="E456" s="8">
        <f>E455+F456</f>
        <v>68222</v>
      </c>
      <c r="F456" s="8">
        <f>IF($D456="CR01",$C456,0)</f>
        <v>-120</v>
      </c>
      <c r="G456" s="8">
        <f>G455+H456</f>
        <v>0</v>
      </c>
      <c r="H456" s="8">
        <f>IF($D456="VISA",$C456,0)</f>
        <v>0</v>
      </c>
      <c r="I456" s="8">
        <f>I455+J456</f>
        <v>0</v>
      </c>
      <c r="J456" s="8">
        <f>IF($D456="ACC",$C456,0)</f>
        <v>0</v>
      </c>
      <c r="K456" s="8">
        <f>K455+L456</f>
        <v>0</v>
      </c>
      <c r="L456" s="8">
        <f>IF($D456="CBB",$C456,0)</f>
        <v>0</v>
      </c>
    </row>
    <row r="457" spans="1:12" x14ac:dyDescent="0.25">
      <c r="A457" s="6">
        <v>41662</v>
      </c>
      <c r="B457" t="s">
        <v>44</v>
      </c>
      <c r="C457" s="7">
        <v>-400</v>
      </c>
      <c r="D457" t="s">
        <v>6</v>
      </c>
      <c r="E457" s="8">
        <f>E456+F457</f>
        <v>67822</v>
      </c>
      <c r="F457" s="8">
        <f>IF($D457="CR01",$C457,0)</f>
        <v>-400</v>
      </c>
      <c r="G457" s="8">
        <f>G456+H457</f>
        <v>0</v>
      </c>
      <c r="H457" s="8">
        <f>IF($D457="VISA",$C457,0)</f>
        <v>0</v>
      </c>
      <c r="I457" s="8">
        <f>I456+J457</f>
        <v>0</v>
      </c>
      <c r="J457" s="8">
        <f>IF($D457="ACC",$C457,0)</f>
        <v>0</v>
      </c>
      <c r="K457" s="8">
        <f>K456+L457</f>
        <v>0</v>
      </c>
      <c r="L457" s="8">
        <f>IF($D457="CBB",$C457,0)</f>
        <v>0</v>
      </c>
    </row>
    <row r="458" spans="1:12" x14ac:dyDescent="0.25">
      <c r="A458" s="6">
        <v>41662</v>
      </c>
      <c r="B458" t="s">
        <v>45</v>
      </c>
      <c r="C458" s="7">
        <v>-180</v>
      </c>
      <c r="D458" t="s">
        <v>6</v>
      </c>
      <c r="E458" s="8">
        <f>E457+F458</f>
        <v>67642</v>
      </c>
      <c r="F458" s="8">
        <f>IF($D458="CR01",$C458,0)</f>
        <v>-180</v>
      </c>
      <c r="G458" s="8">
        <f>G457+H458</f>
        <v>0</v>
      </c>
      <c r="H458" s="8">
        <f>IF($D458="VISA",$C458,0)</f>
        <v>0</v>
      </c>
      <c r="I458" s="8">
        <f>I457+J458</f>
        <v>0</v>
      </c>
      <c r="J458" s="8">
        <f>IF($D458="ACC",$C458,0)</f>
        <v>0</v>
      </c>
      <c r="K458" s="8">
        <f>K457+L458</f>
        <v>0</v>
      </c>
      <c r="L458" s="8">
        <f>IF($D458="CBB",$C458,0)</f>
        <v>0</v>
      </c>
    </row>
    <row r="459" spans="1:12" x14ac:dyDescent="0.25">
      <c r="A459" s="6">
        <v>41662</v>
      </c>
      <c r="B459" t="s">
        <v>46</v>
      </c>
      <c r="C459" s="7">
        <v>-300</v>
      </c>
      <c r="D459" t="s">
        <v>6</v>
      </c>
      <c r="E459" s="8">
        <f>E458+F459</f>
        <v>67342</v>
      </c>
      <c r="F459" s="8">
        <f>IF($D459="CR01",$C459,0)</f>
        <v>-300</v>
      </c>
      <c r="G459" s="8">
        <f>G458+H459</f>
        <v>0</v>
      </c>
      <c r="H459" s="8">
        <f>IF($D459="VISA",$C459,0)</f>
        <v>0</v>
      </c>
      <c r="I459" s="8">
        <f>I458+J459</f>
        <v>0</v>
      </c>
      <c r="J459" s="8">
        <f>IF($D459="ACC",$C459,0)</f>
        <v>0</v>
      </c>
      <c r="K459" s="8">
        <f>K458+L459</f>
        <v>0</v>
      </c>
      <c r="L459" s="8">
        <f>IF($D459="CBB",$C459,0)</f>
        <v>0</v>
      </c>
    </row>
    <row r="460" spans="1:12" x14ac:dyDescent="0.25">
      <c r="A460" s="6">
        <v>41664</v>
      </c>
      <c r="B460" t="s">
        <v>67</v>
      </c>
      <c r="C460" s="7">
        <v>5200</v>
      </c>
      <c r="D460" t="s">
        <v>6</v>
      </c>
      <c r="E460" s="8">
        <f>E459+F460</f>
        <v>72542</v>
      </c>
      <c r="F460" s="8">
        <f>IF($D460="CR01",$C460,0)</f>
        <v>5200</v>
      </c>
      <c r="G460" s="8">
        <f>G459+H460</f>
        <v>0</v>
      </c>
      <c r="H460" s="8">
        <f>IF($D460="VISA",$C460,0)</f>
        <v>0</v>
      </c>
      <c r="I460" s="8">
        <f>I459+J460</f>
        <v>0</v>
      </c>
      <c r="J460" s="8">
        <f>IF($D460="ACC",$C460,0)</f>
        <v>0</v>
      </c>
      <c r="K460" s="8">
        <f>K459+L460</f>
        <v>0</v>
      </c>
      <c r="L460" s="8">
        <f>IF($D460="CBB",$C460,0)</f>
        <v>0</v>
      </c>
    </row>
    <row r="461" spans="1:12" x14ac:dyDescent="0.25">
      <c r="A461" s="6">
        <v>41667</v>
      </c>
      <c r="B461" t="s">
        <v>42</v>
      </c>
      <c r="C461" s="7">
        <v>-2806</v>
      </c>
      <c r="D461" t="s">
        <v>6</v>
      </c>
      <c r="E461" s="8">
        <f>E460+F461</f>
        <v>69736</v>
      </c>
      <c r="F461" s="8">
        <f>IF($D461="CR01",$C461,0)</f>
        <v>-2806</v>
      </c>
      <c r="G461" s="8">
        <f>G460+H461</f>
        <v>0</v>
      </c>
      <c r="H461" s="8">
        <f>IF($D461="VISA",$C461,0)</f>
        <v>0</v>
      </c>
      <c r="I461" s="8">
        <f>I460+J461</f>
        <v>0</v>
      </c>
      <c r="J461" s="8">
        <f>IF($D461="ACC",$C461,0)</f>
        <v>0</v>
      </c>
      <c r="K461" s="8">
        <f>K460+L461</f>
        <v>0</v>
      </c>
      <c r="L461" s="8">
        <f>IF($D461="CBB",$C461,0)</f>
        <v>0</v>
      </c>
    </row>
    <row r="462" spans="1:12" x14ac:dyDescent="0.25">
      <c r="A462" s="6">
        <v>41667</v>
      </c>
      <c r="B462" t="s">
        <v>48</v>
      </c>
      <c r="C462" s="7">
        <v>-100</v>
      </c>
      <c r="D462" t="s">
        <v>6</v>
      </c>
      <c r="E462" s="8">
        <f>E461+F462</f>
        <v>69636</v>
      </c>
      <c r="F462" s="8">
        <f>IF($D462="CR01",$C462,0)</f>
        <v>-100</v>
      </c>
      <c r="G462" s="8">
        <f>G461+H462</f>
        <v>0</v>
      </c>
      <c r="H462" s="8">
        <f>IF($D462="VISA",$C462,0)</f>
        <v>0</v>
      </c>
      <c r="I462" s="8">
        <f>I461+J462</f>
        <v>0</v>
      </c>
      <c r="J462" s="8">
        <f>IF($D462="ACC",$C462,0)</f>
        <v>0</v>
      </c>
      <c r="K462" s="8">
        <f>K461+L462</f>
        <v>0</v>
      </c>
      <c r="L462" s="8">
        <f>IF($D462="CBB",$C462,0)</f>
        <v>0</v>
      </c>
    </row>
    <row r="463" spans="1:12" x14ac:dyDescent="0.25">
      <c r="A463" s="6">
        <v>41668</v>
      </c>
      <c r="B463" t="s">
        <v>47</v>
      </c>
      <c r="C463" s="7">
        <v>-120</v>
      </c>
      <c r="D463" t="s">
        <v>6</v>
      </c>
      <c r="E463" s="8">
        <f>E462+F463</f>
        <v>69516</v>
      </c>
      <c r="F463" s="8">
        <f>IF($D463="CR01",$C463,0)</f>
        <v>-120</v>
      </c>
      <c r="G463" s="8">
        <f>G462+H463</f>
        <v>0</v>
      </c>
      <c r="H463" s="8">
        <f>IF($D463="VISA",$C463,0)</f>
        <v>0</v>
      </c>
      <c r="I463" s="8">
        <f>I462+J463</f>
        <v>0</v>
      </c>
      <c r="J463" s="8">
        <f>IF($D463="ACC",$C463,0)</f>
        <v>0</v>
      </c>
      <c r="K463" s="8">
        <f>K462+L463</f>
        <v>0</v>
      </c>
      <c r="L463" s="8">
        <f>IF($D463="CBB",$C463,0)</f>
        <v>0</v>
      </c>
    </row>
    <row r="464" spans="1:12" x14ac:dyDescent="0.25">
      <c r="A464" s="6">
        <v>41669</v>
      </c>
      <c r="B464" t="s">
        <v>44</v>
      </c>
      <c r="C464" s="7">
        <v>-400</v>
      </c>
      <c r="D464" t="s">
        <v>6</v>
      </c>
      <c r="E464" s="8">
        <f>E463+F464</f>
        <v>69116</v>
      </c>
      <c r="F464" s="8">
        <f>IF($D464="CR01",$C464,0)</f>
        <v>-400</v>
      </c>
      <c r="G464" s="8">
        <f>G463+H464</f>
        <v>0</v>
      </c>
      <c r="H464" s="8">
        <f>IF($D464="VISA",$C464,0)</f>
        <v>0</v>
      </c>
      <c r="I464" s="8">
        <f>I463+J464</f>
        <v>0</v>
      </c>
      <c r="J464" s="8">
        <f>IF($D464="ACC",$C464,0)</f>
        <v>0</v>
      </c>
      <c r="K464" s="8">
        <f>K463+L464</f>
        <v>0</v>
      </c>
      <c r="L464" s="8">
        <f>IF($D464="CBB",$C464,0)</f>
        <v>0</v>
      </c>
    </row>
    <row r="465" spans="1:12" x14ac:dyDescent="0.25">
      <c r="A465" s="6">
        <v>41669</v>
      </c>
      <c r="B465" t="s">
        <v>45</v>
      </c>
      <c r="C465" s="7">
        <v>-180</v>
      </c>
      <c r="D465" t="s">
        <v>6</v>
      </c>
      <c r="E465" s="8">
        <f>E464+F465</f>
        <v>68936</v>
      </c>
      <c r="F465" s="8">
        <f>IF($D465="CR01",$C465,0)</f>
        <v>-180</v>
      </c>
      <c r="G465" s="8">
        <f>G464+H465</f>
        <v>0</v>
      </c>
      <c r="H465" s="8">
        <f>IF($D465="VISA",$C465,0)</f>
        <v>0</v>
      </c>
      <c r="I465" s="8">
        <f>I464+J465</f>
        <v>0</v>
      </c>
      <c r="J465" s="8">
        <f>IF($D465="ACC",$C465,0)</f>
        <v>0</v>
      </c>
      <c r="K465" s="8">
        <f>K464+L465</f>
        <v>0</v>
      </c>
      <c r="L465" s="8">
        <f>IF($D465="CBB",$C465,0)</f>
        <v>0</v>
      </c>
    </row>
    <row r="466" spans="1:12" x14ac:dyDescent="0.25">
      <c r="A466" s="6">
        <v>41669</v>
      </c>
      <c r="B466" t="s">
        <v>46</v>
      </c>
      <c r="C466" s="7">
        <v>-300</v>
      </c>
      <c r="D466" t="s">
        <v>6</v>
      </c>
      <c r="E466" s="8">
        <f>E465+F466</f>
        <v>68636</v>
      </c>
      <c r="F466" s="8">
        <f>IF($D466="CR01",$C466,0)</f>
        <v>-300</v>
      </c>
      <c r="G466" s="8">
        <f>G465+H466</f>
        <v>0</v>
      </c>
      <c r="H466" s="8">
        <f>IF($D466="VISA",$C466,0)</f>
        <v>0</v>
      </c>
      <c r="I466" s="8">
        <f>I465+J466</f>
        <v>0</v>
      </c>
      <c r="J466" s="8">
        <f>IF($D466="ACC",$C466,0)</f>
        <v>0</v>
      </c>
      <c r="K466" s="8">
        <f>K465+L466</f>
        <v>0</v>
      </c>
      <c r="L466" s="8">
        <f>IF($D466="CBB",$C466,0)</f>
        <v>0</v>
      </c>
    </row>
    <row r="467" spans="1:12" x14ac:dyDescent="0.25">
      <c r="A467" s="6">
        <v>41670</v>
      </c>
      <c r="B467" t="s">
        <v>43</v>
      </c>
      <c r="C467" s="7">
        <v>3226</v>
      </c>
      <c r="D467" t="s">
        <v>6</v>
      </c>
      <c r="E467" s="8">
        <f>E466+F467</f>
        <v>71862</v>
      </c>
      <c r="F467" s="8">
        <f>IF($D467="CR01",$C467,0)</f>
        <v>3226</v>
      </c>
      <c r="G467" s="8">
        <f>G466+H467</f>
        <v>0</v>
      </c>
      <c r="H467" s="8">
        <f>IF($D467="VISA",$C467,0)</f>
        <v>0</v>
      </c>
      <c r="I467" s="8">
        <f>I466+J467</f>
        <v>0</v>
      </c>
      <c r="J467" s="8">
        <f>IF($D467="ACC",$C467,0)</f>
        <v>0</v>
      </c>
      <c r="K467" s="8">
        <f>K466+L467</f>
        <v>0</v>
      </c>
      <c r="L467" s="8">
        <f>IF($D467="CBB",$C467,0)</f>
        <v>0</v>
      </c>
    </row>
    <row r="468" spans="1:12" x14ac:dyDescent="0.25">
      <c r="A468" s="6">
        <v>41671</v>
      </c>
      <c r="B468" t="s">
        <v>58</v>
      </c>
      <c r="C468" s="7">
        <v>-200</v>
      </c>
      <c r="D468" t="s">
        <v>6</v>
      </c>
      <c r="E468" s="8">
        <f>E467+F468</f>
        <v>71662</v>
      </c>
      <c r="F468" s="8">
        <f>IF($D468="CR01",$C468,0)</f>
        <v>-200</v>
      </c>
      <c r="G468" s="8">
        <f>G467+H468</f>
        <v>0</v>
      </c>
      <c r="H468" s="8">
        <f>IF($D468="VISA",$C468,0)</f>
        <v>0</v>
      </c>
      <c r="I468" s="8">
        <f>I467+J468</f>
        <v>0</v>
      </c>
      <c r="J468" s="8">
        <f>IF($D468="ACC",$C468,0)</f>
        <v>0</v>
      </c>
      <c r="K468" s="8">
        <f>K467+L468</f>
        <v>0</v>
      </c>
      <c r="L468" s="8">
        <f>IF($D468="CBB",$C468,0)</f>
        <v>0</v>
      </c>
    </row>
    <row r="469" spans="1:12" x14ac:dyDescent="0.25">
      <c r="A469" s="6">
        <v>41671</v>
      </c>
      <c r="B469" t="s">
        <v>60</v>
      </c>
      <c r="C469" s="7">
        <v>-400</v>
      </c>
      <c r="D469" t="s">
        <v>6</v>
      </c>
      <c r="E469" s="8">
        <f>E468+F469</f>
        <v>71262</v>
      </c>
      <c r="F469" s="8">
        <f>IF($D469="CR01",$C469,0)</f>
        <v>-400</v>
      </c>
      <c r="G469" s="8">
        <f>G468+H469</f>
        <v>0</v>
      </c>
      <c r="H469" s="8">
        <f>IF($D469="VISA",$C469,0)</f>
        <v>0</v>
      </c>
      <c r="I469" s="8">
        <f>I468+J469</f>
        <v>0</v>
      </c>
      <c r="J469" s="8">
        <f>IF($D469="ACC",$C469,0)</f>
        <v>0</v>
      </c>
      <c r="K469" s="8">
        <f>K468+L469</f>
        <v>0</v>
      </c>
      <c r="L469" s="8">
        <f>IF($D469="CBB",$C469,0)</f>
        <v>0</v>
      </c>
    </row>
    <row r="470" spans="1:12" x14ac:dyDescent="0.25">
      <c r="A470" s="6">
        <v>41671</v>
      </c>
      <c r="B470" t="s">
        <v>62</v>
      </c>
      <c r="C470" s="7">
        <v>-300</v>
      </c>
      <c r="D470" t="s">
        <v>6</v>
      </c>
      <c r="E470" s="8">
        <f>E469+F470</f>
        <v>70962</v>
      </c>
      <c r="F470" s="8">
        <f>IF($D470="CR01",$C470,0)</f>
        <v>-300</v>
      </c>
      <c r="G470" s="8">
        <f>G469+H470</f>
        <v>0</v>
      </c>
      <c r="H470" s="8">
        <f>IF($D470="VISA",$C470,0)</f>
        <v>0</v>
      </c>
      <c r="I470" s="8">
        <f>I469+J470</f>
        <v>0</v>
      </c>
      <c r="J470" s="8">
        <f>IF($D470="ACC",$C470,0)</f>
        <v>0</v>
      </c>
      <c r="K470" s="8">
        <f>K469+L470</f>
        <v>0</v>
      </c>
      <c r="L470" s="8">
        <f>IF($D470="CBB",$C470,0)</f>
        <v>0</v>
      </c>
    </row>
    <row r="471" spans="1:12" x14ac:dyDescent="0.25">
      <c r="A471" s="6">
        <v>41671</v>
      </c>
      <c r="B471" t="s">
        <v>63</v>
      </c>
      <c r="C471" s="7">
        <v>-300</v>
      </c>
      <c r="D471" t="s">
        <v>6</v>
      </c>
      <c r="E471" s="8">
        <f>E470+F471</f>
        <v>70662</v>
      </c>
      <c r="F471" s="8">
        <f>IF($D471="CR01",$C471,0)</f>
        <v>-300</v>
      </c>
      <c r="G471" s="8">
        <f>G470+H471</f>
        <v>0</v>
      </c>
      <c r="H471" s="8">
        <f>IF($D471="VISA",$C471,0)</f>
        <v>0</v>
      </c>
      <c r="I471" s="8">
        <f>I470+J471</f>
        <v>0</v>
      </c>
      <c r="J471" s="8">
        <f>IF($D471="ACC",$C471,0)</f>
        <v>0</v>
      </c>
      <c r="K471" s="8">
        <f>K470+L471</f>
        <v>0</v>
      </c>
      <c r="L471" s="8">
        <f>IF($D471="CBB",$C471,0)</f>
        <v>0</v>
      </c>
    </row>
    <row r="472" spans="1:12" x14ac:dyDescent="0.25">
      <c r="A472" s="6">
        <v>41671</v>
      </c>
      <c r="B472" t="s">
        <v>64</v>
      </c>
      <c r="C472" s="7">
        <v>-26</v>
      </c>
      <c r="D472" t="s">
        <v>6</v>
      </c>
      <c r="E472" s="8">
        <f>E471+F472</f>
        <v>70636</v>
      </c>
      <c r="F472" s="8">
        <f>IF($D472="CR01",$C472,0)</f>
        <v>-26</v>
      </c>
      <c r="G472" s="8">
        <f>G471+H472</f>
        <v>0</v>
      </c>
      <c r="H472" s="8">
        <f>IF($D472="VISA",$C472,0)</f>
        <v>0</v>
      </c>
      <c r="I472" s="8">
        <f>I471+J472</f>
        <v>0</v>
      </c>
      <c r="J472" s="8">
        <f>IF($D472="ACC",$C472,0)</f>
        <v>0</v>
      </c>
      <c r="K472" s="8">
        <f>K471+L472</f>
        <v>0</v>
      </c>
      <c r="L472" s="8">
        <f>IF($D472="CBB",$C472,0)</f>
        <v>0</v>
      </c>
    </row>
    <row r="473" spans="1:12" x14ac:dyDescent="0.25">
      <c r="A473" s="6">
        <v>41671</v>
      </c>
      <c r="B473" t="s">
        <v>65</v>
      </c>
      <c r="C473" s="7">
        <v>-240</v>
      </c>
      <c r="D473" t="s">
        <v>6</v>
      </c>
      <c r="E473" s="8">
        <f>E472+F473</f>
        <v>70396</v>
      </c>
      <c r="F473" s="8">
        <f>IF($D473="CR01",$C473,0)</f>
        <v>-240</v>
      </c>
      <c r="G473" s="8">
        <f>G472+H473</f>
        <v>0</v>
      </c>
      <c r="H473" s="8">
        <f>IF($D473="VISA",$C473,0)</f>
        <v>0</v>
      </c>
      <c r="I473" s="8">
        <f>I472+J473</f>
        <v>0</v>
      </c>
      <c r="J473" s="8">
        <f>IF($D473="ACC",$C473,0)</f>
        <v>0</v>
      </c>
      <c r="K473" s="8">
        <f>K472+L473</f>
        <v>0</v>
      </c>
      <c r="L473" s="8">
        <f>IF($D473="CBB",$C473,0)</f>
        <v>0</v>
      </c>
    </row>
    <row r="474" spans="1:12" x14ac:dyDescent="0.25">
      <c r="A474" s="6">
        <v>41671</v>
      </c>
      <c r="B474" t="s">
        <v>66</v>
      </c>
      <c r="C474" s="7">
        <v>-120</v>
      </c>
      <c r="D474" t="s">
        <v>6</v>
      </c>
      <c r="E474" s="8">
        <f>E473+F474</f>
        <v>70276</v>
      </c>
      <c r="F474" s="8">
        <f>IF($D474="CR01",$C474,0)</f>
        <v>-120</v>
      </c>
      <c r="G474" s="8">
        <f>G473+H474</f>
        <v>0</v>
      </c>
      <c r="H474" s="8">
        <f>IF($D474="VISA",$C474,0)</f>
        <v>0</v>
      </c>
      <c r="I474" s="8">
        <f>I473+J474</f>
        <v>0</v>
      </c>
      <c r="J474" s="8">
        <f>IF($D474="ACC",$C474,0)</f>
        <v>0</v>
      </c>
      <c r="K474" s="8">
        <f>K473+L474</f>
        <v>0</v>
      </c>
      <c r="L474" s="8">
        <f>IF($D474="CBB",$C474,0)</f>
        <v>0</v>
      </c>
    </row>
    <row r="475" spans="1:12" x14ac:dyDescent="0.25">
      <c r="A475" s="6">
        <v>41672</v>
      </c>
      <c r="B475" t="s">
        <v>59</v>
      </c>
      <c r="C475" s="7">
        <v>-900</v>
      </c>
      <c r="D475" t="s">
        <v>6</v>
      </c>
      <c r="E475" s="8">
        <f>E474+F475</f>
        <v>69376</v>
      </c>
      <c r="F475" s="8">
        <f>IF($D475="CR01",$C475,0)</f>
        <v>-900</v>
      </c>
      <c r="G475" s="8">
        <f>G474+H475</f>
        <v>0</v>
      </c>
      <c r="H475" s="8">
        <f>IF($D475="VISA",$C475,0)</f>
        <v>0</v>
      </c>
      <c r="I475" s="8">
        <f>I474+J475</f>
        <v>0</v>
      </c>
      <c r="J475" s="8">
        <f>IF($D475="ACC",$C475,0)</f>
        <v>0</v>
      </c>
      <c r="K475" s="8">
        <f>K474+L475</f>
        <v>0</v>
      </c>
      <c r="L475" s="8">
        <f>IF($D475="CBB",$C475,0)</f>
        <v>0</v>
      </c>
    </row>
    <row r="476" spans="1:12" x14ac:dyDescent="0.25">
      <c r="A476" s="6">
        <v>41674</v>
      </c>
      <c r="B476" t="s">
        <v>48</v>
      </c>
      <c r="C476" s="7">
        <v>-100</v>
      </c>
      <c r="D476" t="s">
        <v>6</v>
      </c>
      <c r="E476" s="8">
        <f>E475+F476</f>
        <v>69276</v>
      </c>
      <c r="F476" s="8">
        <f>IF($D476="CR01",$C476,0)</f>
        <v>-100</v>
      </c>
      <c r="G476" s="8">
        <f>G475+H476</f>
        <v>0</v>
      </c>
      <c r="H476" s="8">
        <f>IF($D476="VISA",$C476,0)</f>
        <v>0</v>
      </c>
      <c r="I476" s="8">
        <f>I475+J476</f>
        <v>0</v>
      </c>
      <c r="J476" s="8">
        <f>IF($D476="ACC",$C476,0)</f>
        <v>0</v>
      </c>
      <c r="K476" s="8">
        <f>K475+L476</f>
        <v>0</v>
      </c>
      <c r="L476" s="8">
        <f>IF($D476="CBB",$C476,0)</f>
        <v>0</v>
      </c>
    </row>
    <row r="477" spans="1:12" x14ac:dyDescent="0.25">
      <c r="A477" s="6">
        <v>41675</v>
      </c>
      <c r="B477" t="s">
        <v>47</v>
      </c>
      <c r="C477" s="7">
        <v>-120</v>
      </c>
      <c r="D477" t="s">
        <v>6</v>
      </c>
      <c r="E477" s="8">
        <f>E476+F477</f>
        <v>69156</v>
      </c>
      <c r="F477" s="8">
        <f>IF($D477="CR01",$C477,0)</f>
        <v>-120</v>
      </c>
      <c r="G477" s="8">
        <f>G476+H477</f>
        <v>0</v>
      </c>
      <c r="H477" s="8">
        <f>IF($D477="VISA",$C477,0)</f>
        <v>0</v>
      </c>
      <c r="I477" s="8">
        <f>I476+J477</f>
        <v>0</v>
      </c>
      <c r="J477" s="8">
        <f>IF($D477="ACC",$C477,0)</f>
        <v>0</v>
      </c>
      <c r="K477" s="8">
        <f>K476+L477</f>
        <v>0</v>
      </c>
      <c r="L477" s="8">
        <f>IF($D477="CBB",$C477,0)</f>
        <v>0</v>
      </c>
    </row>
    <row r="478" spans="1:12" x14ac:dyDescent="0.25">
      <c r="A478" s="6">
        <v>41676</v>
      </c>
      <c r="B478" t="s">
        <v>44</v>
      </c>
      <c r="C478" s="7">
        <v>-400</v>
      </c>
      <c r="D478" t="s">
        <v>6</v>
      </c>
      <c r="E478" s="8">
        <f>E477+F478</f>
        <v>68756</v>
      </c>
      <c r="F478" s="8">
        <f>IF($D478="CR01",$C478,0)</f>
        <v>-400</v>
      </c>
      <c r="G478" s="8">
        <f>G477+H478</f>
        <v>0</v>
      </c>
      <c r="H478" s="8">
        <f>IF($D478="VISA",$C478,0)</f>
        <v>0</v>
      </c>
      <c r="I478" s="8">
        <f>I477+J478</f>
        <v>0</v>
      </c>
      <c r="J478" s="8">
        <f>IF($D478="ACC",$C478,0)</f>
        <v>0</v>
      </c>
      <c r="K478" s="8">
        <f>K477+L478</f>
        <v>0</v>
      </c>
      <c r="L478" s="8">
        <f>IF($D478="CBB",$C478,0)</f>
        <v>0</v>
      </c>
    </row>
    <row r="479" spans="1:12" x14ac:dyDescent="0.25">
      <c r="A479" s="6">
        <v>41676</v>
      </c>
      <c r="B479" t="s">
        <v>45</v>
      </c>
      <c r="C479" s="7">
        <v>-180</v>
      </c>
      <c r="D479" t="s">
        <v>6</v>
      </c>
      <c r="E479" s="8">
        <f>E478+F479</f>
        <v>68576</v>
      </c>
      <c r="F479" s="8">
        <f>IF($D479="CR01",$C479,0)</f>
        <v>-180</v>
      </c>
      <c r="G479" s="8">
        <f>G478+H479</f>
        <v>0</v>
      </c>
      <c r="H479" s="8">
        <f>IF($D479="VISA",$C479,0)</f>
        <v>0</v>
      </c>
      <c r="I479" s="8">
        <f>I478+J479</f>
        <v>0</v>
      </c>
      <c r="J479" s="8">
        <f>IF($D479="ACC",$C479,0)</f>
        <v>0</v>
      </c>
      <c r="K479" s="8">
        <f>K478+L479</f>
        <v>0</v>
      </c>
      <c r="L479" s="8">
        <f>IF($D479="CBB",$C479,0)</f>
        <v>0</v>
      </c>
    </row>
    <row r="480" spans="1:12" x14ac:dyDescent="0.25">
      <c r="A480" s="6">
        <v>41676</v>
      </c>
      <c r="B480" t="s">
        <v>46</v>
      </c>
      <c r="C480" s="7">
        <v>-300</v>
      </c>
      <c r="D480" t="s">
        <v>6</v>
      </c>
      <c r="E480" s="8">
        <f>E479+F480</f>
        <v>68276</v>
      </c>
      <c r="F480" s="8">
        <f>IF($D480="CR01",$C480,0)</f>
        <v>-300</v>
      </c>
      <c r="G480" s="8">
        <f>G479+H480</f>
        <v>0</v>
      </c>
      <c r="H480" s="8">
        <f>IF($D480="VISA",$C480,0)</f>
        <v>0</v>
      </c>
      <c r="I480" s="8">
        <f>I479+J480</f>
        <v>0</v>
      </c>
      <c r="J480" s="8">
        <f>IF($D480="ACC",$C480,0)</f>
        <v>0</v>
      </c>
      <c r="K480" s="8">
        <f>K479+L480</f>
        <v>0</v>
      </c>
      <c r="L480" s="8">
        <f>IF($D480="CBB",$C480,0)</f>
        <v>0</v>
      </c>
    </row>
    <row r="481" spans="1:12" x14ac:dyDescent="0.25">
      <c r="A481" s="6">
        <v>41678</v>
      </c>
      <c r="B481" t="s">
        <v>67</v>
      </c>
      <c r="C481" s="7">
        <v>5200</v>
      </c>
      <c r="D481" t="s">
        <v>6</v>
      </c>
      <c r="E481" s="8">
        <f>E480+F481</f>
        <v>73476</v>
      </c>
      <c r="F481" s="8">
        <f>IF($D481="CR01",$C481,0)</f>
        <v>5200</v>
      </c>
      <c r="G481" s="8">
        <f>G480+H481</f>
        <v>0</v>
      </c>
      <c r="H481" s="8">
        <f>IF($D481="VISA",$C481,0)</f>
        <v>0</v>
      </c>
      <c r="I481" s="8">
        <f>I480+J481</f>
        <v>0</v>
      </c>
      <c r="J481" s="8">
        <f>IF($D481="ACC",$C481,0)</f>
        <v>0</v>
      </c>
      <c r="K481" s="8">
        <f>K480+L481</f>
        <v>0</v>
      </c>
      <c r="L481" s="8">
        <f>IF($D481="CBB",$C481,0)</f>
        <v>0</v>
      </c>
    </row>
    <row r="482" spans="1:12" x14ac:dyDescent="0.25">
      <c r="A482" s="6">
        <v>41681</v>
      </c>
      <c r="B482" t="s">
        <v>42</v>
      </c>
      <c r="C482" s="7">
        <v>-2806</v>
      </c>
      <c r="D482" t="s">
        <v>6</v>
      </c>
      <c r="E482" s="8">
        <f>E481+F482</f>
        <v>70670</v>
      </c>
      <c r="F482" s="8">
        <f>IF($D482="CR01",$C482,0)</f>
        <v>-2806</v>
      </c>
      <c r="G482" s="8">
        <f>G481+H482</f>
        <v>0</v>
      </c>
      <c r="H482" s="8">
        <f>IF($D482="VISA",$C482,0)</f>
        <v>0</v>
      </c>
      <c r="I482" s="8">
        <f>I481+J482</f>
        <v>0</v>
      </c>
      <c r="J482" s="8">
        <f>IF($D482="ACC",$C482,0)</f>
        <v>0</v>
      </c>
      <c r="K482" s="8">
        <f>K481+L482</f>
        <v>0</v>
      </c>
      <c r="L482" s="8">
        <f>IF($D482="CBB",$C482,0)</f>
        <v>0</v>
      </c>
    </row>
    <row r="483" spans="1:12" x14ac:dyDescent="0.25">
      <c r="A483" s="6">
        <v>41681</v>
      </c>
      <c r="B483" t="s">
        <v>48</v>
      </c>
      <c r="C483" s="7">
        <v>-100</v>
      </c>
      <c r="D483" t="s">
        <v>6</v>
      </c>
      <c r="E483" s="8">
        <f>E482+F483</f>
        <v>70570</v>
      </c>
      <c r="F483" s="8">
        <f>IF($D483="CR01",$C483,0)</f>
        <v>-100</v>
      </c>
      <c r="G483" s="8">
        <f>G482+H483</f>
        <v>0</v>
      </c>
      <c r="H483" s="8">
        <f>IF($D483="VISA",$C483,0)</f>
        <v>0</v>
      </c>
      <c r="I483" s="8">
        <f>I482+J483</f>
        <v>0</v>
      </c>
      <c r="J483" s="8">
        <f>IF($D483="ACC",$C483,0)</f>
        <v>0</v>
      </c>
      <c r="K483" s="8">
        <f>K482+L483</f>
        <v>0</v>
      </c>
      <c r="L483" s="8">
        <f>IF($D483="CBB",$C483,0)</f>
        <v>0</v>
      </c>
    </row>
    <row r="484" spans="1:12" x14ac:dyDescent="0.25">
      <c r="A484" s="6">
        <v>41682</v>
      </c>
      <c r="B484" t="s">
        <v>47</v>
      </c>
      <c r="C484" s="7">
        <v>-120</v>
      </c>
      <c r="D484" t="s">
        <v>6</v>
      </c>
      <c r="E484" s="8">
        <f>E483+F484</f>
        <v>70450</v>
      </c>
      <c r="F484" s="8">
        <f>IF($D484="CR01",$C484,0)</f>
        <v>-120</v>
      </c>
      <c r="G484" s="8">
        <f>G483+H484</f>
        <v>0</v>
      </c>
      <c r="H484" s="8">
        <f>IF($D484="VISA",$C484,0)</f>
        <v>0</v>
      </c>
      <c r="I484" s="8">
        <f>I483+J484</f>
        <v>0</v>
      </c>
      <c r="J484" s="8">
        <f>IF($D484="ACC",$C484,0)</f>
        <v>0</v>
      </c>
      <c r="K484" s="8">
        <f>K483+L484</f>
        <v>0</v>
      </c>
      <c r="L484" s="8">
        <f>IF($D484="CBB",$C484,0)</f>
        <v>0</v>
      </c>
    </row>
    <row r="485" spans="1:12" x14ac:dyDescent="0.25">
      <c r="A485" s="6">
        <v>41683</v>
      </c>
      <c r="B485" t="s">
        <v>44</v>
      </c>
      <c r="C485" s="7">
        <v>-400</v>
      </c>
      <c r="D485" t="s">
        <v>6</v>
      </c>
      <c r="E485" s="8">
        <f>E484+F485</f>
        <v>70050</v>
      </c>
      <c r="F485" s="8">
        <f>IF($D485="CR01",$C485,0)</f>
        <v>-400</v>
      </c>
      <c r="G485" s="8">
        <f>G484+H485</f>
        <v>0</v>
      </c>
      <c r="H485" s="8">
        <f>IF($D485="VISA",$C485,0)</f>
        <v>0</v>
      </c>
      <c r="I485" s="8">
        <f>I484+J485</f>
        <v>0</v>
      </c>
      <c r="J485" s="8">
        <f>IF($D485="ACC",$C485,0)</f>
        <v>0</v>
      </c>
      <c r="K485" s="8">
        <f>K484+L485</f>
        <v>0</v>
      </c>
      <c r="L485" s="8">
        <f>IF($D485="CBB",$C485,0)</f>
        <v>0</v>
      </c>
    </row>
    <row r="486" spans="1:12" x14ac:dyDescent="0.25">
      <c r="A486" s="6">
        <v>41683</v>
      </c>
      <c r="B486" t="s">
        <v>45</v>
      </c>
      <c r="C486" s="7">
        <v>-180</v>
      </c>
      <c r="D486" t="s">
        <v>6</v>
      </c>
      <c r="E486" s="8">
        <f>E485+F486</f>
        <v>69870</v>
      </c>
      <c r="F486" s="8">
        <f>IF($D486="CR01",$C486,0)</f>
        <v>-180</v>
      </c>
      <c r="G486" s="8">
        <f>G485+H486</f>
        <v>0</v>
      </c>
      <c r="H486" s="8">
        <f>IF($D486="VISA",$C486,0)</f>
        <v>0</v>
      </c>
      <c r="I486" s="8">
        <f>I485+J486</f>
        <v>0</v>
      </c>
      <c r="J486" s="8">
        <f>IF($D486="ACC",$C486,0)</f>
        <v>0</v>
      </c>
      <c r="K486" s="8">
        <f>K485+L486</f>
        <v>0</v>
      </c>
      <c r="L486" s="8">
        <f>IF($D486="CBB",$C486,0)</f>
        <v>0</v>
      </c>
    </row>
    <row r="487" spans="1:12" x14ac:dyDescent="0.25">
      <c r="A487" s="6">
        <v>41683</v>
      </c>
      <c r="B487" t="s">
        <v>46</v>
      </c>
      <c r="C487" s="7">
        <v>-300</v>
      </c>
      <c r="D487" t="s">
        <v>6</v>
      </c>
      <c r="E487" s="8">
        <f>E486+F487</f>
        <v>69570</v>
      </c>
      <c r="F487" s="8">
        <f>IF($D487="CR01",$C487,0)</f>
        <v>-300</v>
      </c>
      <c r="G487" s="8">
        <f>G486+H487</f>
        <v>0</v>
      </c>
      <c r="H487" s="8">
        <f>IF($D487="VISA",$C487,0)</f>
        <v>0</v>
      </c>
      <c r="I487" s="8">
        <f>I486+J487</f>
        <v>0</v>
      </c>
      <c r="J487" s="8">
        <f>IF($D487="ACC",$C487,0)</f>
        <v>0</v>
      </c>
      <c r="K487" s="8">
        <f>K486+L487</f>
        <v>0</v>
      </c>
      <c r="L487" s="8">
        <f>IF($D487="CBB",$C487,0)</f>
        <v>0</v>
      </c>
    </row>
    <row r="488" spans="1:12" x14ac:dyDescent="0.25">
      <c r="A488" s="6">
        <v>41684</v>
      </c>
      <c r="B488" t="s">
        <v>43</v>
      </c>
      <c r="C488" s="7">
        <v>3226</v>
      </c>
      <c r="D488" t="s">
        <v>6</v>
      </c>
      <c r="E488" s="8">
        <f>E487+F488</f>
        <v>72796</v>
      </c>
      <c r="F488" s="8">
        <f>IF($D488="CR01",$C488,0)</f>
        <v>3226</v>
      </c>
      <c r="G488" s="8">
        <f>G487+H488</f>
        <v>0</v>
      </c>
      <c r="H488" s="8">
        <f>IF($D488="VISA",$C488,0)</f>
        <v>0</v>
      </c>
      <c r="I488" s="8">
        <f>I487+J488</f>
        <v>0</v>
      </c>
      <c r="J488" s="8">
        <f>IF($D488="ACC",$C488,0)</f>
        <v>0</v>
      </c>
      <c r="K488" s="8">
        <f>K487+L488</f>
        <v>0</v>
      </c>
      <c r="L488" s="8">
        <f>IF($D488="CBB",$C488,0)</f>
        <v>0</v>
      </c>
    </row>
    <row r="489" spans="1:12" x14ac:dyDescent="0.25">
      <c r="A489" s="6">
        <v>41688</v>
      </c>
      <c r="B489" t="s">
        <v>48</v>
      </c>
      <c r="C489" s="7">
        <v>-100</v>
      </c>
      <c r="D489" t="s">
        <v>6</v>
      </c>
      <c r="E489" s="8">
        <f>E488+F489</f>
        <v>72696</v>
      </c>
      <c r="F489" s="8">
        <f>IF($D489="CR01",$C489,0)</f>
        <v>-100</v>
      </c>
      <c r="G489" s="8">
        <f>G488+H489</f>
        <v>0</v>
      </c>
      <c r="H489" s="8">
        <f>IF($D489="VISA",$C489,0)</f>
        <v>0</v>
      </c>
      <c r="I489" s="8">
        <f>I488+J489</f>
        <v>0</v>
      </c>
      <c r="J489" s="8">
        <f>IF($D489="ACC",$C489,0)</f>
        <v>0</v>
      </c>
      <c r="K489" s="8">
        <f>K488+L489</f>
        <v>0</v>
      </c>
      <c r="L489" s="8">
        <f>IF($D489="CBB",$C489,0)</f>
        <v>0</v>
      </c>
    </row>
    <row r="490" spans="1:12" x14ac:dyDescent="0.25">
      <c r="A490" s="6">
        <v>41689</v>
      </c>
      <c r="B490" t="s">
        <v>47</v>
      </c>
      <c r="C490" s="7">
        <v>-120</v>
      </c>
      <c r="D490" t="s">
        <v>6</v>
      </c>
      <c r="E490" s="8">
        <f>E489+F490</f>
        <v>72576</v>
      </c>
      <c r="F490" s="8">
        <f>IF($D490="CR01",$C490,0)</f>
        <v>-120</v>
      </c>
      <c r="G490" s="8">
        <f>G489+H490</f>
        <v>0</v>
      </c>
      <c r="H490" s="8">
        <f>IF($D490="VISA",$C490,0)</f>
        <v>0</v>
      </c>
      <c r="I490" s="8">
        <f>I489+J490</f>
        <v>0</v>
      </c>
      <c r="J490" s="8">
        <f>IF($D490="ACC",$C490,0)</f>
        <v>0</v>
      </c>
      <c r="K490" s="8">
        <f>K489+L490</f>
        <v>0</v>
      </c>
      <c r="L490" s="8">
        <f>IF($D490="CBB",$C490,0)</f>
        <v>0</v>
      </c>
    </row>
    <row r="491" spans="1:12" x14ac:dyDescent="0.25">
      <c r="A491" s="6">
        <v>41690</v>
      </c>
      <c r="B491" t="s">
        <v>44</v>
      </c>
      <c r="C491" s="7">
        <v>-400</v>
      </c>
      <c r="D491" t="s">
        <v>6</v>
      </c>
      <c r="E491" s="8">
        <f>E490+F491</f>
        <v>72176</v>
      </c>
      <c r="F491" s="8">
        <f>IF($D491="CR01",$C491,0)</f>
        <v>-400</v>
      </c>
      <c r="G491" s="8">
        <f>G490+H491</f>
        <v>0</v>
      </c>
      <c r="H491" s="8">
        <f>IF($D491="VISA",$C491,0)</f>
        <v>0</v>
      </c>
      <c r="I491" s="8">
        <f>I490+J491</f>
        <v>0</v>
      </c>
      <c r="J491" s="8">
        <f>IF($D491="ACC",$C491,0)</f>
        <v>0</v>
      </c>
      <c r="K491" s="8">
        <f>K490+L491</f>
        <v>0</v>
      </c>
      <c r="L491" s="8">
        <f>IF($D491="CBB",$C491,0)</f>
        <v>0</v>
      </c>
    </row>
    <row r="492" spans="1:12" x14ac:dyDescent="0.25">
      <c r="A492" s="6">
        <v>41690</v>
      </c>
      <c r="B492" t="s">
        <v>45</v>
      </c>
      <c r="C492" s="7">
        <v>-180</v>
      </c>
      <c r="D492" t="s">
        <v>6</v>
      </c>
      <c r="E492" s="8">
        <f>E491+F492</f>
        <v>71996</v>
      </c>
      <c r="F492" s="8">
        <f>IF($D492="CR01",$C492,0)</f>
        <v>-180</v>
      </c>
      <c r="G492" s="8">
        <f>G491+H492</f>
        <v>0</v>
      </c>
      <c r="H492" s="8">
        <f>IF($D492="VISA",$C492,0)</f>
        <v>0</v>
      </c>
      <c r="I492" s="8">
        <f>I491+J492</f>
        <v>0</v>
      </c>
      <c r="J492" s="8">
        <f>IF($D492="ACC",$C492,0)</f>
        <v>0</v>
      </c>
      <c r="K492" s="8">
        <f>K491+L492</f>
        <v>0</v>
      </c>
      <c r="L492" s="8">
        <f>IF($D492="CBB",$C492,0)</f>
        <v>0</v>
      </c>
    </row>
    <row r="493" spans="1:12" x14ac:dyDescent="0.25">
      <c r="A493" s="6">
        <v>41690</v>
      </c>
      <c r="B493" t="s">
        <v>46</v>
      </c>
      <c r="C493" s="7">
        <v>-300</v>
      </c>
      <c r="D493" t="s">
        <v>6</v>
      </c>
      <c r="E493" s="8">
        <f>E492+F493</f>
        <v>71696</v>
      </c>
      <c r="F493" s="8">
        <f>IF($D493="CR01",$C493,0)</f>
        <v>-300</v>
      </c>
      <c r="G493" s="8">
        <f>G492+H493</f>
        <v>0</v>
      </c>
      <c r="H493" s="8">
        <f>IF($D493="VISA",$C493,0)</f>
        <v>0</v>
      </c>
      <c r="I493" s="8">
        <f>I492+J493</f>
        <v>0</v>
      </c>
      <c r="J493" s="8">
        <f>IF($D493="ACC",$C493,0)</f>
        <v>0</v>
      </c>
      <c r="K493" s="8">
        <f>K492+L493</f>
        <v>0</v>
      </c>
      <c r="L493" s="8">
        <f>IF($D493="CBB",$C493,0)</f>
        <v>0</v>
      </c>
    </row>
    <row r="494" spans="1:12" x14ac:dyDescent="0.25">
      <c r="A494" s="6">
        <v>41692</v>
      </c>
      <c r="B494" t="s">
        <v>67</v>
      </c>
      <c r="C494" s="7">
        <v>5200</v>
      </c>
      <c r="D494" t="s">
        <v>6</v>
      </c>
      <c r="E494" s="8">
        <f>E493+F494</f>
        <v>76896</v>
      </c>
      <c r="F494" s="8">
        <f>IF($D494="CR01",$C494,0)</f>
        <v>5200</v>
      </c>
      <c r="G494" s="8">
        <f>G493+H494</f>
        <v>0</v>
      </c>
      <c r="H494" s="8">
        <f>IF($D494="VISA",$C494,0)</f>
        <v>0</v>
      </c>
      <c r="I494" s="8">
        <f>I493+J494</f>
        <v>0</v>
      </c>
      <c r="J494" s="8">
        <f>IF($D494="ACC",$C494,0)</f>
        <v>0</v>
      </c>
      <c r="K494" s="8">
        <f>K493+L494</f>
        <v>0</v>
      </c>
      <c r="L494" s="8">
        <f>IF($D494="CBB",$C494,0)</f>
        <v>0</v>
      </c>
    </row>
    <row r="495" spans="1:12" x14ac:dyDescent="0.25">
      <c r="A495" s="6">
        <v>41695</v>
      </c>
      <c r="B495" t="s">
        <v>42</v>
      </c>
      <c r="C495" s="7">
        <v>-2806</v>
      </c>
      <c r="D495" t="s">
        <v>6</v>
      </c>
      <c r="E495" s="8">
        <f>E494+F495</f>
        <v>74090</v>
      </c>
      <c r="F495" s="8">
        <f>IF($D495="CR01",$C495,0)</f>
        <v>-2806</v>
      </c>
      <c r="G495" s="8">
        <f>G494+H495</f>
        <v>0</v>
      </c>
      <c r="H495" s="8">
        <f>IF($D495="VISA",$C495,0)</f>
        <v>0</v>
      </c>
      <c r="I495" s="8">
        <f>I494+J495</f>
        <v>0</v>
      </c>
      <c r="J495" s="8">
        <f>IF($D495="ACC",$C495,0)</f>
        <v>0</v>
      </c>
      <c r="K495" s="8">
        <f>K494+L495</f>
        <v>0</v>
      </c>
      <c r="L495" s="8">
        <f>IF($D495="CBB",$C495,0)</f>
        <v>0</v>
      </c>
    </row>
    <row r="496" spans="1:12" x14ac:dyDescent="0.25">
      <c r="A496" s="6">
        <v>41695</v>
      </c>
      <c r="B496" t="s">
        <v>48</v>
      </c>
      <c r="C496" s="7">
        <v>-100</v>
      </c>
      <c r="D496" t="s">
        <v>6</v>
      </c>
      <c r="E496" s="8">
        <f>E495+F496</f>
        <v>73990</v>
      </c>
      <c r="F496" s="8">
        <f>IF($D496="CR01",$C496,0)</f>
        <v>-100</v>
      </c>
      <c r="G496" s="8">
        <f>G495+H496</f>
        <v>0</v>
      </c>
      <c r="H496" s="8">
        <f>IF($D496="VISA",$C496,0)</f>
        <v>0</v>
      </c>
      <c r="I496" s="8">
        <f>I495+J496</f>
        <v>0</v>
      </c>
      <c r="J496" s="8">
        <f>IF($D496="ACC",$C496,0)</f>
        <v>0</v>
      </c>
      <c r="K496" s="8">
        <f>K495+L496</f>
        <v>0</v>
      </c>
      <c r="L496" s="8">
        <f>IF($D496="CBB",$C496,0)</f>
        <v>0</v>
      </c>
    </row>
    <row r="497" spans="1:12" x14ac:dyDescent="0.25">
      <c r="A497" s="6">
        <v>41696</v>
      </c>
      <c r="B497" t="s">
        <v>47</v>
      </c>
      <c r="C497" s="7">
        <v>-120</v>
      </c>
      <c r="D497" t="s">
        <v>6</v>
      </c>
      <c r="E497" s="8">
        <f>E496+F497</f>
        <v>73870</v>
      </c>
      <c r="F497" s="8">
        <f>IF($D497="CR01",$C497,0)</f>
        <v>-120</v>
      </c>
      <c r="G497" s="8">
        <f>G496+H497</f>
        <v>0</v>
      </c>
      <c r="H497" s="8">
        <f>IF($D497="VISA",$C497,0)</f>
        <v>0</v>
      </c>
      <c r="I497" s="8">
        <f>I496+J497</f>
        <v>0</v>
      </c>
      <c r="J497" s="8">
        <f>IF($D497="ACC",$C497,0)</f>
        <v>0</v>
      </c>
      <c r="K497" s="8">
        <f>K496+L497</f>
        <v>0</v>
      </c>
      <c r="L497" s="8">
        <f>IF($D497="CBB",$C497,0)</f>
        <v>0</v>
      </c>
    </row>
    <row r="498" spans="1:12" x14ac:dyDescent="0.25">
      <c r="A498" s="6">
        <v>41697</v>
      </c>
      <c r="B498" t="s">
        <v>44</v>
      </c>
      <c r="C498" s="7">
        <v>-400</v>
      </c>
      <c r="D498" t="s">
        <v>6</v>
      </c>
      <c r="E498" s="8">
        <f>E497+F498</f>
        <v>73470</v>
      </c>
      <c r="F498" s="8">
        <f>IF($D498="CR01",$C498,0)</f>
        <v>-400</v>
      </c>
      <c r="G498" s="8">
        <f>G497+H498</f>
        <v>0</v>
      </c>
      <c r="H498" s="8">
        <f>IF($D498="VISA",$C498,0)</f>
        <v>0</v>
      </c>
      <c r="I498" s="8">
        <f>I497+J498</f>
        <v>0</v>
      </c>
      <c r="J498" s="8">
        <f>IF($D498="ACC",$C498,0)</f>
        <v>0</v>
      </c>
      <c r="K498" s="8">
        <f>K497+L498</f>
        <v>0</v>
      </c>
      <c r="L498" s="8">
        <f>IF($D498="CBB",$C498,0)</f>
        <v>0</v>
      </c>
    </row>
    <row r="499" spans="1:12" x14ac:dyDescent="0.25">
      <c r="A499" s="6">
        <v>41697</v>
      </c>
      <c r="B499" t="s">
        <v>45</v>
      </c>
      <c r="C499" s="7">
        <v>-180</v>
      </c>
      <c r="D499" t="s">
        <v>6</v>
      </c>
      <c r="E499" s="8">
        <f>E498+F499</f>
        <v>73290</v>
      </c>
      <c r="F499" s="8">
        <f>IF($D499="CR01",$C499,0)</f>
        <v>-180</v>
      </c>
      <c r="G499" s="8">
        <f>G498+H499</f>
        <v>0</v>
      </c>
      <c r="H499" s="8">
        <f>IF($D499="VISA",$C499,0)</f>
        <v>0</v>
      </c>
      <c r="I499" s="8">
        <f>I498+J499</f>
        <v>0</v>
      </c>
      <c r="J499" s="8">
        <f>IF($D499="ACC",$C499,0)</f>
        <v>0</v>
      </c>
      <c r="K499" s="8">
        <f>K498+L499</f>
        <v>0</v>
      </c>
      <c r="L499" s="8">
        <f>IF($D499="CBB",$C499,0)</f>
        <v>0</v>
      </c>
    </row>
    <row r="500" spans="1:12" x14ac:dyDescent="0.25">
      <c r="A500" s="6">
        <v>41697</v>
      </c>
      <c r="B500" t="s">
        <v>46</v>
      </c>
      <c r="C500" s="7">
        <v>-300</v>
      </c>
      <c r="D500" t="s">
        <v>6</v>
      </c>
      <c r="E500" s="8">
        <f>E499+F500</f>
        <v>72990</v>
      </c>
      <c r="F500" s="8">
        <f>IF($D500="CR01",$C500,0)</f>
        <v>-300</v>
      </c>
      <c r="G500" s="8">
        <f>G499+H500</f>
        <v>0</v>
      </c>
      <c r="H500" s="8">
        <f>IF($D500="VISA",$C500,0)</f>
        <v>0</v>
      </c>
      <c r="I500" s="8">
        <f>I499+J500</f>
        <v>0</v>
      </c>
      <c r="J500" s="8">
        <f>IF($D500="ACC",$C500,0)</f>
        <v>0</v>
      </c>
      <c r="K500" s="8">
        <f>K499+L500</f>
        <v>0</v>
      </c>
      <c r="L500" s="8">
        <f>IF($D500="CBB",$C500,0)</f>
        <v>0</v>
      </c>
    </row>
    <row r="501" spans="1:12" x14ac:dyDescent="0.25">
      <c r="A501" s="6">
        <v>41698</v>
      </c>
      <c r="B501" t="s">
        <v>43</v>
      </c>
      <c r="C501" s="7">
        <v>3226</v>
      </c>
      <c r="D501" t="s">
        <v>6</v>
      </c>
      <c r="E501" s="8">
        <f>E500+F501</f>
        <v>76216</v>
      </c>
      <c r="F501" s="8">
        <f>IF($D501="CR01",$C501,0)</f>
        <v>3226</v>
      </c>
      <c r="G501" s="8">
        <f>G500+H501</f>
        <v>0</v>
      </c>
      <c r="H501" s="8">
        <f>IF($D501="VISA",$C501,0)</f>
        <v>0</v>
      </c>
      <c r="I501" s="8">
        <f>I500+J501</f>
        <v>0</v>
      </c>
      <c r="J501" s="8">
        <f>IF($D501="ACC",$C501,0)</f>
        <v>0</v>
      </c>
      <c r="K501" s="8">
        <f>K500+L501</f>
        <v>0</v>
      </c>
      <c r="L501" s="8">
        <f>IF($D501="CBB",$C501,0)</f>
        <v>0</v>
      </c>
    </row>
    <row r="502" spans="1:12" x14ac:dyDescent="0.25">
      <c r="A502" s="6">
        <v>41699</v>
      </c>
      <c r="B502" t="s">
        <v>58</v>
      </c>
      <c r="C502" s="7">
        <v>-200</v>
      </c>
      <c r="D502" t="s">
        <v>6</v>
      </c>
      <c r="E502" s="8">
        <f>E501+F502</f>
        <v>76016</v>
      </c>
      <c r="F502" s="8">
        <f>IF($D502="CR01",$C502,0)</f>
        <v>-200</v>
      </c>
      <c r="G502" s="8">
        <f>G501+H502</f>
        <v>0</v>
      </c>
      <c r="H502" s="8">
        <f>IF($D502="VISA",$C502,0)</f>
        <v>0</v>
      </c>
      <c r="I502" s="8">
        <f>I501+J502</f>
        <v>0</v>
      </c>
      <c r="J502" s="8">
        <f>IF($D502="ACC",$C502,0)</f>
        <v>0</v>
      </c>
      <c r="K502" s="8">
        <f>K501+L502</f>
        <v>0</v>
      </c>
      <c r="L502" s="8">
        <f>IF($D502="CBB",$C502,0)</f>
        <v>0</v>
      </c>
    </row>
    <row r="503" spans="1:12" x14ac:dyDescent="0.25">
      <c r="A503" s="6">
        <v>41699</v>
      </c>
      <c r="B503" t="s">
        <v>60</v>
      </c>
      <c r="C503" s="7">
        <v>-400</v>
      </c>
      <c r="D503" t="s">
        <v>6</v>
      </c>
      <c r="E503" s="8">
        <f>E502+F503</f>
        <v>75616</v>
      </c>
      <c r="F503" s="8">
        <f>IF($D503="CR01",$C503,0)</f>
        <v>-400</v>
      </c>
      <c r="G503" s="8">
        <f>G502+H503</f>
        <v>0</v>
      </c>
      <c r="H503" s="8">
        <f>IF($D503="VISA",$C503,0)</f>
        <v>0</v>
      </c>
      <c r="I503" s="8">
        <f>I502+J503</f>
        <v>0</v>
      </c>
      <c r="J503" s="8">
        <f>IF($D503="ACC",$C503,0)</f>
        <v>0</v>
      </c>
      <c r="K503" s="8">
        <f>K502+L503</f>
        <v>0</v>
      </c>
      <c r="L503" s="8">
        <f>IF($D503="CBB",$C503,0)</f>
        <v>0</v>
      </c>
    </row>
    <row r="504" spans="1:12" x14ac:dyDescent="0.25">
      <c r="A504" s="6">
        <v>41699</v>
      </c>
      <c r="B504" t="s">
        <v>64</v>
      </c>
      <c r="C504" s="7">
        <v>-26</v>
      </c>
      <c r="D504" t="s">
        <v>6</v>
      </c>
      <c r="E504" s="8">
        <f>E503+F504</f>
        <v>75590</v>
      </c>
      <c r="F504" s="8">
        <f>IF($D504="CR01",$C504,0)</f>
        <v>-26</v>
      </c>
      <c r="G504" s="8">
        <f>G503+H504</f>
        <v>0</v>
      </c>
      <c r="H504" s="8">
        <f>IF($D504="VISA",$C504,0)</f>
        <v>0</v>
      </c>
      <c r="I504" s="8">
        <f>I503+J504</f>
        <v>0</v>
      </c>
      <c r="J504" s="8">
        <f>IF($D504="ACC",$C504,0)</f>
        <v>0</v>
      </c>
      <c r="K504" s="8">
        <f>K503+L504</f>
        <v>0</v>
      </c>
      <c r="L504" s="8">
        <f>IF($D504="CBB",$C504,0)</f>
        <v>0</v>
      </c>
    </row>
    <row r="505" spans="1:12" x14ac:dyDescent="0.25">
      <c r="A505" s="6">
        <v>41699</v>
      </c>
      <c r="B505" t="s">
        <v>65</v>
      </c>
      <c r="C505" s="7">
        <v>-240</v>
      </c>
      <c r="D505" t="s">
        <v>6</v>
      </c>
      <c r="E505" s="8">
        <f>E504+F505</f>
        <v>75350</v>
      </c>
      <c r="F505" s="8">
        <f>IF($D505="CR01",$C505,0)</f>
        <v>-240</v>
      </c>
      <c r="G505" s="8">
        <f>G504+H505</f>
        <v>0</v>
      </c>
      <c r="H505" s="8">
        <f>IF($D505="VISA",$C505,0)</f>
        <v>0</v>
      </c>
      <c r="I505" s="8">
        <f>I504+J505</f>
        <v>0</v>
      </c>
      <c r="J505" s="8">
        <f>IF($D505="ACC",$C505,0)</f>
        <v>0</v>
      </c>
      <c r="K505" s="8">
        <f>K504+L505</f>
        <v>0</v>
      </c>
      <c r="L505" s="8">
        <f>IF($D505="CBB",$C505,0)</f>
        <v>0</v>
      </c>
    </row>
    <row r="506" spans="1:12" x14ac:dyDescent="0.25">
      <c r="A506" s="6">
        <v>41699</v>
      </c>
      <c r="B506" t="s">
        <v>66</v>
      </c>
      <c r="C506" s="7">
        <v>-120</v>
      </c>
      <c r="D506" t="s">
        <v>6</v>
      </c>
      <c r="E506" s="8">
        <f>E505+F506</f>
        <v>75230</v>
      </c>
      <c r="F506" s="8">
        <f>IF($D506="CR01",$C506,0)</f>
        <v>-120</v>
      </c>
      <c r="G506" s="8">
        <f>G505+H506</f>
        <v>0</v>
      </c>
      <c r="H506" s="8">
        <f>IF($D506="VISA",$C506,0)</f>
        <v>0</v>
      </c>
      <c r="I506" s="8">
        <f>I505+J506</f>
        <v>0</v>
      </c>
      <c r="J506" s="8">
        <f>IF($D506="ACC",$C506,0)</f>
        <v>0</v>
      </c>
      <c r="K506" s="8">
        <f>K505+L506</f>
        <v>0</v>
      </c>
      <c r="L506" s="8">
        <f>IF($D506="CBB",$C506,0)</f>
        <v>0</v>
      </c>
    </row>
    <row r="507" spans="1:12" x14ac:dyDescent="0.25">
      <c r="A507" s="6">
        <v>41700</v>
      </c>
      <c r="B507" t="s">
        <v>59</v>
      </c>
      <c r="C507" s="7">
        <v>-900</v>
      </c>
      <c r="D507" t="s">
        <v>6</v>
      </c>
      <c r="E507" s="8">
        <f>E506+F507</f>
        <v>74330</v>
      </c>
      <c r="F507" s="8">
        <f>IF($D507="CR01",$C507,0)</f>
        <v>-900</v>
      </c>
      <c r="G507" s="8">
        <f>G506+H507</f>
        <v>0</v>
      </c>
      <c r="H507" s="8">
        <f>IF($D507="VISA",$C507,0)</f>
        <v>0</v>
      </c>
      <c r="I507" s="8">
        <f>I506+J507</f>
        <v>0</v>
      </c>
      <c r="J507" s="8">
        <f>IF($D507="ACC",$C507,0)</f>
        <v>0</v>
      </c>
      <c r="K507" s="8">
        <f>K506+L507</f>
        <v>0</v>
      </c>
      <c r="L507" s="8">
        <f>IF($D507="CBB",$C507,0)</f>
        <v>0</v>
      </c>
    </row>
    <row r="508" spans="1:12" x14ac:dyDescent="0.25">
      <c r="A508" s="6">
        <v>41702</v>
      </c>
      <c r="B508" t="s">
        <v>48</v>
      </c>
      <c r="C508" s="7">
        <v>-100</v>
      </c>
      <c r="D508" t="s">
        <v>6</v>
      </c>
      <c r="E508" s="8">
        <f>E507+F508</f>
        <v>74230</v>
      </c>
      <c r="F508" s="8">
        <f>IF($D508="CR01",$C508,0)</f>
        <v>-100</v>
      </c>
      <c r="G508" s="8">
        <f>G507+H508</f>
        <v>0</v>
      </c>
      <c r="H508" s="8">
        <f>IF($D508="VISA",$C508,0)</f>
        <v>0</v>
      </c>
      <c r="I508" s="8">
        <f>I507+J508</f>
        <v>0</v>
      </c>
      <c r="J508" s="8">
        <f>IF($D508="ACC",$C508,0)</f>
        <v>0</v>
      </c>
      <c r="K508" s="8">
        <f>K507+L508</f>
        <v>0</v>
      </c>
      <c r="L508" s="8">
        <f>IF($D508="CBB",$C508,0)</f>
        <v>0</v>
      </c>
    </row>
    <row r="509" spans="1:12" x14ac:dyDescent="0.25">
      <c r="A509" s="6">
        <v>41703</v>
      </c>
      <c r="B509" t="s">
        <v>47</v>
      </c>
      <c r="C509" s="7">
        <v>-120</v>
      </c>
      <c r="D509" t="s">
        <v>6</v>
      </c>
      <c r="E509" s="8">
        <f>E508+F509</f>
        <v>74110</v>
      </c>
      <c r="F509" s="8">
        <f>IF($D509="CR01",$C509,0)</f>
        <v>-120</v>
      </c>
      <c r="G509" s="8">
        <f>G508+H509</f>
        <v>0</v>
      </c>
      <c r="H509" s="8">
        <f>IF($D509="VISA",$C509,0)</f>
        <v>0</v>
      </c>
      <c r="I509" s="8">
        <f>I508+J509</f>
        <v>0</v>
      </c>
      <c r="J509" s="8">
        <f>IF($D509="ACC",$C509,0)</f>
        <v>0</v>
      </c>
      <c r="K509" s="8">
        <f>K508+L509</f>
        <v>0</v>
      </c>
      <c r="L509" s="8">
        <f>IF($D509="CBB",$C509,0)</f>
        <v>0</v>
      </c>
    </row>
    <row r="510" spans="1:12" x14ac:dyDescent="0.25">
      <c r="A510" s="6">
        <v>41704</v>
      </c>
      <c r="B510" t="s">
        <v>44</v>
      </c>
      <c r="C510" s="7">
        <v>-400</v>
      </c>
      <c r="D510" t="s">
        <v>6</v>
      </c>
      <c r="E510" s="8">
        <f>E509+F510</f>
        <v>73710</v>
      </c>
      <c r="F510" s="8">
        <f>IF($D510="CR01",$C510,0)</f>
        <v>-400</v>
      </c>
      <c r="G510" s="8">
        <f>G509+H510</f>
        <v>0</v>
      </c>
      <c r="H510" s="8">
        <f>IF($D510="VISA",$C510,0)</f>
        <v>0</v>
      </c>
      <c r="I510" s="8">
        <f>I509+J510</f>
        <v>0</v>
      </c>
      <c r="J510" s="8">
        <f>IF($D510="ACC",$C510,0)</f>
        <v>0</v>
      </c>
      <c r="K510" s="8">
        <f>K509+L510</f>
        <v>0</v>
      </c>
      <c r="L510" s="8">
        <f>IF($D510="CBB",$C510,0)</f>
        <v>0</v>
      </c>
    </row>
    <row r="511" spans="1:12" x14ac:dyDescent="0.25">
      <c r="A511" s="6">
        <v>41704</v>
      </c>
      <c r="B511" t="s">
        <v>45</v>
      </c>
      <c r="C511" s="7">
        <v>-180</v>
      </c>
      <c r="D511" t="s">
        <v>6</v>
      </c>
      <c r="E511" s="8">
        <f>E510+F511</f>
        <v>73530</v>
      </c>
      <c r="F511" s="8">
        <f>IF($D511="CR01",$C511,0)</f>
        <v>-180</v>
      </c>
      <c r="G511" s="8">
        <f>G510+H511</f>
        <v>0</v>
      </c>
      <c r="H511" s="8">
        <f>IF($D511="VISA",$C511,0)</f>
        <v>0</v>
      </c>
      <c r="I511" s="8">
        <f>I510+J511</f>
        <v>0</v>
      </c>
      <c r="J511" s="8">
        <f>IF($D511="ACC",$C511,0)</f>
        <v>0</v>
      </c>
      <c r="K511" s="8">
        <f>K510+L511</f>
        <v>0</v>
      </c>
      <c r="L511" s="8">
        <f>IF($D511="CBB",$C511,0)</f>
        <v>0</v>
      </c>
    </row>
    <row r="512" spans="1:12" x14ac:dyDescent="0.25">
      <c r="A512" s="6">
        <v>41704</v>
      </c>
      <c r="B512" t="s">
        <v>46</v>
      </c>
      <c r="C512" s="7">
        <v>-300</v>
      </c>
      <c r="D512" t="s">
        <v>6</v>
      </c>
      <c r="E512" s="8">
        <f>E511+F512</f>
        <v>73230</v>
      </c>
      <c r="F512" s="8">
        <f>IF($D512="CR01",$C512,0)</f>
        <v>-300</v>
      </c>
      <c r="G512" s="8">
        <f>G511+H512</f>
        <v>0</v>
      </c>
      <c r="H512" s="8">
        <f>IF($D512="VISA",$C512,0)</f>
        <v>0</v>
      </c>
      <c r="I512" s="8">
        <f>I511+J512</f>
        <v>0</v>
      </c>
      <c r="J512" s="8">
        <f>IF($D512="ACC",$C512,0)</f>
        <v>0</v>
      </c>
      <c r="K512" s="8">
        <f>K511+L512</f>
        <v>0</v>
      </c>
      <c r="L512" s="8">
        <f>IF($D512="CBB",$C512,0)</f>
        <v>0</v>
      </c>
    </row>
    <row r="513" spans="1:12" x14ac:dyDescent="0.25">
      <c r="A513" s="6">
        <v>41706</v>
      </c>
      <c r="B513" t="s">
        <v>67</v>
      </c>
      <c r="C513" s="7">
        <v>5200</v>
      </c>
      <c r="D513" t="s">
        <v>6</v>
      </c>
      <c r="E513" s="8">
        <f>E512+F513</f>
        <v>78430</v>
      </c>
      <c r="F513" s="8">
        <f>IF($D513="CR01",$C513,0)</f>
        <v>5200</v>
      </c>
      <c r="G513" s="8">
        <f>G512+H513</f>
        <v>0</v>
      </c>
      <c r="H513" s="8">
        <f>IF($D513="VISA",$C513,0)</f>
        <v>0</v>
      </c>
      <c r="I513" s="8">
        <f>I512+J513</f>
        <v>0</v>
      </c>
      <c r="J513" s="8">
        <f>IF($D513="ACC",$C513,0)</f>
        <v>0</v>
      </c>
      <c r="K513" s="8">
        <f>K512+L513</f>
        <v>0</v>
      </c>
      <c r="L513" s="8">
        <f>IF($D513="CBB",$C513,0)</f>
        <v>0</v>
      </c>
    </row>
    <row r="514" spans="1:12" x14ac:dyDescent="0.25">
      <c r="A514" s="6">
        <v>41709</v>
      </c>
      <c r="B514" t="s">
        <v>42</v>
      </c>
      <c r="C514" s="7">
        <v>-2806</v>
      </c>
      <c r="D514" t="s">
        <v>6</v>
      </c>
      <c r="E514" s="8">
        <f>E513+F514</f>
        <v>75624</v>
      </c>
      <c r="F514" s="8">
        <f>IF($D514="CR01",$C514,0)</f>
        <v>-2806</v>
      </c>
      <c r="G514" s="8">
        <f>G513+H514</f>
        <v>0</v>
      </c>
      <c r="H514" s="8">
        <f>IF($D514="VISA",$C514,0)</f>
        <v>0</v>
      </c>
      <c r="I514" s="8">
        <f>I513+J514</f>
        <v>0</v>
      </c>
      <c r="J514" s="8">
        <f>IF($D514="ACC",$C514,0)</f>
        <v>0</v>
      </c>
      <c r="K514" s="8">
        <f>K513+L514</f>
        <v>0</v>
      </c>
      <c r="L514" s="8">
        <f>IF($D514="CBB",$C514,0)</f>
        <v>0</v>
      </c>
    </row>
    <row r="515" spans="1:12" x14ac:dyDescent="0.25">
      <c r="A515" s="6">
        <v>41709</v>
      </c>
      <c r="B515" t="s">
        <v>48</v>
      </c>
      <c r="C515" s="7">
        <v>-100</v>
      </c>
      <c r="D515" t="s">
        <v>6</v>
      </c>
      <c r="E515" s="8">
        <f>E514+F515</f>
        <v>75524</v>
      </c>
      <c r="F515" s="8">
        <f>IF($D515="CR01",$C515,0)</f>
        <v>-100</v>
      </c>
      <c r="G515" s="8">
        <f>G514+H515</f>
        <v>0</v>
      </c>
      <c r="H515" s="8">
        <f>IF($D515="VISA",$C515,0)</f>
        <v>0</v>
      </c>
      <c r="I515" s="8">
        <f>I514+J515</f>
        <v>0</v>
      </c>
      <c r="J515" s="8">
        <f>IF($D515="ACC",$C515,0)</f>
        <v>0</v>
      </c>
      <c r="K515" s="8">
        <f>K514+L515</f>
        <v>0</v>
      </c>
      <c r="L515" s="8">
        <f>IF($D515="CBB",$C515,0)</f>
        <v>0</v>
      </c>
    </row>
    <row r="516" spans="1:12" x14ac:dyDescent="0.25">
      <c r="A516" s="6">
        <v>41710</v>
      </c>
      <c r="B516" t="s">
        <v>47</v>
      </c>
      <c r="C516" s="7">
        <v>-120</v>
      </c>
      <c r="D516" t="s">
        <v>6</v>
      </c>
      <c r="E516" s="8">
        <f>E515+F516</f>
        <v>75404</v>
      </c>
      <c r="F516" s="8">
        <f>IF($D516="CR01",$C516,0)</f>
        <v>-120</v>
      </c>
      <c r="G516" s="8">
        <f>G515+H516</f>
        <v>0</v>
      </c>
      <c r="H516" s="8">
        <f>IF($D516="VISA",$C516,0)</f>
        <v>0</v>
      </c>
      <c r="I516" s="8">
        <f>I515+J516</f>
        <v>0</v>
      </c>
      <c r="J516" s="8">
        <f>IF($D516="ACC",$C516,0)</f>
        <v>0</v>
      </c>
      <c r="K516" s="8">
        <f>K515+L516</f>
        <v>0</v>
      </c>
      <c r="L516" s="8">
        <f>IF($D516="CBB",$C516,0)</f>
        <v>0</v>
      </c>
    </row>
    <row r="517" spans="1:12" x14ac:dyDescent="0.25">
      <c r="A517" s="6">
        <v>41711</v>
      </c>
      <c r="B517" t="s">
        <v>44</v>
      </c>
      <c r="C517" s="7">
        <v>-400</v>
      </c>
      <c r="D517" t="s">
        <v>6</v>
      </c>
      <c r="E517" s="8">
        <f>E516+F517</f>
        <v>75004</v>
      </c>
      <c r="F517" s="8">
        <f>IF($D517="CR01",$C517,0)</f>
        <v>-400</v>
      </c>
      <c r="G517" s="8">
        <f>G516+H517</f>
        <v>0</v>
      </c>
      <c r="H517" s="8">
        <f>IF($D517="VISA",$C517,0)</f>
        <v>0</v>
      </c>
      <c r="I517" s="8">
        <f>I516+J517</f>
        <v>0</v>
      </c>
      <c r="J517" s="8">
        <f>IF($D517="ACC",$C517,0)</f>
        <v>0</v>
      </c>
      <c r="K517" s="8">
        <f>K516+L517</f>
        <v>0</v>
      </c>
      <c r="L517" s="8">
        <f>IF($D517="CBB",$C517,0)</f>
        <v>0</v>
      </c>
    </row>
    <row r="518" spans="1:12" x14ac:dyDescent="0.25">
      <c r="A518" s="6">
        <v>41711</v>
      </c>
      <c r="B518" t="s">
        <v>45</v>
      </c>
      <c r="C518" s="7">
        <v>-180</v>
      </c>
      <c r="D518" t="s">
        <v>6</v>
      </c>
      <c r="E518" s="8">
        <f>E517+F518</f>
        <v>74824</v>
      </c>
      <c r="F518" s="8">
        <f>IF($D518="CR01",$C518,0)</f>
        <v>-180</v>
      </c>
      <c r="G518" s="8">
        <f>G517+H518</f>
        <v>0</v>
      </c>
      <c r="H518" s="8">
        <f>IF($D518="VISA",$C518,0)</f>
        <v>0</v>
      </c>
      <c r="I518" s="8">
        <f>I517+J518</f>
        <v>0</v>
      </c>
      <c r="J518" s="8">
        <f>IF($D518="ACC",$C518,0)</f>
        <v>0</v>
      </c>
      <c r="K518" s="8">
        <f>K517+L518</f>
        <v>0</v>
      </c>
      <c r="L518" s="8">
        <f>IF($D518="CBB",$C518,0)</f>
        <v>0</v>
      </c>
    </row>
    <row r="519" spans="1:12" x14ac:dyDescent="0.25">
      <c r="A519" s="6">
        <v>41711</v>
      </c>
      <c r="B519" t="s">
        <v>46</v>
      </c>
      <c r="C519" s="7">
        <v>-300</v>
      </c>
      <c r="D519" t="s">
        <v>6</v>
      </c>
      <c r="E519" s="8">
        <f>E518+F519</f>
        <v>74524</v>
      </c>
      <c r="F519" s="8">
        <f>IF($D519="CR01",$C519,0)</f>
        <v>-300</v>
      </c>
      <c r="G519" s="8">
        <f>G518+H519</f>
        <v>0</v>
      </c>
      <c r="H519" s="8">
        <f>IF($D519="VISA",$C519,0)</f>
        <v>0</v>
      </c>
      <c r="I519" s="8">
        <f>I518+J519</f>
        <v>0</v>
      </c>
      <c r="J519" s="8">
        <f>IF($D519="ACC",$C519,0)</f>
        <v>0</v>
      </c>
      <c r="K519" s="8">
        <f>K518+L519</f>
        <v>0</v>
      </c>
      <c r="L519" s="8">
        <f>IF($D519="CBB",$C519,0)</f>
        <v>0</v>
      </c>
    </row>
    <row r="520" spans="1:12" x14ac:dyDescent="0.25">
      <c r="A520" s="6">
        <v>41712</v>
      </c>
      <c r="B520" t="s">
        <v>43</v>
      </c>
      <c r="C520" s="7">
        <v>3226</v>
      </c>
      <c r="D520" t="s">
        <v>6</v>
      </c>
      <c r="E520" s="8">
        <f>E519+F520</f>
        <v>77750</v>
      </c>
      <c r="F520" s="8">
        <f>IF($D520="CR01",$C520,0)</f>
        <v>3226</v>
      </c>
      <c r="G520" s="8">
        <f>G519+H520</f>
        <v>0</v>
      </c>
      <c r="H520" s="8">
        <f>IF($D520="VISA",$C520,0)</f>
        <v>0</v>
      </c>
      <c r="I520" s="8">
        <f>I519+J520</f>
        <v>0</v>
      </c>
      <c r="J520" s="8">
        <f>IF($D520="ACC",$C520,0)</f>
        <v>0</v>
      </c>
      <c r="K520" s="8">
        <f>K519+L520</f>
        <v>0</v>
      </c>
      <c r="L520" s="8">
        <f>IF($D520="CBB",$C520,0)</f>
        <v>0</v>
      </c>
    </row>
    <row r="521" spans="1:12" x14ac:dyDescent="0.25">
      <c r="A521" s="6">
        <v>41716</v>
      </c>
      <c r="B521" t="s">
        <v>48</v>
      </c>
      <c r="C521" s="7">
        <v>-100</v>
      </c>
      <c r="D521" t="s">
        <v>6</v>
      </c>
      <c r="E521" s="8">
        <f>E520+F521</f>
        <v>77650</v>
      </c>
      <c r="F521" s="8">
        <f>IF($D521="CR01",$C521,0)</f>
        <v>-100</v>
      </c>
      <c r="G521" s="8">
        <f>G520+H521</f>
        <v>0</v>
      </c>
      <c r="H521" s="8">
        <f>IF($D521="VISA",$C521,0)</f>
        <v>0</v>
      </c>
      <c r="I521" s="8">
        <f>I520+J521</f>
        <v>0</v>
      </c>
      <c r="J521" s="8">
        <f>IF($D521="ACC",$C521,0)</f>
        <v>0</v>
      </c>
      <c r="K521" s="8">
        <f>K520+L521</f>
        <v>0</v>
      </c>
      <c r="L521" s="8">
        <f>IF($D521="CBB",$C521,0)</f>
        <v>0</v>
      </c>
    </row>
    <row r="522" spans="1:12" x14ac:dyDescent="0.25">
      <c r="A522" s="6">
        <v>41717</v>
      </c>
      <c r="B522" t="s">
        <v>47</v>
      </c>
      <c r="C522" s="7">
        <v>-120</v>
      </c>
      <c r="D522" t="s">
        <v>6</v>
      </c>
      <c r="E522" s="8">
        <f>E521+F522</f>
        <v>77530</v>
      </c>
      <c r="F522" s="8">
        <f>IF($D522="CR01",$C522,0)</f>
        <v>-120</v>
      </c>
      <c r="G522" s="8">
        <f>G521+H522</f>
        <v>0</v>
      </c>
      <c r="H522" s="8">
        <f>IF($D522="VISA",$C522,0)</f>
        <v>0</v>
      </c>
      <c r="I522" s="8">
        <f>I521+J522</f>
        <v>0</v>
      </c>
      <c r="J522" s="8">
        <f>IF($D522="ACC",$C522,0)</f>
        <v>0</v>
      </c>
      <c r="K522" s="8">
        <f>K521+L522</f>
        <v>0</v>
      </c>
      <c r="L522" s="8">
        <f>IF($D522="CBB",$C522,0)</f>
        <v>0</v>
      </c>
    </row>
    <row r="523" spans="1:12" x14ac:dyDescent="0.25">
      <c r="A523" s="6">
        <v>41718</v>
      </c>
      <c r="B523" t="s">
        <v>44</v>
      </c>
      <c r="C523" s="7">
        <v>-400</v>
      </c>
      <c r="D523" t="s">
        <v>6</v>
      </c>
      <c r="E523" s="8">
        <f>E522+F523</f>
        <v>77130</v>
      </c>
      <c r="F523" s="8">
        <f>IF($D523="CR01",$C523,0)</f>
        <v>-400</v>
      </c>
      <c r="G523" s="8">
        <f>G522+H523</f>
        <v>0</v>
      </c>
      <c r="H523" s="8">
        <f>IF($D523="VISA",$C523,0)</f>
        <v>0</v>
      </c>
      <c r="I523" s="8">
        <f>I522+J523</f>
        <v>0</v>
      </c>
      <c r="J523" s="8">
        <f>IF($D523="ACC",$C523,0)</f>
        <v>0</v>
      </c>
      <c r="K523" s="8">
        <f>K522+L523</f>
        <v>0</v>
      </c>
      <c r="L523" s="8">
        <f>IF($D523="CBB",$C523,0)</f>
        <v>0</v>
      </c>
    </row>
    <row r="524" spans="1:12" x14ac:dyDescent="0.25">
      <c r="A524" s="6">
        <v>41718</v>
      </c>
      <c r="B524" t="s">
        <v>45</v>
      </c>
      <c r="C524" s="7">
        <v>-180</v>
      </c>
      <c r="D524" t="s">
        <v>6</v>
      </c>
      <c r="E524" s="8">
        <f>E523+F524</f>
        <v>76950</v>
      </c>
      <c r="F524" s="8">
        <f>IF($D524="CR01",$C524,0)</f>
        <v>-180</v>
      </c>
      <c r="G524" s="8">
        <f>G523+H524</f>
        <v>0</v>
      </c>
      <c r="H524" s="8">
        <f>IF($D524="VISA",$C524,0)</f>
        <v>0</v>
      </c>
      <c r="I524" s="8">
        <f>I523+J524</f>
        <v>0</v>
      </c>
      <c r="J524" s="8">
        <f>IF($D524="ACC",$C524,0)</f>
        <v>0</v>
      </c>
      <c r="K524" s="8">
        <f>K523+L524</f>
        <v>0</v>
      </c>
      <c r="L524" s="8">
        <f>IF($D524="CBB",$C524,0)</f>
        <v>0</v>
      </c>
    </row>
    <row r="525" spans="1:12" x14ac:dyDescent="0.25">
      <c r="A525" s="6">
        <v>41718</v>
      </c>
      <c r="B525" t="s">
        <v>46</v>
      </c>
      <c r="C525" s="7">
        <v>-300</v>
      </c>
      <c r="D525" t="s">
        <v>6</v>
      </c>
      <c r="E525" s="8">
        <f>E524+F525</f>
        <v>76650</v>
      </c>
      <c r="F525" s="8">
        <f>IF($D525="CR01",$C525,0)</f>
        <v>-300</v>
      </c>
      <c r="G525" s="8">
        <f>G524+H525</f>
        <v>0</v>
      </c>
      <c r="H525" s="8">
        <f>IF($D525="VISA",$C525,0)</f>
        <v>0</v>
      </c>
      <c r="I525" s="8">
        <f>I524+J525</f>
        <v>0</v>
      </c>
      <c r="J525" s="8">
        <f>IF($D525="ACC",$C525,0)</f>
        <v>0</v>
      </c>
      <c r="K525" s="8">
        <f>K524+L525</f>
        <v>0</v>
      </c>
      <c r="L525" s="8">
        <f>IF($D525="CBB",$C525,0)</f>
        <v>0</v>
      </c>
    </row>
    <row r="526" spans="1:12" x14ac:dyDescent="0.25">
      <c r="A526" s="6">
        <v>41720</v>
      </c>
      <c r="B526" t="s">
        <v>67</v>
      </c>
      <c r="C526" s="7">
        <v>5200</v>
      </c>
      <c r="D526" t="s">
        <v>6</v>
      </c>
      <c r="E526" s="8">
        <f>E525+F526</f>
        <v>81850</v>
      </c>
      <c r="F526" s="8">
        <f>IF($D526="CR01",$C526,0)</f>
        <v>5200</v>
      </c>
      <c r="G526" s="8">
        <f>G525+H526</f>
        <v>0</v>
      </c>
      <c r="H526" s="8">
        <f>IF($D526="VISA",$C526,0)</f>
        <v>0</v>
      </c>
      <c r="I526" s="8">
        <f>I525+J526</f>
        <v>0</v>
      </c>
      <c r="J526" s="8">
        <f>IF($D526="ACC",$C526,0)</f>
        <v>0</v>
      </c>
      <c r="K526" s="8">
        <f>K525+L526</f>
        <v>0</v>
      </c>
      <c r="L526" s="8">
        <f>IF($D526="CBB",$C526,0)</f>
        <v>0</v>
      </c>
    </row>
    <row r="527" spans="1:12" x14ac:dyDescent="0.25">
      <c r="A527" s="6">
        <v>41723</v>
      </c>
      <c r="B527" t="s">
        <v>42</v>
      </c>
      <c r="C527" s="7">
        <v>-2806</v>
      </c>
      <c r="D527" t="s">
        <v>6</v>
      </c>
      <c r="E527" s="8">
        <f>E526+F527</f>
        <v>79044</v>
      </c>
      <c r="F527" s="8">
        <f>IF($D527="CR01",$C527,0)</f>
        <v>-2806</v>
      </c>
      <c r="G527" s="8">
        <f>G526+H527</f>
        <v>0</v>
      </c>
      <c r="H527" s="8">
        <f>IF($D527="VISA",$C527,0)</f>
        <v>0</v>
      </c>
      <c r="I527" s="8">
        <f>I526+J527</f>
        <v>0</v>
      </c>
      <c r="J527" s="8">
        <f>IF($D527="ACC",$C527,0)</f>
        <v>0</v>
      </c>
      <c r="K527" s="8">
        <f>K526+L527</f>
        <v>0</v>
      </c>
      <c r="L527" s="8">
        <f>IF($D527="CBB",$C527,0)</f>
        <v>0</v>
      </c>
    </row>
    <row r="528" spans="1:12" x14ac:dyDescent="0.25">
      <c r="A528" s="6">
        <v>41723</v>
      </c>
      <c r="B528" t="s">
        <v>48</v>
      </c>
      <c r="C528" s="7">
        <v>-100</v>
      </c>
      <c r="D528" t="s">
        <v>6</v>
      </c>
      <c r="E528" s="8">
        <f>E527+F528</f>
        <v>78944</v>
      </c>
      <c r="F528" s="8">
        <f>IF($D528="CR01",$C528,0)</f>
        <v>-100</v>
      </c>
      <c r="G528" s="8">
        <f>G527+H528</f>
        <v>0</v>
      </c>
      <c r="H528" s="8">
        <f>IF($D528="VISA",$C528,0)</f>
        <v>0</v>
      </c>
      <c r="I528" s="8">
        <f>I527+J528</f>
        <v>0</v>
      </c>
      <c r="J528" s="8">
        <f>IF($D528="ACC",$C528,0)</f>
        <v>0</v>
      </c>
      <c r="K528" s="8">
        <f>K527+L528</f>
        <v>0</v>
      </c>
      <c r="L528" s="8">
        <f>IF($D528="CBB",$C528,0)</f>
        <v>0</v>
      </c>
    </row>
    <row r="529" spans="1:12" x14ac:dyDescent="0.25">
      <c r="A529" s="6">
        <v>41724</v>
      </c>
      <c r="B529" t="s">
        <v>47</v>
      </c>
      <c r="C529" s="7">
        <v>-120</v>
      </c>
      <c r="D529" t="s">
        <v>6</v>
      </c>
      <c r="E529" s="8">
        <f>E528+F529</f>
        <v>78824</v>
      </c>
      <c r="F529" s="8">
        <f>IF($D529="CR01",$C529,0)</f>
        <v>-120</v>
      </c>
      <c r="G529" s="8">
        <f>G528+H529</f>
        <v>0</v>
      </c>
      <c r="H529" s="8">
        <f>IF($D529="VISA",$C529,0)</f>
        <v>0</v>
      </c>
      <c r="I529" s="8">
        <f>I528+J529</f>
        <v>0</v>
      </c>
      <c r="J529" s="8">
        <f>IF($D529="ACC",$C529,0)</f>
        <v>0</v>
      </c>
      <c r="K529" s="8">
        <f>K528+L529</f>
        <v>0</v>
      </c>
      <c r="L529" s="8">
        <f>IF($D529="CBB",$C529,0)</f>
        <v>0</v>
      </c>
    </row>
    <row r="530" spans="1:12" x14ac:dyDescent="0.25">
      <c r="A530" s="6">
        <v>41725</v>
      </c>
      <c r="B530" t="s">
        <v>44</v>
      </c>
      <c r="C530" s="7">
        <v>-400</v>
      </c>
      <c r="D530" t="s">
        <v>6</v>
      </c>
      <c r="E530" s="8">
        <f>E529+F530</f>
        <v>78424</v>
      </c>
      <c r="F530" s="8">
        <f>IF($D530="CR01",$C530,0)</f>
        <v>-400</v>
      </c>
      <c r="G530" s="8">
        <f>G529+H530</f>
        <v>0</v>
      </c>
      <c r="H530" s="8">
        <f>IF($D530="VISA",$C530,0)</f>
        <v>0</v>
      </c>
      <c r="I530" s="8">
        <f>I529+J530</f>
        <v>0</v>
      </c>
      <c r="J530" s="8">
        <f>IF($D530="ACC",$C530,0)</f>
        <v>0</v>
      </c>
      <c r="K530" s="8">
        <f>K529+L530</f>
        <v>0</v>
      </c>
      <c r="L530" s="8">
        <f>IF($D530="CBB",$C530,0)</f>
        <v>0</v>
      </c>
    </row>
    <row r="531" spans="1:12" x14ac:dyDescent="0.25">
      <c r="A531" s="6">
        <v>41725</v>
      </c>
      <c r="B531" t="s">
        <v>45</v>
      </c>
      <c r="C531" s="7">
        <v>-180</v>
      </c>
      <c r="D531" t="s">
        <v>6</v>
      </c>
      <c r="E531" s="8">
        <f>E530+F531</f>
        <v>78244</v>
      </c>
      <c r="F531" s="8">
        <f>IF($D531="CR01",$C531,0)</f>
        <v>-180</v>
      </c>
      <c r="G531" s="8">
        <f>G530+H531</f>
        <v>0</v>
      </c>
      <c r="H531" s="8">
        <f>IF($D531="VISA",$C531,0)</f>
        <v>0</v>
      </c>
      <c r="I531" s="8">
        <f>I530+J531</f>
        <v>0</v>
      </c>
      <c r="J531" s="8">
        <f>IF($D531="ACC",$C531,0)</f>
        <v>0</v>
      </c>
      <c r="K531" s="8">
        <f>K530+L531</f>
        <v>0</v>
      </c>
      <c r="L531" s="8">
        <f>IF($D531="CBB",$C531,0)</f>
        <v>0</v>
      </c>
    </row>
    <row r="532" spans="1:12" x14ac:dyDescent="0.25">
      <c r="A532" s="6">
        <v>41725</v>
      </c>
      <c r="B532" t="s">
        <v>46</v>
      </c>
      <c r="C532" s="7">
        <v>-300</v>
      </c>
      <c r="D532" t="s">
        <v>6</v>
      </c>
      <c r="E532" s="8">
        <f>E531+F532</f>
        <v>77944</v>
      </c>
      <c r="F532" s="8">
        <f>IF($D532="CR01",$C532,0)</f>
        <v>-300</v>
      </c>
      <c r="G532" s="8">
        <f>G531+H532</f>
        <v>0</v>
      </c>
      <c r="H532" s="8">
        <f>IF($D532="VISA",$C532,0)</f>
        <v>0</v>
      </c>
      <c r="I532" s="8">
        <f>I531+J532</f>
        <v>0</v>
      </c>
      <c r="J532" s="8">
        <f>IF($D532="ACC",$C532,0)</f>
        <v>0</v>
      </c>
      <c r="K532" s="8">
        <f>K531+L532</f>
        <v>0</v>
      </c>
      <c r="L532" s="8">
        <f>IF($D532="CBB",$C532,0)</f>
        <v>0</v>
      </c>
    </row>
    <row r="533" spans="1:12" x14ac:dyDescent="0.25">
      <c r="A533" s="6">
        <v>41726</v>
      </c>
      <c r="B533" t="s">
        <v>43</v>
      </c>
      <c r="C533" s="7">
        <v>3226</v>
      </c>
      <c r="D533" t="s">
        <v>6</v>
      </c>
      <c r="E533" s="8">
        <f>E532+F533</f>
        <v>81170</v>
      </c>
      <c r="F533" s="8">
        <f>IF($D533="CR01",$C533,0)</f>
        <v>3226</v>
      </c>
      <c r="G533" s="8">
        <f>G532+H533</f>
        <v>0</v>
      </c>
      <c r="H533" s="8">
        <f>IF($D533="VISA",$C533,0)</f>
        <v>0</v>
      </c>
      <c r="I533" s="8">
        <f>I532+J533</f>
        <v>0</v>
      </c>
      <c r="J533" s="8">
        <f>IF($D533="ACC",$C533,0)</f>
        <v>0</v>
      </c>
      <c r="K533" s="8">
        <f>K532+L533</f>
        <v>0</v>
      </c>
      <c r="L533" s="8">
        <f>IF($D533="CBB",$C533,0)</f>
        <v>0</v>
      </c>
    </row>
    <row r="534" spans="1:12" x14ac:dyDescent="0.25">
      <c r="A534" s="6">
        <v>41730</v>
      </c>
      <c r="B534" t="s">
        <v>48</v>
      </c>
      <c r="C534" s="7">
        <v>-100</v>
      </c>
      <c r="D534" t="s">
        <v>6</v>
      </c>
      <c r="E534" s="8">
        <f>E533+F534</f>
        <v>81070</v>
      </c>
      <c r="F534" s="8">
        <f>IF($D534="CR01",$C534,0)</f>
        <v>-100</v>
      </c>
      <c r="G534" s="8">
        <f>G533+H534</f>
        <v>0</v>
      </c>
      <c r="H534" s="8">
        <f>IF($D534="VISA",$C534,0)</f>
        <v>0</v>
      </c>
      <c r="I534" s="8">
        <f>I533+J534</f>
        <v>0</v>
      </c>
      <c r="J534" s="8">
        <f>IF($D534="ACC",$C534,0)</f>
        <v>0</v>
      </c>
      <c r="K534" s="8">
        <f>K533+L534</f>
        <v>0</v>
      </c>
      <c r="L534" s="8">
        <f>IF($D534="CBB",$C534,0)</f>
        <v>0</v>
      </c>
    </row>
    <row r="535" spans="1:12" x14ac:dyDescent="0.25">
      <c r="A535" s="6">
        <v>41730</v>
      </c>
      <c r="B535" t="s">
        <v>58</v>
      </c>
      <c r="C535" s="7">
        <v>-200</v>
      </c>
      <c r="D535" t="s">
        <v>6</v>
      </c>
      <c r="E535" s="8">
        <f>E534+F535</f>
        <v>80870</v>
      </c>
      <c r="F535" s="8">
        <f>IF($D535="CR01",$C535,0)</f>
        <v>-200</v>
      </c>
      <c r="G535" s="8">
        <f>G534+H535</f>
        <v>0</v>
      </c>
      <c r="H535" s="8">
        <f>IF($D535="VISA",$C535,0)</f>
        <v>0</v>
      </c>
      <c r="I535" s="8">
        <f>I534+J535</f>
        <v>0</v>
      </c>
      <c r="J535" s="8">
        <f>IF($D535="ACC",$C535,0)</f>
        <v>0</v>
      </c>
      <c r="K535" s="8">
        <f>K534+L535</f>
        <v>0</v>
      </c>
      <c r="L535" s="8">
        <f>IF($D535="CBB",$C535,0)</f>
        <v>0</v>
      </c>
    </row>
    <row r="536" spans="1:12" x14ac:dyDescent="0.25">
      <c r="A536" s="6">
        <v>41730</v>
      </c>
      <c r="B536" t="s">
        <v>60</v>
      </c>
      <c r="C536" s="7">
        <v>-400</v>
      </c>
      <c r="D536" t="s">
        <v>6</v>
      </c>
      <c r="E536" s="8">
        <f>E535+F536</f>
        <v>80470</v>
      </c>
      <c r="F536" s="8">
        <f>IF($D536="CR01",$C536,0)</f>
        <v>-400</v>
      </c>
      <c r="G536" s="8">
        <f>G535+H536</f>
        <v>0</v>
      </c>
      <c r="H536" s="8">
        <f>IF($D536="VISA",$C536,0)</f>
        <v>0</v>
      </c>
      <c r="I536" s="8">
        <f>I535+J536</f>
        <v>0</v>
      </c>
      <c r="J536" s="8">
        <f>IF($D536="ACC",$C536,0)</f>
        <v>0</v>
      </c>
      <c r="K536" s="8">
        <f>K535+L536</f>
        <v>0</v>
      </c>
      <c r="L536" s="8">
        <f>IF($D536="CBB",$C536,0)</f>
        <v>0</v>
      </c>
    </row>
    <row r="537" spans="1:12" x14ac:dyDescent="0.25">
      <c r="A537" s="6">
        <v>41730</v>
      </c>
      <c r="B537" t="s">
        <v>61</v>
      </c>
      <c r="C537" s="7">
        <v>-300</v>
      </c>
      <c r="D537" t="s">
        <v>6</v>
      </c>
      <c r="E537" s="8">
        <f>E536+F537</f>
        <v>80170</v>
      </c>
      <c r="F537" s="8">
        <f>IF($D537="CR01",$C537,0)</f>
        <v>-300</v>
      </c>
      <c r="G537" s="8">
        <f>G536+H537</f>
        <v>0</v>
      </c>
      <c r="H537" s="8">
        <f>IF($D537="VISA",$C537,0)</f>
        <v>0</v>
      </c>
      <c r="I537" s="8">
        <f>I536+J537</f>
        <v>0</v>
      </c>
      <c r="J537" s="8">
        <f>IF($D537="ACC",$C537,0)</f>
        <v>0</v>
      </c>
      <c r="K537" s="8">
        <f>K536+L537</f>
        <v>0</v>
      </c>
      <c r="L537" s="8">
        <f>IF($D537="CBB",$C537,0)</f>
        <v>0</v>
      </c>
    </row>
    <row r="538" spans="1:12" x14ac:dyDescent="0.25">
      <c r="A538" s="6">
        <v>41730</v>
      </c>
      <c r="B538" t="s">
        <v>64</v>
      </c>
      <c r="C538" s="7">
        <v>-26</v>
      </c>
      <c r="D538" t="s">
        <v>6</v>
      </c>
      <c r="E538" s="8">
        <f>E537+F538</f>
        <v>80144</v>
      </c>
      <c r="F538" s="8">
        <f>IF($D538="CR01",$C538,0)</f>
        <v>-26</v>
      </c>
      <c r="G538" s="8">
        <f>G537+H538</f>
        <v>0</v>
      </c>
      <c r="H538" s="8">
        <f>IF($D538="VISA",$C538,0)</f>
        <v>0</v>
      </c>
      <c r="I538" s="8">
        <f>I537+J538</f>
        <v>0</v>
      </c>
      <c r="J538" s="8">
        <f>IF($D538="ACC",$C538,0)</f>
        <v>0</v>
      </c>
      <c r="K538" s="8">
        <f>K537+L538</f>
        <v>0</v>
      </c>
      <c r="L538" s="8">
        <f>IF($D538="CBB",$C538,0)</f>
        <v>0</v>
      </c>
    </row>
    <row r="539" spans="1:12" x14ac:dyDescent="0.25">
      <c r="A539" s="6">
        <v>41730</v>
      </c>
      <c r="B539" t="s">
        <v>65</v>
      </c>
      <c r="C539" s="7">
        <v>-240</v>
      </c>
      <c r="D539" t="s">
        <v>6</v>
      </c>
      <c r="E539" s="8">
        <f>E538+F539</f>
        <v>79904</v>
      </c>
      <c r="F539" s="8">
        <f>IF($D539="CR01",$C539,0)</f>
        <v>-240</v>
      </c>
      <c r="G539" s="8">
        <f>G538+H539</f>
        <v>0</v>
      </c>
      <c r="H539" s="8">
        <f>IF($D539="VISA",$C539,0)</f>
        <v>0</v>
      </c>
      <c r="I539" s="8">
        <f>I538+J539</f>
        <v>0</v>
      </c>
      <c r="J539" s="8">
        <f>IF($D539="ACC",$C539,0)</f>
        <v>0</v>
      </c>
      <c r="K539" s="8">
        <f>K538+L539</f>
        <v>0</v>
      </c>
      <c r="L539" s="8">
        <f>IF($D539="CBB",$C539,0)</f>
        <v>0</v>
      </c>
    </row>
    <row r="540" spans="1:12" x14ac:dyDescent="0.25">
      <c r="A540" s="6">
        <v>41730</v>
      </c>
      <c r="B540" t="s">
        <v>66</v>
      </c>
      <c r="C540" s="7">
        <v>-120</v>
      </c>
      <c r="D540" t="s">
        <v>6</v>
      </c>
      <c r="E540" s="8">
        <f>E539+F540</f>
        <v>79784</v>
      </c>
      <c r="F540" s="8">
        <f>IF($D540="CR01",$C540,0)</f>
        <v>-120</v>
      </c>
      <c r="G540" s="8">
        <f>G539+H540</f>
        <v>0</v>
      </c>
      <c r="H540" s="8">
        <f>IF($D540="VISA",$C540,0)</f>
        <v>0</v>
      </c>
      <c r="I540" s="8">
        <f>I539+J540</f>
        <v>0</v>
      </c>
      <c r="J540" s="8">
        <f>IF($D540="ACC",$C540,0)</f>
        <v>0</v>
      </c>
      <c r="K540" s="8">
        <f>K539+L540</f>
        <v>0</v>
      </c>
      <c r="L540" s="8">
        <f>IF($D540="CBB",$C540,0)</f>
        <v>0</v>
      </c>
    </row>
    <row r="541" spans="1:12" x14ac:dyDescent="0.25">
      <c r="A541" s="6">
        <v>41731</v>
      </c>
      <c r="B541" t="s">
        <v>47</v>
      </c>
      <c r="C541" s="7">
        <v>-120</v>
      </c>
      <c r="D541" t="s">
        <v>6</v>
      </c>
      <c r="E541" s="8">
        <f>E540+F541</f>
        <v>79664</v>
      </c>
      <c r="F541" s="8">
        <f>IF($D541="CR01",$C541,0)</f>
        <v>-120</v>
      </c>
      <c r="G541" s="8">
        <f>G540+H541</f>
        <v>0</v>
      </c>
      <c r="H541" s="8">
        <f>IF($D541="VISA",$C541,0)</f>
        <v>0</v>
      </c>
      <c r="I541" s="8">
        <f>I540+J541</f>
        <v>0</v>
      </c>
      <c r="J541" s="8">
        <f>IF($D541="ACC",$C541,0)</f>
        <v>0</v>
      </c>
      <c r="K541" s="8">
        <f>K540+L541</f>
        <v>0</v>
      </c>
      <c r="L541" s="8">
        <f>IF($D541="CBB",$C541,0)</f>
        <v>0</v>
      </c>
    </row>
    <row r="542" spans="1:12" x14ac:dyDescent="0.25">
      <c r="A542" s="6">
        <v>41731</v>
      </c>
      <c r="B542" t="s">
        <v>59</v>
      </c>
      <c r="C542" s="7">
        <v>-900</v>
      </c>
      <c r="D542" t="s">
        <v>6</v>
      </c>
      <c r="E542" s="8">
        <f>E541+F542</f>
        <v>78764</v>
      </c>
      <c r="F542" s="8">
        <f>IF($D542="CR01",$C542,0)</f>
        <v>-900</v>
      </c>
      <c r="G542" s="8">
        <f>G541+H542</f>
        <v>0</v>
      </c>
      <c r="H542" s="8">
        <f>IF($D542="VISA",$C542,0)</f>
        <v>0</v>
      </c>
      <c r="I542" s="8">
        <f>I541+J542</f>
        <v>0</v>
      </c>
      <c r="J542" s="8">
        <f>IF($D542="ACC",$C542,0)</f>
        <v>0</v>
      </c>
      <c r="K542" s="8">
        <f>K541+L542</f>
        <v>0</v>
      </c>
      <c r="L542" s="8">
        <f>IF($D542="CBB",$C542,0)</f>
        <v>0</v>
      </c>
    </row>
    <row r="543" spans="1:12" x14ac:dyDescent="0.25">
      <c r="A543" s="6">
        <v>41732</v>
      </c>
      <c r="B543" t="s">
        <v>44</v>
      </c>
      <c r="C543" s="7">
        <v>-400</v>
      </c>
      <c r="D543" t="s">
        <v>6</v>
      </c>
      <c r="E543" s="8">
        <f>E542+F543</f>
        <v>78364</v>
      </c>
      <c r="F543" s="8">
        <f>IF($D543="CR01",$C543,0)</f>
        <v>-400</v>
      </c>
      <c r="G543" s="8">
        <f>G542+H543</f>
        <v>0</v>
      </c>
      <c r="H543" s="8">
        <f>IF($D543="VISA",$C543,0)</f>
        <v>0</v>
      </c>
      <c r="I543" s="8">
        <f>I542+J543</f>
        <v>0</v>
      </c>
      <c r="J543" s="8">
        <f>IF($D543="ACC",$C543,0)</f>
        <v>0</v>
      </c>
      <c r="K543" s="8">
        <f>K542+L543</f>
        <v>0</v>
      </c>
      <c r="L543" s="8">
        <f>IF($D543="CBB",$C543,0)</f>
        <v>0</v>
      </c>
    </row>
    <row r="544" spans="1:12" x14ac:dyDescent="0.25">
      <c r="A544" s="6">
        <v>41732</v>
      </c>
      <c r="B544" t="s">
        <v>45</v>
      </c>
      <c r="C544" s="7">
        <v>-180</v>
      </c>
      <c r="D544" t="s">
        <v>6</v>
      </c>
      <c r="E544" s="8">
        <f>E543+F544</f>
        <v>78184</v>
      </c>
      <c r="F544" s="8">
        <f>IF($D544="CR01",$C544,0)</f>
        <v>-180</v>
      </c>
      <c r="G544" s="8">
        <f>G543+H544</f>
        <v>0</v>
      </c>
      <c r="H544" s="8">
        <f>IF($D544="VISA",$C544,0)</f>
        <v>0</v>
      </c>
      <c r="I544" s="8">
        <f>I543+J544</f>
        <v>0</v>
      </c>
      <c r="J544" s="8">
        <f>IF($D544="ACC",$C544,0)</f>
        <v>0</v>
      </c>
      <c r="K544" s="8">
        <f>K543+L544</f>
        <v>0</v>
      </c>
      <c r="L544" s="8">
        <f>IF($D544="CBB",$C544,0)</f>
        <v>0</v>
      </c>
    </row>
    <row r="545" spans="1:12" x14ac:dyDescent="0.25">
      <c r="A545" s="6">
        <v>41732</v>
      </c>
      <c r="B545" t="s">
        <v>46</v>
      </c>
      <c r="C545" s="7">
        <v>-300</v>
      </c>
      <c r="D545" t="s">
        <v>6</v>
      </c>
      <c r="E545" s="8">
        <f>E544+F545</f>
        <v>77884</v>
      </c>
      <c r="F545" s="8">
        <f>IF($D545="CR01",$C545,0)</f>
        <v>-300</v>
      </c>
      <c r="G545" s="8">
        <f>G544+H545</f>
        <v>0</v>
      </c>
      <c r="H545" s="8">
        <f>IF($D545="VISA",$C545,0)</f>
        <v>0</v>
      </c>
      <c r="I545" s="8">
        <f>I544+J545</f>
        <v>0</v>
      </c>
      <c r="J545" s="8">
        <f>IF($D545="ACC",$C545,0)</f>
        <v>0</v>
      </c>
      <c r="K545" s="8">
        <f>K544+L545</f>
        <v>0</v>
      </c>
      <c r="L545" s="8">
        <f>IF($D545="CBB",$C545,0)</f>
        <v>0</v>
      </c>
    </row>
    <row r="546" spans="1:12" x14ac:dyDescent="0.25">
      <c r="A546" s="6">
        <v>41734</v>
      </c>
      <c r="B546" t="s">
        <v>67</v>
      </c>
      <c r="C546" s="7">
        <v>5200</v>
      </c>
      <c r="D546" t="s">
        <v>6</v>
      </c>
      <c r="E546" s="8">
        <f>E545+F546</f>
        <v>83084</v>
      </c>
      <c r="F546" s="8">
        <f>IF($D546="CR01",$C546,0)</f>
        <v>5200</v>
      </c>
      <c r="G546" s="8">
        <f>G545+H546</f>
        <v>0</v>
      </c>
      <c r="H546" s="8">
        <f>IF($D546="VISA",$C546,0)</f>
        <v>0</v>
      </c>
      <c r="I546" s="8">
        <f>I545+J546</f>
        <v>0</v>
      </c>
      <c r="J546" s="8">
        <f>IF($D546="ACC",$C546,0)</f>
        <v>0</v>
      </c>
      <c r="K546" s="8">
        <f>K545+L546</f>
        <v>0</v>
      </c>
      <c r="L546" s="8">
        <f>IF($D546="CBB",$C546,0)</f>
        <v>0</v>
      </c>
    </row>
    <row r="547" spans="1:12" x14ac:dyDescent="0.25">
      <c r="A547" s="6">
        <v>41737</v>
      </c>
      <c r="B547" t="s">
        <v>42</v>
      </c>
      <c r="C547" s="7">
        <v>-2806</v>
      </c>
      <c r="D547" t="s">
        <v>6</v>
      </c>
      <c r="E547" s="8">
        <f>E546+F547</f>
        <v>80278</v>
      </c>
      <c r="F547" s="8">
        <f>IF($D547="CR01",$C547,0)</f>
        <v>-2806</v>
      </c>
      <c r="G547" s="8">
        <f>G546+H547</f>
        <v>0</v>
      </c>
      <c r="H547" s="8">
        <f>IF($D547="VISA",$C547,0)</f>
        <v>0</v>
      </c>
      <c r="I547" s="8">
        <f>I546+J547</f>
        <v>0</v>
      </c>
      <c r="J547" s="8">
        <f>IF($D547="ACC",$C547,0)</f>
        <v>0</v>
      </c>
      <c r="K547" s="8">
        <f>K546+L547</f>
        <v>0</v>
      </c>
      <c r="L547" s="8">
        <f>IF($D547="CBB",$C547,0)</f>
        <v>0</v>
      </c>
    </row>
    <row r="548" spans="1:12" x14ac:dyDescent="0.25">
      <c r="A548" s="6">
        <v>41737</v>
      </c>
      <c r="B548" t="s">
        <v>48</v>
      </c>
      <c r="C548" s="7">
        <v>-100</v>
      </c>
      <c r="D548" t="s">
        <v>6</v>
      </c>
      <c r="E548" s="8">
        <f>E547+F548</f>
        <v>80178</v>
      </c>
      <c r="F548" s="8">
        <f>IF($D548="CR01",$C548,0)</f>
        <v>-100</v>
      </c>
      <c r="G548" s="8">
        <f>G547+H548</f>
        <v>0</v>
      </c>
      <c r="H548" s="8">
        <f>IF($D548="VISA",$C548,0)</f>
        <v>0</v>
      </c>
      <c r="I548" s="8">
        <f>I547+J548</f>
        <v>0</v>
      </c>
      <c r="J548" s="8">
        <f>IF($D548="ACC",$C548,0)</f>
        <v>0</v>
      </c>
      <c r="K548" s="8">
        <f>K547+L548</f>
        <v>0</v>
      </c>
      <c r="L548" s="8">
        <f>IF($D548="CBB",$C548,0)</f>
        <v>0</v>
      </c>
    </row>
    <row r="549" spans="1:12" x14ac:dyDescent="0.25">
      <c r="A549" s="6">
        <v>41738</v>
      </c>
      <c r="B549" t="s">
        <v>47</v>
      </c>
      <c r="C549" s="7">
        <v>-120</v>
      </c>
      <c r="D549" t="s">
        <v>6</v>
      </c>
      <c r="E549" s="8">
        <f>E548+F549</f>
        <v>80058</v>
      </c>
      <c r="F549" s="8">
        <f>IF($D549="CR01",$C549,0)</f>
        <v>-120</v>
      </c>
      <c r="G549" s="8">
        <f>G548+H549</f>
        <v>0</v>
      </c>
      <c r="H549" s="8">
        <f>IF($D549="VISA",$C549,0)</f>
        <v>0</v>
      </c>
      <c r="I549" s="8">
        <f>I548+J549</f>
        <v>0</v>
      </c>
      <c r="J549" s="8">
        <f>IF($D549="ACC",$C549,0)</f>
        <v>0</v>
      </c>
      <c r="K549" s="8">
        <f>K548+L549</f>
        <v>0</v>
      </c>
      <c r="L549" s="8">
        <f>IF($D549="CBB",$C549,0)</f>
        <v>0</v>
      </c>
    </row>
    <row r="550" spans="1:12" x14ac:dyDescent="0.25">
      <c r="A550" s="6">
        <v>41739</v>
      </c>
      <c r="B550" t="s">
        <v>44</v>
      </c>
      <c r="C550" s="7">
        <v>-400</v>
      </c>
      <c r="D550" t="s">
        <v>6</v>
      </c>
      <c r="E550" s="8">
        <f>E549+F550</f>
        <v>79658</v>
      </c>
      <c r="F550" s="8">
        <f>IF($D550="CR01",$C550,0)</f>
        <v>-400</v>
      </c>
      <c r="G550" s="8">
        <f>G549+H550</f>
        <v>0</v>
      </c>
      <c r="H550" s="8">
        <f>IF($D550="VISA",$C550,0)</f>
        <v>0</v>
      </c>
      <c r="I550" s="8">
        <f>I549+J550</f>
        <v>0</v>
      </c>
      <c r="J550" s="8">
        <f>IF($D550="ACC",$C550,0)</f>
        <v>0</v>
      </c>
      <c r="K550" s="8">
        <f>K549+L550</f>
        <v>0</v>
      </c>
      <c r="L550" s="8">
        <f>IF($D550="CBB",$C550,0)</f>
        <v>0</v>
      </c>
    </row>
    <row r="551" spans="1:12" x14ac:dyDescent="0.25">
      <c r="A551" s="6">
        <v>41739</v>
      </c>
      <c r="B551" t="s">
        <v>45</v>
      </c>
      <c r="C551" s="7">
        <v>-180</v>
      </c>
      <c r="D551" t="s">
        <v>6</v>
      </c>
      <c r="E551" s="8">
        <f>E550+F551</f>
        <v>79478</v>
      </c>
      <c r="F551" s="8">
        <f>IF($D551="CR01",$C551,0)</f>
        <v>-180</v>
      </c>
      <c r="G551" s="8">
        <f>G550+H551</f>
        <v>0</v>
      </c>
      <c r="H551" s="8">
        <f>IF($D551="VISA",$C551,0)</f>
        <v>0</v>
      </c>
      <c r="I551" s="8">
        <f>I550+J551</f>
        <v>0</v>
      </c>
      <c r="J551" s="8">
        <f>IF($D551="ACC",$C551,0)</f>
        <v>0</v>
      </c>
      <c r="K551" s="8">
        <f>K550+L551</f>
        <v>0</v>
      </c>
      <c r="L551" s="8">
        <f>IF($D551="CBB",$C551,0)</f>
        <v>0</v>
      </c>
    </row>
    <row r="552" spans="1:12" x14ac:dyDescent="0.25">
      <c r="A552" s="6">
        <v>41739</v>
      </c>
      <c r="B552" t="s">
        <v>46</v>
      </c>
      <c r="C552" s="7">
        <v>-300</v>
      </c>
      <c r="D552" t="s">
        <v>6</v>
      </c>
      <c r="E552" s="8">
        <f>E551+F552</f>
        <v>79178</v>
      </c>
      <c r="F552" s="8">
        <f>IF($D552="CR01",$C552,0)</f>
        <v>-300</v>
      </c>
      <c r="G552" s="8">
        <f>G551+H552</f>
        <v>0</v>
      </c>
      <c r="H552" s="8">
        <f>IF($D552="VISA",$C552,0)</f>
        <v>0</v>
      </c>
      <c r="I552" s="8">
        <f>I551+J552</f>
        <v>0</v>
      </c>
      <c r="J552" s="8">
        <f>IF($D552="ACC",$C552,0)</f>
        <v>0</v>
      </c>
      <c r="K552" s="8">
        <f>K551+L552</f>
        <v>0</v>
      </c>
      <c r="L552" s="8">
        <f>IF($D552="CBB",$C552,0)</f>
        <v>0</v>
      </c>
    </row>
    <row r="553" spans="1:12" x14ac:dyDescent="0.25">
      <c r="A553" s="6">
        <v>41740</v>
      </c>
      <c r="B553" t="s">
        <v>43</v>
      </c>
      <c r="C553" s="7">
        <v>3226</v>
      </c>
      <c r="D553" t="s">
        <v>6</v>
      </c>
      <c r="E553" s="8">
        <f>E552+F553</f>
        <v>82404</v>
      </c>
      <c r="F553" s="8">
        <f>IF($D553="CR01",$C553,0)</f>
        <v>3226</v>
      </c>
      <c r="G553" s="8">
        <f>G552+H553</f>
        <v>0</v>
      </c>
      <c r="H553" s="8">
        <f>IF($D553="VISA",$C553,0)</f>
        <v>0</v>
      </c>
      <c r="I553" s="8">
        <f>I552+J553</f>
        <v>0</v>
      </c>
      <c r="J553" s="8">
        <f>IF($D553="ACC",$C553,0)</f>
        <v>0</v>
      </c>
      <c r="K553" s="8">
        <f>K552+L553</f>
        <v>0</v>
      </c>
      <c r="L553" s="8">
        <f>IF($D553="CBB",$C553,0)</f>
        <v>0</v>
      </c>
    </row>
    <row r="554" spans="1:12" x14ac:dyDescent="0.25">
      <c r="A554" s="6">
        <v>41744</v>
      </c>
      <c r="B554" t="s">
        <v>48</v>
      </c>
      <c r="C554" s="7">
        <v>-100</v>
      </c>
      <c r="D554" t="s">
        <v>6</v>
      </c>
      <c r="E554" s="8">
        <f>E553+F554</f>
        <v>82304</v>
      </c>
      <c r="F554" s="8">
        <f>IF($D554="CR01",$C554,0)</f>
        <v>-100</v>
      </c>
      <c r="G554" s="8">
        <f>G553+H554</f>
        <v>0</v>
      </c>
      <c r="H554" s="8">
        <f>IF($D554="VISA",$C554,0)</f>
        <v>0</v>
      </c>
      <c r="I554" s="8">
        <f>I553+J554</f>
        <v>0</v>
      </c>
      <c r="J554" s="8">
        <f>IF($D554="ACC",$C554,0)</f>
        <v>0</v>
      </c>
      <c r="K554" s="8">
        <f>K553+L554</f>
        <v>0</v>
      </c>
      <c r="L554" s="8">
        <f>IF($D554="CBB",$C554,0)</f>
        <v>0</v>
      </c>
    </row>
    <row r="555" spans="1:12" x14ac:dyDescent="0.25">
      <c r="A555" s="6">
        <v>41745</v>
      </c>
      <c r="B555" t="s">
        <v>47</v>
      </c>
      <c r="C555" s="7">
        <v>-120</v>
      </c>
      <c r="D555" t="s">
        <v>6</v>
      </c>
      <c r="E555" s="8">
        <f>E554+F555</f>
        <v>82184</v>
      </c>
      <c r="F555" s="8">
        <f>IF($D555="CR01",$C555,0)</f>
        <v>-120</v>
      </c>
      <c r="G555" s="8">
        <f>G554+H555</f>
        <v>0</v>
      </c>
      <c r="H555" s="8">
        <f>IF($D555="VISA",$C555,0)</f>
        <v>0</v>
      </c>
      <c r="I555" s="8">
        <f>I554+J555</f>
        <v>0</v>
      </c>
      <c r="J555" s="8">
        <f>IF($D555="ACC",$C555,0)</f>
        <v>0</v>
      </c>
      <c r="K555" s="8">
        <f>K554+L555</f>
        <v>0</v>
      </c>
      <c r="L555" s="8">
        <f>IF($D555="CBB",$C555,0)</f>
        <v>0</v>
      </c>
    </row>
    <row r="556" spans="1:12" x14ac:dyDescent="0.25">
      <c r="A556" s="6">
        <v>41746</v>
      </c>
      <c r="B556" t="s">
        <v>44</v>
      </c>
      <c r="C556" s="7">
        <v>-400</v>
      </c>
      <c r="D556" t="s">
        <v>6</v>
      </c>
      <c r="E556" s="8">
        <f>E555+F556</f>
        <v>81784</v>
      </c>
      <c r="F556" s="8">
        <f>IF($D556="CR01",$C556,0)</f>
        <v>-400</v>
      </c>
      <c r="G556" s="8">
        <f>G555+H556</f>
        <v>0</v>
      </c>
      <c r="H556" s="8">
        <f>IF($D556="VISA",$C556,0)</f>
        <v>0</v>
      </c>
      <c r="I556" s="8">
        <f>I555+J556</f>
        <v>0</v>
      </c>
      <c r="J556" s="8">
        <f>IF($D556="ACC",$C556,0)</f>
        <v>0</v>
      </c>
      <c r="K556" s="8">
        <f>K555+L556</f>
        <v>0</v>
      </c>
      <c r="L556" s="8">
        <f>IF($D556="CBB",$C556,0)</f>
        <v>0</v>
      </c>
    </row>
    <row r="557" spans="1:12" x14ac:dyDescent="0.25">
      <c r="A557" s="6">
        <v>41746</v>
      </c>
      <c r="B557" t="s">
        <v>45</v>
      </c>
      <c r="C557" s="7">
        <v>-180</v>
      </c>
      <c r="D557" t="s">
        <v>6</v>
      </c>
      <c r="E557" s="8">
        <f>E556+F557</f>
        <v>81604</v>
      </c>
      <c r="F557" s="8">
        <f>IF($D557="CR01",$C557,0)</f>
        <v>-180</v>
      </c>
      <c r="G557" s="8">
        <f>G556+H557</f>
        <v>0</v>
      </c>
      <c r="H557" s="8">
        <f>IF($D557="VISA",$C557,0)</f>
        <v>0</v>
      </c>
      <c r="I557" s="8">
        <f>I556+J557</f>
        <v>0</v>
      </c>
      <c r="J557" s="8">
        <f>IF($D557="ACC",$C557,0)</f>
        <v>0</v>
      </c>
      <c r="K557" s="8">
        <f>K556+L557</f>
        <v>0</v>
      </c>
      <c r="L557" s="8">
        <f>IF($D557="CBB",$C557,0)</f>
        <v>0</v>
      </c>
    </row>
    <row r="558" spans="1:12" x14ac:dyDescent="0.25">
      <c r="A558" s="6">
        <v>41746</v>
      </c>
      <c r="B558" t="s">
        <v>46</v>
      </c>
      <c r="C558" s="7">
        <v>-300</v>
      </c>
      <c r="D558" t="s">
        <v>6</v>
      </c>
      <c r="E558" s="8">
        <f>E557+F558</f>
        <v>81304</v>
      </c>
      <c r="F558" s="8">
        <f>IF($D558="CR01",$C558,0)</f>
        <v>-300</v>
      </c>
      <c r="G558" s="8">
        <f>G557+H558</f>
        <v>0</v>
      </c>
      <c r="H558" s="8">
        <f>IF($D558="VISA",$C558,0)</f>
        <v>0</v>
      </c>
      <c r="I558" s="8">
        <f>I557+J558</f>
        <v>0</v>
      </c>
      <c r="J558" s="8">
        <f>IF($D558="ACC",$C558,0)</f>
        <v>0</v>
      </c>
      <c r="K558" s="8">
        <f>K557+L558</f>
        <v>0</v>
      </c>
      <c r="L558" s="8">
        <f>IF($D558="CBB",$C558,0)</f>
        <v>0</v>
      </c>
    </row>
    <row r="559" spans="1:12" x14ac:dyDescent="0.25">
      <c r="A559" s="6">
        <v>41748</v>
      </c>
      <c r="B559" t="s">
        <v>67</v>
      </c>
      <c r="C559" s="7">
        <v>5200</v>
      </c>
      <c r="D559" t="s">
        <v>6</v>
      </c>
      <c r="E559" s="8">
        <f>E558+F559</f>
        <v>86504</v>
      </c>
      <c r="F559" s="8">
        <f>IF($D559="CR01",$C559,0)</f>
        <v>5200</v>
      </c>
      <c r="G559" s="8">
        <f>G558+H559</f>
        <v>0</v>
      </c>
      <c r="H559" s="8">
        <f>IF($D559="VISA",$C559,0)</f>
        <v>0</v>
      </c>
      <c r="I559" s="8">
        <f>I558+J559</f>
        <v>0</v>
      </c>
      <c r="J559" s="8">
        <f>IF($D559="ACC",$C559,0)</f>
        <v>0</v>
      </c>
      <c r="K559" s="8">
        <f>K558+L559</f>
        <v>0</v>
      </c>
      <c r="L559" s="8">
        <f>IF($D559="CBB",$C559,0)</f>
        <v>0</v>
      </c>
    </row>
    <row r="560" spans="1:12" x14ac:dyDescent="0.25">
      <c r="A560" s="6">
        <v>41751</v>
      </c>
      <c r="B560" t="s">
        <v>42</v>
      </c>
      <c r="C560" s="7">
        <v>-2806</v>
      </c>
      <c r="D560" t="s">
        <v>6</v>
      </c>
      <c r="E560" s="8">
        <f>E559+F560</f>
        <v>83698</v>
      </c>
      <c r="F560" s="8">
        <f>IF($D560="CR01",$C560,0)</f>
        <v>-2806</v>
      </c>
      <c r="G560" s="8">
        <f>G559+H560</f>
        <v>0</v>
      </c>
      <c r="H560" s="8">
        <f>IF($D560="VISA",$C560,0)</f>
        <v>0</v>
      </c>
      <c r="I560" s="8">
        <f>I559+J560</f>
        <v>0</v>
      </c>
      <c r="J560" s="8">
        <f>IF($D560="ACC",$C560,0)</f>
        <v>0</v>
      </c>
      <c r="K560" s="8">
        <f>K559+L560</f>
        <v>0</v>
      </c>
      <c r="L560" s="8">
        <f>IF($D560="CBB",$C560,0)</f>
        <v>0</v>
      </c>
    </row>
    <row r="561" spans="1:12" x14ac:dyDescent="0.25">
      <c r="A561" s="6">
        <v>41751</v>
      </c>
      <c r="B561" t="s">
        <v>48</v>
      </c>
      <c r="C561" s="7">
        <v>-100</v>
      </c>
      <c r="D561" t="s">
        <v>6</v>
      </c>
      <c r="E561" s="8">
        <f>E560+F561</f>
        <v>83598</v>
      </c>
      <c r="F561" s="8">
        <f>IF($D561="CR01",$C561,0)</f>
        <v>-100</v>
      </c>
      <c r="G561" s="8">
        <f>G560+H561</f>
        <v>0</v>
      </c>
      <c r="H561" s="8">
        <f>IF($D561="VISA",$C561,0)</f>
        <v>0</v>
      </c>
      <c r="I561" s="8">
        <f>I560+J561</f>
        <v>0</v>
      </c>
      <c r="J561" s="8">
        <f>IF($D561="ACC",$C561,0)</f>
        <v>0</v>
      </c>
      <c r="K561" s="8">
        <f>K560+L561</f>
        <v>0</v>
      </c>
      <c r="L561" s="8">
        <f>IF($D561="CBB",$C561,0)</f>
        <v>0</v>
      </c>
    </row>
    <row r="562" spans="1:12" x14ac:dyDescent="0.25">
      <c r="A562" s="6">
        <v>41752</v>
      </c>
      <c r="B562" t="s">
        <v>47</v>
      </c>
      <c r="C562" s="7">
        <v>-120</v>
      </c>
      <c r="D562" t="s">
        <v>6</v>
      </c>
      <c r="E562" s="8">
        <f>E561+F562</f>
        <v>83478</v>
      </c>
      <c r="F562" s="8">
        <f>IF($D562="CR01",$C562,0)</f>
        <v>-120</v>
      </c>
      <c r="G562" s="8">
        <f>G561+H562</f>
        <v>0</v>
      </c>
      <c r="H562" s="8">
        <f>IF($D562="VISA",$C562,0)</f>
        <v>0</v>
      </c>
      <c r="I562" s="8">
        <f>I561+J562</f>
        <v>0</v>
      </c>
      <c r="J562" s="8">
        <f>IF($D562="ACC",$C562,0)</f>
        <v>0</v>
      </c>
      <c r="K562" s="8">
        <f>K561+L562</f>
        <v>0</v>
      </c>
      <c r="L562" s="8">
        <f>IF($D562="CBB",$C562,0)</f>
        <v>0</v>
      </c>
    </row>
    <row r="563" spans="1:12" x14ac:dyDescent="0.25">
      <c r="A563" s="6">
        <v>41753</v>
      </c>
      <c r="B563" t="s">
        <v>44</v>
      </c>
      <c r="C563" s="7">
        <v>-400</v>
      </c>
      <c r="D563" t="s">
        <v>6</v>
      </c>
      <c r="E563" s="8">
        <f>E562+F563</f>
        <v>83078</v>
      </c>
      <c r="F563" s="8">
        <f>IF($D563="CR01",$C563,0)</f>
        <v>-400</v>
      </c>
      <c r="G563" s="8">
        <f>G562+H563</f>
        <v>0</v>
      </c>
      <c r="H563" s="8">
        <f>IF($D563="VISA",$C563,0)</f>
        <v>0</v>
      </c>
      <c r="I563" s="8">
        <f>I562+J563</f>
        <v>0</v>
      </c>
      <c r="J563" s="8">
        <f>IF($D563="ACC",$C563,0)</f>
        <v>0</v>
      </c>
      <c r="K563" s="8">
        <f>K562+L563</f>
        <v>0</v>
      </c>
      <c r="L563" s="8">
        <f>IF($D563="CBB",$C563,0)</f>
        <v>0</v>
      </c>
    </row>
    <row r="564" spans="1:12" x14ac:dyDescent="0.25">
      <c r="A564" s="6">
        <v>41753</v>
      </c>
      <c r="B564" t="s">
        <v>45</v>
      </c>
      <c r="C564" s="7">
        <v>-180</v>
      </c>
      <c r="D564" t="s">
        <v>6</v>
      </c>
      <c r="E564" s="8">
        <f>E563+F564</f>
        <v>82898</v>
      </c>
      <c r="F564" s="8">
        <f>IF($D564="CR01",$C564,0)</f>
        <v>-180</v>
      </c>
      <c r="G564" s="8">
        <f>G563+H564</f>
        <v>0</v>
      </c>
      <c r="H564" s="8">
        <f>IF($D564="VISA",$C564,0)</f>
        <v>0</v>
      </c>
      <c r="I564" s="8">
        <f>I563+J564</f>
        <v>0</v>
      </c>
      <c r="J564" s="8">
        <f>IF($D564="ACC",$C564,0)</f>
        <v>0</v>
      </c>
      <c r="K564" s="8">
        <f>K563+L564</f>
        <v>0</v>
      </c>
      <c r="L564" s="8">
        <f>IF($D564="CBB",$C564,0)</f>
        <v>0</v>
      </c>
    </row>
    <row r="565" spans="1:12" x14ac:dyDescent="0.25">
      <c r="A565" s="6">
        <v>41753</v>
      </c>
      <c r="B565" t="s">
        <v>46</v>
      </c>
      <c r="C565" s="7">
        <v>-300</v>
      </c>
      <c r="D565" t="s">
        <v>6</v>
      </c>
      <c r="E565" s="8">
        <f>E564+F565</f>
        <v>82598</v>
      </c>
      <c r="F565" s="8">
        <f>IF($D565="CR01",$C565,0)</f>
        <v>-300</v>
      </c>
      <c r="G565" s="8">
        <f>G564+H565</f>
        <v>0</v>
      </c>
      <c r="H565" s="8">
        <f>IF($D565="VISA",$C565,0)</f>
        <v>0</v>
      </c>
      <c r="I565" s="8">
        <f>I564+J565</f>
        <v>0</v>
      </c>
      <c r="J565" s="8">
        <f>IF($D565="ACC",$C565,0)</f>
        <v>0</v>
      </c>
      <c r="K565" s="8">
        <f>K564+L565</f>
        <v>0</v>
      </c>
      <c r="L565" s="8">
        <f>IF($D565="CBB",$C565,0)</f>
        <v>0</v>
      </c>
    </row>
    <row r="566" spans="1:12" x14ac:dyDescent="0.25">
      <c r="A566" s="6">
        <v>41754</v>
      </c>
      <c r="B566" t="s">
        <v>43</v>
      </c>
      <c r="C566" s="7">
        <v>3226</v>
      </c>
      <c r="D566" t="s">
        <v>6</v>
      </c>
      <c r="E566" s="8">
        <f>E565+F566</f>
        <v>85824</v>
      </c>
      <c r="F566" s="8">
        <f>IF($D566="CR01",$C566,0)</f>
        <v>3226</v>
      </c>
      <c r="G566" s="8">
        <f>G565+H566</f>
        <v>0</v>
      </c>
      <c r="H566" s="8">
        <f>IF($D566="VISA",$C566,0)</f>
        <v>0</v>
      </c>
      <c r="I566" s="8">
        <f>I565+J566</f>
        <v>0</v>
      </c>
      <c r="J566" s="8">
        <f>IF($D566="ACC",$C566,0)</f>
        <v>0</v>
      </c>
      <c r="K566" s="8">
        <f>K565+L566</f>
        <v>0</v>
      </c>
      <c r="L566" s="8">
        <f>IF($D566="CBB",$C566,0)</f>
        <v>0</v>
      </c>
    </row>
    <row r="567" spans="1:12" x14ac:dyDescent="0.25">
      <c r="A567" s="6">
        <v>41758</v>
      </c>
      <c r="B567" t="s">
        <v>48</v>
      </c>
      <c r="C567" s="7">
        <v>-100</v>
      </c>
      <c r="D567" t="s">
        <v>6</v>
      </c>
      <c r="E567" s="8">
        <f>E566+F567</f>
        <v>85724</v>
      </c>
      <c r="F567" s="8">
        <f>IF($D567="CR01",$C567,0)</f>
        <v>-100</v>
      </c>
      <c r="G567" s="8">
        <f>G566+H567</f>
        <v>0</v>
      </c>
      <c r="H567" s="8">
        <f>IF($D567="VISA",$C567,0)</f>
        <v>0</v>
      </c>
      <c r="I567" s="8">
        <f>I566+J567</f>
        <v>0</v>
      </c>
      <c r="J567" s="8">
        <f>IF($D567="ACC",$C567,0)</f>
        <v>0</v>
      </c>
      <c r="K567" s="8">
        <f>K566+L567</f>
        <v>0</v>
      </c>
      <c r="L567" s="8">
        <f>IF($D567="CBB",$C567,0)</f>
        <v>0</v>
      </c>
    </row>
    <row r="568" spans="1:12" x14ac:dyDescent="0.25">
      <c r="A568" s="6">
        <v>41759</v>
      </c>
      <c r="B568" t="s">
        <v>47</v>
      </c>
      <c r="C568" s="7">
        <v>-120</v>
      </c>
      <c r="D568" t="s">
        <v>6</v>
      </c>
      <c r="E568" s="8">
        <f>E567+F568</f>
        <v>85604</v>
      </c>
      <c r="F568" s="8">
        <f>IF($D568="CR01",$C568,0)</f>
        <v>-120</v>
      </c>
      <c r="G568" s="8">
        <f>G567+H568</f>
        <v>0</v>
      </c>
      <c r="H568" s="8">
        <f>IF($D568="VISA",$C568,0)</f>
        <v>0</v>
      </c>
      <c r="I568" s="8">
        <f>I567+J568</f>
        <v>0</v>
      </c>
      <c r="J568" s="8">
        <f>IF($D568="ACC",$C568,0)</f>
        <v>0</v>
      </c>
      <c r="K568" s="8">
        <f>K567+L568</f>
        <v>0</v>
      </c>
      <c r="L568" s="8">
        <f>IF($D568="CBB",$C568,0)</f>
        <v>0</v>
      </c>
    </row>
    <row r="569" spans="1:12" x14ac:dyDescent="0.25">
      <c r="A569" s="6">
        <v>41760</v>
      </c>
      <c r="B569" t="s">
        <v>44</v>
      </c>
      <c r="C569" s="7">
        <v>-400</v>
      </c>
      <c r="D569" t="s">
        <v>6</v>
      </c>
      <c r="E569" s="8">
        <f>E568+F569</f>
        <v>85204</v>
      </c>
      <c r="F569" s="8">
        <f>IF($D569="CR01",$C569,0)</f>
        <v>-400</v>
      </c>
      <c r="G569" s="8">
        <f>G568+H569</f>
        <v>0</v>
      </c>
      <c r="H569" s="8">
        <f>IF($D569="VISA",$C569,0)</f>
        <v>0</v>
      </c>
      <c r="I569" s="8">
        <f>I568+J569</f>
        <v>0</v>
      </c>
      <c r="J569" s="8">
        <f>IF($D569="ACC",$C569,0)</f>
        <v>0</v>
      </c>
      <c r="K569" s="8">
        <f>K568+L569</f>
        <v>0</v>
      </c>
      <c r="L569" s="8">
        <f>IF($D569="CBB",$C569,0)</f>
        <v>0</v>
      </c>
    </row>
    <row r="570" spans="1:12" x14ac:dyDescent="0.25">
      <c r="A570" s="6">
        <v>41760</v>
      </c>
      <c r="B570" t="s">
        <v>45</v>
      </c>
      <c r="C570" s="7">
        <v>-180</v>
      </c>
      <c r="D570" t="s">
        <v>6</v>
      </c>
      <c r="E570" s="8">
        <f>E569+F570</f>
        <v>85024</v>
      </c>
      <c r="F570" s="8">
        <f>IF($D570="CR01",$C570,0)</f>
        <v>-180</v>
      </c>
      <c r="G570" s="8">
        <f>G569+H570</f>
        <v>0</v>
      </c>
      <c r="H570" s="8">
        <f>IF($D570="VISA",$C570,0)</f>
        <v>0</v>
      </c>
      <c r="I570" s="8">
        <f>I569+J570</f>
        <v>0</v>
      </c>
      <c r="J570" s="8">
        <f>IF($D570="ACC",$C570,0)</f>
        <v>0</v>
      </c>
      <c r="K570" s="8">
        <f>K569+L570</f>
        <v>0</v>
      </c>
      <c r="L570" s="8">
        <f>IF($D570="CBB",$C570,0)</f>
        <v>0</v>
      </c>
    </row>
    <row r="571" spans="1:12" x14ac:dyDescent="0.25">
      <c r="A571" s="6">
        <v>41760</v>
      </c>
      <c r="B571" t="s">
        <v>46</v>
      </c>
      <c r="C571" s="7">
        <v>-300</v>
      </c>
      <c r="D571" t="s">
        <v>6</v>
      </c>
      <c r="E571" s="8">
        <f>E570+F571</f>
        <v>84724</v>
      </c>
      <c r="F571" s="8">
        <f>IF($D571="CR01",$C571,0)</f>
        <v>-300</v>
      </c>
      <c r="G571" s="8">
        <f>G570+H571</f>
        <v>0</v>
      </c>
      <c r="H571" s="8">
        <f>IF($D571="VISA",$C571,0)</f>
        <v>0</v>
      </c>
      <c r="I571" s="8">
        <f>I570+J571</f>
        <v>0</v>
      </c>
      <c r="J571" s="8">
        <f>IF($D571="ACC",$C571,0)</f>
        <v>0</v>
      </c>
      <c r="K571" s="8">
        <f>K570+L571</f>
        <v>0</v>
      </c>
      <c r="L571" s="8">
        <f>IF($D571="CBB",$C571,0)</f>
        <v>0</v>
      </c>
    </row>
    <row r="572" spans="1:12" x14ac:dyDescent="0.25">
      <c r="A572" s="6">
        <v>41760</v>
      </c>
      <c r="B572" t="s">
        <v>58</v>
      </c>
      <c r="C572" s="7">
        <v>-200</v>
      </c>
      <c r="D572" t="s">
        <v>6</v>
      </c>
      <c r="E572" s="8">
        <f>E571+F572</f>
        <v>84524</v>
      </c>
      <c r="F572" s="8">
        <f>IF($D572="CR01",$C572,0)</f>
        <v>-200</v>
      </c>
      <c r="G572" s="8">
        <f>G571+H572</f>
        <v>0</v>
      </c>
      <c r="H572" s="8">
        <f>IF($D572="VISA",$C572,0)</f>
        <v>0</v>
      </c>
      <c r="I572" s="8">
        <f>I571+J572</f>
        <v>0</v>
      </c>
      <c r="J572" s="8">
        <f>IF($D572="ACC",$C572,0)</f>
        <v>0</v>
      </c>
      <c r="K572" s="8">
        <f>K571+L572</f>
        <v>0</v>
      </c>
      <c r="L572" s="8">
        <f>IF($D572="CBB",$C572,0)</f>
        <v>0</v>
      </c>
    </row>
    <row r="573" spans="1:12" x14ac:dyDescent="0.25">
      <c r="A573" s="6">
        <v>41760</v>
      </c>
      <c r="B573" t="s">
        <v>60</v>
      </c>
      <c r="C573" s="7">
        <v>-400</v>
      </c>
      <c r="D573" t="s">
        <v>6</v>
      </c>
      <c r="E573" s="8">
        <f>E572+F573</f>
        <v>84124</v>
      </c>
      <c r="F573" s="8">
        <f>IF($D573="CR01",$C573,0)</f>
        <v>-400</v>
      </c>
      <c r="G573" s="8">
        <f>G572+H573</f>
        <v>0</v>
      </c>
      <c r="H573" s="8">
        <f>IF($D573="VISA",$C573,0)</f>
        <v>0</v>
      </c>
      <c r="I573" s="8">
        <f>I572+J573</f>
        <v>0</v>
      </c>
      <c r="J573" s="8">
        <f>IF($D573="ACC",$C573,0)</f>
        <v>0</v>
      </c>
      <c r="K573" s="8">
        <f>K572+L573</f>
        <v>0</v>
      </c>
      <c r="L573" s="8">
        <f>IF($D573="CBB",$C573,0)</f>
        <v>0</v>
      </c>
    </row>
    <row r="574" spans="1:12" x14ac:dyDescent="0.25">
      <c r="A574" s="6">
        <v>41760</v>
      </c>
      <c r="B574" t="s">
        <v>62</v>
      </c>
      <c r="C574" s="7">
        <v>-300</v>
      </c>
      <c r="D574" t="s">
        <v>6</v>
      </c>
      <c r="E574" s="8">
        <f>E573+F574</f>
        <v>83824</v>
      </c>
      <c r="F574" s="8">
        <f>IF($D574="CR01",$C574,0)</f>
        <v>-300</v>
      </c>
      <c r="G574" s="8">
        <f>G573+H574</f>
        <v>0</v>
      </c>
      <c r="H574" s="8">
        <f>IF($D574="VISA",$C574,0)</f>
        <v>0</v>
      </c>
      <c r="I574" s="8">
        <f>I573+J574</f>
        <v>0</v>
      </c>
      <c r="J574" s="8">
        <f>IF($D574="ACC",$C574,0)</f>
        <v>0</v>
      </c>
      <c r="K574" s="8">
        <f>K573+L574</f>
        <v>0</v>
      </c>
      <c r="L574" s="8">
        <f>IF($D574="CBB",$C574,0)</f>
        <v>0</v>
      </c>
    </row>
    <row r="575" spans="1:12" x14ac:dyDescent="0.25">
      <c r="A575" s="6">
        <v>41760</v>
      </c>
      <c r="B575" t="s">
        <v>63</v>
      </c>
      <c r="C575" s="7">
        <v>-300</v>
      </c>
      <c r="D575" t="s">
        <v>6</v>
      </c>
      <c r="E575" s="8">
        <f>E574+F575</f>
        <v>83524</v>
      </c>
      <c r="F575" s="8">
        <f>IF($D575="CR01",$C575,0)</f>
        <v>-300</v>
      </c>
      <c r="G575" s="8">
        <f>G574+H575</f>
        <v>0</v>
      </c>
      <c r="H575" s="8">
        <f>IF($D575="VISA",$C575,0)</f>
        <v>0</v>
      </c>
      <c r="I575" s="8">
        <f>I574+J575</f>
        <v>0</v>
      </c>
      <c r="J575" s="8">
        <f>IF($D575="ACC",$C575,0)</f>
        <v>0</v>
      </c>
      <c r="K575" s="8">
        <f>K574+L575</f>
        <v>0</v>
      </c>
      <c r="L575" s="8">
        <f>IF($D575="CBB",$C575,0)</f>
        <v>0</v>
      </c>
    </row>
    <row r="576" spans="1:12" x14ac:dyDescent="0.25">
      <c r="A576" s="6">
        <v>41760</v>
      </c>
      <c r="B576" t="s">
        <v>64</v>
      </c>
      <c r="C576" s="7">
        <v>-26</v>
      </c>
      <c r="D576" t="s">
        <v>6</v>
      </c>
      <c r="E576" s="8">
        <f>E575+F576</f>
        <v>83498</v>
      </c>
      <c r="F576" s="8">
        <f>IF($D576="CR01",$C576,0)</f>
        <v>-26</v>
      </c>
      <c r="G576" s="8">
        <f>G575+H576</f>
        <v>0</v>
      </c>
      <c r="H576" s="8">
        <f>IF($D576="VISA",$C576,0)</f>
        <v>0</v>
      </c>
      <c r="I576" s="8">
        <f>I575+J576</f>
        <v>0</v>
      </c>
      <c r="J576" s="8">
        <f>IF($D576="ACC",$C576,0)</f>
        <v>0</v>
      </c>
      <c r="K576" s="8">
        <f>K575+L576</f>
        <v>0</v>
      </c>
      <c r="L576" s="8">
        <f>IF($D576="CBB",$C576,0)</f>
        <v>0</v>
      </c>
    </row>
    <row r="577" spans="1:12" x14ac:dyDescent="0.25">
      <c r="A577" s="6">
        <v>41760</v>
      </c>
      <c r="B577" t="s">
        <v>65</v>
      </c>
      <c r="C577" s="7">
        <v>-240</v>
      </c>
      <c r="D577" t="s">
        <v>6</v>
      </c>
      <c r="E577" s="8">
        <f>E576+F577</f>
        <v>83258</v>
      </c>
      <c r="F577" s="8">
        <f>IF($D577="CR01",$C577,0)</f>
        <v>-240</v>
      </c>
      <c r="G577" s="8">
        <f>G576+H577</f>
        <v>0</v>
      </c>
      <c r="H577" s="8">
        <f>IF($D577="VISA",$C577,0)</f>
        <v>0</v>
      </c>
      <c r="I577" s="8">
        <f>I576+J577</f>
        <v>0</v>
      </c>
      <c r="J577" s="8">
        <f>IF($D577="ACC",$C577,0)</f>
        <v>0</v>
      </c>
      <c r="K577" s="8">
        <f>K576+L577</f>
        <v>0</v>
      </c>
      <c r="L577" s="8">
        <f>IF($D577="CBB",$C577,0)</f>
        <v>0</v>
      </c>
    </row>
    <row r="578" spans="1:12" x14ac:dyDescent="0.25">
      <c r="A578" s="6">
        <v>41760</v>
      </c>
      <c r="B578" t="s">
        <v>66</v>
      </c>
      <c r="C578" s="7">
        <v>-120</v>
      </c>
      <c r="D578" t="s">
        <v>6</v>
      </c>
      <c r="E578" s="8">
        <f>E577+F578</f>
        <v>83138</v>
      </c>
      <c r="F578" s="8">
        <f>IF($D578="CR01",$C578,0)</f>
        <v>-120</v>
      </c>
      <c r="G578" s="8">
        <f>G577+H578</f>
        <v>0</v>
      </c>
      <c r="H578" s="8">
        <f>IF($D578="VISA",$C578,0)</f>
        <v>0</v>
      </c>
      <c r="I578" s="8">
        <f>I577+J578</f>
        <v>0</v>
      </c>
      <c r="J578" s="8">
        <f>IF($D578="ACC",$C578,0)</f>
        <v>0</v>
      </c>
      <c r="K578" s="8">
        <f>K577+L578</f>
        <v>0</v>
      </c>
      <c r="L578" s="8">
        <f>IF($D578="CBB",$C578,0)</f>
        <v>0</v>
      </c>
    </row>
    <row r="579" spans="1:12" x14ac:dyDescent="0.25">
      <c r="A579" s="6">
        <v>41761</v>
      </c>
      <c r="B579" t="s">
        <v>59</v>
      </c>
      <c r="C579" s="7">
        <v>-900</v>
      </c>
      <c r="D579" t="s">
        <v>6</v>
      </c>
      <c r="E579" s="8">
        <f>E578+F579</f>
        <v>82238</v>
      </c>
      <c r="F579" s="8">
        <f>IF($D579="CR01",$C579,0)</f>
        <v>-900</v>
      </c>
      <c r="G579" s="8">
        <f>G578+H579</f>
        <v>0</v>
      </c>
      <c r="H579" s="8">
        <f>IF($D579="VISA",$C579,0)</f>
        <v>0</v>
      </c>
      <c r="I579" s="8">
        <f>I578+J579</f>
        <v>0</v>
      </c>
      <c r="J579" s="8">
        <f>IF($D579="ACC",$C579,0)</f>
        <v>0</v>
      </c>
      <c r="K579" s="8">
        <f>K578+L579</f>
        <v>0</v>
      </c>
      <c r="L579" s="8">
        <f>IF($D579="CBB",$C579,0)</f>
        <v>0</v>
      </c>
    </row>
    <row r="580" spans="1:12" x14ac:dyDescent="0.25">
      <c r="A580" s="6">
        <v>41762</v>
      </c>
      <c r="B580" t="s">
        <v>67</v>
      </c>
      <c r="C580" s="7">
        <v>5200</v>
      </c>
      <c r="D580" t="s">
        <v>6</v>
      </c>
      <c r="E580" s="8">
        <f>E579+F580</f>
        <v>87438</v>
      </c>
      <c r="F580" s="8">
        <f>IF($D580="CR01",$C580,0)</f>
        <v>5200</v>
      </c>
      <c r="G580" s="8">
        <f>G579+H580</f>
        <v>0</v>
      </c>
      <c r="H580" s="8">
        <f>IF($D580="VISA",$C580,0)</f>
        <v>0</v>
      </c>
      <c r="I580" s="8">
        <f>I579+J580</f>
        <v>0</v>
      </c>
      <c r="J580" s="8">
        <f>IF($D580="ACC",$C580,0)</f>
        <v>0</v>
      </c>
      <c r="K580" s="8">
        <f>K579+L580</f>
        <v>0</v>
      </c>
      <c r="L580" s="8">
        <f>IF($D580="CBB",$C580,0)</f>
        <v>0</v>
      </c>
    </row>
    <row r="581" spans="1:12" x14ac:dyDescent="0.25">
      <c r="A581" s="6">
        <v>41765</v>
      </c>
      <c r="B581" t="s">
        <v>42</v>
      </c>
      <c r="C581" s="7">
        <v>-2806</v>
      </c>
      <c r="D581" t="s">
        <v>6</v>
      </c>
      <c r="E581" s="8">
        <f>E580+F581</f>
        <v>84632</v>
      </c>
      <c r="F581" s="8">
        <f>IF($D581="CR01",$C581,0)</f>
        <v>-2806</v>
      </c>
      <c r="G581" s="8">
        <f>G580+H581</f>
        <v>0</v>
      </c>
      <c r="H581" s="8">
        <f>IF($D581="VISA",$C581,0)</f>
        <v>0</v>
      </c>
      <c r="I581" s="8">
        <f>I580+J581</f>
        <v>0</v>
      </c>
      <c r="J581" s="8">
        <f>IF($D581="ACC",$C581,0)</f>
        <v>0</v>
      </c>
      <c r="K581" s="8">
        <f>K580+L581</f>
        <v>0</v>
      </c>
      <c r="L581" s="8">
        <f>IF($D581="CBB",$C581,0)</f>
        <v>0</v>
      </c>
    </row>
    <row r="582" spans="1:12" x14ac:dyDescent="0.25">
      <c r="A582" s="6">
        <v>41765</v>
      </c>
      <c r="B582" t="s">
        <v>48</v>
      </c>
      <c r="C582" s="7">
        <v>-100</v>
      </c>
      <c r="D582" t="s">
        <v>6</v>
      </c>
      <c r="E582" s="8">
        <f>E581+F582</f>
        <v>84532</v>
      </c>
      <c r="F582" s="8">
        <f>IF($D582="CR01",$C582,0)</f>
        <v>-100</v>
      </c>
      <c r="G582" s="8">
        <f>G581+H582</f>
        <v>0</v>
      </c>
      <c r="H582" s="8">
        <f>IF($D582="VISA",$C582,0)</f>
        <v>0</v>
      </c>
      <c r="I582" s="8">
        <f>I581+J582</f>
        <v>0</v>
      </c>
      <c r="J582" s="8">
        <f>IF($D582="ACC",$C582,0)</f>
        <v>0</v>
      </c>
      <c r="K582" s="8">
        <f>K581+L582</f>
        <v>0</v>
      </c>
      <c r="L582" s="8">
        <f>IF($D582="CBB",$C582,0)</f>
        <v>0</v>
      </c>
    </row>
    <row r="583" spans="1:12" x14ac:dyDescent="0.25">
      <c r="A583" s="6">
        <v>41766</v>
      </c>
      <c r="B583" t="s">
        <v>47</v>
      </c>
      <c r="C583" s="7">
        <v>-120</v>
      </c>
      <c r="D583" t="s">
        <v>6</v>
      </c>
      <c r="E583" s="8">
        <f>E582+F583</f>
        <v>84412</v>
      </c>
      <c r="F583" s="8">
        <f>IF($D583="CR01",$C583,0)</f>
        <v>-120</v>
      </c>
      <c r="G583" s="8">
        <f>G582+H583</f>
        <v>0</v>
      </c>
      <c r="H583" s="8">
        <f>IF($D583="VISA",$C583,0)</f>
        <v>0</v>
      </c>
      <c r="I583" s="8">
        <f>I582+J583</f>
        <v>0</v>
      </c>
      <c r="J583" s="8">
        <f>IF($D583="ACC",$C583,0)</f>
        <v>0</v>
      </c>
      <c r="K583" s="8">
        <f>K582+L583</f>
        <v>0</v>
      </c>
      <c r="L583" s="8">
        <f>IF($D583="CBB",$C583,0)</f>
        <v>0</v>
      </c>
    </row>
    <row r="584" spans="1:12" x14ac:dyDescent="0.25">
      <c r="A584" s="6">
        <v>41767</v>
      </c>
      <c r="B584" t="s">
        <v>44</v>
      </c>
      <c r="C584" s="7">
        <v>-400</v>
      </c>
      <c r="D584" t="s">
        <v>6</v>
      </c>
      <c r="E584" s="8">
        <f>E583+F584</f>
        <v>84012</v>
      </c>
      <c r="F584" s="8">
        <f>IF($D584="CR01",$C584,0)</f>
        <v>-400</v>
      </c>
      <c r="G584" s="8">
        <f>G583+H584</f>
        <v>0</v>
      </c>
      <c r="H584" s="8">
        <f>IF($D584="VISA",$C584,0)</f>
        <v>0</v>
      </c>
      <c r="I584" s="8">
        <f>I583+J584</f>
        <v>0</v>
      </c>
      <c r="J584" s="8">
        <f>IF($D584="ACC",$C584,0)</f>
        <v>0</v>
      </c>
      <c r="K584" s="8">
        <f>K583+L584</f>
        <v>0</v>
      </c>
      <c r="L584" s="8">
        <f>IF($D584="CBB",$C584,0)</f>
        <v>0</v>
      </c>
    </row>
    <row r="585" spans="1:12" x14ac:dyDescent="0.25">
      <c r="A585" s="6">
        <v>41767</v>
      </c>
      <c r="B585" t="s">
        <v>45</v>
      </c>
      <c r="C585" s="7">
        <v>-180</v>
      </c>
      <c r="D585" t="s">
        <v>6</v>
      </c>
      <c r="E585" s="8">
        <f>E584+F585</f>
        <v>83832</v>
      </c>
      <c r="F585" s="8">
        <f>IF($D585="CR01",$C585,0)</f>
        <v>-180</v>
      </c>
      <c r="G585" s="8">
        <f>G584+H585</f>
        <v>0</v>
      </c>
      <c r="H585" s="8">
        <f>IF($D585="VISA",$C585,0)</f>
        <v>0</v>
      </c>
      <c r="I585" s="8">
        <f>I584+J585</f>
        <v>0</v>
      </c>
      <c r="J585" s="8">
        <f>IF($D585="ACC",$C585,0)</f>
        <v>0</v>
      </c>
      <c r="K585" s="8">
        <f>K584+L585</f>
        <v>0</v>
      </c>
      <c r="L585" s="8">
        <f>IF($D585="CBB",$C585,0)</f>
        <v>0</v>
      </c>
    </row>
    <row r="586" spans="1:12" x14ac:dyDescent="0.25">
      <c r="A586" s="6">
        <v>41767</v>
      </c>
      <c r="B586" t="s">
        <v>46</v>
      </c>
      <c r="C586" s="7">
        <v>-300</v>
      </c>
      <c r="D586" t="s">
        <v>6</v>
      </c>
      <c r="E586" s="8">
        <f>E585+F586</f>
        <v>83532</v>
      </c>
      <c r="F586" s="8">
        <f>IF($D586="CR01",$C586,0)</f>
        <v>-300</v>
      </c>
      <c r="G586" s="8">
        <f>G585+H586</f>
        <v>0</v>
      </c>
      <c r="H586" s="8">
        <f>IF($D586="VISA",$C586,0)</f>
        <v>0</v>
      </c>
      <c r="I586" s="8">
        <f>I585+J586</f>
        <v>0</v>
      </c>
      <c r="J586" s="8">
        <f>IF($D586="ACC",$C586,0)</f>
        <v>0</v>
      </c>
      <c r="K586" s="8">
        <f>K585+L586</f>
        <v>0</v>
      </c>
      <c r="L586" s="8">
        <f>IF($D586="CBB",$C586,0)</f>
        <v>0</v>
      </c>
    </row>
    <row r="587" spans="1:12" x14ac:dyDescent="0.25">
      <c r="A587" s="6">
        <v>41768</v>
      </c>
      <c r="B587" t="s">
        <v>43</v>
      </c>
      <c r="C587" s="7">
        <v>3226</v>
      </c>
      <c r="D587" t="s">
        <v>6</v>
      </c>
      <c r="E587" s="8">
        <f>E586+F587</f>
        <v>86758</v>
      </c>
      <c r="F587" s="8">
        <f>IF($D587="CR01",$C587,0)</f>
        <v>3226</v>
      </c>
      <c r="G587" s="8">
        <f>G586+H587</f>
        <v>0</v>
      </c>
      <c r="H587" s="8">
        <f>IF($D587="VISA",$C587,0)</f>
        <v>0</v>
      </c>
      <c r="I587" s="8">
        <f>I586+J587</f>
        <v>0</v>
      </c>
      <c r="J587" s="8">
        <f>IF($D587="ACC",$C587,0)</f>
        <v>0</v>
      </c>
      <c r="K587" s="8">
        <f>K586+L587</f>
        <v>0</v>
      </c>
      <c r="L587" s="8">
        <f>IF($D587="CBB",$C587,0)</f>
        <v>0</v>
      </c>
    </row>
    <row r="588" spans="1:12" x14ac:dyDescent="0.25">
      <c r="A588" s="6">
        <v>41772</v>
      </c>
      <c r="B588" t="s">
        <v>48</v>
      </c>
      <c r="C588" s="7">
        <v>-100</v>
      </c>
      <c r="D588" t="s">
        <v>6</v>
      </c>
      <c r="E588" s="8">
        <f>E587+F588</f>
        <v>86658</v>
      </c>
      <c r="F588" s="8">
        <f>IF($D588="CR01",$C588,0)</f>
        <v>-100</v>
      </c>
      <c r="G588" s="8">
        <f>G587+H588</f>
        <v>0</v>
      </c>
      <c r="H588" s="8">
        <f>IF($D588="VISA",$C588,0)</f>
        <v>0</v>
      </c>
      <c r="I588" s="8">
        <f>I587+J588</f>
        <v>0</v>
      </c>
      <c r="J588" s="8">
        <f>IF($D588="ACC",$C588,0)</f>
        <v>0</v>
      </c>
      <c r="K588" s="8">
        <f>K587+L588</f>
        <v>0</v>
      </c>
      <c r="L588" s="8">
        <f>IF($D588="CBB",$C588,0)</f>
        <v>0</v>
      </c>
    </row>
    <row r="589" spans="1:12" x14ac:dyDescent="0.25">
      <c r="A589" s="6">
        <v>41773</v>
      </c>
      <c r="B589" t="s">
        <v>47</v>
      </c>
      <c r="C589" s="7">
        <v>-120</v>
      </c>
      <c r="D589" t="s">
        <v>6</v>
      </c>
      <c r="E589" s="8">
        <f>E588+F589</f>
        <v>86538</v>
      </c>
      <c r="F589" s="8">
        <f>IF($D589="CR01",$C589,0)</f>
        <v>-120</v>
      </c>
      <c r="G589" s="8">
        <f>G588+H589</f>
        <v>0</v>
      </c>
      <c r="H589" s="8">
        <f>IF($D589="VISA",$C589,0)</f>
        <v>0</v>
      </c>
      <c r="I589" s="8">
        <f>I588+J589</f>
        <v>0</v>
      </c>
      <c r="J589" s="8">
        <f>IF($D589="ACC",$C589,0)</f>
        <v>0</v>
      </c>
      <c r="K589" s="8">
        <f>K588+L589</f>
        <v>0</v>
      </c>
      <c r="L589" s="8">
        <f>IF($D589="CBB",$C589,0)</f>
        <v>0</v>
      </c>
    </row>
    <row r="590" spans="1:12" x14ac:dyDescent="0.25">
      <c r="A590" s="6">
        <v>41774</v>
      </c>
      <c r="B590" t="s">
        <v>44</v>
      </c>
      <c r="C590" s="7">
        <v>-400</v>
      </c>
      <c r="D590" t="s">
        <v>6</v>
      </c>
      <c r="E590" s="8">
        <f>E589+F590</f>
        <v>86138</v>
      </c>
      <c r="F590" s="8">
        <f>IF($D590="CR01",$C590,0)</f>
        <v>-400</v>
      </c>
      <c r="G590" s="8">
        <f>G589+H590</f>
        <v>0</v>
      </c>
      <c r="H590" s="8">
        <f>IF($D590="VISA",$C590,0)</f>
        <v>0</v>
      </c>
      <c r="I590" s="8">
        <f>I589+J590</f>
        <v>0</v>
      </c>
      <c r="J590" s="8">
        <f>IF($D590="ACC",$C590,0)</f>
        <v>0</v>
      </c>
      <c r="K590" s="8">
        <f>K589+L590</f>
        <v>0</v>
      </c>
      <c r="L590" s="8">
        <f>IF($D590="CBB",$C590,0)</f>
        <v>0</v>
      </c>
    </row>
    <row r="591" spans="1:12" x14ac:dyDescent="0.25">
      <c r="A591" s="6">
        <v>41774</v>
      </c>
      <c r="B591" t="s">
        <v>45</v>
      </c>
      <c r="C591" s="7">
        <v>-180</v>
      </c>
      <c r="D591" t="s">
        <v>6</v>
      </c>
      <c r="E591" s="8">
        <f>E590+F591</f>
        <v>85958</v>
      </c>
      <c r="F591" s="8">
        <f>IF($D591="CR01",$C591,0)</f>
        <v>-180</v>
      </c>
      <c r="G591" s="8">
        <f>G590+H591</f>
        <v>0</v>
      </c>
      <c r="H591" s="8">
        <f>IF($D591="VISA",$C591,0)</f>
        <v>0</v>
      </c>
      <c r="I591" s="8">
        <f>I590+J591</f>
        <v>0</v>
      </c>
      <c r="J591" s="8">
        <f>IF($D591="ACC",$C591,0)</f>
        <v>0</v>
      </c>
      <c r="K591" s="8">
        <f>K590+L591</f>
        <v>0</v>
      </c>
      <c r="L591" s="8">
        <f>IF($D591="CBB",$C591,0)</f>
        <v>0</v>
      </c>
    </row>
    <row r="592" spans="1:12" x14ac:dyDescent="0.25">
      <c r="A592" s="6">
        <v>41774</v>
      </c>
      <c r="B592" t="s">
        <v>46</v>
      </c>
      <c r="C592" s="7">
        <v>-300</v>
      </c>
      <c r="D592" t="s">
        <v>6</v>
      </c>
      <c r="E592" s="8">
        <f>E591+F592</f>
        <v>85658</v>
      </c>
      <c r="F592" s="8">
        <f>IF($D592="CR01",$C592,0)</f>
        <v>-300</v>
      </c>
      <c r="G592" s="8">
        <f>G591+H592</f>
        <v>0</v>
      </c>
      <c r="H592" s="8">
        <f>IF($D592="VISA",$C592,0)</f>
        <v>0</v>
      </c>
      <c r="I592" s="8">
        <f>I591+J592</f>
        <v>0</v>
      </c>
      <c r="J592" s="8">
        <f>IF($D592="ACC",$C592,0)</f>
        <v>0</v>
      </c>
      <c r="K592" s="8">
        <f>K591+L592</f>
        <v>0</v>
      </c>
      <c r="L592" s="8">
        <f>IF($D592="CBB",$C592,0)</f>
        <v>0</v>
      </c>
    </row>
    <row r="593" spans="1:12" x14ac:dyDescent="0.25">
      <c r="A593" s="6">
        <v>41776</v>
      </c>
      <c r="B593" t="s">
        <v>67</v>
      </c>
      <c r="C593" s="7">
        <v>5200</v>
      </c>
      <c r="D593" t="s">
        <v>6</v>
      </c>
      <c r="E593" s="8">
        <f>E592+F593</f>
        <v>90858</v>
      </c>
      <c r="F593" s="8">
        <f>IF($D593="CR01",$C593,0)</f>
        <v>5200</v>
      </c>
      <c r="G593" s="8">
        <f>G592+H593</f>
        <v>0</v>
      </c>
      <c r="H593" s="8">
        <f>IF($D593="VISA",$C593,0)</f>
        <v>0</v>
      </c>
      <c r="I593" s="8">
        <f>I592+J593</f>
        <v>0</v>
      </c>
      <c r="J593" s="8">
        <f>IF($D593="ACC",$C593,0)</f>
        <v>0</v>
      </c>
      <c r="K593" s="8">
        <f>K592+L593</f>
        <v>0</v>
      </c>
      <c r="L593" s="8">
        <f>IF($D593="CBB",$C593,0)</f>
        <v>0</v>
      </c>
    </row>
    <row r="594" spans="1:12" x14ac:dyDescent="0.25">
      <c r="A594" s="6">
        <v>41779</v>
      </c>
      <c r="B594" t="s">
        <v>42</v>
      </c>
      <c r="C594" s="7">
        <v>-2806</v>
      </c>
      <c r="D594" t="s">
        <v>6</v>
      </c>
      <c r="E594" s="8">
        <f>E593+F594</f>
        <v>88052</v>
      </c>
      <c r="F594" s="8">
        <f>IF($D594="CR01",$C594,0)</f>
        <v>-2806</v>
      </c>
      <c r="G594" s="8">
        <f>G593+H594</f>
        <v>0</v>
      </c>
      <c r="H594" s="8">
        <f>IF($D594="VISA",$C594,0)</f>
        <v>0</v>
      </c>
      <c r="I594" s="8">
        <f>I593+J594</f>
        <v>0</v>
      </c>
      <c r="J594" s="8">
        <f>IF($D594="ACC",$C594,0)</f>
        <v>0</v>
      </c>
      <c r="K594" s="8">
        <f>K593+L594</f>
        <v>0</v>
      </c>
      <c r="L594" s="8">
        <f>IF($D594="CBB",$C594,0)</f>
        <v>0</v>
      </c>
    </row>
    <row r="595" spans="1:12" x14ac:dyDescent="0.25">
      <c r="A595" s="6">
        <v>41779</v>
      </c>
      <c r="B595" t="s">
        <v>48</v>
      </c>
      <c r="C595" s="7">
        <v>-100</v>
      </c>
      <c r="D595" t="s">
        <v>6</v>
      </c>
      <c r="E595" s="8">
        <f>E594+F595</f>
        <v>87952</v>
      </c>
      <c r="F595" s="8">
        <f>IF($D595="CR01",$C595,0)</f>
        <v>-100</v>
      </c>
      <c r="G595" s="8">
        <f>G594+H595</f>
        <v>0</v>
      </c>
      <c r="H595" s="8">
        <f>IF($D595="VISA",$C595,0)</f>
        <v>0</v>
      </c>
      <c r="I595" s="8">
        <f>I594+J595</f>
        <v>0</v>
      </c>
      <c r="J595" s="8">
        <f>IF($D595="ACC",$C595,0)</f>
        <v>0</v>
      </c>
      <c r="K595" s="8">
        <f>K594+L595</f>
        <v>0</v>
      </c>
      <c r="L595" s="8">
        <f>IF($D595="CBB",$C595,0)</f>
        <v>0</v>
      </c>
    </row>
    <row r="596" spans="1:12" x14ac:dyDescent="0.25">
      <c r="A596" s="6">
        <v>41780</v>
      </c>
      <c r="B596" t="s">
        <v>47</v>
      </c>
      <c r="C596" s="7">
        <v>-120</v>
      </c>
      <c r="D596" t="s">
        <v>6</v>
      </c>
      <c r="E596" s="8">
        <f>E595+F596</f>
        <v>87832</v>
      </c>
      <c r="F596" s="8">
        <f>IF($D596="CR01",$C596,0)</f>
        <v>-120</v>
      </c>
      <c r="G596" s="8">
        <f>G595+H596</f>
        <v>0</v>
      </c>
      <c r="H596" s="8">
        <f>IF($D596="VISA",$C596,0)</f>
        <v>0</v>
      </c>
      <c r="I596" s="8">
        <f>I595+J596</f>
        <v>0</v>
      </c>
      <c r="J596" s="8">
        <f>IF($D596="ACC",$C596,0)</f>
        <v>0</v>
      </c>
      <c r="K596" s="8">
        <f>K595+L596</f>
        <v>0</v>
      </c>
      <c r="L596" s="8">
        <f>IF($D596="CBB",$C596,0)</f>
        <v>0</v>
      </c>
    </row>
    <row r="597" spans="1:12" x14ac:dyDescent="0.25">
      <c r="A597" s="6">
        <v>41781</v>
      </c>
      <c r="B597" t="s">
        <v>44</v>
      </c>
      <c r="C597" s="7">
        <v>-400</v>
      </c>
      <c r="D597" t="s">
        <v>6</v>
      </c>
      <c r="E597" s="8">
        <f>E596+F597</f>
        <v>87432</v>
      </c>
      <c r="F597" s="8">
        <f>IF($D597="CR01",$C597,0)</f>
        <v>-400</v>
      </c>
      <c r="G597" s="8">
        <f>G596+H597</f>
        <v>0</v>
      </c>
      <c r="H597" s="8">
        <f>IF($D597="VISA",$C597,0)</f>
        <v>0</v>
      </c>
      <c r="I597" s="8">
        <f>I596+J597</f>
        <v>0</v>
      </c>
      <c r="J597" s="8">
        <f>IF($D597="ACC",$C597,0)</f>
        <v>0</v>
      </c>
      <c r="K597" s="8">
        <f>K596+L597</f>
        <v>0</v>
      </c>
      <c r="L597" s="8">
        <f>IF($D597="CBB",$C597,0)</f>
        <v>0</v>
      </c>
    </row>
    <row r="598" spans="1:12" x14ac:dyDescent="0.25">
      <c r="A598" s="6">
        <v>41781</v>
      </c>
      <c r="B598" t="s">
        <v>45</v>
      </c>
      <c r="C598" s="7">
        <v>-180</v>
      </c>
      <c r="D598" t="s">
        <v>6</v>
      </c>
      <c r="E598" s="8">
        <f>E597+F598</f>
        <v>87252</v>
      </c>
      <c r="F598" s="8">
        <f>IF($D598="CR01",$C598,0)</f>
        <v>-180</v>
      </c>
      <c r="G598" s="8">
        <f>G597+H598</f>
        <v>0</v>
      </c>
      <c r="H598" s="8">
        <f>IF($D598="VISA",$C598,0)</f>
        <v>0</v>
      </c>
      <c r="I598" s="8">
        <f>I597+J598</f>
        <v>0</v>
      </c>
      <c r="J598" s="8">
        <f>IF($D598="ACC",$C598,0)</f>
        <v>0</v>
      </c>
      <c r="K598" s="8">
        <f>K597+L598</f>
        <v>0</v>
      </c>
      <c r="L598" s="8">
        <f>IF($D598="CBB",$C598,0)</f>
        <v>0</v>
      </c>
    </row>
    <row r="599" spans="1:12" x14ac:dyDescent="0.25">
      <c r="A599" s="6">
        <v>41781</v>
      </c>
      <c r="B599" t="s">
        <v>46</v>
      </c>
      <c r="C599" s="7">
        <v>-300</v>
      </c>
      <c r="D599" t="s">
        <v>6</v>
      </c>
      <c r="E599" s="8">
        <f>E598+F599</f>
        <v>86952</v>
      </c>
      <c r="F599" s="8">
        <f>IF($D599="CR01",$C599,0)</f>
        <v>-300</v>
      </c>
      <c r="G599" s="8">
        <f>G598+H599</f>
        <v>0</v>
      </c>
      <c r="H599" s="8">
        <f>IF($D599="VISA",$C599,0)</f>
        <v>0</v>
      </c>
      <c r="I599" s="8">
        <f>I598+J599</f>
        <v>0</v>
      </c>
      <c r="J599" s="8">
        <f>IF($D599="ACC",$C599,0)</f>
        <v>0</v>
      </c>
      <c r="K599" s="8">
        <f>K598+L599</f>
        <v>0</v>
      </c>
      <c r="L599" s="8">
        <f>IF($D599="CBB",$C599,0)</f>
        <v>0</v>
      </c>
    </row>
    <row r="600" spans="1:12" x14ac:dyDescent="0.25">
      <c r="A600" s="6">
        <v>41782</v>
      </c>
      <c r="B600" t="s">
        <v>43</v>
      </c>
      <c r="C600" s="7">
        <v>3226</v>
      </c>
      <c r="D600" t="s">
        <v>6</v>
      </c>
      <c r="E600" s="8">
        <f>E599+F600</f>
        <v>90178</v>
      </c>
      <c r="F600" s="8">
        <f>IF($D600="CR01",$C600,0)</f>
        <v>3226</v>
      </c>
      <c r="G600" s="8">
        <f>G599+H600</f>
        <v>0</v>
      </c>
      <c r="H600" s="8">
        <f>IF($D600="VISA",$C600,0)</f>
        <v>0</v>
      </c>
      <c r="I600" s="8">
        <f>I599+J600</f>
        <v>0</v>
      </c>
      <c r="J600" s="8">
        <f>IF($D600="ACC",$C600,0)</f>
        <v>0</v>
      </c>
      <c r="K600" s="8">
        <f>K599+L600</f>
        <v>0</v>
      </c>
      <c r="L600" s="8">
        <f>IF($D600="CBB",$C600,0)</f>
        <v>0</v>
      </c>
    </row>
    <row r="601" spans="1:12" x14ac:dyDescent="0.25">
      <c r="A601" s="6">
        <v>41786</v>
      </c>
      <c r="B601" t="s">
        <v>48</v>
      </c>
      <c r="C601" s="7">
        <v>-100</v>
      </c>
      <c r="D601" t="s">
        <v>6</v>
      </c>
      <c r="E601" s="8">
        <f>E600+F601</f>
        <v>90078</v>
      </c>
      <c r="F601" s="8">
        <f>IF($D601="CR01",$C601,0)</f>
        <v>-100</v>
      </c>
      <c r="G601" s="8">
        <f>G600+H601</f>
        <v>0</v>
      </c>
      <c r="H601" s="8">
        <f>IF($D601="VISA",$C601,0)</f>
        <v>0</v>
      </c>
      <c r="I601" s="8">
        <f>I600+J601</f>
        <v>0</v>
      </c>
      <c r="J601" s="8">
        <f>IF($D601="ACC",$C601,0)</f>
        <v>0</v>
      </c>
      <c r="K601" s="8">
        <f>K600+L601</f>
        <v>0</v>
      </c>
      <c r="L601" s="8">
        <f>IF($D601="CBB",$C601,0)</f>
        <v>0</v>
      </c>
    </row>
    <row r="602" spans="1:12" x14ac:dyDescent="0.25">
      <c r="A602" s="6">
        <v>41787</v>
      </c>
      <c r="B602" t="s">
        <v>47</v>
      </c>
      <c r="C602" s="7">
        <v>-120</v>
      </c>
      <c r="D602" t="s">
        <v>6</v>
      </c>
      <c r="E602" s="8">
        <f>E601+F602</f>
        <v>89958</v>
      </c>
      <c r="F602" s="8">
        <f>IF($D602="CR01",$C602,0)</f>
        <v>-120</v>
      </c>
      <c r="G602" s="8">
        <f>G601+H602</f>
        <v>0</v>
      </c>
      <c r="H602" s="8">
        <f>IF($D602="VISA",$C602,0)</f>
        <v>0</v>
      </c>
      <c r="I602" s="8">
        <f>I601+J602</f>
        <v>0</v>
      </c>
      <c r="J602" s="8">
        <f>IF($D602="ACC",$C602,0)</f>
        <v>0</v>
      </c>
      <c r="K602" s="8">
        <f>K601+L602</f>
        <v>0</v>
      </c>
      <c r="L602" s="8">
        <f>IF($D602="CBB",$C602,0)</f>
        <v>0</v>
      </c>
    </row>
    <row r="603" spans="1:12" x14ac:dyDescent="0.25">
      <c r="A603" s="6">
        <v>41788</v>
      </c>
      <c r="B603" t="s">
        <v>44</v>
      </c>
      <c r="C603" s="7">
        <v>-400</v>
      </c>
      <c r="D603" t="s">
        <v>6</v>
      </c>
      <c r="E603" s="8">
        <f>E602+F603</f>
        <v>89558</v>
      </c>
      <c r="F603" s="8">
        <f>IF($D603="CR01",$C603,0)</f>
        <v>-400</v>
      </c>
      <c r="G603" s="8">
        <f>G602+H603</f>
        <v>0</v>
      </c>
      <c r="H603" s="8">
        <f>IF($D603="VISA",$C603,0)</f>
        <v>0</v>
      </c>
      <c r="I603" s="8">
        <f>I602+J603</f>
        <v>0</v>
      </c>
      <c r="J603" s="8">
        <f>IF($D603="ACC",$C603,0)</f>
        <v>0</v>
      </c>
      <c r="K603" s="8">
        <f>K602+L603</f>
        <v>0</v>
      </c>
      <c r="L603" s="8">
        <f>IF($D603="CBB",$C603,0)</f>
        <v>0</v>
      </c>
    </row>
    <row r="604" spans="1:12" x14ac:dyDescent="0.25">
      <c r="A604" s="6">
        <v>41788</v>
      </c>
      <c r="B604" t="s">
        <v>45</v>
      </c>
      <c r="C604" s="7">
        <v>-180</v>
      </c>
      <c r="D604" t="s">
        <v>6</v>
      </c>
      <c r="E604" s="8">
        <f>E603+F604</f>
        <v>89378</v>
      </c>
      <c r="F604" s="8">
        <f>IF($D604="CR01",$C604,0)</f>
        <v>-180</v>
      </c>
      <c r="G604" s="8">
        <f>G603+H604</f>
        <v>0</v>
      </c>
      <c r="H604" s="8">
        <f>IF($D604="VISA",$C604,0)</f>
        <v>0</v>
      </c>
      <c r="I604" s="8">
        <f>I603+J604</f>
        <v>0</v>
      </c>
      <c r="J604" s="8">
        <f>IF($D604="ACC",$C604,0)</f>
        <v>0</v>
      </c>
      <c r="K604" s="8">
        <f>K603+L604</f>
        <v>0</v>
      </c>
      <c r="L604" s="8">
        <f>IF($D604="CBB",$C604,0)</f>
        <v>0</v>
      </c>
    </row>
    <row r="605" spans="1:12" x14ac:dyDescent="0.25">
      <c r="A605" s="6">
        <v>41788</v>
      </c>
      <c r="B605" t="s">
        <v>46</v>
      </c>
      <c r="C605" s="7">
        <v>-300</v>
      </c>
      <c r="D605" t="s">
        <v>6</v>
      </c>
      <c r="E605" s="8">
        <f>E604+F605</f>
        <v>89078</v>
      </c>
      <c r="F605" s="8">
        <f>IF($D605="CR01",$C605,0)</f>
        <v>-300</v>
      </c>
      <c r="G605" s="8">
        <f>G604+H605</f>
        <v>0</v>
      </c>
      <c r="H605" s="8">
        <f>IF($D605="VISA",$C605,0)</f>
        <v>0</v>
      </c>
      <c r="I605" s="8">
        <f>I604+J605</f>
        <v>0</v>
      </c>
      <c r="J605" s="8">
        <f>IF($D605="ACC",$C605,0)</f>
        <v>0</v>
      </c>
      <c r="K605" s="8">
        <f>K604+L605</f>
        <v>0</v>
      </c>
      <c r="L605" s="8">
        <f>IF($D605="CBB",$C605,0)</f>
        <v>0</v>
      </c>
    </row>
    <row r="606" spans="1:12" x14ac:dyDescent="0.25">
      <c r="A606" s="6">
        <v>41790</v>
      </c>
      <c r="B606" t="s">
        <v>67</v>
      </c>
      <c r="C606" s="7">
        <v>5200</v>
      </c>
      <c r="D606" t="s">
        <v>6</v>
      </c>
      <c r="E606" s="8">
        <f>E605+F606</f>
        <v>94278</v>
      </c>
      <c r="F606" s="8">
        <f>IF($D606="CR01",$C606,0)</f>
        <v>5200</v>
      </c>
      <c r="G606" s="8">
        <f>G605+H606</f>
        <v>0</v>
      </c>
      <c r="H606" s="8">
        <f>IF($D606="VISA",$C606,0)</f>
        <v>0</v>
      </c>
      <c r="I606" s="8">
        <f>I605+J606</f>
        <v>0</v>
      </c>
      <c r="J606" s="8">
        <f>IF($D606="ACC",$C606,0)</f>
        <v>0</v>
      </c>
      <c r="K606" s="8">
        <f>K605+L606</f>
        <v>0</v>
      </c>
      <c r="L606" s="8">
        <f>IF($D606="CBB",$C606,0)</f>
        <v>0</v>
      </c>
    </row>
    <row r="607" spans="1:12" x14ac:dyDescent="0.25">
      <c r="A607" s="6">
        <v>41791</v>
      </c>
      <c r="B607" t="s">
        <v>58</v>
      </c>
      <c r="C607" s="7">
        <v>-200</v>
      </c>
      <c r="D607" t="s">
        <v>6</v>
      </c>
      <c r="E607" s="8">
        <f>E606+F607</f>
        <v>94078</v>
      </c>
      <c r="F607" s="8">
        <f>IF($D607="CR01",$C607,0)</f>
        <v>-200</v>
      </c>
      <c r="G607" s="8">
        <f>G606+H607</f>
        <v>0</v>
      </c>
      <c r="H607" s="8">
        <f>IF($D607="VISA",$C607,0)</f>
        <v>0</v>
      </c>
      <c r="I607" s="8">
        <f>I606+J607</f>
        <v>0</v>
      </c>
      <c r="J607" s="8">
        <f>IF($D607="ACC",$C607,0)</f>
        <v>0</v>
      </c>
      <c r="K607" s="8">
        <f>K606+L607</f>
        <v>0</v>
      </c>
      <c r="L607" s="8">
        <f>IF($D607="CBB",$C607,0)</f>
        <v>0</v>
      </c>
    </row>
    <row r="608" spans="1:12" x14ac:dyDescent="0.25">
      <c r="A608" s="6">
        <v>41791</v>
      </c>
      <c r="B608" t="s">
        <v>60</v>
      </c>
      <c r="C608" s="7">
        <v>-400</v>
      </c>
      <c r="D608" t="s">
        <v>6</v>
      </c>
      <c r="E608" s="8">
        <f>E607+F608</f>
        <v>93678</v>
      </c>
      <c r="F608" s="8">
        <f>IF($D608="CR01",$C608,0)</f>
        <v>-400</v>
      </c>
      <c r="G608" s="8">
        <f>G607+H608</f>
        <v>0</v>
      </c>
      <c r="H608" s="8">
        <f>IF($D608="VISA",$C608,0)</f>
        <v>0</v>
      </c>
      <c r="I608" s="8">
        <f>I607+J608</f>
        <v>0</v>
      </c>
      <c r="J608" s="8">
        <f>IF($D608="ACC",$C608,0)</f>
        <v>0</v>
      </c>
      <c r="K608" s="8">
        <f>K607+L608</f>
        <v>0</v>
      </c>
      <c r="L608" s="8">
        <f>IF($D608="CBB",$C608,0)</f>
        <v>0</v>
      </c>
    </row>
    <row r="609" spans="1:12" x14ac:dyDescent="0.25">
      <c r="A609" s="6">
        <v>41791</v>
      </c>
      <c r="B609" t="s">
        <v>64</v>
      </c>
      <c r="C609" s="7">
        <v>-26</v>
      </c>
      <c r="D609" t="s">
        <v>6</v>
      </c>
      <c r="E609" s="8">
        <f>E608+F609</f>
        <v>93652</v>
      </c>
      <c r="F609" s="8">
        <f>IF($D609="CR01",$C609,0)</f>
        <v>-26</v>
      </c>
      <c r="G609" s="8">
        <f>G608+H609</f>
        <v>0</v>
      </c>
      <c r="H609" s="8">
        <f>IF($D609="VISA",$C609,0)</f>
        <v>0</v>
      </c>
      <c r="I609" s="8">
        <f>I608+J609</f>
        <v>0</v>
      </c>
      <c r="J609" s="8">
        <f>IF($D609="ACC",$C609,0)</f>
        <v>0</v>
      </c>
      <c r="K609" s="8">
        <f>K608+L609</f>
        <v>0</v>
      </c>
      <c r="L609" s="8">
        <f>IF($D609="CBB",$C609,0)</f>
        <v>0</v>
      </c>
    </row>
    <row r="610" spans="1:12" x14ac:dyDescent="0.25">
      <c r="A610" s="6">
        <v>41791</v>
      </c>
      <c r="B610" t="s">
        <v>65</v>
      </c>
      <c r="C610" s="7">
        <v>-240</v>
      </c>
      <c r="D610" t="s">
        <v>6</v>
      </c>
      <c r="E610" s="8">
        <f>E609+F610</f>
        <v>93412</v>
      </c>
      <c r="F610" s="8">
        <f>IF($D610="CR01",$C610,0)</f>
        <v>-240</v>
      </c>
      <c r="G610" s="8">
        <f>G609+H610</f>
        <v>0</v>
      </c>
      <c r="H610" s="8">
        <f>IF($D610="VISA",$C610,0)</f>
        <v>0</v>
      </c>
      <c r="I610" s="8">
        <f>I609+J610</f>
        <v>0</v>
      </c>
      <c r="J610" s="8">
        <f>IF($D610="ACC",$C610,0)</f>
        <v>0</v>
      </c>
      <c r="K610" s="8">
        <f>K609+L610</f>
        <v>0</v>
      </c>
      <c r="L610" s="8">
        <f>IF($D610="CBB",$C610,0)</f>
        <v>0</v>
      </c>
    </row>
    <row r="611" spans="1:12" x14ac:dyDescent="0.25">
      <c r="A611" s="6">
        <v>41791</v>
      </c>
      <c r="B611" t="s">
        <v>66</v>
      </c>
      <c r="C611" s="7">
        <v>-120</v>
      </c>
      <c r="D611" t="s">
        <v>6</v>
      </c>
      <c r="E611" s="8">
        <f>E610+F611</f>
        <v>93292</v>
      </c>
      <c r="F611" s="8">
        <f>IF($D611="CR01",$C611,0)</f>
        <v>-120</v>
      </c>
      <c r="G611" s="8">
        <f>G610+H611</f>
        <v>0</v>
      </c>
      <c r="H611" s="8">
        <f>IF($D611="VISA",$C611,0)</f>
        <v>0</v>
      </c>
      <c r="I611" s="8">
        <f>I610+J611</f>
        <v>0</v>
      </c>
      <c r="J611" s="8">
        <f>IF($D611="ACC",$C611,0)</f>
        <v>0</v>
      </c>
      <c r="K611" s="8">
        <f>K610+L611</f>
        <v>0</v>
      </c>
      <c r="L611" s="8">
        <f>IF($D611="CBB",$C611,0)</f>
        <v>0</v>
      </c>
    </row>
    <row r="612" spans="1:12" x14ac:dyDescent="0.25">
      <c r="A612" s="6">
        <v>41792</v>
      </c>
      <c r="B612" t="s">
        <v>59</v>
      </c>
      <c r="C612" s="7">
        <v>-900</v>
      </c>
      <c r="D612" t="s">
        <v>6</v>
      </c>
      <c r="E612" s="8">
        <f>E611+F612</f>
        <v>92392</v>
      </c>
      <c r="F612" s="8">
        <f>IF($D612="CR01",$C612,0)</f>
        <v>-900</v>
      </c>
      <c r="G612" s="8">
        <f>G611+H612</f>
        <v>0</v>
      </c>
      <c r="H612" s="8">
        <f>IF($D612="VISA",$C612,0)</f>
        <v>0</v>
      </c>
      <c r="I612" s="8">
        <f>I611+J612</f>
        <v>0</v>
      </c>
      <c r="J612" s="8">
        <f>IF($D612="ACC",$C612,0)</f>
        <v>0</v>
      </c>
      <c r="K612" s="8">
        <f>K611+L612</f>
        <v>0</v>
      </c>
      <c r="L612" s="8">
        <f>IF($D612="CBB",$C612,0)</f>
        <v>0</v>
      </c>
    </row>
    <row r="613" spans="1:12" x14ac:dyDescent="0.25">
      <c r="A613" s="6">
        <v>41793</v>
      </c>
      <c r="B613" t="s">
        <v>42</v>
      </c>
      <c r="C613" s="7">
        <v>-2806</v>
      </c>
      <c r="D613" t="s">
        <v>6</v>
      </c>
      <c r="E613" s="8">
        <f>E612+F613</f>
        <v>89586</v>
      </c>
      <c r="F613" s="8">
        <f>IF($D613="CR01",$C613,0)</f>
        <v>-2806</v>
      </c>
      <c r="G613" s="8">
        <f>G612+H613</f>
        <v>0</v>
      </c>
      <c r="H613" s="8">
        <f>IF($D613="VISA",$C613,0)</f>
        <v>0</v>
      </c>
      <c r="I613" s="8">
        <f>I612+J613</f>
        <v>0</v>
      </c>
      <c r="J613" s="8">
        <f>IF($D613="ACC",$C613,0)</f>
        <v>0</v>
      </c>
      <c r="K613" s="8">
        <f>K612+L613</f>
        <v>0</v>
      </c>
      <c r="L613" s="8">
        <f>IF($D613="CBB",$C613,0)</f>
        <v>0</v>
      </c>
    </row>
    <row r="614" spans="1:12" x14ac:dyDescent="0.25">
      <c r="A614" s="6">
        <v>41793</v>
      </c>
      <c r="B614" t="s">
        <v>48</v>
      </c>
      <c r="C614" s="7">
        <v>-100</v>
      </c>
      <c r="D614" t="s">
        <v>6</v>
      </c>
      <c r="E614" s="8">
        <f>E613+F614</f>
        <v>89486</v>
      </c>
      <c r="F614" s="8">
        <f>IF($D614="CR01",$C614,0)</f>
        <v>-100</v>
      </c>
      <c r="G614" s="8">
        <f>G613+H614</f>
        <v>0</v>
      </c>
      <c r="H614" s="8">
        <f>IF($D614="VISA",$C614,0)</f>
        <v>0</v>
      </c>
      <c r="I614" s="8">
        <f>I613+J614</f>
        <v>0</v>
      </c>
      <c r="J614" s="8">
        <f>IF($D614="ACC",$C614,0)</f>
        <v>0</v>
      </c>
      <c r="K614" s="8">
        <f>K613+L614</f>
        <v>0</v>
      </c>
      <c r="L614" s="8">
        <f>IF($D614="CBB",$C614,0)</f>
        <v>0</v>
      </c>
    </row>
    <row r="615" spans="1:12" x14ac:dyDescent="0.25">
      <c r="A615" s="6">
        <v>41794</v>
      </c>
      <c r="B615" t="s">
        <v>47</v>
      </c>
      <c r="C615" s="7">
        <v>-120</v>
      </c>
      <c r="D615" t="s">
        <v>6</v>
      </c>
      <c r="E615" s="8">
        <f>E614+F615</f>
        <v>89366</v>
      </c>
      <c r="F615" s="8">
        <f>IF($D615="CR01",$C615,0)</f>
        <v>-120</v>
      </c>
      <c r="G615" s="8">
        <f>G614+H615</f>
        <v>0</v>
      </c>
      <c r="H615" s="8">
        <f>IF($D615="VISA",$C615,0)</f>
        <v>0</v>
      </c>
      <c r="I615" s="8">
        <f>I614+J615</f>
        <v>0</v>
      </c>
      <c r="J615" s="8">
        <f>IF($D615="ACC",$C615,0)</f>
        <v>0</v>
      </c>
      <c r="K615" s="8">
        <f>K614+L615</f>
        <v>0</v>
      </c>
      <c r="L615" s="8">
        <f>IF($D615="CBB",$C615,0)</f>
        <v>0</v>
      </c>
    </row>
    <row r="616" spans="1:12" x14ac:dyDescent="0.25">
      <c r="A616" s="6">
        <v>41795</v>
      </c>
      <c r="B616" t="s">
        <v>44</v>
      </c>
      <c r="C616" s="7">
        <v>-400</v>
      </c>
      <c r="D616" t="s">
        <v>6</v>
      </c>
      <c r="E616" s="8">
        <f>E615+F616</f>
        <v>88966</v>
      </c>
      <c r="F616" s="8">
        <f>IF($D616="CR01",$C616,0)</f>
        <v>-400</v>
      </c>
      <c r="G616" s="8">
        <f>G615+H616</f>
        <v>0</v>
      </c>
      <c r="H616" s="8">
        <f>IF($D616="VISA",$C616,0)</f>
        <v>0</v>
      </c>
      <c r="I616" s="8">
        <f>I615+J616</f>
        <v>0</v>
      </c>
      <c r="J616" s="8">
        <f>IF($D616="ACC",$C616,0)</f>
        <v>0</v>
      </c>
      <c r="K616" s="8">
        <f>K615+L616</f>
        <v>0</v>
      </c>
      <c r="L616" s="8">
        <f>IF($D616="CBB",$C616,0)</f>
        <v>0</v>
      </c>
    </row>
    <row r="617" spans="1:12" x14ac:dyDescent="0.25">
      <c r="A617" s="6">
        <v>41795</v>
      </c>
      <c r="B617" t="s">
        <v>45</v>
      </c>
      <c r="C617" s="7">
        <v>-180</v>
      </c>
      <c r="D617" t="s">
        <v>6</v>
      </c>
      <c r="E617" s="8">
        <f>E616+F617</f>
        <v>88786</v>
      </c>
      <c r="F617" s="8">
        <f>IF($D617="CR01",$C617,0)</f>
        <v>-180</v>
      </c>
      <c r="G617" s="8">
        <f>G616+H617</f>
        <v>0</v>
      </c>
      <c r="H617" s="8">
        <f>IF($D617="VISA",$C617,0)</f>
        <v>0</v>
      </c>
      <c r="I617" s="8">
        <f>I616+J617</f>
        <v>0</v>
      </c>
      <c r="J617" s="8">
        <f>IF($D617="ACC",$C617,0)</f>
        <v>0</v>
      </c>
      <c r="K617" s="8">
        <f>K616+L617</f>
        <v>0</v>
      </c>
      <c r="L617" s="8">
        <f>IF($D617="CBB",$C617,0)</f>
        <v>0</v>
      </c>
    </row>
    <row r="618" spans="1:12" x14ac:dyDescent="0.25">
      <c r="A618" s="6">
        <v>41795</v>
      </c>
      <c r="B618" t="s">
        <v>46</v>
      </c>
      <c r="C618" s="7">
        <v>-300</v>
      </c>
      <c r="D618" t="s">
        <v>6</v>
      </c>
      <c r="E618" s="8">
        <f>E617+F618</f>
        <v>88486</v>
      </c>
      <c r="F618" s="8">
        <f>IF($D618="CR01",$C618,0)</f>
        <v>-300</v>
      </c>
      <c r="G618" s="8">
        <f>G617+H618</f>
        <v>0</v>
      </c>
      <c r="H618" s="8">
        <f>IF($D618="VISA",$C618,0)</f>
        <v>0</v>
      </c>
      <c r="I618" s="8">
        <f>I617+J618</f>
        <v>0</v>
      </c>
      <c r="J618" s="8">
        <f>IF($D618="ACC",$C618,0)</f>
        <v>0</v>
      </c>
      <c r="K618" s="8">
        <f>K617+L618</f>
        <v>0</v>
      </c>
      <c r="L618" s="8">
        <f>IF($D618="CBB",$C618,0)</f>
        <v>0</v>
      </c>
    </row>
    <row r="619" spans="1:12" x14ac:dyDescent="0.25">
      <c r="A619" s="6">
        <v>41796</v>
      </c>
      <c r="B619" t="s">
        <v>43</v>
      </c>
      <c r="C619" s="7">
        <v>3226</v>
      </c>
      <c r="D619" t="s">
        <v>6</v>
      </c>
      <c r="E619" s="8">
        <f>E618+F619</f>
        <v>91712</v>
      </c>
      <c r="F619" s="8">
        <f>IF($D619="CR01",$C619,0)</f>
        <v>3226</v>
      </c>
      <c r="G619" s="8">
        <f>G618+H619</f>
        <v>0</v>
      </c>
      <c r="H619" s="8">
        <f>IF($D619="VISA",$C619,0)</f>
        <v>0</v>
      </c>
      <c r="I619" s="8">
        <f>I618+J619</f>
        <v>0</v>
      </c>
      <c r="J619" s="8">
        <f>IF($D619="ACC",$C619,0)</f>
        <v>0</v>
      </c>
      <c r="K619" s="8">
        <f>K618+L619</f>
        <v>0</v>
      </c>
      <c r="L619" s="8">
        <f>IF($D619="CBB",$C619,0)</f>
        <v>0</v>
      </c>
    </row>
    <row r="620" spans="1:12" x14ac:dyDescent="0.25">
      <c r="A620" s="6">
        <v>41800</v>
      </c>
      <c r="B620" t="s">
        <v>48</v>
      </c>
      <c r="C620" s="7">
        <v>-100</v>
      </c>
      <c r="D620" t="s">
        <v>6</v>
      </c>
      <c r="E620" s="8">
        <f>E619+F620</f>
        <v>91612</v>
      </c>
      <c r="F620" s="8">
        <f>IF($D620="CR01",$C620,0)</f>
        <v>-100</v>
      </c>
      <c r="G620" s="8">
        <f>G619+H620</f>
        <v>0</v>
      </c>
      <c r="H620" s="8">
        <f>IF($D620="VISA",$C620,0)</f>
        <v>0</v>
      </c>
      <c r="I620" s="8">
        <f>I619+J620</f>
        <v>0</v>
      </c>
      <c r="J620" s="8">
        <f>IF($D620="ACC",$C620,0)</f>
        <v>0</v>
      </c>
      <c r="K620" s="8">
        <f>K619+L620</f>
        <v>0</v>
      </c>
      <c r="L620" s="8">
        <f>IF($D620="CBB",$C620,0)</f>
        <v>0</v>
      </c>
    </row>
    <row r="621" spans="1:12" x14ac:dyDescent="0.25">
      <c r="A621" s="6">
        <v>41801</v>
      </c>
      <c r="B621" t="s">
        <v>47</v>
      </c>
      <c r="C621" s="7">
        <v>-120</v>
      </c>
      <c r="D621" t="s">
        <v>6</v>
      </c>
      <c r="E621" s="8">
        <f>E620+F621</f>
        <v>91492</v>
      </c>
      <c r="F621" s="8">
        <f>IF($D621="CR01",$C621,0)</f>
        <v>-120</v>
      </c>
      <c r="G621" s="8">
        <f>G620+H621</f>
        <v>0</v>
      </c>
      <c r="H621" s="8">
        <f>IF($D621="VISA",$C621,0)</f>
        <v>0</v>
      </c>
      <c r="I621" s="8">
        <f>I620+J621</f>
        <v>0</v>
      </c>
      <c r="J621" s="8">
        <f>IF($D621="ACC",$C621,0)</f>
        <v>0</v>
      </c>
      <c r="K621" s="8">
        <f>K620+L621</f>
        <v>0</v>
      </c>
      <c r="L621" s="8">
        <f>IF($D621="CBB",$C621,0)</f>
        <v>0</v>
      </c>
    </row>
    <row r="622" spans="1:12" x14ac:dyDescent="0.25">
      <c r="A622" s="6">
        <v>41802</v>
      </c>
      <c r="B622" t="s">
        <v>44</v>
      </c>
      <c r="C622" s="7">
        <v>-400</v>
      </c>
      <c r="D622" t="s">
        <v>6</v>
      </c>
      <c r="E622" s="8">
        <f>E621+F622</f>
        <v>91092</v>
      </c>
      <c r="F622" s="8">
        <f>IF($D622="CR01",$C622,0)</f>
        <v>-400</v>
      </c>
      <c r="G622" s="8">
        <f>G621+H622</f>
        <v>0</v>
      </c>
      <c r="H622" s="8">
        <f>IF($D622="VISA",$C622,0)</f>
        <v>0</v>
      </c>
      <c r="I622" s="8">
        <f>I621+J622</f>
        <v>0</v>
      </c>
      <c r="J622" s="8">
        <f>IF($D622="ACC",$C622,0)</f>
        <v>0</v>
      </c>
      <c r="K622" s="8">
        <f>K621+L622</f>
        <v>0</v>
      </c>
      <c r="L622" s="8">
        <f>IF($D622="CBB",$C622,0)</f>
        <v>0</v>
      </c>
    </row>
    <row r="623" spans="1:12" x14ac:dyDescent="0.25">
      <c r="A623" s="6">
        <v>41802</v>
      </c>
      <c r="B623" t="s">
        <v>45</v>
      </c>
      <c r="C623" s="7">
        <v>-180</v>
      </c>
      <c r="D623" t="s">
        <v>6</v>
      </c>
      <c r="E623" s="8">
        <f>E622+F623</f>
        <v>90912</v>
      </c>
      <c r="F623" s="8">
        <f>IF($D623="CR01",$C623,0)</f>
        <v>-180</v>
      </c>
      <c r="G623" s="8">
        <f>G622+H623</f>
        <v>0</v>
      </c>
      <c r="H623" s="8">
        <f>IF($D623="VISA",$C623,0)</f>
        <v>0</v>
      </c>
      <c r="I623" s="8">
        <f>I622+J623</f>
        <v>0</v>
      </c>
      <c r="J623" s="8">
        <f>IF($D623="ACC",$C623,0)</f>
        <v>0</v>
      </c>
      <c r="K623" s="8">
        <f>K622+L623</f>
        <v>0</v>
      </c>
      <c r="L623" s="8">
        <f>IF($D623="CBB",$C623,0)</f>
        <v>0</v>
      </c>
    </row>
    <row r="624" spans="1:12" x14ac:dyDescent="0.25">
      <c r="A624" s="6">
        <v>41802</v>
      </c>
      <c r="B624" t="s">
        <v>46</v>
      </c>
      <c r="C624" s="7">
        <v>-300</v>
      </c>
      <c r="D624" t="s">
        <v>6</v>
      </c>
      <c r="E624" s="8">
        <f>E623+F624</f>
        <v>90612</v>
      </c>
      <c r="F624" s="8">
        <f>IF($D624="CR01",$C624,0)</f>
        <v>-300</v>
      </c>
      <c r="G624" s="8">
        <f>G623+H624</f>
        <v>0</v>
      </c>
      <c r="H624" s="8">
        <f>IF($D624="VISA",$C624,0)</f>
        <v>0</v>
      </c>
      <c r="I624" s="8">
        <f>I623+J624</f>
        <v>0</v>
      </c>
      <c r="J624" s="8">
        <f>IF($D624="ACC",$C624,0)</f>
        <v>0</v>
      </c>
      <c r="K624" s="8">
        <f>K623+L624</f>
        <v>0</v>
      </c>
      <c r="L624" s="8">
        <f>IF($D624="CBB",$C624,0)</f>
        <v>0</v>
      </c>
    </row>
    <row r="625" spans="1:12" x14ac:dyDescent="0.25">
      <c r="A625" s="6">
        <v>41804</v>
      </c>
      <c r="B625" t="s">
        <v>67</v>
      </c>
      <c r="C625" s="7">
        <v>5200</v>
      </c>
      <c r="D625" t="s">
        <v>6</v>
      </c>
      <c r="E625" s="8">
        <f>E624+F625</f>
        <v>95812</v>
      </c>
      <c r="F625" s="8">
        <f>IF($D625="CR01",$C625,0)</f>
        <v>5200</v>
      </c>
      <c r="G625" s="8">
        <f>G624+H625</f>
        <v>0</v>
      </c>
      <c r="H625" s="8">
        <f>IF($D625="VISA",$C625,0)</f>
        <v>0</v>
      </c>
      <c r="I625" s="8">
        <f>I624+J625</f>
        <v>0</v>
      </c>
      <c r="J625" s="8">
        <f>IF($D625="ACC",$C625,0)</f>
        <v>0</v>
      </c>
      <c r="K625" s="8">
        <f>K624+L625</f>
        <v>0</v>
      </c>
      <c r="L625" s="8">
        <f>IF($D625="CBB",$C625,0)</f>
        <v>0</v>
      </c>
    </row>
    <row r="626" spans="1:12" x14ac:dyDescent="0.25">
      <c r="A626" s="6">
        <v>41807</v>
      </c>
      <c r="B626" t="s">
        <v>42</v>
      </c>
      <c r="C626" s="7">
        <v>-2806</v>
      </c>
      <c r="D626" t="s">
        <v>6</v>
      </c>
      <c r="E626" s="8">
        <f>E625+F626</f>
        <v>93006</v>
      </c>
      <c r="F626" s="8">
        <f>IF($D626="CR01",$C626,0)</f>
        <v>-2806</v>
      </c>
      <c r="G626" s="8">
        <f>G625+H626</f>
        <v>0</v>
      </c>
      <c r="H626" s="8">
        <f>IF($D626="VISA",$C626,0)</f>
        <v>0</v>
      </c>
      <c r="I626" s="8">
        <f>I625+J626</f>
        <v>0</v>
      </c>
      <c r="J626" s="8">
        <f>IF($D626="ACC",$C626,0)</f>
        <v>0</v>
      </c>
      <c r="K626" s="8">
        <f>K625+L626</f>
        <v>0</v>
      </c>
      <c r="L626" s="8">
        <f>IF($D626="CBB",$C626,0)</f>
        <v>0</v>
      </c>
    </row>
    <row r="627" spans="1:12" x14ac:dyDescent="0.25">
      <c r="A627" s="6">
        <v>41807</v>
      </c>
      <c r="B627" t="s">
        <v>48</v>
      </c>
      <c r="C627" s="7">
        <v>-100</v>
      </c>
      <c r="D627" t="s">
        <v>6</v>
      </c>
      <c r="E627" s="8">
        <f>E626+F627</f>
        <v>92906</v>
      </c>
      <c r="F627" s="8">
        <f>IF($D627="CR01",$C627,0)</f>
        <v>-100</v>
      </c>
      <c r="G627" s="8">
        <f>G626+H627</f>
        <v>0</v>
      </c>
      <c r="H627" s="8">
        <f>IF($D627="VISA",$C627,0)</f>
        <v>0</v>
      </c>
      <c r="I627" s="8">
        <f>I626+J627</f>
        <v>0</v>
      </c>
      <c r="J627" s="8">
        <f>IF($D627="ACC",$C627,0)</f>
        <v>0</v>
      </c>
      <c r="K627" s="8">
        <f>K626+L627</f>
        <v>0</v>
      </c>
      <c r="L627" s="8">
        <f>IF($D627="CBB",$C627,0)</f>
        <v>0</v>
      </c>
    </row>
    <row r="628" spans="1:12" x14ac:dyDescent="0.25">
      <c r="A628" s="6">
        <v>41808</v>
      </c>
      <c r="B628" t="s">
        <v>47</v>
      </c>
      <c r="C628" s="7">
        <v>-120</v>
      </c>
      <c r="D628" t="s">
        <v>6</v>
      </c>
      <c r="E628" s="8">
        <f>E627+F628</f>
        <v>92786</v>
      </c>
      <c r="F628" s="8">
        <f>IF($D628="CR01",$C628,0)</f>
        <v>-120</v>
      </c>
      <c r="G628" s="8">
        <f>G627+H628</f>
        <v>0</v>
      </c>
      <c r="H628" s="8">
        <f>IF($D628="VISA",$C628,0)</f>
        <v>0</v>
      </c>
      <c r="I628" s="8">
        <f>I627+J628</f>
        <v>0</v>
      </c>
      <c r="J628" s="8">
        <f>IF($D628="ACC",$C628,0)</f>
        <v>0</v>
      </c>
      <c r="K628" s="8">
        <f>K627+L628</f>
        <v>0</v>
      </c>
      <c r="L628" s="8">
        <f>IF($D628="CBB",$C628,0)</f>
        <v>0</v>
      </c>
    </row>
    <row r="629" spans="1:12" x14ac:dyDescent="0.25">
      <c r="A629" s="6">
        <v>41809</v>
      </c>
      <c r="B629" t="s">
        <v>44</v>
      </c>
      <c r="C629" s="7">
        <v>-400</v>
      </c>
      <c r="D629" t="s">
        <v>6</v>
      </c>
      <c r="E629" s="8">
        <f>E628+F629</f>
        <v>92386</v>
      </c>
      <c r="F629" s="8">
        <f>IF($D629="CR01",$C629,0)</f>
        <v>-400</v>
      </c>
      <c r="G629" s="8">
        <f>G628+H629</f>
        <v>0</v>
      </c>
      <c r="H629" s="8">
        <f>IF($D629="VISA",$C629,0)</f>
        <v>0</v>
      </c>
      <c r="I629" s="8">
        <f>I628+J629</f>
        <v>0</v>
      </c>
      <c r="J629" s="8">
        <f>IF($D629="ACC",$C629,0)</f>
        <v>0</v>
      </c>
      <c r="K629" s="8">
        <f>K628+L629</f>
        <v>0</v>
      </c>
      <c r="L629" s="8">
        <f>IF($D629="CBB",$C629,0)</f>
        <v>0</v>
      </c>
    </row>
    <row r="630" spans="1:12" x14ac:dyDescent="0.25">
      <c r="A630" s="6">
        <v>41809</v>
      </c>
      <c r="B630" t="s">
        <v>45</v>
      </c>
      <c r="C630" s="7">
        <v>-180</v>
      </c>
      <c r="D630" t="s">
        <v>6</v>
      </c>
      <c r="E630" s="8">
        <f>E629+F630</f>
        <v>92206</v>
      </c>
      <c r="F630" s="8">
        <f>IF($D630="CR01",$C630,0)</f>
        <v>-180</v>
      </c>
      <c r="G630" s="8">
        <f>G629+H630</f>
        <v>0</v>
      </c>
      <c r="H630" s="8">
        <f>IF($D630="VISA",$C630,0)</f>
        <v>0</v>
      </c>
      <c r="I630" s="8">
        <f>I629+J630</f>
        <v>0</v>
      </c>
      <c r="J630" s="8">
        <f>IF($D630="ACC",$C630,0)</f>
        <v>0</v>
      </c>
      <c r="K630" s="8">
        <f>K629+L630</f>
        <v>0</v>
      </c>
      <c r="L630" s="8">
        <f>IF($D630="CBB",$C630,0)</f>
        <v>0</v>
      </c>
    </row>
    <row r="631" spans="1:12" x14ac:dyDescent="0.25">
      <c r="A631" s="6">
        <v>41809</v>
      </c>
      <c r="B631" t="s">
        <v>46</v>
      </c>
      <c r="C631" s="7">
        <v>-300</v>
      </c>
      <c r="D631" t="s">
        <v>6</v>
      </c>
      <c r="E631" s="8">
        <f>E630+F631</f>
        <v>91906</v>
      </c>
      <c r="F631" s="8">
        <f>IF($D631="CR01",$C631,0)</f>
        <v>-300</v>
      </c>
      <c r="G631" s="8">
        <f>G630+H631</f>
        <v>0</v>
      </c>
      <c r="H631" s="8">
        <f>IF($D631="VISA",$C631,0)</f>
        <v>0</v>
      </c>
      <c r="I631" s="8">
        <f>I630+J631</f>
        <v>0</v>
      </c>
      <c r="J631" s="8">
        <f>IF($D631="ACC",$C631,0)</f>
        <v>0</v>
      </c>
      <c r="K631" s="8">
        <f>K630+L631</f>
        <v>0</v>
      </c>
      <c r="L631" s="8">
        <f>IF($D631="CBB",$C631,0)</f>
        <v>0</v>
      </c>
    </row>
    <row r="632" spans="1:12" x14ac:dyDescent="0.25">
      <c r="A632" s="6">
        <v>41810</v>
      </c>
      <c r="B632" t="s">
        <v>43</v>
      </c>
      <c r="C632" s="7">
        <v>3226</v>
      </c>
      <c r="D632" t="s">
        <v>6</v>
      </c>
      <c r="E632" s="8">
        <f>E631+F632</f>
        <v>95132</v>
      </c>
      <c r="F632" s="8">
        <f>IF($D632="CR01",$C632,0)</f>
        <v>3226</v>
      </c>
      <c r="G632" s="8">
        <f>G631+H632</f>
        <v>0</v>
      </c>
      <c r="H632" s="8">
        <f>IF($D632="VISA",$C632,0)</f>
        <v>0</v>
      </c>
      <c r="I632" s="8">
        <f>I631+J632</f>
        <v>0</v>
      </c>
      <c r="J632" s="8">
        <f>IF($D632="ACC",$C632,0)</f>
        <v>0</v>
      </c>
      <c r="K632" s="8">
        <f>K631+L632</f>
        <v>0</v>
      </c>
      <c r="L632" s="8">
        <f>IF($D632="CBB",$C632,0)</f>
        <v>0</v>
      </c>
    </row>
    <row r="633" spans="1:12" x14ac:dyDescent="0.25">
      <c r="A633" s="6">
        <v>41814</v>
      </c>
      <c r="B633" t="s">
        <v>48</v>
      </c>
      <c r="C633" s="7">
        <v>-100</v>
      </c>
      <c r="D633" t="s">
        <v>6</v>
      </c>
      <c r="E633" s="8">
        <f>E632+F633</f>
        <v>95032</v>
      </c>
      <c r="F633" s="8">
        <f>IF($D633="CR01",$C633,0)</f>
        <v>-100</v>
      </c>
      <c r="G633" s="8">
        <f>G632+H633</f>
        <v>0</v>
      </c>
      <c r="H633" s="8">
        <f>IF($D633="VISA",$C633,0)</f>
        <v>0</v>
      </c>
      <c r="I633" s="8">
        <f>I632+J633</f>
        <v>0</v>
      </c>
      <c r="J633" s="8">
        <f>IF($D633="ACC",$C633,0)</f>
        <v>0</v>
      </c>
      <c r="K633" s="8">
        <f>K632+L633</f>
        <v>0</v>
      </c>
      <c r="L633" s="8">
        <f>IF($D633="CBB",$C633,0)</f>
        <v>0</v>
      </c>
    </row>
    <row r="634" spans="1:12" x14ac:dyDescent="0.25">
      <c r="A634" s="6">
        <v>41815</v>
      </c>
      <c r="B634" t="s">
        <v>47</v>
      </c>
      <c r="C634" s="7">
        <v>-120</v>
      </c>
      <c r="D634" t="s">
        <v>6</v>
      </c>
      <c r="E634" s="8">
        <f>E633+F634</f>
        <v>94912</v>
      </c>
      <c r="F634" s="8">
        <f>IF($D634="CR01",$C634,0)</f>
        <v>-120</v>
      </c>
      <c r="G634" s="8">
        <f>G633+H634</f>
        <v>0</v>
      </c>
      <c r="H634" s="8">
        <f>IF($D634="VISA",$C634,0)</f>
        <v>0</v>
      </c>
      <c r="I634" s="8">
        <f>I633+J634</f>
        <v>0</v>
      </c>
      <c r="J634" s="8">
        <f>IF($D634="ACC",$C634,0)</f>
        <v>0</v>
      </c>
      <c r="K634" s="8">
        <f>K633+L634</f>
        <v>0</v>
      </c>
      <c r="L634" s="8">
        <f>IF($D634="CBB",$C634,0)</f>
        <v>0</v>
      </c>
    </row>
    <row r="635" spans="1:12" x14ac:dyDescent="0.25">
      <c r="A635" s="6">
        <v>41816</v>
      </c>
      <c r="B635" t="s">
        <v>44</v>
      </c>
      <c r="C635" s="7">
        <v>-400</v>
      </c>
      <c r="D635" t="s">
        <v>6</v>
      </c>
      <c r="E635" s="8">
        <f>E634+F635</f>
        <v>94512</v>
      </c>
      <c r="F635" s="8">
        <f>IF($D635="CR01",$C635,0)</f>
        <v>-400</v>
      </c>
      <c r="G635" s="8">
        <f>G634+H635</f>
        <v>0</v>
      </c>
      <c r="H635" s="8">
        <f>IF($D635="VISA",$C635,0)</f>
        <v>0</v>
      </c>
      <c r="I635" s="8">
        <f>I634+J635</f>
        <v>0</v>
      </c>
      <c r="J635" s="8">
        <f>IF($D635="ACC",$C635,0)</f>
        <v>0</v>
      </c>
      <c r="K635" s="8">
        <f>K634+L635</f>
        <v>0</v>
      </c>
      <c r="L635" s="8">
        <f>IF($D635="CBB",$C635,0)</f>
        <v>0</v>
      </c>
    </row>
    <row r="636" spans="1:12" x14ac:dyDescent="0.25">
      <c r="A636" s="6">
        <v>41816</v>
      </c>
      <c r="B636" t="s">
        <v>45</v>
      </c>
      <c r="C636" s="7">
        <v>-180</v>
      </c>
      <c r="D636" t="s">
        <v>6</v>
      </c>
      <c r="E636" s="8">
        <f>E635+F636</f>
        <v>94332</v>
      </c>
      <c r="F636" s="8">
        <f>IF($D636="CR01",$C636,0)</f>
        <v>-180</v>
      </c>
      <c r="G636" s="8">
        <f>G635+H636</f>
        <v>0</v>
      </c>
      <c r="H636" s="8">
        <f>IF($D636="VISA",$C636,0)</f>
        <v>0</v>
      </c>
      <c r="I636" s="8">
        <f>I635+J636</f>
        <v>0</v>
      </c>
      <c r="J636" s="8">
        <f>IF($D636="ACC",$C636,0)</f>
        <v>0</v>
      </c>
      <c r="K636" s="8">
        <f>K635+L636</f>
        <v>0</v>
      </c>
      <c r="L636" s="8">
        <f>IF($D636="CBB",$C636,0)</f>
        <v>0</v>
      </c>
    </row>
    <row r="637" spans="1:12" x14ac:dyDescent="0.25">
      <c r="A637" s="6">
        <v>41816</v>
      </c>
      <c r="B637" t="s">
        <v>46</v>
      </c>
      <c r="C637" s="7">
        <v>-300</v>
      </c>
      <c r="D637" t="s">
        <v>6</v>
      </c>
      <c r="E637" s="8">
        <f>E636+F637</f>
        <v>94032</v>
      </c>
      <c r="F637" s="8">
        <f>IF($D637="CR01",$C637,0)</f>
        <v>-300</v>
      </c>
      <c r="G637" s="8">
        <f>G636+H637</f>
        <v>0</v>
      </c>
      <c r="H637" s="8">
        <f>IF($D637="VISA",$C637,0)</f>
        <v>0</v>
      </c>
      <c r="I637" s="8">
        <f>I636+J637</f>
        <v>0</v>
      </c>
      <c r="J637" s="8">
        <f>IF($D637="ACC",$C637,0)</f>
        <v>0</v>
      </c>
      <c r="K637" s="8">
        <f>K636+L637</f>
        <v>0</v>
      </c>
      <c r="L637" s="8">
        <f>IF($D637="CBB",$C637,0)</f>
        <v>0</v>
      </c>
    </row>
    <row r="638" spans="1:12" x14ac:dyDescent="0.25">
      <c r="A638" s="6">
        <v>41818</v>
      </c>
      <c r="B638" t="s">
        <v>67</v>
      </c>
      <c r="C638" s="7">
        <v>5200</v>
      </c>
      <c r="D638" t="s">
        <v>6</v>
      </c>
      <c r="E638" s="8">
        <f>E637+F638</f>
        <v>99232</v>
      </c>
      <c r="F638" s="8">
        <f>IF($D638="CR01",$C638,0)</f>
        <v>5200</v>
      </c>
      <c r="G638" s="8">
        <f>G637+H638</f>
        <v>0</v>
      </c>
      <c r="H638" s="8">
        <f>IF($D638="VISA",$C638,0)</f>
        <v>0</v>
      </c>
      <c r="I638" s="8">
        <f>I637+J638</f>
        <v>0</v>
      </c>
      <c r="J638" s="8">
        <f>IF($D638="ACC",$C638,0)</f>
        <v>0</v>
      </c>
      <c r="K638" s="8">
        <f>K637+L638</f>
        <v>0</v>
      </c>
      <c r="L638" s="8">
        <f>IF($D638="CBB",$C638,0)</f>
        <v>0</v>
      </c>
    </row>
    <row r="639" spans="1:12" x14ac:dyDescent="0.25">
      <c r="A639" s="6">
        <v>41821</v>
      </c>
      <c r="B639" t="s">
        <v>42</v>
      </c>
      <c r="C639" s="7">
        <v>-2806</v>
      </c>
      <c r="D639" t="s">
        <v>6</v>
      </c>
      <c r="E639" s="8">
        <f>E638+F639</f>
        <v>96426</v>
      </c>
      <c r="F639" s="8">
        <f>IF($D639="CR01",$C639,0)</f>
        <v>-2806</v>
      </c>
      <c r="G639" s="8">
        <f>G638+H639</f>
        <v>0</v>
      </c>
      <c r="H639" s="8">
        <f>IF($D639="VISA",$C639,0)</f>
        <v>0</v>
      </c>
      <c r="I639" s="8">
        <f>I638+J639</f>
        <v>0</v>
      </c>
      <c r="J639" s="8">
        <f>IF($D639="ACC",$C639,0)</f>
        <v>0</v>
      </c>
      <c r="K639" s="8">
        <f>K638+L639</f>
        <v>0</v>
      </c>
      <c r="L639" s="8">
        <f>IF($D639="CBB",$C639,0)</f>
        <v>0</v>
      </c>
    </row>
    <row r="640" spans="1:12" x14ac:dyDescent="0.25">
      <c r="A640" s="6">
        <v>41821</v>
      </c>
      <c r="B640" t="s">
        <v>48</v>
      </c>
      <c r="C640" s="7">
        <v>-100</v>
      </c>
      <c r="D640" t="s">
        <v>6</v>
      </c>
      <c r="E640" s="8">
        <f>E639+F640</f>
        <v>96326</v>
      </c>
      <c r="F640" s="8">
        <f>IF($D640="CR01",$C640,0)</f>
        <v>-100</v>
      </c>
      <c r="G640" s="8">
        <f>G639+H640</f>
        <v>0</v>
      </c>
      <c r="H640" s="8">
        <f>IF($D640="VISA",$C640,0)</f>
        <v>0</v>
      </c>
      <c r="I640" s="8">
        <f>I639+J640</f>
        <v>0</v>
      </c>
      <c r="J640" s="8">
        <f>IF($D640="ACC",$C640,0)</f>
        <v>0</v>
      </c>
      <c r="K640" s="8">
        <f>K639+L640</f>
        <v>0</v>
      </c>
      <c r="L640" s="8">
        <f>IF($D640="CBB",$C640,0)</f>
        <v>0</v>
      </c>
    </row>
    <row r="641" spans="1:12" x14ac:dyDescent="0.25">
      <c r="A641" s="6">
        <v>41821</v>
      </c>
      <c r="B641" t="s">
        <v>58</v>
      </c>
      <c r="C641" s="7">
        <v>-200</v>
      </c>
      <c r="D641" t="s">
        <v>6</v>
      </c>
      <c r="E641" s="8">
        <f>E640+F641</f>
        <v>96126</v>
      </c>
      <c r="F641" s="8">
        <f>IF($D641="CR01",$C641,0)</f>
        <v>-200</v>
      </c>
      <c r="G641" s="8">
        <f>G640+H641</f>
        <v>0</v>
      </c>
      <c r="H641" s="8">
        <f>IF($D641="VISA",$C641,0)</f>
        <v>0</v>
      </c>
      <c r="I641" s="8">
        <f>I640+J641</f>
        <v>0</v>
      </c>
      <c r="J641" s="8">
        <f>IF($D641="ACC",$C641,0)</f>
        <v>0</v>
      </c>
      <c r="K641" s="8">
        <f>K640+L641</f>
        <v>0</v>
      </c>
      <c r="L641" s="8">
        <f>IF($D641="CBB",$C641,0)</f>
        <v>0</v>
      </c>
    </row>
    <row r="642" spans="1:12" x14ac:dyDescent="0.25">
      <c r="A642" s="6">
        <v>41821</v>
      </c>
      <c r="B642" t="s">
        <v>60</v>
      </c>
      <c r="C642" s="7">
        <v>-400</v>
      </c>
      <c r="D642" t="s">
        <v>6</v>
      </c>
      <c r="E642" s="8">
        <f>E641+F642</f>
        <v>95726</v>
      </c>
      <c r="F642" s="8">
        <f>IF($D642="CR01",$C642,0)</f>
        <v>-400</v>
      </c>
      <c r="G642" s="8">
        <f>G641+H642</f>
        <v>0</v>
      </c>
      <c r="H642" s="8">
        <f>IF($D642="VISA",$C642,0)</f>
        <v>0</v>
      </c>
      <c r="I642" s="8">
        <f>I641+J642</f>
        <v>0</v>
      </c>
      <c r="J642" s="8">
        <f>IF($D642="ACC",$C642,0)</f>
        <v>0</v>
      </c>
      <c r="K642" s="8">
        <f>K641+L642</f>
        <v>0</v>
      </c>
      <c r="L642" s="8">
        <f>IF($D642="CBB",$C642,0)</f>
        <v>0</v>
      </c>
    </row>
    <row r="643" spans="1:12" x14ac:dyDescent="0.25">
      <c r="A643" s="6">
        <v>41821</v>
      </c>
      <c r="B643" t="s">
        <v>61</v>
      </c>
      <c r="C643" s="7">
        <v>-300</v>
      </c>
      <c r="D643" t="s">
        <v>6</v>
      </c>
      <c r="E643" s="8">
        <f>E642+F643</f>
        <v>95426</v>
      </c>
      <c r="F643" s="8">
        <f>IF($D643="CR01",$C643,0)</f>
        <v>-300</v>
      </c>
      <c r="G643" s="8">
        <f>G642+H643</f>
        <v>0</v>
      </c>
      <c r="H643" s="8">
        <f>IF($D643="VISA",$C643,0)</f>
        <v>0</v>
      </c>
      <c r="I643" s="8">
        <f>I642+J643</f>
        <v>0</v>
      </c>
      <c r="J643" s="8">
        <f>IF($D643="ACC",$C643,0)</f>
        <v>0</v>
      </c>
      <c r="K643" s="8">
        <f>K642+L643</f>
        <v>0</v>
      </c>
      <c r="L643" s="8">
        <f>IF($D643="CBB",$C643,0)</f>
        <v>0</v>
      </c>
    </row>
    <row r="644" spans="1:12" x14ac:dyDescent="0.25">
      <c r="A644" s="6">
        <v>41821</v>
      </c>
      <c r="B644" t="s">
        <v>64</v>
      </c>
      <c r="C644" s="7">
        <v>-26</v>
      </c>
      <c r="D644" t="s">
        <v>6</v>
      </c>
      <c r="E644" s="8">
        <f>E643+F644</f>
        <v>95400</v>
      </c>
      <c r="F644" s="8">
        <f>IF($D644="CR01",$C644,0)</f>
        <v>-26</v>
      </c>
      <c r="G644" s="8">
        <f>G643+H644</f>
        <v>0</v>
      </c>
      <c r="H644" s="8">
        <f>IF($D644="VISA",$C644,0)</f>
        <v>0</v>
      </c>
      <c r="I644" s="8">
        <f>I643+J644</f>
        <v>0</v>
      </c>
      <c r="J644" s="8">
        <f>IF($D644="ACC",$C644,0)</f>
        <v>0</v>
      </c>
      <c r="K644" s="8">
        <f>K643+L644</f>
        <v>0</v>
      </c>
      <c r="L644" s="8">
        <f>IF($D644="CBB",$C644,0)</f>
        <v>0</v>
      </c>
    </row>
    <row r="645" spans="1:12" x14ac:dyDescent="0.25">
      <c r="A645" s="6">
        <v>41821</v>
      </c>
      <c r="B645" t="s">
        <v>65</v>
      </c>
      <c r="C645" s="7">
        <v>-240</v>
      </c>
      <c r="D645" t="s">
        <v>6</v>
      </c>
      <c r="E645" s="8">
        <f>E644+F645</f>
        <v>95160</v>
      </c>
      <c r="F645" s="8">
        <f>IF($D645="CR01",$C645,0)</f>
        <v>-240</v>
      </c>
      <c r="G645" s="8">
        <f>G644+H645</f>
        <v>0</v>
      </c>
      <c r="H645" s="8">
        <f>IF($D645="VISA",$C645,0)</f>
        <v>0</v>
      </c>
      <c r="I645" s="8">
        <f>I644+J645</f>
        <v>0</v>
      </c>
      <c r="J645" s="8">
        <f>IF($D645="ACC",$C645,0)</f>
        <v>0</v>
      </c>
      <c r="K645" s="8">
        <f>K644+L645</f>
        <v>0</v>
      </c>
      <c r="L645" s="8">
        <f>IF($D645="CBB",$C645,0)</f>
        <v>0</v>
      </c>
    </row>
    <row r="646" spans="1:12" x14ac:dyDescent="0.25">
      <c r="A646" s="6">
        <v>41821</v>
      </c>
      <c r="B646" t="s">
        <v>66</v>
      </c>
      <c r="C646" s="7">
        <v>-120</v>
      </c>
      <c r="D646" t="s">
        <v>6</v>
      </c>
      <c r="E646" s="8">
        <f>E645+F646</f>
        <v>95040</v>
      </c>
      <c r="F646" s="8">
        <f>IF($D646="CR01",$C646,0)</f>
        <v>-120</v>
      </c>
      <c r="G646" s="8">
        <f>G645+H646</f>
        <v>0</v>
      </c>
      <c r="H646" s="8">
        <f>IF($D646="VISA",$C646,0)</f>
        <v>0</v>
      </c>
      <c r="I646" s="8">
        <f>I645+J646</f>
        <v>0</v>
      </c>
      <c r="J646" s="8">
        <f>IF($D646="ACC",$C646,0)</f>
        <v>0</v>
      </c>
      <c r="K646" s="8">
        <f>K645+L646</f>
        <v>0</v>
      </c>
      <c r="L646" s="8">
        <f>IF($D646="CBB",$C646,0)</f>
        <v>0</v>
      </c>
    </row>
    <row r="647" spans="1:12" x14ac:dyDescent="0.25">
      <c r="A647" s="6">
        <v>41822</v>
      </c>
      <c r="B647" t="s">
        <v>47</v>
      </c>
      <c r="C647" s="7">
        <v>-120</v>
      </c>
      <c r="D647" t="s">
        <v>6</v>
      </c>
      <c r="E647" s="8">
        <f>E646+F647</f>
        <v>94920</v>
      </c>
      <c r="F647" s="8">
        <f>IF($D647="CR01",$C647,0)</f>
        <v>-120</v>
      </c>
      <c r="G647" s="8">
        <f>G646+H647</f>
        <v>0</v>
      </c>
      <c r="H647" s="8">
        <f>IF($D647="VISA",$C647,0)</f>
        <v>0</v>
      </c>
      <c r="I647" s="8">
        <f>I646+J647</f>
        <v>0</v>
      </c>
      <c r="J647" s="8">
        <f>IF($D647="ACC",$C647,0)</f>
        <v>0</v>
      </c>
      <c r="K647" s="8">
        <f>K646+L647</f>
        <v>0</v>
      </c>
      <c r="L647" s="8">
        <f>IF($D647="CBB",$C647,0)</f>
        <v>0</v>
      </c>
    </row>
    <row r="648" spans="1:12" x14ac:dyDescent="0.25">
      <c r="A648" s="6">
        <v>41822</v>
      </c>
      <c r="B648" t="s">
        <v>59</v>
      </c>
      <c r="C648" s="7">
        <v>-900</v>
      </c>
      <c r="D648" t="s">
        <v>6</v>
      </c>
      <c r="E648" s="8">
        <f>E647+F648</f>
        <v>94020</v>
      </c>
      <c r="F648" s="8">
        <f>IF($D648="CR01",$C648,0)</f>
        <v>-900</v>
      </c>
      <c r="G648" s="8">
        <f>G647+H648</f>
        <v>0</v>
      </c>
      <c r="H648" s="8">
        <f>IF($D648="VISA",$C648,0)</f>
        <v>0</v>
      </c>
      <c r="I648" s="8">
        <f>I647+J648</f>
        <v>0</v>
      </c>
      <c r="J648" s="8">
        <f>IF($D648="ACC",$C648,0)</f>
        <v>0</v>
      </c>
      <c r="K648" s="8">
        <f>K647+L648</f>
        <v>0</v>
      </c>
      <c r="L648" s="8">
        <f>IF($D648="CBB",$C648,0)</f>
        <v>0</v>
      </c>
    </row>
    <row r="649" spans="1:12" x14ac:dyDescent="0.25">
      <c r="A649" s="6">
        <v>41823</v>
      </c>
      <c r="B649" t="s">
        <v>44</v>
      </c>
      <c r="C649" s="7">
        <v>-400</v>
      </c>
      <c r="D649" t="s">
        <v>6</v>
      </c>
      <c r="E649" s="8">
        <f>E648+F649</f>
        <v>93620</v>
      </c>
      <c r="F649" s="8">
        <f>IF($D649="CR01",$C649,0)</f>
        <v>-400</v>
      </c>
      <c r="G649" s="8">
        <f>G648+H649</f>
        <v>0</v>
      </c>
      <c r="H649" s="8">
        <f>IF($D649="VISA",$C649,0)</f>
        <v>0</v>
      </c>
      <c r="I649" s="8">
        <f>I648+J649</f>
        <v>0</v>
      </c>
      <c r="J649" s="8">
        <f>IF($D649="ACC",$C649,0)</f>
        <v>0</v>
      </c>
      <c r="K649" s="8">
        <f>K648+L649</f>
        <v>0</v>
      </c>
      <c r="L649" s="8">
        <f>IF($D649="CBB",$C649,0)</f>
        <v>0</v>
      </c>
    </row>
    <row r="650" spans="1:12" x14ac:dyDescent="0.25">
      <c r="A650" s="6">
        <v>41823</v>
      </c>
      <c r="B650" t="s">
        <v>45</v>
      </c>
      <c r="C650" s="7">
        <v>-180</v>
      </c>
      <c r="D650" t="s">
        <v>6</v>
      </c>
      <c r="E650" s="8">
        <f>E649+F650</f>
        <v>93440</v>
      </c>
      <c r="F650" s="8">
        <f>IF($D650="CR01",$C650,0)</f>
        <v>-180</v>
      </c>
      <c r="G650" s="8">
        <f>G649+H650</f>
        <v>0</v>
      </c>
      <c r="H650" s="8">
        <f>IF($D650="VISA",$C650,0)</f>
        <v>0</v>
      </c>
      <c r="I650" s="8">
        <f>I649+J650</f>
        <v>0</v>
      </c>
      <c r="J650" s="8">
        <f>IF($D650="ACC",$C650,0)</f>
        <v>0</v>
      </c>
      <c r="K650" s="8">
        <f>K649+L650</f>
        <v>0</v>
      </c>
      <c r="L650" s="8">
        <f>IF($D650="CBB",$C650,0)</f>
        <v>0</v>
      </c>
    </row>
    <row r="651" spans="1:12" x14ac:dyDescent="0.25">
      <c r="A651" s="6">
        <v>41823</v>
      </c>
      <c r="B651" t="s">
        <v>46</v>
      </c>
      <c r="C651" s="7">
        <v>-300</v>
      </c>
      <c r="D651" t="s">
        <v>6</v>
      </c>
      <c r="E651" s="8">
        <f>E650+F651</f>
        <v>93140</v>
      </c>
      <c r="F651" s="8">
        <f>IF($D651="CR01",$C651,0)</f>
        <v>-300</v>
      </c>
      <c r="G651" s="8">
        <f>G650+H651</f>
        <v>0</v>
      </c>
      <c r="H651" s="8">
        <f>IF($D651="VISA",$C651,0)</f>
        <v>0</v>
      </c>
      <c r="I651" s="8">
        <f>I650+J651</f>
        <v>0</v>
      </c>
      <c r="J651" s="8">
        <f>IF($D651="ACC",$C651,0)</f>
        <v>0</v>
      </c>
      <c r="K651" s="8">
        <f>K650+L651</f>
        <v>0</v>
      </c>
      <c r="L651" s="8">
        <f>IF($D651="CBB",$C651,0)</f>
        <v>0</v>
      </c>
    </row>
    <row r="652" spans="1:12" x14ac:dyDescent="0.25">
      <c r="A652" s="6">
        <v>41824</v>
      </c>
      <c r="B652" t="s">
        <v>43</v>
      </c>
      <c r="C652" s="7">
        <v>3226</v>
      </c>
      <c r="D652" t="s">
        <v>6</v>
      </c>
      <c r="E652" s="8">
        <f>E651+F652</f>
        <v>96366</v>
      </c>
      <c r="F652" s="8">
        <f>IF($D652="CR01",$C652,0)</f>
        <v>3226</v>
      </c>
      <c r="G652" s="8">
        <f>G651+H652</f>
        <v>0</v>
      </c>
      <c r="H652" s="8">
        <f>IF($D652="VISA",$C652,0)</f>
        <v>0</v>
      </c>
      <c r="I652" s="8">
        <f>I651+J652</f>
        <v>0</v>
      </c>
      <c r="J652" s="8">
        <f>IF($D652="ACC",$C652,0)</f>
        <v>0</v>
      </c>
      <c r="K652" s="8">
        <f>K651+L652</f>
        <v>0</v>
      </c>
      <c r="L652" s="8">
        <f>IF($D652="CBB",$C652,0)</f>
        <v>0</v>
      </c>
    </row>
    <row r="653" spans="1:12" x14ac:dyDescent="0.25">
      <c r="A653" s="6">
        <v>41828</v>
      </c>
      <c r="B653" t="s">
        <v>48</v>
      </c>
      <c r="C653" s="7">
        <v>-100</v>
      </c>
      <c r="D653" t="s">
        <v>6</v>
      </c>
      <c r="E653" s="8">
        <f>E652+F653</f>
        <v>96266</v>
      </c>
      <c r="F653" s="8">
        <f>IF($D653="CR01",$C653,0)</f>
        <v>-100</v>
      </c>
      <c r="G653" s="8">
        <f>G652+H653</f>
        <v>0</v>
      </c>
      <c r="H653" s="8">
        <f>IF($D653="VISA",$C653,0)</f>
        <v>0</v>
      </c>
      <c r="I653" s="8">
        <f>I652+J653</f>
        <v>0</v>
      </c>
      <c r="J653" s="8">
        <f>IF($D653="ACC",$C653,0)</f>
        <v>0</v>
      </c>
      <c r="K653" s="8">
        <f>K652+L653</f>
        <v>0</v>
      </c>
      <c r="L653" s="8">
        <f>IF($D653="CBB",$C653,0)</f>
        <v>0</v>
      </c>
    </row>
    <row r="654" spans="1:12" x14ac:dyDescent="0.25">
      <c r="A654" s="6">
        <v>41829</v>
      </c>
      <c r="B654" t="s">
        <v>47</v>
      </c>
      <c r="C654" s="7">
        <v>-120</v>
      </c>
      <c r="D654" t="s">
        <v>6</v>
      </c>
      <c r="E654" s="8">
        <f>E653+F654</f>
        <v>96146</v>
      </c>
      <c r="F654" s="8">
        <f>IF($D654="CR01",$C654,0)</f>
        <v>-120</v>
      </c>
      <c r="G654" s="8">
        <f>G653+H654</f>
        <v>0</v>
      </c>
      <c r="H654" s="8">
        <f>IF($D654="VISA",$C654,0)</f>
        <v>0</v>
      </c>
      <c r="I654" s="8">
        <f>I653+J654</f>
        <v>0</v>
      </c>
      <c r="J654" s="8">
        <f>IF($D654="ACC",$C654,0)</f>
        <v>0</v>
      </c>
      <c r="K654" s="8">
        <f>K653+L654</f>
        <v>0</v>
      </c>
      <c r="L654" s="8">
        <f>IF($D654="CBB",$C654,0)</f>
        <v>0</v>
      </c>
    </row>
    <row r="655" spans="1:12" x14ac:dyDescent="0.25">
      <c r="A655" s="6">
        <v>41830</v>
      </c>
      <c r="B655" t="s">
        <v>44</v>
      </c>
      <c r="C655" s="7">
        <v>-400</v>
      </c>
      <c r="D655" t="s">
        <v>6</v>
      </c>
      <c r="E655" s="8">
        <f>E654+F655</f>
        <v>95746</v>
      </c>
      <c r="F655" s="8">
        <f>IF($D655="CR01",$C655,0)</f>
        <v>-400</v>
      </c>
      <c r="G655" s="8">
        <f>G654+H655</f>
        <v>0</v>
      </c>
      <c r="H655" s="8">
        <f>IF($D655="VISA",$C655,0)</f>
        <v>0</v>
      </c>
      <c r="I655" s="8">
        <f>I654+J655</f>
        <v>0</v>
      </c>
      <c r="J655" s="8">
        <f>IF($D655="ACC",$C655,0)</f>
        <v>0</v>
      </c>
      <c r="K655" s="8">
        <f>K654+L655</f>
        <v>0</v>
      </c>
      <c r="L655" s="8">
        <f>IF($D655="CBB",$C655,0)</f>
        <v>0</v>
      </c>
    </row>
    <row r="656" spans="1:12" x14ac:dyDescent="0.25">
      <c r="A656" s="6">
        <v>41830</v>
      </c>
      <c r="B656" t="s">
        <v>45</v>
      </c>
      <c r="C656" s="7">
        <v>-180</v>
      </c>
      <c r="D656" t="s">
        <v>6</v>
      </c>
      <c r="E656" s="8">
        <f>E655+F656</f>
        <v>95566</v>
      </c>
      <c r="F656" s="8">
        <f>IF($D656="CR01",$C656,0)</f>
        <v>-180</v>
      </c>
      <c r="G656" s="8">
        <f>G655+H656</f>
        <v>0</v>
      </c>
      <c r="H656" s="8">
        <f>IF($D656="VISA",$C656,0)</f>
        <v>0</v>
      </c>
      <c r="I656" s="8">
        <f>I655+J656</f>
        <v>0</v>
      </c>
      <c r="J656" s="8">
        <f>IF($D656="ACC",$C656,0)</f>
        <v>0</v>
      </c>
      <c r="K656" s="8">
        <f>K655+L656</f>
        <v>0</v>
      </c>
      <c r="L656" s="8">
        <f>IF($D656="CBB",$C656,0)</f>
        <v>0</v>
      </c>
    </row>
    <row r="657" spans="1:12" x14ac:dyDescent="0.25">
      <c r="A657" s="6">
        <v>41830</v>
      </c>
      <c r="B657" t="s">
        <v>46</v>
      </c>
      <c r="C657" s="7">
        <v>-300</v>
      </c>
      <c r="D657" t="s">
        <v>6</v>
      </c>
      <c r="E657" s="8">
        <f>E656+F657</f>
        <v>95266</v>
      </c>
      <c r="F657" s="8">
        <f>IF($D657="CR01",$C657,0)</f>
        <v>-300</v>
      </c>
      <c r="G657" s="8">
        <f>G656+H657</f>
        <v>0</v>
      </c>
      <c r="H657" s="8">
        <f>IF($D657="VISA",$C657,0)</f>
        <v>0</v>
      </c>
      <c r="I657" s="8">
        <f>I656+J657</f>
        <v>0</v>
      </c>
      <c r="J657" s="8">
        <f>IF($D657="ACC",$C657,0)</f>
        <v>0</v>
      </c>
      <c r="K657" s="8">
        <f>K656+L657</f>
        <v>0</v>
      </c>
      <c r="L657" s="8">
        <f>IF($D657="CBB",$C657,0)</f>
        <v>0</v>
      </c>
    </row>
    <row r="658" spans="1:12" x14ac:dyDescent="0.25">
      <c r="A658" s="6">
        <v>41832</v>
      </c>
      <c r="B658" t="s">
        <v>67</v>
      </c>
      <c r="C658" s="7">
        <v>5200</v>
      </c>
      <c r="D658" t="s">
        <v>6</v>
      </c>
      <c r="E658" s="8">
        <f>E657+F658</f>
        <v>100466</v>
      </c>
      <c r="F658" s="8">
        <f>IF($D658="CR01",$C658,0)</f>
        <v>5200</v>
      </c>
      <c r="G658" s="8">
        <f>G657+H658</f>
        <v>0</v>
      </c>
      <c r="H658" s="8">
        <f>IF($D658="VISA",$C658,0)</f>
        <v>0</v>
      </c>
      <c r="I658" s="8">
        <f>I657+J658</f>
        <v>0</v>
      </c>
      <c r="J658" s="8">
        <f>IF($D658="ACC",$C658,0)</f>
        <v>0</v>
      </c>
      <c r="K658" s="8">
        <f>K657+L658</f>
        <v>0</v>
      </c>
      <c r="L658" s="8">
        <f>IF($D658="CBB",$C658,0)</f>
        <v>0</v>
      </c>
    </row>
    <row r="659" spans="1:12" x14ac:dyDescent="0.25">
      <c r="A659" s="6">
        <v>41835</v>
      </c>
      <c r="B659" t="s">
        <v>42</v>
      </c>
      <c r="C659" s="7">
        <v>-2806</v>
      </c>
      <c r="D659" t="s">
        <v>6</v>
      </c>
      <c r="E659" s="8">
        <f>E658+F659</f>
        <v>97660</v>
      </c>
      <c r="F659" s="8">
        <f>IF($D659="CR01",$C659,0)</f>
        <v>-2806</v>
      </c>
      <c r="G659" s="8">
        <f>G658+H659</f>
        <v>0</v>
      </c>
      <c r="H659" s="8">
        <f>IF($D659="VISA",$C659,0)</f>
        <v>0</v>
      </c>
      <c r="I659" s="8">
        <f>I658+J659</f>
        <v>0</v>
      </c>
      <c r="J659" s="8">
        <f>IF($D659="ACC",$C659,0)</f>
        <v>0</v>
      </c>
      <c r="K659" s="8">
        <f>K658+L659</f>
        <v>0</v>
      </c>
      <c r="L659" s="8">
        <f>IF($D659="CBB",$C659,0)</f>
        <v>0</v>
      </c>
    </row>
    <row r="660" spans="1:12" x14ac:dyDescent="0.25">
      <c r="A660" s="6">
        <v>41835</v>
      </c>
      <c r="B660" t="s">
        <v>48</v>
      </c>
      <c r="C660" s="7">
        <v>-100</v>
      </c>
      <c r="D660" t="s">
        <v>6</v>
      </c>
      <c r="E660" s="8">
        <f>E659+F660</f>
        <v>97560</v>
      </c>
      <c r="F660" s="8">
        <f>IF($D660="CR01",$C660,0)</f>
        <v>-100</v>
      </c>
      <c r="G660" s="8">
        <f>G659+H660</f>
        <v>0</v>
      </c>
      <c r="H660" s="8">
        <f>IF($D660="VISA",$C660,0)</f>
        <v>0</v>
      </c>
      <c r="I660" s="8">
        <f>I659+J660</f>
        <v>0</v>
      </c>
      <c r="J660" s="8">
        <f>IF($D660="ACC",$C660,0)</f>
        <v>0</v>
      </c>
      <c r="K660" s="8">
        <f>K659+L660</f>
        <v>0</v>
      </c>
      <c r="L660" s="8">
        <f>IF($D660="CBB",$C660,0)</f>
        <v>0</v>
      </c>
    </row>
    <row r="661" spans="1:12" x14ac:dyDescent="0.25">
      <c r="A661" s="6">
        <v>41836</v>
      </c>
      <c r="B661" t="s">
        <v>47</v>
      </c>
      <c r="C661" s="7">
        <v>-120</v>
      </c>
      <c r="D661" t="s">
        <v>6</v>
      </c>
      <c r="E661" s="8">
        <f>E660+F661</f>
        <v>97440</v>
      </c>
      <c r="F661" s="8">
        <f>IF($D661="CR01",$C661,0)</f>
        <v>-120</v>
      </c>
      <c r="G661" s="8">
        <f>G660+H661</f>
        <v>0</v>
      </c>
      <c r="H661" s="8">
        <f>IF($D661="VISA",$C661,0)</f>
        <v>0</v>
      </c>
      <c r="I661" s="8">
        <f>I660+J661</f>
        <v>0</v>
      </c>
      <c r="J661" s="8">
        <f>IF($D661="ACC",$C661,0)</f>
        <v>0</v>
      </c>
      <c r="K661" s="8">
        <f>K660+L661</f>
        <v>0</v>
      </c>
      <c r="L661" s="8">
        <f>IF($D661="CBB",$C661,0)</f>
        <v>0</v>
      </c>
    </row>
    <row r="662" spans="1:12" x14ac:dyDescent="0.25">
      <c r="A662" s="6">
        <v>41837</v>
      </c>
      <c r="B662" t="s">
        <v>44</v>
      </c>
      <c r="C662" s="7">
        <v>-400</v>
      </c>
      <c r="D662" t="s">
        <v>6</v>
      </c>
      <c r="E662" s="8">
        <f>E661+F662</f>
        <v>97040</v>
      </c>
      <c r="F662" s="8">
        <f>IF($D662="CR01",$C662,0)</f>
        <v>-400</v>
      </c>
      <c r="G662" s="8">
        <f>G661+H662</f>
        <v>0</v>
      </c>
      <c r="H662" s="8">
        <f>IF($D662="VISA",$C662,0)</f>
        <v>0</v>
      </c>
      <c r="I662" s="8">
        <f>I661+J662</f>
        <v>0</v>
      </c>
      <c r="J662" s="8">
        <f>IF($D662="ACC",$C662,0)</f>
        <v>0</v>
      </c>
      <c r="K662" s="8">
        <f>K661+L662</f>
        <v>0</v>
      </c>
      <c r="L662" s="8">
        <f>IF($D662="CBB",$C662,0)</f>
        <v>0</v>
      </c>
    </row>
    <row r="663" spans="1:12" x14ac:dyDescent="0.25">
      <c r="A663" s="6">
        <v>41837</v>
      </c>
      <c r="B663" t="s">
        <v>45</v>
      </c>
      <c r="C663" s="7">
        <v>-180</v>
      </c>
      <c r="D663" t="s">
        <v>6</v>
      </c>
      <c r="E663" s="8">
        <f>E662+F663</f>
        <v>96860</v>
      </c>
      <c r="F663" s="8">
        <f>IF($D663="CR01",$C663,0)</f>
        <v>-180</v>
      </c>
      <c r="G663" s="8">
        <f>G662+H663</f>
        <v>0</v>
      </c>
      <c r="H663" s="8">
        <f>IF($D663="VISA",$C663,0)</f>
        <v>0</v>
      </c>
      <c r="I663" s="8">
        <f>I662+J663</f>
        <v>0</v>
      </c>
      <c r="J663" s="8">
        <f>IF($D663="ACC",$C663,0)</f>
        <v>0</v>
      </c>
      <c r="K663" s="8">
        <f>K662+L663</f>
        <v>0</v>
      </c>
      <c r="L663" s="8">
        <f>IF($D663="CBB",$C663,0)</f>
        <v>0</v>
      </c>
    </row>
    <row r="664" spans="1:12" x14ac:dyDescent="0.25">
      <c r="A664" s="6">
        <v>41837</v>
      </c>
      <c r="B664" t="s">
        <v>46</v>
      </c>
      <c r="C664" s="7">
        <v>-300</v>
      </c>
      <c r="D664" t="s">
        <v>6</v>
      </c>
      <c r="E664" s="8">
        <f>E663+F664</f>
        <v>96560</v>
      </c>
      <c r="F664" s="8">
        <f>IF($D664="CR01",$C664,0)</f>
        <v>-300</v>
      </c>
      <c r="G664" s="8">
        <f>G663+H664</f>
        <v>0</v>
      </c>
      <c r="H664" s="8">
        <f>IF($D664="VISA",$C664,0)</f>
        <v>0</v>
      </c>
      <c r="I664" s="8">
        <f>I663+J664</f>
        <v>0</v>
      </c>
      <c r="J664" s="8">
        <f>IF($D664="ACC",$C664,0)</f>
        <v>0</v>
      </c>
      <c r="K664" s="8">
        <f>K663+L664</f>
        <v>0</v>
      </c>
      <c r="L664" s="8">
        <f>IF($D664="CBB",$C664,0)</f>
        <v>0</v>
      </c>
    </row>
    <row r="665" spans="1:12" x14ac:dyDescent="0.25">
      <c r="A665" s="6">
        <v>41838</v>
      </c>
      <c r="B665" t="s">
        <v>43</v>
      </c>
      <c r="C665" s="7">
        <v>3226</v>
      </c>
      <c r="D665" t="s">
        <v>6</v>
      </c>
      <c r="E665" s="8">
        <f>E664+F665</f>
        <v>99786</v>
      </c>
      <c r="F665" s="8">
        <f>IF($D665="CR01",$C665,0)</f>
        <v>3226</v>
      </c>
      <c r="G665" s="8">
        <f>G664+H665</f>
        <v>0</v>
      </c>
      <c r="H665" s="8">
        <f>IF($D665="VISA",$C665,0)</f>
        <v>0</v>
      </c>
      <c r="I665" s="8">
        <f>I664+J665</f>
        <v>0</v>
      </c>
      <c r="J665" s="8">
        <f>IF($D665="ACC",$C665,0)</f>
        <v>0</v>
      </c>
      <c r="K665" s="8">
        <f>K664+L665</f>
        <v>0</v>
      </c>
      <c r="L665" s="8">
        <f>IF($D665="CBB",$C665,0)</f>
        <v>0</v>
      </c>
    </row>
    <row r="666" spans="1:12" x14ac:dyDescent="0.25">
      <c r="A666" s="6">
        <v>41842</v>
      </c>
      <c r="B666" t="s">
        <v>48</v>
      </c>
      <c r="C666" s="7">
        <v>-100</v>
      </c>
      <c r="D666" t="s">
        <v>6</v>
      </c>
      <c r="E666" s="8">
        <f>E665+F666</f>
        <v>99686</v>
      </c>
      <c r="F666" s="8">
        <f>IF($D666="CR01",$C666,0)</f>
        <v>-100</v>
      </c>
      <c r="G666" s="8">
        <f>G665+H666</f>
        <v>0</v>
      </c>
      <c r="H666" s="8">
        <f>IF($D666="VISA",$C666,0)</f>
        <v>0</v>
      </c>
      <c r="I666" s="8">
        <f>I665+J666</f>
        <v>0</v>
      </c>
      <c r="J666" s="8">
        <f>IF($D666="ACC",$C666,0)</f>
        <v>0</v>
      </c>
      <c r="K666" s="8">
        <f>K665+L666</f>
        <v>0</v>
      </c>
      <c r="L666" s="8">
        <f>IF($D666="CBB",$C666,0)</f>
        <v>0</v>
      </c>
    </row>
    <row r="667" spans="1:12" x14ac:dyDescent="0.25">
      <c r="A667" s="6">
        <v>41843</v>
      </c>
      <c r="B667" t="s">
        <v>47</v>
      </c>
      <c r="C667" s="7">
        <v>-120</v>
      </c>
      <c r="D667" t="s">
        <v>6</v>
      </c>
      <c r="E667" s="8">
        <f>E666+F667</f>
        <v>99566</v>
      </c>
      <c r="F667" s="8">
        <f>IF($D667="CR01",$C667,0)</f>
        <v>-120</v>
      </c>
      <c r="G667" s="8">
        <f>G666+H667</f>
        <v>0</v>
      </c>
      <c r="H667" s="8">
        <f>IF($D667="VISA",$C667,0)</f>
        <v>0</v>
      </c>
      <c r="I667" s="8">
        <f>I666+J667</f>
        <v>0</v>
      </c>
      <c r="J667" s="8">
        <f>IF($D667="ACC",$C667,0)</f>
        <v>0</v>
      </c>
      <c r="K667" s="8">
        <f>K666+L667</f>
        <v>0</v>
      </c>
      <c r="L667" s="8">
        <f>IF($D667="CBB",$C667,0)</f>
        <v>0</v>
      </c>
    </row>
    <row r="668" spans="1:12" x14ac:dyDescent="0.25">
      <c r="A668" s="6">
        <v>41844</v>
      </c>
      <c r="B668" t="s">
        <v>44</v>
      </c>
      <c r="C668" s="7">
        <v>-400</v>
      </c>
      <c r="D668" t="s">
        <v>6</v>
      </c>
      <c r="E668" s="8">
        <f>E667+F668</f>
        <v>99166</v>
      </c>
      <c r="F668" s="8">
        <f>IF($D668="CR01",$C668,0)</f>
        <v>-400</v>
      </c>
      <c r="G668" s="8">
        <f>G667+H668</f>
        <v>0</v>
      </c>
      <c r="H668" s="8">
        <f>IF($D668="VISA",$C668,0)</f>
        <v>0</v>
      </c>
      <c r="I668" s="8">
        <f>I667+J668</f>
        <v>0</v>
      </c>
      <c r="J668" s="8">
        <f>IF($D668="ACC",$C668,0)</f>
        <v>0</v>
      </c>
      <c r="K668" s="8">
        <f>K667+L668</f>
        <v>0</v>
      </c>
      <c r="L668" s="8">
        <f>IF($D668="CBB",$C668,0)</f>
        <v>0</v>
      </c>
    </row>
    <row r="669" spans="1:12" x14ac:dyDescent="0.25">
      <c r="A669" s="6">
        <v>41844</v>
      </c>
      <c r="B669" t="s">
        <v>45</v>
      </c>
      <c r="C669" s="7">
        <v>-180</v>
      </c>
      <c r="D669" t="s">
        <v>6</v>
      </c>
      <c r="E669" s="8">
        <f>E668+F669</f>
        <v>98986</v>
      </c>
      <c r="F669" s="8">
        <f>IF($D669="CR01",$C669,0)</f>
        <v>-180</v>
      </c>
      <c r="G669" s="8">
        <f>G668+H669</f>
        <v>0</v>
      </c>
      <c r="H669" s="8">
        <f>IF($D669="VISA",$C669,0)</f>
        <v>0</v>
      </c>
      <c r="I669" s="8">
        <f>I668+J669</f>
        <v>0</v>
      </c>
      <c r="J669" s="8">
        <f>IF($D669="ACC",$C669,0)</f>
        <v>0</v>
      </c>
      <c r="K669" s="8">
        <f>K668+L669</f>
        <v>0</v>
      </c>
      <c r="L669" s="8">
        <f>IF($D669="CBB",$C669,0)</f>
        <v>0</v>
      </c>
    </row>
    <row r="670" spans="1:12" x14ac:dyDescent="0.25">
      <c r="A670" s="6">
        <v>41844</v>
      </c>
      <c r="B670" t="s">
        <v>46</v>
      </c>
      <c r="C670" s="7">
        <v>-300</v>
      </c>
      <c r="D670" t="s">
        <v>6</v>
      </c>
      <c r="E670" s="8">
        <f>E669+F670</f>
        <v>98686</v>
      </c>
      <c r="F670" s="8">
        <f>IF($D670="CR01",$C670,0)</f>
        <v>-300</v>
      </c>
      <c r="G670" s="8">
        <f>G669+H670</f>
        <v>0</v>
      </c>
      <c r="H670" s="8">
        <f>IF($D670="VISA",$C670,0)</f>
        <v>0</v>
      </c>
      <c r="I670" s="8">
        <f>I669+J670</f>
        <v>0</v>
      </c>
      <c r="J670" s="8">
        <f>IF($D670="ACC",$C670,0)</f>
        <v>0</v>
      </c>
      <c r="K670" s="8">
        <f>K669+L670</f>
        <v>0</v>
      </c>
      <c r="L670" s="8">
        <f>IF($D670="CBB",$C670,0)</f>
        <v>0</v>
      </c>
    </row>
    <row r="671" spans="1:12" x14ac:dyDescent="0.25">
      <c r="A671" s="6">
        <v>41846</v>
      </c>
      <c r="B671" t="s">
        <v>67</v>
      </c>
      <c r="C671" s="7">
        <v>5200</v>
      </c>
      <c r="D671" t="s">
        <v>6</v>
      </c>
      <c r="E671" s="8">
        <f>E670+F671</f>
        <v>103886</v>
      </c>
      <c r="F671" s="8">
        <f>IF($D671="CR01",$C671,0)</f>
        <v>5200</v>
      </c>
      <c r="G671" s="8">
        <f>G670+H671</f>
        <v>0</v>
      </c>
      <c r="H671" s="8">
        <f>IF($D671="VISA",$C671,0)</f>
        <v>0</v>
      </c>
      <c r="I671" s="8">
        <f>I670+J671</f>
        <v>0</v>
      </c>
      <c r="J671" s="8">
        <f>IF($D671="ACC",$C671,0)</f>
        <v>0</v>
      </c>
      <c r="K671" s="8">
        <f>K670+L671</f>
        <v>0</v>
      </c>
      <c r="L671" s="8">
        <f>IF($D671="CBB",$C671,0)</f>
        <v>0</v>
      </c>
    </row>
    <row r="672" spans="1:12" x14ac:dyDescent="0.25">
      <c r="A672" s="6">
        <v>41849</v>
      </c>
      <c r="B672" t="s">
        <v>42</v>
      </c>
      <c r="C672" s="7">
        <v>-2806</v>
      </c>
      <c r="D672" t="s">
        <v>6</v>
      </c>
      <c r="E672" s="8">
        <f>E671+F672</f>
        <v>101080</v>
      </c>
      <c r="F672" s="8">
        <f>IF($D672="CR01",$C672,0)</f>
        <v>-2806</v>
      </c>
      <c r="G672" s="8">
        <f>G671+H672</f>
        <v>0</v>
      </c>
      <c r="H672" s="8">
        <f>IF($D672="VISA",$C672,0)</f>
        <v>0</v>
      </c>
      <c r="I672" s="8">
        <f>I671+J672</f>
        <v>0</v>
      </c>
      <c r="J672" s="8">
        <f>IF($D672="ACC",$C672,0)</f>
        <v>0</v>
      </c>
      <c r="K672" s="8">
        <f>K671+L672</f>
        <v>0</v>
      </c>
      <c r="L672" s="8">
        <f>IF($D672="CBB",$C672,0)</f>
        <v>0</v>
      </c>
    </row>
    <row r="673" spans="1:12" x14ac:dyDescent="0.25">
      <c r="A673" s="6">
        <v>41849</v>
      </c>
      <c r="B673" t="s">
        <v>48</v>
      </c>
      <c r="C673" s="7">
        <v>-100</v>
      </c>
      <c r="D673" t="s">
        <v>6</v>
      </c>
      <c r="E673" s="8">
        <f>E672+F673</f>
        <v>100980</v>
      </c>
      <c r="F673" s="8">
        <f>IF($D673="CR01",$C673,0)</f>
        <v>-100</v>
      </c>
      <c r="G673" s="8">
        <f>G672+H673</f>
        <v>0</v>
      </c>
      <c r="H673" s="8">
        <f>IF($D673="VISA",$C673,0)</f>
        <v>0</v>
      </c>
      <c r="I673" s="8">
        <f>I672+J673</f>
        <v>0</v>
      </c>
      <c r="J673" s="8">
        <f>IF($D673="ACC",$C673,0)</f>
        <v>0</v>
      </c>
      <c r="K673" s="8">
        <f>K672+L673</f>
        <v>0</v>
      </c>
      <c r="L673" s="8">
        <f>IF($D673="CBB",$C673,0)</f>
        <v>0</v>
      </c>
    </row>
    <row r="674" spans="1:12" x14ac:dyDescent="0.25">
      <c r="A674" s="6">
        <v>41850</v>
      </c>
      <c r="B674" t="s">
        <v>47</v>
      </c>
      <c r="C674" s="7">
        <v>-120</v>
      </c>
      <c r="D674" t="s">
        <v>6</v>
      </c>
      <c r="E674" s="8">
        <f>E673+F674</f>
        <v>100860</v>
      </c>
      <c r="F674" s="8">
        <f>IF($D674="CR01",$C674,0)</f>
        <v>-120</v>
      </c>
      <c r="G674" s="8">
        <f>G673+H674</f>
        <v>0</v>
      </c>
      <c r="H674" s="8">
        <f>IF($D674="VISA",$C674,0)</f>
        <v>0</v>
      </c>
      <c r="I674" s="8">
        <f>I673+J674</f>
        <v>0</v>
      </c>
      <c r="J674" s="8">
        <f>IF($D674="ACC",$C674,0)</f>
        <v>0</v>
      </c>
      <c r="K674" s="8">
        <f>K673+L674</f>
        <v>0</v>
      </c>
      <c r="L674" s="8">
        <f>IF($D674="CBB",$C674,0)</f>
        <v>0</v>
      </c>
    </row>
    <row r="675" spans="1:12" x14ac:dyDescent="0.25">
      <c r="A675" s="6">
        <v>41851</v>
      </c>
      <c r="B675" t="s">
        <v>44</v>
      </c>
      <c r="C675" s="7">
        <v>-400</v>
      </c>
      <c r="D675" t="s">
        <v>6</v>
      </c>
      <c r="E675" s="8">
        <f>E674+F675</f>
        <v>100460</v>
      </c>
      <c r="F675" s="8">
        <f>IF($D675="CR01",$C675,0)</f>
        <v>-400</v>
      </c>
      <c r="G675" s="8">
        <f>G674+H675</f>
        <v>0</v>
      </c>
      <c r="H675" s="8">
        <f>IF($D675="VISA",$C675,0)</f>
        <v>0</v>
      </c>
      <c r="I675" s="8">
        <f>I674+J675</f>
        <v>0</v>
      </c>
      <c r="J675" s="8">
        <f>IF($D675="ACC",$C675,0)</f>
        <v>0</v>
      </c>
      <c r="K675" s="8">
        <f>K674+L675</f>
        <v>0</v>
      </c>
      <c r="L675" s="8">
        <f>IF($D675="CBB",$C675,0)</f>
        <v>0</v>
      </c>
    </row>
    <row r="676" spans="1:12" x14ac:dyDescent="0.25">
      <c r="A676" s="6">
        <v>41851</v>
      </c>
      <c r="B676" t="s">
        <v>45</v>
      </c>
      <c r="C676" s="7">
        <v>-180</v>
      </c>
      <c r="D676" t="s">
        <v>6</v>
      </c>
      <c r="E676" s="8">
        <f>E675+F676</f>
        <v>100280</v>
      </c>
      <c r="F676" s="8">
        <f>IF($D676="CR01",$C676,0)</f>
        <v>-180</v>
      </c>
      <c r="G676" s="8">
        <f>G675+H676</f>
        <v>0</v>
      </c>
      <c r="H676" s="8">
        <f>IF($D676="VISA",$C676,0)</f>
        <v>0</v>
      </c>
      <c r="I676" s="8">
        <f>I675+J676</f>
        <v>0</v>
      </c>
      <c r="J676" s="8">
        <f>IF($D676="ACC",$C676,0)</f>
        <v>0</v>
      </c>
      <c r="K676" s="8">
        <f>K675+L676</f>
        <v>0</v>
      </c>
      <c r="L676" s="8">
        <f>IF($D676="CBB",$C676,0)</f>
        <v>0</v>
      </c>
    </row>
    <row r="677" spans="1:12" x14ac:dyDescent="0.25">
      <c r="A677" s="6">
        <v>41851</v>
      </c>
      <c r="B677" t="s">
        <v>46</v>
      </c>
      <c r="C677" s="7">
        <v>-300</v>
      </c>
      <c r="D677" t="s">
        <v>6</v>
      </c>
      <c r="E677" s="8">
        <f>E676+F677</f>
        <v>99980</v>
      </c>
      <c r="F677" s="8">
        <f>IF($D677="CR01",$C677,0)</f>
        <v>-300</v>
      </c>
      <c r="G677" s="8">
        <f>G676+H677</f>
        <v>0</v>
      </c>
      <c r="H677" s="8">
        <f>IF($D677="VISA",$C677,0)</f>
        <v>0</v>
      </c>
      <c r="I677" s="8">
        <f>I676+J677</f>
        <v>0</v>
      </c>
      <c r="J677" s="8">
        <f>IF($D677="ACC",$C677,0)</f>
        <v>0</v>
      </c>
      <c r="K677" s="8">
        <f>K676+L677</f>
        <v>0</v>
      </c>
      <c r="L677" s="8">
        <f>IF($D677="CBB",$C677,0)</f>
        <v>0</v>
      </c>
    </row>
    <row r="678" spans="1:12" x14ac:dyDescent="0.25">
      <c r="A678" s="6">
        <v>41852</v>
      </c>
      <c r="B678" t="s">
        <v>43</v>
      </c>
      <c r="C678" s="7">
        <v>3226</v>
      </c>
      <c r="D678" t="s">
        <v>6</v>
      </c>
      <c r="E678" s="8">
        <f>E677+F678</f>
        <v>103206</v>
      </c>
      <c r="F678" s="8">
        <f>IF($D678="CR01",$C678,0)</f>
        <v>3226</v>
      </c>
      <c r="G678" s="8">
        <f>G677+H678</f>
        <v>0</v>
      </c>
      <c r="H678" s="8">
        <f>IF($D678="VISA",$C678,0)</f>
        <v>0</v>
      </c>
      <c r="I678" s="8">
        <f>I677+J678</f>
        <v>0</v>
      </c>
      <c r="J678" s="8">
        <f>IF($D678="ACC",$C678,0)</f>
        <v>0</v>
      </c>
      <c r="K678" s="8">
        <f>K677+L678</f>
        <v>0</v>
      </c>
      <c r="L678" s="8">
        <f>IF($D678="CBB",$C678,0)</f>
        <v>0</v>
      </c>
    </row>
    <row r="679" spans="1:12" x14ac:dyDescent="0.25">
      <c r="A679" s="6">
        <v>41852</v>
      </c>
      <c r="B679" t="s">
        <v>58</v>
      </c>
      <c r="C679" s="7">
        <v>-200</v>
      </c>
      <c r="D679" t="s">
        <v>6</v>
      </c>
      <c r="E679" s="8">
        <f>E678+F679</f>
        <v>103006</v>
      </c>
      <c r="F679" s="8">
        <f>IF($D679="CR01",$C679,0)</f>
        <v>-200</v>
      </c>
      <c r="G679" s="8">
        <f>G678+H679</f>
        <v>0</v>
      </c>
      <c r="H679" s="8">
        <f>IF($D679="VISA",$C679,0)</f>
        <v>0</v>
      </c>
      <c r="I679" s="8">
        <f>I678+J679</f>
        <v>0</v>
      </c>
      <c r="J679" s="8">
        <f>IF($D679="ACC",$C679,0)</f>
        <v>0</v>
      </c>
      <c r="K679" s="8">
        <f>K678+L679</f>
        <v>0</v>
      </c>
      <c r="L679" s="8">
        <f>IF($D679="CBB",$C679,0)</f>
        <v>0</v>
      </c>
    </row>
    <row r="680" spans="1:12" x14ac:dyDescent="0.25">
      <c r="A680" s="6">
        <v>41852</v>
      </c>
      <c r="B680" t="s">
        <v>60</v>
      </c>
      <c r="C680" s="7">
        <v>-400</v>
      </c>
      <c r="D680" t="s">
        <v>6</v>
      </c>
      <c r="E680" s="8">
        <f>E679+F680</f>
        <v>102606</v>
      </c>
      <c r="F680" s="8">
        <f>IF($D680="CR01",$C680,0)</f>
        <v>-400</v>
      </c>
      <c r="G680" s="8">
        <f>G679+H680</f>
        <v>0</v>
      </c>
      <c r="H680" s="8">
        <f>IF($D680="VISA",$C680,0)</f>
        <v>0</v>
      </c>
      <c r="I680" s="8">
        <f>I679+J680</f>
        <v>0</v>
      </c>
      <c r="J680" s="8">
        <f>IF($D680="ACC",$C680,0)</f>
        <v>0</v>
      </c>
      <c r="K680" s="8">
        <f>K679+L680</f>
        <v>0</v>
      </c>
      <c r="L680" s="8">
        <f>IF($D680="CBB",$C680,0)</f>
        <v>0</v>
      </c>
    </row>
    <row r="681" spans="1:12" x14ac:dyDescent="0.25">
      <c r="A681" s="6">
        <v>41852</v>
      </c>
      <c r="B681" t="s">
        <v>62</v>
      </c>
      <c r="C681" s="7">
        <v>-300</v>
      </c>
      <c r="D681" t="s">
        <v>6</v>
      </c>
      <c r="E681" s="8">
        <f>E680+F681</f>
        <v>102306</v>
      </c>
      <c r="F681" s="8">
        <f>IF($D681="CR01",$C681,0)</f>
        <v>-300</v>
      </c>
      <c r="G681" s="8">
        <f>G680+H681</f>
        <v>0</v>
      </c>
      <c r="H681" s="8">
        <f>IF($D681="VISA",$C681,0)</f>
        <v>0</v>
      </c>
      <c r="I681" s="8">
        <f>I680+J681</f>
        <v>0</v>
      </c>
      <c r="J681" s="8">
        <f>IF($D681="ACC",$C681,0)</f>
        <v>0</v>
      </c>
      <c r="K681" s="8">
        <f>K680+L681</f>
        <v>0</v>
      </c>
      <c r="L681" s="8">
        <f>IF($D681="CBB",$C681,0)</f>
        <v>0</v>
      </c>
    </row>
    <row r="682" spans="1:12" x14ac:dyDescent="0.25">
      <c r="A682" s="6">
        <v>41852</v>
      </c>
      <c r="B682" t="s">
        <v>63</v>
      </c>
      <c r="C682" s="7">
        <v>-300</v>
      </c>
      <c r="D682" t="s">
        <v>6</v>
      </c>
      <c r="E682" s="8">
        <f>E681+F682</f>
        <v>102006</v>
      </c>
      <c r="F682" s="8">
        <f>IF($D682="CR01",$C682,0)</f>
        <v>-300</v>
      </c>
      <c r="G682" s="8">
        <f>G681+H682</f>
        <v>0</v>
      </c>
      <c r="H682" s="8">
        <f>IF($D682="VISA",$C682,0)</f>
        <v>0</v>
      </c>
      <c r="I682" s="8">
        <f>I681+J682</f>
        <v>0</v>
      </c>
      <c r="J682" s="8">
        <f>IF($D682="ACC",$C682,0)</f>
        <v>0</v>
      </c>
      <c r="K682" s="8">
        <f>K681+L682</f>
        <v>0</v>
      </c>
      <c r="L682" s="8">
        <f>IF($D682="CBB",$C682,0)</f>
        <v>0</v>
      </c>
    </row>
    <row r="683" spans="1:12" x14ac:dyDescent="0.25">
      <c r="A683" s="6">
        <v>41852</v>
      </c>
      <c r="B683" t="s">
        <v>64</v>
      </c>
      <c r="C683" s="7">
        <v>-26</v>
      </c>
      <c r="D683" t="s">
        <v>6</v>
      </c>
      <c r="E683" s="8">
        <f>E682+F683</f>
        <v>101980</v>
      </c>
      <c r="F683" s="8">
        <f>IF($D683="CR01",$C683,0)</f>
        <v>-26</v>
      </c>
      <c r="G683" s="8">
        <f>G682+H683</f>
        <v>0</v>
      </c>
      <c r="H683" s="8">
        <f>IF($D683="VISA",$C683,0)</f>
        <v>0</v>
      </c>
      <c r="I683" s="8">
        <f>I682+J683</f>
        <v>0</v>
      </c>
      <c r="J683" s="8">
        <f>IF($D683="ACC",$C683,0)</f>
        <v>0</v>
      </c>
      <c r="K683" s="8">
        <f>K682+L683</f>
        <v>0</v>
      </c>
      <c r="L683" s="8">
        <f>IF($D683="CBB",$C683,0)</f>
        <v>0</v>
      </c>
    </row>
    <row r="684" spans="1:12" x14ac:dyDescent="0.25">
      <c r="A684" s="6">
        <v>41852</v>
      </c>
      <c r="B684" t="s">
        <v>65</v>
      </c>
      <c r="C684" s="7">
        <v>-240</v>
      </c>
      <c r="D684" t="s">
        <v>6</v>
      </c>
      <c r="E684" s="8">
        <f>E683+F684</f>
        <v>101740</v>
      </c>
      <c r="F684" s="8">
        <f>IF($D684="CR01",$C684,0)</f>
        <v>-240</v>
      </c>
      <c r="G684" s="8">
        <f>G683+H684</f>
        <v>0</v>
      </c>
      <c r="H684" s="8">
        <f>IF($D684="VISA",$C684,0)</f>
        <v>0</v>
      </c>
      <c r="I684" s="8">
        <f>I683+J684</f>
        <v>0</v>
      </c>
      <c r="J684" s="8">
        <f>IF($D684="ACC",$C684,0)</f>
        <v>0</v>
      </c>
      <c r="K684" s="8">
        <f>K683+L684</f>
        <v>0</v>
      </c>
      <c r="L684" s="8">
        <f>IF($D684="CBB",$C684,0)</f>
        <v>0</v>
      </c>
    </row>
    <row r="685" spans="1:12" x14ac:dyDescent="0.25">
      <c r="A685" s="6">
        <v>41852</v>
      </c>
      <c r="B685" t="s">
        <v>66</v>
      </c>
      <c r="C685" s="7">
        <v>-120</v>
      </c>
      <c r="D685" t="s">
        <v>6</v>
      </c>
      <c r="E685" s="8">
        <f>E684+F685</f>
        <v>101620</v>
      </c>
      <c r="F685" s="8">
        <f>IF($D685="CR01",$C685,0)</f>
        <v>-120</v>
      </c>
      <c r="G685" s="8">
        <f>G684+H685</f>
        <v>0</v>
      </c>
      <c r="H685" s="8">
        <f>IF($D685="VISA",$C685,0)</f>
        <v>0</v>
      </c>
      <c r="I685" s="8">
        <f>I684+J685</f>
        <v>0</v>
      </c>
      <c r="J685" s="8">
        <f>IF($D685="ACC",$C685,0)</f>
        <v>0</v>
      </c>
      <c r="K685" s="8">
        <f>K684+L685</f>
        <v>0</v>
      </c>
      <c r="L685" s="8">
        <f>IF($D685="CBB",$C685,0)</f>
        <v>0</v>
      </c>
    </row>
    <row r="686" spans="1:12" x14ac:dyDescent="0.25">
      <c r="A686" s="6">
        <v>41853</v>
      </c>
      <c r="B686" t="s">
        <v>59</v>
      </c>
      <c r="C686" s="7">
        <v>-900</v>
      </c>
      <c r="D686" t="s">
        <v>6</v>
      </c>
      <c r="E686" s="8">
        <f>E685+F686</f>
        <v>100720</v>
      </c>
      <c r="F686" s="8">
        <f>IF($D686="CR01",$C686,0)</f>
        <v>-900</v>
      </c>
      <c r="G686" s="8">
        <f>G685+H686</f>
        <v>0</v>
      </c>
      <c r="H686" s="8">
        <f>IF($D686="VISA",$C686,0)</f>
        <v>0</v>
      </c>
      <c r="I686" s="8">
        <f>I685+J686</f>
        <v>0</v>
      </c>
      <c r="J686" s="8">
        <f>IF($D686="ACC",$C686,0)</f>
        <v>0</v>
      </c>
      <c r="K686" s="8">
        <f>K685+L686</f>
        <v>0</v>
      </c>
      <c r="L686" s="8">
        <f>IF($D686="CBB",$C686,0)</f>
        <v>0</v>
      </c>
    </row>
    <row r="687" spans="1:12" x14ac:dyDescent="0.25">
      <c r="A687" s="6">
        <v>41856</v>
      </c>
      <c r="B687" t="s">
        <v>48</v>
      </c>
      <c r="C687" s="7">
        <v>-100</v>
      </c>
      <c r="D687" t="s">
        <v>6</v>
      </c>
      <c r="E687" s="8">
        <f>E686+F687</f>
        <v>100620</v>
      </c>
      <c r="F687" s="8">
        <f>IF($D687="CR01",$C687,0)</f>
        <v>-100</v>
      </c>
      <c r="G687" s="8">
        <f>G686+H687</f>
        <v>0</v>
      </c>
      <c r="H687" s="8">
        <f>IF($D687="VISA",$C687,0)</f>
        <v>0</v>
      </c>
      <c r="I687" s="8">
        <f>I686+J687</f>
        <v>0</v>
      </c>
      <c r="J687" s="8">
        <f>IF($D687="ACC",$C687,0)</f>
        <v>0</v>
      </c>
      <c r="K687" s="8">
        <f>K686+L687</f>
        <v>0</v>
      </c>
      <c r="L687" s="8">
        <f>IF($D687="CBB",$C687,0)</f>
        <v>0</v>
      </c>
    </row>
    <row r="688" spans="1:12" x14ac:dyDescent="0.25">
      <c r="A688" s="6">
        <v>41857</v>
      </c>
      <c r="B688" t="s">
        <v>47</v>
      </c>
      <c r="C688" s="7">
        <v>-120</v>
      </c>
      <c r="D688" t="s">
        <v>6</v>
      </c>
      <c r="E688" s="8">
        <f>E687+F688</f>
        <v>100500</v>
      </c>
      <c r="F688" s="8">
        <f>IF($D688="CR01",$C688,0)</f>
        <v>-120</v>
      </c>
      <c r="G688" s="8">
        <f>G687+H688</f>
        <v>0</v>
      </c>
      <c r="H688" s="8">
        <f>IF($D688="VISA",$C688,0)</f>
        <v>0</v>
      </c>
      <c r="I688" s="8">
        <f>I687+J688</f>
        <v>0</v>
      </c>
      <c r="J688" s="8">
        <f>IF($D688="ACC",$C688,0)</f>
        <v>0</v>
      </c>
      <c r="K688" s="8">
        <f>K687+L688</f>
        <v>0</v>
      </c>
      <c r="L688" s="8">
        <f>IF($D688="CBB",$C688,0)</f>
        <v>0</v>
      </c>
    </row>
    <row r="689" spans="1:12" x14ac:dyDescent="0.25">
      <c r="A689" s="6">
        <v>41858</v>
      </c>
      <c r="B689" t="s">
        <v>44</v>
      </c>
      <c r="C689" s="7">
        <v>-400</v>
      </c>
      <c r="D689" t="s">
        <v>6</v>
      </c>
      <c r="E689" s="8">
        <f>E688+F689</f>
        <v>100100</v>
      </c>
      <c r="F689" s="8">
        <f>IF($D689="CR01",$C689,0)</f>
        <v>-400</v>
      </c>
      <c r="G689" s="8">
        <f>G688+H689</f>
        <v>0</v>
      </c>
      <c r="H689" s="8">
        <f>IF($D689="VISA",$C689,0)</f>
        <v>0</v>
      </c>
      <c r="I689" s="8">
        <f>I688+J689</f>
        <v>0</v>
      </c>
      <c r="J689" s="8">
        <f>IF($D689="ACC",$C689,0)</f>
        <v>0</v>
      </c>
      <c r="K689" s="8">
        <f>K688+L689</f>
        <v>0</v>
      </c>
      <c r="L689" s="8">
        <f>IF($D689="CBB",$C689,0)</f>
        <v>0</v>
      </c>
    </row>
    <row r="690" spans="1:12" x14ac:dyDescent="0.25">
      <c r="A690" s="6">
        <v>41858</v>
      </c>
      <c r="B690" t="s">
        <v>45</v>
      </c>
      <c r="C690" s="7">
        <v>-180</v>
      </c>
      <c r="D690" t="s">
        <v>6</v>
      </c>
      <c r="E690" s="8">
        <f>E689+F690</f>
        <v>99920</v>
      </c>
      <c r="F690" s="8">
        <f>IF($D690="CR01",$C690,0)</f>
        <v>-180</v>
      </c>
      <c r="G690" s="8">
        <f>G689+H690</f>
        <v>0</v>
      </c>
      <c r="H690" s="8">
        <f>IF($D690="VISA",$C690,0)</f>
        <v>0</v>
      </c>
      <c r="I690" s="8">
        <f>I689+J690</f>
        <v>0</v>
      </c>
      <c r="J690" s="8">
        <f>IF($D690="ACC",$C690,0)</f>
        <v>0</v>
      </c>
      <c r="K690" s="8">
        <f>K689+L690</f>
        <v>0</v>
      </c>
      <c r="L690" s="8">
        <f>IF($D690="CBB",$C690,0)</f>
        <v>0</v>
      </c>
    </row>
    <row r="691" spans="1:12" x14ac:dyDescent="0.25">
      <c r="A691" s="6">
        <v>41858</v>
      </c>
      <c r="B691" t="s">
        <v>46</v>
      </c>
      <c r="C691" s="7">
        <v>-300</v>
      </c>
      <c r="D691" t="s">
        <v>6</v>
      </c>
      <c r="E691" s="8">
        <f>E690+F691</f>
        <v>99620</v>
      </c>
      <c r="F691" s="8">
        <f>IF($D691="CR01",$C691,0)</f>
        <v>-300</v>
      </c>
      <c r="G691" s="8">
        <f>G690+H691</f>
        <v>0</v>
      </c>
      <c r="H691" s="8">
        <f>IF($D691="VISA",$C691,0)</f>
        <v>0</v>
      </c>
      <c r="I691" s="8">
        <f>I690+J691</f>
        <v>0</v>
      </c>
      <c r="J691" s="8">
        <f>IF($D691="ACC",$C691,0)</f>
        <v>0</v>
      </c>
      <c r="K691" s="8">
        <f>K690+L691</f>
        <v>0</v>
      </c>
      <c r="L691" s="8">
        <f>IF($D691="CBB",$C691,0)</f>
        <v>0</v>
      </c>
    </row>
    <row r="692" spans="1:12" x14ac:dyDescent="0.25">
      <c r="A692" s="6">
        <v>41860</v>
      </c>
      <c r="B692" t="s">
        <v>67</v>
      </c>
      <c r="C692" s="7">
        <v>5200</v>
      </c>
      <c r="D692" t="s">
        <v>6</v>
      </c>
      <c r="E692" s="8">
        <f>E691+F692</f>
        <v>104820</v>
      </c>
      <c r="F692" s="8">
        <f>IF($D692="CR01",$C692,0)</f>
        <v>5200</v>
      </c>
      <c r="G692" s="8">
        <f>G691+H692</f>
        <v>0</v>
      </c>
      <c r="H692" s="8">
        <f>IF($D692="VISA",$C692,0)</f>
        <v>0</v>
      </c>
      <c r="I692" s="8">
        <f>I691+J692</f>
        <v>0</v>
      </c>
      <c r="J692" s="8">
        <f>IF($D692="ACC",$C692,0)</f>
        <v>0</v>
      </c>
      <c r="K692" s="8">
        <f>K691+L692</f>
        <v>0</v>
      </c>
      <c r="L692" s="8">
        <f>IF($D692="CBB",$C692,0)</f>
        <v>0</v>
      </c>
    </row>
    <row r="693" spans="1:12" x14ac:dyDescent="0.25">
      <c r="A693" s="6">
        <v>41863</v>
      </c>
      <c r="B693" t="s">
        <v>42</v>
      </c>
      <c r="C693" s="7">
        <v>-2806</v>
      </c>
      <c r="D693" t="s">
        <v>6</v>
      </c>
      <c r="E693" s="8">
        <f>E692+F693</f>
        <v>102014</v>
      </c>
      <c r="F693" s="8">
        <f>IF($D693="CR01",$C693,0)</f>
        <v>-2806</v>
      </c>
      <c r="G693" s="8">
        <f>G692+H693</f>
        <v>0</v>
      </c>
      <c r="H693" s="8">
        <f>IF($D693="VISA",$C693,0)</f>
        <v>0</v>
      </c>
      <c r="I693" s="8">
        <f>I692+J693</f>
        <v>0</v>
      </c>
      <c r="J693" s="8">
        <f>IF($D693="ACC",$C693,0)</f>
        <v>0</v>
      </c>
      <c r="K693" s="8">
        <f>K692+L693</f>
        <v>0</v>
      </c>
      <c r="L693" s="8">
        <f>IF($D693="CBB",$C693,0)</f>
        <v>0</v>
      </c>
    </row>
    <row r="694" spans="1:12" x14ac:dyDescent="0.25">
      <c r="A694" s="6">
        <v>41863</v>
      </c>
      <c r="B694" t="s">
        <v>48</v>
      </c>
      <c r="C694" s="7">
        <v>-100</v>
      </c>
      <c r="D694" t="s">
        <v>6</v>
      </c>
      <c r="E694" s="8">
        <f>E693+F694</f>
        <v>101914</v>
      </c>
      <c r="F694" s="8">
        <f>IF($D694="CR01",$C694,0)</f>
        <v>-100</v>
      </c>
      <c r="G694" s="8">
        <f>G693+H694</f>
        <v>0</v>
      </c>
      <c r="H694" s="8">
        <f>IF($D694="VISA",$C694,0)</f>
        <v>0</v>
      </c>
      <c r="I694" s="8">
        <f>I693+J694</f>
        <v>0</v>
      </c>
      <c r="J694" s="8">
        <f>IF($D694="ACC",$C694,0)</f>
        <v>0</v>
      </c>
      <c r="K694" s="8">
        <f>K693+L694</f>
        <v>0</v>
      </c>
      <c r="L694" s="8">
        <f>IF($D694="CBB",$C694,0)</f>
        <v>0</v>
      </c>
    </row>
    <row r="695" spans="1:12" x14ac:dyDescent="0.25">
      <c r="A695" s="6">
        <v>41864</v>
      </c>
      <c r="B695" t="s">
        <v>47</v>
      </c>
      <c r="C695" s="7">
        <v>-120</v>
      </c>
      <c r="D695" t="s">
        <v>6</v>
      </c>
      <c r="E695" s="8">
        <f>E694+F695</f>
        <v>101794</v>
      </c>
      <c r="F695" s="8">
        <f>IF($D695="CR01",$C695,0)</f>
        <v>-120</v>
      </c>
      <c r="G695" s="8">
        <f>G694+H695</f>
        <v>0</v>
      </c>
      <c r="H695" s="8">
        <f>IF($D695="VISA",$C695,0)</f>
        <v>0</v>
      </c>
      <c r="I695" s="8">
        <f>I694+J695</f>
        <v>0</v>
      </c>
      <c r="J695" s="8">
        <f>IF($D695="ACC",$C695,0)</f>
        <v>0</v>
      </c>
      <c r="K695" s="8">
        <f>K694+L695</f>
        <v>0</v>
      </c>
      <c r="L695" s="8">
        <f>IF($D695="CBB",$C695,0)</f>
        <v>0</v>
      </c>
    </row>
    <row r="696" spans="1:12" x14ac:dyDescent="0.25">
      <c r="A696" s="6">
        <v>41865</v>
      </c>
      <c r="B696" t="s">
        <v>44</v>
      </c>
      <c r="C696" s="7">
        <v>-400</v>
      </c>
      <c r="D696" t="s">
        <v>6</v>
      </c>
      <c r="E696" s="8">
        <f>E695+F696</f>
        <v>101394</v>
      </c>
      <c r="F696" s="8">
        <f>IF($D696="CR01",$C696,0)</f>
        <v>-400</v>
      </c>
      <c r="G696" s="8">
        <f>G695+H696</f>
        <v>0</v>
      </c>
      <c r="H696" s="8">
        <f>IF($D696="VISA",$C696,0)</f>
        <v>0</v>
      </c>
      <c r="I696" s="8">
        <f>I695+J696</f>
        <v>0</v>
      </c>
      <c r="J696" s="8">
        <f>IF($D696="ACC",$C696,0)</f>
        <v>0</v>
      </c>
      <c r="K696" s="8">
        <f>K695+L696</f>
        <v>0</v>
      </c>
      <c r="L696" s="8">
        <f>IF($D696="CBB",$C696,0)</f>
        <v>0</v>
      </c>
    </row>
    <row r="697" spans="1:12" x14ac:dyDescent="0.25">
      <c r="A697" s="6">
        <v>41865</v>
      </c>
      <c r="B697" t="s">
        <v>45</v>
      </c>
      <c r="C697" s="7">
        <v>-180</v>
      </c>
      <c r="D697" t="s">
        <v>6</v>
      </c>
      <c r="E697" s="8">
        <f>E696+F697</f>
        <v>101214</v>
      </c>
      <c r="F697" s="8">
        <f>IF($D697="CR01",$C697,0)</f>
        <v>-180</v>
      </c>
      <c r="G697" s="8">
        <f>G696+H697</f>
        <v>0</v>
      </c>
      <c r="H697" s="8">
        <f>IF($D697="VISA",$C697,0)</f>
        <v>0</v>
      </c>
      <c r="I697" s="8">
        <f>I696+J697</f>
        <v>0</v>
      </c>
      <c r="J697" s="8">
        <f>IF($D697="ACC",$C697,0)</f>
        <v>0</v>
      </c>
      <c r="K697" s="8">
        <f>K696+L697</f>
        <v>0</v>
      </c>
      <c r="L697" s="8">
        <f>IF($D697="CBB",$C697,0)</f>
        <v>0</v>
      </c>
    </row>
    <row r="698" spans="1:12" x14ac:dyDescent="0.25">
      <c r="A698" s="6">
        <v>41865</v>
      </c>
      <c r="B698" t="s">
        <v>46</v>
      </c>
      <c r="C698" s="7">
        <v>-300</v>
      </c>
      <c r="D698" t="s">
        <v>6</v>
      </c>
      <c r="E698" s="8">
        <f>E697+F698</f>
        <v>100914</v>
      </c>
      <c r="F698" s="8">
        <f>IF($D698="CR01",$C698,0)</f>
        <v>-300</v>
      </c>
      <c r="G698" s="8">
        <f>G697+H698</f>
        <v>0</v>
      </c>
      <c r="H698" s="8">
        <f>IF($D698="VISA",$C698,0)</f>
        <v>0</v>
      </c>
      <c r="I698" s="8">
        <f>I697+J698</f>
        <v>0</v>
      </c>
      <c r="J698" s="8">
        <f>IF($D698="ACC",$C698,0)</f>
        <v>0</v>
      </c>
      <c r="K698" s="8">
        <f>K697+L698</f>
        <v>0</v>
      </c>
      <c r="L698" s="8">
        <f>IF($D698="CBB",$C698,0)</f>
        <v>0</v>
      </c>
    </row>
    <row r="699" spans="1:12" x14ac:dyDescent="0.25">
      <c r="A699" s="6">
        <v>41866</v>
      </c>
      <c r="B699" t="s">
        <v>43</v>
      </c>
      <c r="C699" s="7">
        <v>3226</v>
      </c>
      <c r="D699" t="s">
        <v>6</v>
      </c>
      <c r="E699" s="8">
        <f>E698+F699</f>
        <v>104140</v>
      </c>
      <c r="F699" s="8">
        <f>IF($D699="CR01",$C699,0)</f>
        <v>3226</v>
      </c>
      <c r="G699" s="8">
        <f>G698+H699</f>
        <v>0</v>
      </c>
      <c r="H699" s="8">
        <f>IF($D699="VISA",$C699,0)</f>
        <v>0</v>
      </c>
      <c r="I699" s="8">
        <f>I698+J699</f>
        <v>0</v>
      </c>
      <c r="J699" s="8">
        <f>IF($D699="ACC",$C699,0)</f>
        <v>0</v>
      </c>
      <c r="K699" s="8">
        <f>K698+L699</f>
        <v>0</v>
      </c>
      <c r="L699" s="8">
        <f>IF($D699="CBB",$C699,0)</f>
        <v>0</v>
      </c>
    </row>
    <row r="700" spans="1:12" x14ac:dyDescent="0.25">
      <c r="A700" s="6">
        <v>41870</v>
      </c>
      <c r="B700" t="s">
        <v>48</v>
      </c>
      <c r="C700" s="7">
        <v>-100</v>
      </c>
      <c r="D700" t="s">
        <v>6</v>
      </c>
      <c r="E700" s="8">
        <f>E699+F700</f>
        <v>104040</v>
      </c>
      <c r="F700" s="8">
        <f>IF($D700="CR01",$C700,0)</f>
        <v>-100</v>
      </c>
      <c r="G700" s="8">
        <f>G699+H700</f>
        <v>0</v>
      </c>
      <c r="H700" s="8">
        <f>IF($D700="VISA",$C700,0)</f>
        <v>0</v>
      </c>
      <c r="I700" s="8">
        <f>I699+J700</f>
        <v>0</v>
      </c>
      <c r="J700" s="8">
        <f>IF($D700="ACC",$C700,0)</f>
        <v>0</v>
      </c>
      <c r="K700" s="8">
        <f>K699+L700</f>
        <v>0</v>
      </c>
      <c r="L700" s="8">
        <f>IF($D700="CBB",$C700,0)</f>
        <v>0</v>
      </c>
    </row>
    <row r="701" spans="1:12" x14ac:dyDescent="0.25">
      <c r="A701" s="6">
        <v>41871</v>
      </c>
      <c r="B701" t="s">
        <v>47</v>
      </c>
      <c r="C701" s="7">
        <v>-120</v>
      </c>
      <c r="D701" t="s">
        <v>6</v>
      </c>
      <c r="E701" s="8">
        <f>E700+F701</f>
        <v>103920</v>
      </c>
      <c r="F701" s="8">
        <f>IF($D701="CR01",$C701,0)</f>
        <v>-120</v>
      </c>
      <c r="G701" s="8">
        <f>G700+H701</f>
        <v>0</v>
      </c>
      <c r="H701" s="8">
        <f>IF($D701="VISA",$C701,0)</f>
        <v>0</v>
      </c>
      <c r="I701" s="8">
        <f>I700+J701</f>
        <v>0</v>
      </c>
      <c r="J701" s="8">
        <f>IF($D701="ACC",$C701,0)</f>
        <v>0</v>
      </c>
      <c r="K701" s="8">
        <f>K700+L701</f>
        <v>0</v>
      </c>
      <c r="L701" s="8">
        <f>IF($D701="CBB",$C701,0)</f>
        <v>0</v>
      </c>
    </row>
    <row r="702" spans="1:12" x14ac:dyDescent="0.25">
      <c r="A702" s="6">
        <v>41872</v>
      </c>
      <c r="B702" t="s">
        <v>44</v>
      </c>
      <c r="C702" s="7">
        <v>-400</v>
      </c>
      <c r="D702" t="s">
        <v>6</v>
      </c>
      <c r="E702" s="8">
        <f>E701+F702</f>
        <v>103520</v>
      </c>
      <c r="F702" s="8">
        <f>IF($D702="CR01",$C702,0)</f>
        <v>-400</v>
      </c>
      <c r="G702" s="8">
        <f>G701+H702</f>
        <v>0</v>
      </c>
      <c r="H702" s="8">
        <f>IF($D702="VISA",$C702,0)</f>
        <v>0</v>
      </c>
      <c r="I702" s="8">
        <f>I701+J702</f>
        <v>0</v>
      </c>
      <c r="J702" s="8">
        <f>IF($D702="ACC",$C702,0)</f>
        <v>0</v>
      </c>
      <c r="K702" s="8">
        <f>K701+L702</f>
        <v>0</v>
      </c>
      <c r="L702" s="8">
        <f>IF($D702="CBB",$C702,0)</f>
        <v>0</v>
      </c>
    </row>
    <row r="703" spans="1:12" x14ac:dyDescent="0.25">
      <c r="A703" s="6">
        <v>41872</v>
      </c>
      <c r="B703" t="s">
        <v>45</v>
      </c>
      <c r="C703" s="7">
        <v>-180</v>
      </c>
      <c r="D703" t="s">
        <v>6</v>
      </c>
      <c r="E703" s="8">
        <f>E702+F703</f>
        <v>103340</v>
      </c>
      <c r="F703" s="8">
        <f>IF($D703="CR01",$C703,0)</f>
        <v>-180</v>
      </c>
      <c r="G703" s="8">
        <f>G702+H703</f>
        <v>0</v>
      </c>
      <c r="H703" s="8">
        <f>IF($D703="VISA",$C703,0)</f>
        <v>0</v>
      </c>
      <c r="I703" s="8">
        <f>I702+J703</f>
        <v>0</v>
      </c>
      <c r="J703" s="8">
        <f>IF($D703="ACC",$C703,0)</f>
        <v>0</v>
      </c>
      <c r="K703" s="8">
        <f>K702+L703</f>
        <v>0</v>
      </c>
      <c r="L703" s="8">
        <f>IF($D703="CBB",$C703,0)</f>
        <v>0</v>
      </c>
    </row>
    <row r="704" spans="1:12" x14ac:dyDescent="0.25">
      <c r="A704" s="6">
        <v>41872</v>
      </c>
      <c r="B704" t="s">
        <v>46</v>
      </c>
      <c r="C704" s="7">
        <v>-300</v>
      </c>
      <c r="D704" t="s">
        <v>6</v>
      </c>
      <c r="E704" s="8">
        <f>E703+F704</f>
        <v>103040</v>
      </c>
      <c r="F704" s="8">
        <f>IF($D704="CR01",$C704,0)</f>
        <v>-300</v>
      </c>
      <c r="G704" s="8">
        <f>G703+H704</f>
        <v>0</v>
      </c>
      <c r="H704" s="8">
        <f>IF($D704="VISA",$C704,0)</f>
        <v>0</v>
      </c>
      <c r="I704" s="8">
        <f>I703+J704</f>
        <v>0</v>
      </c>
      <c r="J704" s="8">
        <f>IF($D704="ACC",$C704,0)</f>
        <v>0</v>
      </c>
      <c r="K704" s="8">
        <f>K703+L704</f>
        <v>0</v>
      </c>
      <c r="L704" s="8">
        <f>IF($D704="CBB",$C704,0)</f>
        <v>0</v>
      </c>
    </row>
    <row r="705" spans="1:12" x14ac:dyDescent="0.25">
      <c r="A705" s="6">
        <v>41874</v>
      </c>
      <c r="B705" t="s">
        <v>67</v>
      </c>
      <c r="C705" s="7">
        <v>5200</v>
      </c>
      <c r="D705" t="s">
        <v>6</v>
      </c>
      <c r="E705" s="8">
        <f>E704+F705</f>
        <v>108240</v>
      </c>
      <c r="F705" s="8">
        <f>IF($D705="CR01",$C705,0)</f>
        <v>5200</v>
      </c>
      <c r="G705" s="8">
        <f>G704+H705</f>
        <v>0</v>
      </c>
      <c r="H705" s="8">
        <f>IF($D705="VISA",$C705,0)</f>
        <v>0</v>
      </c>
      <c r="I705" s="8">
        <f>I704+J705</f>
        <v>0</v>
      </c>
      <c r="J705" s="8">
        <f>IF($D705="ACC",$C705,0)</f>
        <v>0</v>
      </c>
      <c r="K705" s="8">
        <f>K704+L705</f>
        <v>0</v>
      </c>
      <c r="L705" s="8">
        <f>IF($D705="CBB",$C705,0)</f>
        <v>0</v>
      </c>
    </row>
    <row r="706" spans="1:12" x14ac:dyDescent="0.25">
      <c r="A706" s="6">
        <v>41877</v>
      </c>
      <c r="B706" t="s">
        <v>42</v>
      </c>
      <c r="C706" s="7">
        <v>-2806</v>
      </c>
      <c r="D706" t="s">
        <v>6</v>
      </c>
      <c r="E706" s="8">
        <f>E705+F706</f>
        <v>105434</v>
      </c>
      <c r="F706" s="8">
        <f>IF($D706="CR01",$C706,0)</f>
        <v>-2806</v>
      </c>
      <c r="G706" s="8">
        <f>G705+H706</f>
        <v>0</v>
      </c>
      <c r="H706" s="8">
        <f>IF($D706="VISA",$C706,0)</f>
        <v>0</v>
      </c>
      <c r="I706" s="8">
        <f>I705+J706</f>
        <v>0</v>
      </c>
      <c r="J706" s="8">
        <f>IF($D706="ACC",$C706,0)</f>
        <v>0</v>
      </c>
      <c r="K706" s="8">
        <f>K705+L706</f>
        <v>0</v>
      </c>
      <c r="L706" s="8">
        <f>IF($D706="CBB",$C706,0)</f>
        <v>0</v>
      </c>
    </row>
    <row r="707" spans="1:12" x14ac:dyDescent="0.25">
      <c r="A707" s="6">
        <v>41877</v>
      </c>
      <c r="B707" t="s">
        <v>48</v>
      </c>
      <c r="C707" s="7">
        <v>-100</v>
      </c>
      <c r="D707" t="s">
        <v>6</v>
      </c>
      <c r="E707" s="8">
        <f>E706+F707</f>
        <v>105334</v>
      </c>
      <c r="F707" s="8">
        <f>IF($D707="CR01",$C707,0)</f>
        <v>-100</v>
      </c>
      <c r="G707" s="8">
        <f>G706+H707</f>
        <v>0</v>
      </c>
      <c r="H707" s="8">
        <f>IF($D707="VISA",$C707,0)</f>
        <v>0</v>
      </c>
      <c r="I707" s="8">
        <f>I706+J707</f>
        <v>0</v>
      </c>
      <c r="J707" s="8">
        <f>IF($D707="ACC",$C707,0)</f>
        <v>0</v>
      </c>
      <c r="K707" s="8">
        <f>K706+L707</f>
        <v>0</v>
      </c>
      <c r="L707" s="8">
        <f>IF($D707="CBB",$C707,0)</f>
        <v>0</v>
      </c>
    </row>
    <row r="708" spans="1:12" x14ac:dyDescent="0.25">
      <c r="A708" s="6">
        <v>41878</v>
      </c>
      <c r="B708" t="s">
        <v>47</v>
      </c>
      <c r="C708" s="7">
        <v>-120</v>
      </c>
      <c r="D708" t="s">
        <v>6</v>
      </c>
      <c r="E708" s="8">
        <f>E707+F708</f>
        <v>105214</v>
      </c>
      <c r="F708" s="8">
        <f>IF($D708="CR01",$C708,0)</f>
        <v>-120</v>
      </c>
      <c r="G708" s="8">
        <f>G707+H708</f>
        <v>0</v>
      </c>
      <c r="H708" s="8">
        <f>IF($D708="VISA",$C708,0)</f>
        <v>0</v>
      </c>
      <c r="I708" s="8">
        <f>I707+J708</f>
        <v>0</v>
      </c>
      <c r="J708" s="8">
        <f>IF($D708="ACC",$C708,0)</f>
        <v>0</v>
      </c>
      <c r="K708" s="8">
        <f>K707+L708</f>
        <v>0</v>
      </c>
      <c r="L708" s="8">
        <f>IF($D708="CBB",$C708,0)</f>
        <v>0</v>
      </c>
    </row>
    <row r="709" spans="1:12" x14ac:dyDescent="0.25">
      <c r="A709" s="6">
        <v>41879</v>
      </c>
      <c r="B709" t="s">
        <v>44</v>
      </c>
      <c r="C709" s="7">
        <v>-400</v>
      </c>
      <c r="D709" t="s">
        <v>6</v>
      </c>
      <c r="E709" s="8">
        <f>E708+F709</f>
        <v>104814</v>
      </c>
      <c r="F709" s="8">
        <f>IF($D709="CR01",$C709,0)</f>
        <v>-400</v>
      </c>
      <c r="G709" s="8">
        <f>G708+H709</f>
        <v>0</v>
      </c>
      <c r="H709" s="8">
        <f>IF($D709="VISA",$C709,0)</f>
        <v>0</v>
      </c>
      <c r="I709" s="8">
        <f>I708+J709</f>
        <v>0</v>
      </c>
      <c r="J709" s="8">
        <f>IF($D709="ACC",$C709,0)</f>
        <v>0</v>
      </c>
      <c r="K709" s="8">
        <f>K708+L709</f>
        <v>0</v>
      </c>
      <c r="L709" s="8">
        <f>IF($D709="CBB",$C709,0)</f>
        <v>0</v>
      </c>
    </row>
    <row r="710" spans="1:12" x14ac:dyDescent="0.25">
      <c r="A710" s="6">
        <v>41879</v>
      </c>
      <c r="B710" t="s">
        <v>45</v>
      </c>
      <c r="C710" s="7">
        <v>-180</v>
      </c>
      <c r="D710" t="s">
        <v>6</v>
      </c>
      <c r="E710" s="8">
        <f>E709+F710</f>
        <v>104634</v>
      </c>
      <c r="F710" s="8">
        <f>IF($D710="CR01",$C710,0)</f>
        <v>-180</v>
      </c>
      <c r="G710" s="8">
        <f>G709+H710</f>
        <v>0</v>
      </c>
      <c r="H710" s="8">
        <f>IF($D710="VISA",$C710,0)</f>
        <v>0</v>
      </c>
      <c r="I710" s="8">
        <f>I709+J710</f>
        <v>0</v>
      </c>
      <c r="J710" s="8">
        <f>IF($D710="ACC",$C710,0)</f>
        <v>0</v>
      </c>
      <c r="K710" s="8">
        <f>K709+L710</f>
        <v>0</v>
      </c>
      <c r="L710" s="8">
        <f>IF($D710="CBB",$C710,0)</f>
        <v>0</v>
      </c>
    </row>
    <row r="711" spans="1:12" x14ac:dyDescent="0.25">
      <c r="A711" s="6">
        <v>41879</v>
      </c>
      <c r="B711" t="s">
        <v>46</v>
      </c>
      <c r="C711" s="7">
        <v>-300</v>
      </c>
      <c r="D711" t="s">
        <v>6</v>
      </c>
      <c r="E711" s="8">
        <f>E710+F711</f>
        <v>104334</v>
      </c>
      <c r="F711" s="8">
        <f>IF($D711="CR01",$C711,0)</f>
        <v>-300</v>
      </c>
      <c r="G711" s="8">
        <f>G710+H711</f>
        <v>0</v>
      </c>
      <c r="H711" s="8">
        <f>IF($D711="VISA",$C711,0)</f>
        <v>0</v>
      </c>
      <c r="I711" s="8">
        <f>I710+J711</f>
        <v>0</v>
      </c>
      <c r="J711" s="8">
        <f>IF($D711="ACC",$C711,0)</f>
        <v>0</v>
      </c>
      <c r="K711" s="8">
        <f>K710+L711</f>
        <v>0</v>
      </c>
      <c r="L711" s="8">
        <f>IF($D711="CBB",$C711,0)</f>
        <v>0</v>
      </c>
    </row>
    <row r="712" spans="1:12" x14ac:dyDescent="0.25">
      <c r="A712" s="6">
        <v>41880</v>
      </c>
      <c r="B712" t="s">
        <v>43</v>
      </c>
      <c r="C712" s="7">
        <v>3226</v>
      </c>
      <c r="D712" t="s">
        <v>6</v>
      </c>
      <c r="E712" s="8">
        <f>E711+F712</f>
        <v>107560</v>
      </c>
      <c r="F712" s="8">
        <f>IF($D712="CR01",$C712,0)</f>
        <v>3226</v>
      </c>
      <c r="G712" s="8">
        <f>G711+H712</f>
        <v>0</v>
      </c>
      <c r="H712" s="8">
        <f>IF($D712="VISA",$C712,0)</f>
        <v>0</v>
      </c>
      <c r="I712" s="8">
        <f>I711+J712</f>
        <v>0</v>
      </c>
      <c r="J712" s="8">
        <f>IF($D712="ACC",$C712,0)</f>
        <v>0</v>
      </c>
      <c r="K712" s="8">
        <f>K711+L712</f>
        <v>0</v>
      </c>
      <c r="L712" s="8">
        <f>IF($D712="CBB",$C712,0)</f>
        <v>0</v>
      </c>
    </row>
    <row r="713" spans="1:12" x14ac:dyDescent="0.25">
      <c r="A713" s="6">
        <v>41883</v>
      </c>
      <c r="B713" t="s">
        <v>58</v>
      </c>
      <c r="C713" s="7">
        <v>-200</v>
      </c>
      <c r="D713" t="s">
        <v>6</v>
      </c>
      <c r="E713" s="8">
        <f>E712+F713</f>
        <v>107360</v>
      </c>
      <c r="F713" s="8">
        <f>IF($D713="CR01",$C713,0)</f>
        <v>-200</v>
      </c>
      <c r="G713" s="8">
        <f>G712+H713</f>
        <v>0</v>
      </c>
      <c r="H713" s="8">
        <f>IF($D713="VISA",$C713,0)</f>
        <v>0</v>
      </c>
      <c r="I713" s="8">
        <f>I712+J713</f>
        <v>0</v>
      </c>
      <c r="J713" s="8">
        <f>IF($D713="ACC",$C713,0)</f>
        <v>0</v>
      </c>
      <c r="K713" s="8">
        <f>K712+L713</f>
        <v>0</v>
      </c>
      <c r="L713" s="8">
        <f>IF($D713="CBB",$C713,0)</f>
        <v>0</v>
      </c>
    </row>
    <row r="714" spans="1:12" x14ac:dyDescent="0.25">
      <c r="A714" s="6">
        <v>41883</v>
      </c>
      <c r="B714" t="s">
        <v>60</v>
      </c>
      <c r="C714" s="7">
        <v>-400</v>
      </c>
      <c r="D714" t="s">
        <v>6</v>
      </c>
      <c r="E714" s="8">
        <f>E713+F714</f>
        <v>106960</v>
      </c>
      <c r="F714" s="8">
        <f>IF($D714="CR01",$C714,0)</f>
        <v>-400</v>
      </c>
      <c r="G714" s="8">
        <f>G713+H714</f>
        <v>0</v>
      </c>
      <c r="H714" s="8">
        <f>IF($D714="VISA",$C714,0)</f>
        <v>0</v>
      </c>
      <c r="I714" s="8">
        <f>I713+J714</f>
        <v>0</v>
      </c>
      <c r="J714" s="8">
        <f>IF($D714="ACC",$C714,0)</f>
        <v>0</v>
      </c>
      <c r="K714" s="8">
        <f>K713+L714</f>
        <v>0</v>
      </c>
      <c r="L714" s="8">
        <f>IF($D714="CBB",$C714,0)</f>
        <v>0</v>
      </c>
    </row>
    <row r="715" spans="1:12" x14ac:dyDescent="0.25">
      <c r="A715" s="6">
        <v>41883</v>
      </c>
      <c r="B715" t="s">
        <v>64</v>
      </c>
      <c r="C715" s="7">
        <v>-26</v>
      </c>
      <c r="D715" t="s">
        <v>6</v>
      </c>
      <c r="E715" s="8">
        <f>E714+F715</f>
        <v>106934</v>
      </c>
      <c r="F715" s="8">
        <f>IF($D715="CR01",$C715,0)</f>
        <v>-26</v>
      </c>
      <c r="G715" s="8">
        <f>G714+H715</f>
        <v>0</v>
      </c>
      <c r="H715" s="8">
        <f>IF($D715="VISA",$C715,0)</f>
        <v>0</v>
      </c>
      <c r="I715" s="8">
        <f>I714+J715</f>
        <v>0</v>
      </c>
      <c r="J715" s="8">
        <f>IF($D715="ACC",$C715,0)</f>
        <v>0</v>
      </c>
      <c r="K715" s="8">
        <f>K714+L715</f>
        <v>0</v>
      </c>
      <c r="L715" s="8">
        <f>IF($D715="CBB",$C715,0)</f>
        <v>0</v>
      </c>
    </row>
    <row r="716" spans="1:12" x14ac:dyDescent="0.25">
      <c r="A716" s="6">
        <v>41883</v>
      </c>
      <c r="B716" t="s">
        <v>65</v>
      </c>
      <c r="C716" s="7">
        <v>-240</v>
      </c>
      <c r="D716" t="s">
        <v>6</v>
      </c>
      <c r="E716" s="8">
        <f>E715+F716</f>
        <v>106694</v>
      </c>
      <c r="F716" s="8">
        <f>IF($D716="CR01",$C716,0)</f>
        <v>-240</v>
      </c>
      <c r="G716" s="8">
        <f>G715+H716</f>
        <v>0</v>
      </c>
      <c r="H716" s="8">
        <f>IF($D716="VISA",$C716,0)</f>
        <v>0</v>
      </c>
      <c r="I716" s="8">
        <f>I715+J716</f>
        <v>0</v>
      </c>
      <c r="J716" s="8">
        <f>IF($D716="ACC",$C716,0)</f>
        <v>0</v>
      </c>
      <c r="K716" s="8">
        <f>K715+L716</f>
        <v>0</v>
      </c>
      <c r="L716" s="8">
        <f>IF($D716="CBB",$C716,0)</f>
        <v>0</v>
      </c>
    </row>
    <row r="717" spans="1:12" x14ac:dyDescent="0.25">
      <c r="A717" s="6">
        <v>41883</v>
      </c>
      <c r="B717" t="s">
        <v>66</v>
      </c>
      <c r="C717" s="7">
        <v>-120</v>
      </c>
      <c r="D717" t="s">
        <v>6</v>
      </c>
      <c r="E717" s="8">
        <f>E716+F717</f>
        <v>106574</v>
      </c>
      <c r="F717" s="8">
        <f>IF($D717="CR01",$C717,0)</f>
        <v>-120</v>
      </c>
      <c r="G717" s="8">
        <f>G716+H717</f>
        <v>0</v>
      </c>
      <c r="H717" s="8">
        <f>IF($D717="VISA",$C717,0)</f>
        <v>0</v>
      </c>
      <c r="I717" s="8">
        <f>I716+J717</f>
        <v>0</v>
      </c>
      <c r="J717" s="8">
        <f>IF($D717="ACC",$C717,0)</f>
        <v>0</v>
      </c>
      <c r="K717" s="8">
        <f>K716+L717</f>
        <v>0</v>
      </c>
      <c r="L717" s="8">
        <f>IF($D717="CBB",$C717,0)</f>
        <v>0</v>
      </c>
    </row>
    <row r="718" spans="1:12" x14ac:dyDescent="0.25">
      <c r="A718" s="6">
        <v>41884</v>
      </c>
      <c r="B718" t="s">
        <v>48</v>
      </c>
      <c r="C718" s="7">
        <v>-100</v>
      </c>
      <c r="D718" t="s">
        <v>6</v>
      </c>
      <c r="E718" s="8">
        <f>E717+F718</f>
        <v>106474</v>
      </c>
      <c r="F718" s="8">
        <f>IF($D718="CR01",$C718,0)</f>
        <v>-100</v>
      </c>
      <c r="G718" s="8">
        <f>G717+H718</f>
        <v>0</v>
      </c>
      <c r="H718" s="8">
        <f>IF($D718="VISA",$C718,0)</f>
        <v>0</v>
      </c>
      <c r="I718" s="8">
        <f>I717+J718</f>
        <v>0</v>
      </c>
      <c r="J718" s="8">
        <f>IF($D718="ACC",$C718,0)</f>
        <v>0</v>
      </c>
      <c r="K718" s="8">
        <f>K717+L718</f>
        <v>0</v>
      </c>
      <c r="L718" s="8">
        <f>IF($D718="CBB",$C718,0)</f>
        <v>0</v>
      </c>
    </row>
    <row r="719" spans="1:12" x14ac:dyDescent="0.25">
      <c r="A719" s="6">
        <v>41884</v>
      </c>
      <c r="B719" t="s">
        <v>59</v>
      </c>
      <c r="C719" s="7">
        <v>-900</v>
      </c>
      <c r="D719" t="s">
        <v>6</v>
      </c>
      <c r="E719" s="8">
        <f>E718+F719</f>
        <v>105574</v>
      </c>
      <c r="F719" s="8">
        <f>IF($D719="CR01",$C719,0)</f>
        <v>-900</v>
      </c>
      <c r="G719" s="8">
        <f>G718+H719</f>
        <v>0</v>
      </c>
      <c r="H719" s="8">
        <f>IF($D719="VISA",$C719,0)</f>
        <v>0</v>
      </c>
      <c r="I719" s="8">
        <f>I718+J719</f>
        <v>0</v>
      </c>
      <c r="J719" s="8">
        <f>IF($D719="ACC",$C719,0)</f>
        <v>0</v>
      </c>
      <c r="K719" s="8">
        <f>K718+L719</f>
        <v>0</v>
      </c>
      <c r="L719" s="8">
        <f>IF($D719="CBB",$C719,0)</f>
        <v>0</v>
      </c>
    </row>
    <row r="720" spans="1:12" x14ac:dyDescent="0.25">
      <c r="A720" s="6">
        <v>41885</v>
      </c>
      <c r="B720" t="s">
        <v>47</v>
      </c>
      <c r="C720" s="7">
        <v>-120</v>
      </c>
      <c r="D720" t="s">
        <v>6</v>
      </c>
      <c r="E720" s="8">
        <f>E719+F720</f>
        <v>105454</v>
      </c>
      <c r="F720" s="8">
        <f>IF($D720="CR01",$C720,0)</f>
        <v>-120</v>
      </c>
      <c r="G720" s="8">
        <f>G719+H720</f>
        <v>0</v>
      </c>
      <c r="H720" s="8">
        <f>IF($D720="VISA",$C720,0)</f>
        <v>0</v>
      </c>
      <c r="I720" s="8">
        <f>I719+J720</f>
        <v>0</v>
      </c>
      <c r="J720" s="8">
        <f>IF($D720="ACC",$C720,0)</f>
        <v>0</v>
      </c>
      <c r="K720" s="8">
        <f>K719+L720</f>
        <v>0</v>
      </c>
      <c r="L720" s="8">
        <f>IF($D720="CBB",$C720,0)</f>
        <v>0</v>
      </c>
    </row>
    <row r="721" spans="1:12" x14ac:dyDescent="0.25">
      <c r="A721" s="6">
        <v>41886</v>
      </c>
      <c r="B721" t="s">
        <v>44</v>
      </c>
      <c r="C721" s="7">
        <v>-400</v>
      </c>
      <c r="D721" t="s">
        <v>6</v>
      </c>
      <c r="E721" s="8">
        <f>E720+F721</f>
        <v>105054</v>
      </c>
      <c r="F721" s="8">
        <f>IF($D721="CR01",$C721,0)</f>
        <v>-400</v>
      </c>
      <c r="G721" s="8">
        <f>G720+H721</f>
        <v>0</v>
      </c>
      <c r="H721" s="8">
        <f>IF($D721="VISA",$C721,0)</f>
        <v>0</v>
      </c>
      <c r="I721" s="8">
        <f>I720+J721</f>
        <v>0</v>
      </c>
      <c r="J721" s="8">
        <f>IF($D721="ACC",$C721,0)</f>
        <v>0</v>
      </c>
      <c r="K721" s="8">
        <f>K720+L721</f>
        <v>0</v>
      </c>
      <c r="L721" s="8">
        <f>IF($D721="CBB",$C721,0)</f>
        <v>0</v>
      </c>
    </row>
    <row r="722" spans="1:12" x14ac:dyDescent="0.25">
      <c r="A722" s="6">
        <v>41886</v>
      </c>
      <c r="B722" t="s">
        <v>45</v>
      </c>
      <c r="C722" s="7">
        <v>-180</v>
      </c>
      <c r="D722" t="s">
        <v>6</v>
      </c>
      <c r="E722" s="8">
        <f>E721+F722</f>
        <v>104874</v>
      </c>
      <c r="F722" s="8">
        <f>IF($D722="CR01",$C722,0)</f>
        <v>-180</v>
      </c>
      <c r="G722" s="8">
        <f>G721+H722</f>
        <v>0</v>
      </c>
      <c r="H722" s="8">
        <f>IF($D722="VISA",$C722,0)</f>
        <v>0</v>
      </c>
      <c r="I722" s="8">
        <f>I721+J722</f>
        <v>0</v>
      </c>
      <c r="J722" s="8">
        <f>IF($D722="ACC",$C722,0)</f>
        <v>0</v>
      </c>
      <c r="K722" s="8">
        <f>K721+L722</f>
        <v>0</v>
      </c>
      <c r="L722" s="8">
        <f>IF($D722="CBB",$C722,0)</f>
        <v>0</v>
      </c>
    </row>
    <row r="723" spans="1:12" x14ac:dyDescent="0.25">
      <c r="A723" s="6">
        <v>41886</v>
      </c>
      <c r="B723" t="s">
        <v>46</v>
      </c>
      <c r="C723" s="7">
        <v>-300</v>
      </c>
      <c r="D723" t="s">
        <v>6</v>
      </c>
      <c r="E723" s="8">
        <f>E722+F723</f>
        <v>104574</v>
      </c>
      <c r="F723" s="8">
        <f>IF($D723="CR01",$C723,0)</f>
        <v>-300</v>
      </c>
      <c r="G723" s="8">
        <f>G722+H723</f>
        <v>0</v>
      </c>
      <c r="H723" s="8">
        <f>IF($D723="VISA",$C723,0)</f>
        <v>0</v>
      </c>
      <c r="I723" s="8">
        <f>I722+J723</f>
        <v>0</v>
      </c>
      <c r="J723" s="8">
        <f>IF($D723="ACC",$C723,0)</f>
        <v>0</v>
      </c>
      <c r="K723" s="8">
        <f>K722+L723</f>
        <v>0</v>
      </c>
      <c r="L723" s="8">
        <f>IF($D723="CBB",$C723,0)</f>
        <v>0</v>
      </c>
    </row>
    <row r="724" spans="1:12" x14ac:dyDescent="0.25">
      <c r="A724" s="6">
        <v>41888</v>
      </c>
      <c r="B724" t="s">
        <v>67</v>
      </c>
      <c r="C724" s="7">
        <v>5200</v>
      </c>
      <c r="D724" t="s">
        <v>6</v>
      </c>
      <c r="E724" s="8">
        <f>E723+F724</f>
        <v>109774</v>
      </c>
      <c r="F724" s="8">
        <f>IF($D724="CR01",$C724,0)</f>
        <v>5200</v>
      </c>
      <c r="G724" s="8">
        <f>G723+H724</f>
        <v>0</v>
      </c>
      <c r="H724" s="8">
        <f>IF($D724="VISA",$C724,0)</f>
        <v>0</v>
      </c>
      <c r="I724" s="8">
        <f>I723+J724</f>
        <v>0</v>
      </c>
      <c r="J724" s="8">
        <f>IF($D724="ACC",$C724,0)</f>
        <v>0</v>
      </c>
      <c r="K724" s="8">
        <f>K723+L724</f>
        <v>0</v>
      </c>
      <c r="L724" s="8">
        <f>IF($D724="CBB",$C724,0)</f>
        <v>0</v>
      </c>
    </row>
    <row r="725" spans="1:12" x14ac:dyDescent="0.25">
      <c r="A725" s="6">
        <v>41891</v>
      </c>
      <c r="B725" t="s">
        <v>42</v>
      </c>
      <c r="C725" s="7">
        <v>-2806</v>
      </c>
      <c r="D725" t="s">
        <v>6</v>
      </c>
      <c r="E725" s="8">
        <f>E724+F725</f>
        <v>106968</v>
      </c>
      <c r="F725" s="8">
        <f>IF($D725="CR01",$C725,0)</f>
        <v>-2806</v>
      </c>
      <c r="G725" s="8">
        <f>G724+H725</f>
        <v>0</v>
      </c>
      <c r="H725" s="8">
        <f>IF($D725="VISA",$C725,0)</f>
        <v>0</v>
      </c>
      <c r="I725" s="8">
        <f>I724+J725</f>
        <v>0</v>
      </c>
      <c r="J725" s="8">
        <f>IF($D725="ACC",$C725,0)</f>
        <v>0</v>
      </c>
      <c r="K725" s="8">
        <f>K724+L725</f>
        <v>0</v>
      </c>
      <c r="L725" s="8">
        <f>IF($D725="CBB",$C725,0)</f>
        <v>0</v>
      </c>
    </row>
    <row r="726" spans="1:12" x14ac:dyDescent="0.25">
      <c r="A726" s="6">
        <v>41891</v>
      </c>
      <c r="B726" t="s">
        <v>48</v>
      </c>
      <c r="C726" s="7">
        <v>-100</v>
      </c>
      <c r="D726" t="s">
        <v>6</v>
      </c>
      <c r="E726" s="8">
        <f>E725+F726</f>
        <v>106868</v>
      </c>
      <c r="F726" s="8">
        <f>IF($D726="CR01",$C726,0)</f>
        <v>-100</v>
      </c>
      <c r="G726" s="8">
        <f>G725+H726</f>
        <v>0</v>
      </c>
      <c r="H726" s="8">
        <f>IF($D726="VISA",$C726,0)</f>
        <v>0</v>
      </c>
      <c r="I726" s="8">
        <f>I725+J726</f>
        <v>0</v>
      </c>
      <c r="J726" s="8">
        <f>IF($D726="ACC",$C726,0)</f>
        <v>0</v>
      </c>
      <c r="K726" s="8">
        <f>K725+L726</f>
        <v>0</v>
      </c>
      <c r="L726" s="8">
        <f>IF($D726="CBB",$C726,0)</f>
        <v>0</v>
      </c>
    </row>
    <row r="727" spans="1:12" x14ac:dyDescent="0.25">
      <c r="A727" s="6">
        <v>41892</v>
      </c>
      <c r="B727" t="s">
        <v>47</v>
      </c>
      <c r="C727" s="7">
        <v>-120</v>
      </c>
      <c r="D727" t="s">
        <v>6</v>
      </c>
      <c r="E727" s="8">
        <f>E726+F727</f>
        <v>106748</v>
      </c>
      <c r="F727" s="8">
        <f>IF($D727="CR01",$C727,0)</f>
        <v>-120</v>
      </c>
      <c r="G727" s="8">
        <f>G726+H727</f>
        <v>0</v>
      </c>
      <c r="H727" s="8">
        <f>IF($D727="VISA",$C727,0)</f>
        <v>0</v>
      </c>
      <c r="I727" s="8">
        <f>I726+J727</f>
        <v>0</v>
      </c>
      <c r="J727" s="8">
        <f>IF($D727="ACC",$C727,0)</f>
        <v>0</v>
      </c>
      <c r="K727" s="8">
        <f>K726+L727</f>
        <v>0</v>
      </c>
      <c r="L727" s="8">
        <f>IF($D727="CBB",$C727,0)</f>
        <v>0</v>
      </c>
    </row>
    <row r="728" spans="1:12" x14ac:dyDescent="0.25">
      <c r="A728" s="6">
        <v>41893</v>
      </c>
      <c r="B728" t="s">
        <v>44</v>
      </c>
      <c r="C728" s="7">
        <v>-400</v>
      </c>
      <c r="D728" t="s">
        <v>6</v>
      </c>
      <c r="E728" s="8">
        <f>E727+F728</f>
        <v>106348</v>
      </c>
      <c r="F728" s="8">
        <f>IF($D728="CR01",$C728,0)</f>
        <v>-400</v>
      </c>
      <c r="G728" s="8">
        <f>G727+H728</f>
        <v>0</v>
      </c>
      <c r="H728" s="8">
        <f>IF($D728="VISA",$C728,0)</f>
        <v>0</v>
      </c>
      <c r="I728" s="8">
        <f>I727+J728</f>
        <v>0</v>
      </c>
      <c r="J728" s="8">
        <f>IF($D728="ACC",$C728,0)</f>
        <v>0</v>
      </c>
      <c r="K728" s="8">
        <f>K727+L728</f>
        <v>0</v>
      </c>
      <c r="L728" s="8">
        <f>IF($D728="CBB",$C728,0)</f>
        <v>0</v>
      </c>
    </row>
    <row r="729" spans="1:12" x14ac:dyDescent="0.25">
      <c r="A729" s="6">
        <v>41893</v>
      </c>
      <c r="B729" t="s">
        <v>45</v>
      </c>
      <c r="C729" s="7">
        <v>-180</v>
      </c>
      <c r="D729" t="s">
        <v>6</v>
      </c>
      <c r="E729" s="8">
        <f>E728+F729</f>
        <v>106168</v>
      </c>
      <c r="F729" s="8">
        <f>IF($D729="CR01",$C729,0)</f>
        <v>-180</v>
      </c>
      <c r="G729" s="8">
        <f>G728+H729</f>
        <v>0</v>
      </c>
      <c r="H729" s="8">
        <f>IF($D729="VISA",$C729,0)</f>
        <v>0</v>
      </c>
      <c r="I729" s="8">
        <f>I728+J729</f>
        <v>0</v>
      </c>
      <c r="J729" s="8">
        <f>IF($D729="ACC",$C729,0)</f>
        <v>0</v>
      </c>
      <c r="K729" s="8">
        <f>K728+L729</f>
        <v>0</v>
      </c>
      <c r="L729" s="8">
        <f>IF($D729="CBB",$C729,0)</f>
        <v>0</v>
      </c>
    </row>
    <row r="730" spans="1:12" x14ac:dyDescent="0.25">
      <c r="A730" s="6">
        <v>41893</v>
      </c>
      <c r="B730" t="s">
        <v>46</v>
      </c>
      <c r="C730" s="7">
        <v>-300</v>
      </c>
      <c r="D730" t="s">
        <v>6</v>
      </c>
      <c r="E730" s="8">
        <f>E729+F730</f>
        <v>105868</v>
      </c>
      <c r="F730" s="8">
        <f>IF($D730="CR01",$C730,0)</f>
        <v>-300</v>
      </c>
      <c r="G730" s="8">
        <f>G729+H730</f>
        <v>0</v>
      </c>
      <c r="H730" s="8">
        <f>IF($D730="VISA",$C730,0)</f>
        <v>0</v>
      </c>
      <c r="I730" s="8">
        <f>I729+J730</f>
        <v>0</v>
      </c>
      <c r="J730" s="8">
        <f>IF($D730="ACC",$C730,0)</f>
        <v>0</v>
      </c>
      <c r="K730" s="8">
        <f>K729+L730</f>
        <v>0</v>
      </c>
      <c r="L730" s="8">
        <f>IF($D730="CBB",$C730,0)</f>
        <v>0</v>
      </c>
    </row>
    <row r="731" spans="1:12" x14ac:dyDescent="0.25">
      <c r="A731" s="6">
        <v>41894</v>
      </c>
      <c r="B731" t="s">
        <v>43</v>
      </c>
      <c r="C731" s="7">
        <v>3226</v>
      </c>
      <c r="D731" t="s">
        <v>6</v>
      </c>
      <c r="E731" s="8">
        <f>E730+F731</f>
        <v>109094</v>
      </c>
      <c r="F731" s="8">
        <f>IF($D731="CR01",$C731,0)</f>
        <v>3226</v>
      </c>
      <c r="G731" s="8">
        <f>G730+H731</f>
        <v>0</v>
      </c>
      <c r="H731" s="8">
        <f>IF($D731="VISA",$C731,0)</f>
        <v>0</v>
      </c>
      <c r="I731" s="8">
        <f>I730+J731</f>
        <v>0</v>
      </c>
      <c r="J731" s="8">
        <f>IF($D731="ACC",$C731,0)</f>
        <v>0</v>
      </c>
      <c r="K731" s="8">
        <f>K730+L731</f>
        <v>0</v>
      </c>
      <c r="L731" s="8">
        <f>IF($D731="CBB",$C731,0)</f>
        <v>0</v>
      </c>
    </row>
    <row r="732" spans="1:12" x14ac:dyDescent="0.25">
      <c r="A732" s="6">
        <v>41898</v>
      </c>
      <c r="B732" t="s">
        <v>48</v>
      </c>
      <c r="C732" s="7">
        <v>-100</v>
      </c>
      <c r="D732" t="s">
        <v>6</v>
      </c>
      <c r="E732" s="8">
        <f>E731+F732</f>
        <v>108994</v>
      </c>
      <c r="F732" s="8">
        <f>IF($D732="CR01",$C732,0)</f>
        <v>-100</v>
      </c>
      <c r="G732" s="8">
        <f>G731+H732</f>
        <v>0</v>
      </c>
      <c r="H732" s="8">
        <f>IF($D732="VISA",$C732,0)</f>
        <v>0</v>
      </c>
      <c r="I732" s="8">
        <f>I731+J732</f>
        <v>0</v>
      </c>
      <c r="J732" s="8">
        <f>IF($D732="ACC",$C732,0)</f>
        <v>0</v>
      </c>
      <c r="K732" s="8">
        <f>K731+L732</f>
        <v>0</v>
      </c>
      <c r="L732" s="8">
        <f>IF($D732="CBB",$C732,0)</f>
        <v>0</v>
      </c>
    </row>
    <row r="733" spans="1:12" x14ac:dyDescent="0.25">
      <c r="A733" s="6">
        <v>41899</v>
      </c>
      <c r="B733" t="s">
        <v>47</v>
      </c>
      <c r="C733" s="7">
        <v>-120</v>
      </c>
      <c r="D733" t="s">
        <v>6</v>
      </c>
      <c r="E733" s="8">
        <f>E732+F733</f>
        <v>108874</v>
      </c>
      <c r="F733" s="8">
        <f>IF($D733="CR01",$C733,0)</f>
        <v>-120</v>
      </c>
      <c r="G733" s="8">
        <f>G732+H733</f>
        <v>0</v>
      </c>
      <c r="H733" s="8">
        <f>IF($D733="VISA",$C733,0)</f>
        <v>0</v>
      </c>
      <c r="I733" s="8">
        <f>I732+J733</f>
        <v>0</v>
      </c>
      <c r="J733" s="8">
        <f>IF($D733="ACC",$C733,0)</f>
        <v>0</v>
      </c>
      <c r="K733" s="8">
        <f>K732+L733</f>
        <v>0</v>
      </c>
      <c r="L733" s="8">
        <f>IF($D733="CBB",$C733,0)</f>
        <v>0</v>
      </c>
    </row>
    <row r="734" spans="1:12" x14ac:dyDescent="0.25">
      <c r="A734" s="6">
        <v>41900</v>
      </c>
      <c r="B734" t="s">
        <v>44</v>
      </c>
      <c r="C734" s="7">
        <v>-400</v>
      </c>
      <c r="D734" t="s">
        <v>6</v>
      </c>
      <c r="E734" s="8">
        <f>E733+F734</f>
        <v>108474</v>
      </c>
      <c r="F734" s="8">
        <f>IF($D734="CR01",$C734,0)</f>
        <v>-400</v>
      </c>
      <c r="G734" s="8">
        <f>G733+H734</f>
        <v>0</v>
      </c>
      <c r="H734" s="8">
        <f>IF($D734="VISA",$C734,0)</f>
        <v>0</v>
      </c>
      <c r="I734" s="8">
        <f>I733+J734</f>
        <v>0</v>
      </c>
      <c r="J734" s="8">
        <f>IF($D734="ACC",$C734,0)</f>
        <v>0</v>
      </c>
      <c r="K734" s="8">
        <f>K733+L734</f>
        <v>0</v>
      </c>
      <c r="L734" s="8">
        <f>IF($D734="CBB",$C734,0)</f>
        <v>0</v>
      </c>
    </row>
    <row r="735" spans="1:12" x14ac:dyDescent="0.25">
      <c r="A735" s="6">
        <v>41900</v>
      </c>
      <c r="B735" t="s">
        <v>45</v>
      </c>
      <c r="C735" s="7">
        <v>-180</v>
      </c>
      <c r="D735" t="s">
        <v>6</v>
      </c>
      <c r="E735" s="8">
        <f>E734+F735</f>
        <v>108294</v>
      </c>
      <c r="F735" s="8">
        <f>IF($D735="CR01",$C735,0)</f>
        <v>-180</v>
      </c>
      <c r="G735" s="8">
        <f>G734+H735</f>
        <v>0</v>
      </c>
      <c r="H735" s="8">
        <f>IF($D735="VISA",$C735,0)</f>
        <v>0</v>
      </c>
      <c r="I735" s="8">
        <f>I734+J735</f>
        <v>0</v>
      </c>
      <c r="J735" s="8">
        <f>IF($D735="ACC",$C735,0)</f>
        <v>0</v>
      </c>
      <c r="K735" s="8">
        <f>K734+L735</f>
        <v>0</v>
      </c>
      <c r="L735" s="8">
        <f>IF($D735="CBB",$C735,0)</f>
        <v>0</v>
      </c>
    </row>
    <row r="736" spans="1:12" x14ac:dyDescent="0.25">
      <c r="A736" s="6">
        <v>41900</v>
      </c>
      <c r="B736" t="s">
        <v>46</v>
      </c>
      <c r="C736" s="7">
        <v>-300</v>
      </c>
      <c r="D736" t="s">
        <v>6</v>
      </c>
      <c r="E736" s="8">
        <f>E735+F736</f>
        <v>107994</v>
      </c>
      <c r="F736" s="8">
        <f>IF($D736="CR01",$C736,0)</f>
        <v>-300</v>
      </c>
      <c r="G736" s="8">
        <f>G735+H736</f>
        <v>0</v>
      </c>
      <c r="H736" s="8">
        <f>IF($D736="VISA",$C736,0)</f>
        <v>0</v>
      </c>
      <c r="I736" s="8">
        <f>I735+J736</f>
        <v>0</v>
      </c>
      <c r="J736" s="8">
        <f>IF($D736="ACC",$C736,0)</f>
        <v>0</v>
      </c>
      <c r="K736" s="8">
        <f>K735+L736</f>
        <v>0</v>
      </c>
      <c r="L736" s="8">
        <f>IF($D736="CBB",$C736,0)</f>
        <v>0</v>
      </c>
    </row>
    <row r="737" spans="1:12" x14ac:dyDescent="0.25">
      <c r="A737" s="6">
        <v>41902</v>
      </c>
      <c r="B737" t="s">
        <v>67</v>
      </c>
      <c r="C737" s="7">
        <v>5200</v>
      </c>
      <c r="D737" t="s">
        <v>6</v>
      </c>
      <c r="E737" s="8">
        <f>E736+F737</f>
        <v>113194</v>
      </c>
      <c r="F737" s="8">
        <f>IF($D737="CR01",$C737,0)</f>
        <v>5200</v>
      </c>
      <c r="G737" s="8">
        <f>G736+H737</f>
        <v>0</v>
      </c>
      <c r="H737" s="8">
        <f>IF($D737="VISA",$C737,0)</f>
        <v>0</v>
      </c>
      <c r="I737" s="8">
        <f>I736+J737</f>
        <v>0</v>
      </c>
      <c r="J737" s="8">
        <f>IF($D737="ACC",$C737,0)</f>
        <v>0</v>
      </c>
      <c r="K737" s="8">
        <f>K736+L737</f>
        <v>0</v>
      </c>
      <c r="L737" s="8">
        <f>IF($D737="CBB",$C737,0)</f>
        <v>0</v>
      </c>
    </row>
    <row r="738" spans="1:12" x14ac:dyDescent="0.25">
      <c r="A738" s="6">
        <v>41905</v>
      </c>
      <c r="B738" t="s">
        <v>42</v>
      </c>
      <c r="C738" s="7">
        <v>-2806</v>
      </c>
      <c r="D738" t="s">
        <v>6</v>
      </c>
      <c r="E738" s="8">
        <f>E737+F738</f>
        <v>110388</v>
      </c>
      <c r="F738" s="8">
        <f>IF($D738="CR01",$C738,0)</f>
        <v>-2806</v>
      </c>
      <c r="G738" s="8">
        <f>G737+H738</f>
        <v>0</v>
      </c>
      <c r="H738" s="8">
        <f>IF($D738="VISA",$C738,0)</f>
        <v>0</v>
      </c>
      <c r="I738" s="8">
        <f>I737+J738</f>
        <v>0</v>
      </c>
      <c r="J738" s="8">
        <f>IF($D738="ACC",$C738,0)</f>
        <v>0</v>
      </c>
      <c r="K738" s="8">
        <f>K737+L738</f>
        <v>0</v>
      </c>
      <c r="L738" s="8">
        <f>IF($D738="CBB",$C738,0)</f>
        <v>0</v>
      </c>
    </row>
    <row r="739" spans="1:12" x14ac:dyDescent="0.25">
      <c r="A739" s="6">
        <v>41905</v>
      </c>
      <c r="B739" t="s">
        <v>48</v>
      </c>
      <c r="C739" s="7">
        <v>-100</v>
      </c>
      <c r="D739" t="s">
        <v>6</v>
      </c>
      <c r="E739" s="8">
        <f>E738+F739</f>
        <v>110288</v>
      </c>
      <c r="F739" s="8">
        <f>IF($D739="CR01",$C739,0)</f>
        <v>-100</v>
      </c>
      <c r="G739" s="8">
        <f>G738+H739</f>
        <v>0</v>
      </c>
      <c r="H739" s="8">
        <f>IF($D739="VISA",$C739,0)</f>
        <v>0</v>
      </c>
      <c r="I739" s="8">
        <f>I738+J739</f>
        <v>0</v>
      </c>
      <c r="J739" s="8">
        <f>IF($D739="ACC",$C739,0)</f>
        <v>0</v>
      </c>
      <c r="K739" s="8">
        <f>K738+L739</f>
        <v>0</v>
      </c>
      <c r="L739" s="8">
        <f>IF($D739="CBB",$C739,0)</f>
        <v>0</v>
      </c>
    </row>
    <row r="740" spans="1:12" x14ac:dyDescent="0.25">
      <c r="A740" s="6">
        <v>41906</v>
      </c>
      <c r="B740" t="s">
        <v>47</v>
      </c>
      <c r="C740" s="7">
        <v>-120</v>
      </c>
      <c r="D740" t="s">
        <v>6</v>
      </c>
      <c r="E740" s="8">
        <f>E739+F740</f>
        <v>110168</v>
      </c>
      <c r="F740" s="8">
        <f>IF($D740="CR01",$C740,0)</f>
        <v>-120</v>
      </c>
      <c r="G740" s="8">
        <f>G739+H740</f>
        <v>0</v>
      </c>
      <c r="H740" s="8">
        <f>IF($D740="VISA",$C740,0)</f>
        <v>0</v>
      </c>
      <c r="I740" s="8">
        <f>I739+J740</f>
        <v>0</v>
      </c>
      <c r="J740" s="8">
        <f>IF($D740="ACC",$C740,0)</f>
        <v>0</v>
      </c>
      <c r="K740" s="8">
        <f>K739+L740</f>
        <v>0</v>
      </c>
      <c r="L740" s="8">
        <f>IF($D740="CBB",$C740,0)</f>
        <v>0</v>
      </c>
    </row>
    <row r="741" spans="1:12" x14ac:dyDescent="0.25">
      <c r="A741" s="6">
        <v>41907</v>
      </c>
      <c r="B741" t="s">
        <v>44</v>
      </c>
      <c r="C741" s="7">
        <v>-400</v>
      </c>
      <c r="D741" t="s">
        <v>6</v>
      </c>
      <c r="E741" s="8">
        <f>E740+F741</f>
        <v>109768</v>
      </c>
      <c r="F741" s="8">
        <f>IF($D741="CR01",$C741,0)</f>
        <v>-400</v>
      </c>
      <c r="G741" s="8">
        <f>G740+H741</f>
        <v>0</v>
      </c>
      <c r="H741" s="8">
        <f>IF($D741="VISA",$C741,0)</f>
        <v>0</v>
      </c>
      <c r="I741" s="8">
        <f>I740+J741</f>
        <v>0</v>
      </c>
      <c r="J741" s="8">
        <f>IF($D741="ACC",$C741,0)</f>
        <v>0</v>
      </c>
      <c r="K741" s="8">
        <f>K740+L741</f>
        <v>0</v>
      </c>
      <c r="L741" s="8">
        <f>IF($D741="CBB",$C741,0)</f>
        <v>0</v>
      </c>
    </row>
    <row r="742" spans="1:12" x14ac:dyDescent="0.25">
      <c r="A742" s="6">
        <v>41907</v>
      </c>
      <c r="B742" t="s">
        <v>45</v>
      </c>
      <c r="C742" s="7">
        <v>-180</v>
      </c>
      <c r="D742" t="s">
        <v>6</v>
      </c>
      <c r="E742" s="8">
        <f>E741+F742</f>
        <v>109588</v>
      </c>
      <c r="F742" s="8">
        <f>IF($D742="CR01",$C742,0)</f>
        <v>-180</v>
      </c>
      <c r="G742" s="8">
        <f>G741+H742</f>
        <v>0</v>
      </c>
      <c r="H742" s="8">
        <f>IF($D742="VISA",$C742,0)</f>
        <v>0</v>
      </c>
      <c r="I742" s="8">
        <f>I741+J742</f>
        <v>0</v>
      </c>
      <c r="J742" s="8">
        <f>IF($D742="ACC",$C742,0)</f>
        <v>0</v>
      </c>
      <c r="K742" s="8">
        <f>K741+L742</f>
        <v>0</v>
      </c>
      <c r="L742" s="8">
        <f>IF($D742="CBB",$C742,0)</f>
        <v>0</v>
      </c>
    </row>
    <row r="743" spans="1:12" x14ac:dyDescent="0.25">
      <c r="A743" s="6">
        <v>41907</v>
      </c>
      <c r="B743" t="s">
        <v>46</v>
      </c>
      <c r="C743" s="7">
        <v>-300</v>
      </c>
      <c r="D743" t="s">
        <v>6</v>
      </c>
      <c r="E743" s="8">
        <f>E742+F743</f>
        <v>109288</v>
      </c>
      <c r="F743" s="8">
        <f>IF($D743="CR01",$C743,0)</f>
        <v>-300</v>
      </c>
      <c r="G743" s="8">
        <f>G742+H743</f>
        <v>0</v>
      </c>
      <c r="H743" s="8">
        <f>IF($D743="VISA",$C743,0)</f>
        <v>0</v>
      </c>
      <c r="I743" s="8">
        <f>I742+J743</f>
        <v>0</v>
      </c>
      <c r="J743" s="8">
        <f>IF($D743="ACC",$C743,0)</f>
        <v>0</v>
      </c>
      <c r="K743" s="8">
        <f>K742+L743</f>
        <v>0</v>
      </c>
      <c r="L743" s="8">
        <f>IF($D743="CBB",$C743,0)</f>
        <v>0</v>
      </c>
    </row>
    <row r="744" spans="1:12" x14ac:dyDescent="0.25">
      <c r="A744" s="6">
        <v>41908</v>
      </c>
      <c r="B744" t="s">
        <v>43</v>
      </c>
      <c r="C744" s="7">
        <v>3226</v>
      </c>
      <c r="D744" t="s">
        <v>6</v>
      </c>
      <c r="E744" s="8">
        <f>E743+F744</f>
        <v>112514</v>
      </c>
      <c r="F744" s="8">
        <f>IF($D744="CR01",$C744,0)</f>
        <v>3226</v>
      </c>
      <c r="G744" s="8">
        <f>G743+H744</f>
        <v>0</v>
      </c>
      <c r="H744" s="8">
        <f>IF($D744="VISA",$C744,0)</f>
        <v>0</v>
      </c>
      <c r="I744" s="8">
        <f>I743+J744</f>
        <v>0</v>
      </c>
      <c r="J744" s="8">
        <f>IF($D744="ACC",$C744,0)</f>
        <v>0</v>
      </c>
      <c r="K744" s="8">
        <f>K743+L744</f>
        <v>0</v>
      </c>
      <c r="L744" s="8">
        <f>IF($D744="CBB",$C744,0)</f>
        <v>0</v>
      </c>
    </row>
    <row r="745" spans="1:12" x14ac:dyDescent="0.25">
      <c r="A745" s="6">
        <v>41912</v>
      </c>
      <c r="B745" t="s">
        <v>48</v>
      </c>
      <c r="C745" s="7">
        <v>-100</v>
      </c>
      <c r="D745" t="s">
        <v>6</v>
      </c>
      <c r="E745" s="8">
        <f>E744+F745</f>
        <v>112414</v>
      </c>
      <c r="F745" s="8">
        <f>IF($D745="CR01",$C745,0)</f>
        <v>-100</v>
      </c>
      <c r="G745" s="8">
        <f>G744+H745</f>
        <v>0</v>
      </c>
      <c r="H745" s="8">
        <f>IF($D745="VISA",$C745,0)</f>
        <v>0</v>
      </c>
      <c r="I745" s="8">
        <f>I744+J745</f>
        <v>0</v>
      </c>
      <c r="J745" s="8">
        <f>IF($D745="ACC",$C745,0)</f>
        <v>0</v>
      </c>
      <c r="K745" s="8">
        <f>K744+L745</f>
        <v>0</v>
      </c>
      <c r="L745" s="8">
        <f>IF($D745="CBB",$C745,0)</f>
        <v>0</v>
      </c>
    </row>
    <row r="746" spans="1:12" x14ac:dyDescent="0.25">
      <c r="A746" s="6">
        <v>41913</v>
      </c>
      <c r="B746" t="s">
        <v>47</v>
      </c>
      <c r="C746" s="7">
        <v>-120</v>
      </c>
      <c r="D746" t="s">
        <v>6</v>
      </c>
      <c r="E746" s="8">
        <f>E745+F746</f>
        <v>112294</v>
      </c>
      <c r="F746" s="8">
        <f>IF($D746="CR01",$C746,0)</f>
        <v>-120</v>
      </c>
      <c r="G746" s="8">
        <f>G745+H746</f>
        <v>0</v>
      </c>
      <c r="H746" s="8">
        <f>IF($D746="VISA",$C746,0)</f>
        <v>0</v>
      </c>
      <c r="I746" s="8">
        <f>I745+J746</f>
        <v>0</v>
      </c>
      <c r="J746" s="8">
        <f>IF($D746="ACC",$C746,0)</f>
        <v>0</v>
      </c>
      <c r="K746" s="8">
        <f>K745+L746</f>
        <v>0</v>
      </c>
      <c r="L746" s="8">
        <f>IF($D746="CBB",$C746,0)</f>
        <v>0</v>
      </c>
    </row>
    <row r="747" spans="1:12" x14ac:dyDescent="0.25">
      <c r="A747" s="6">
        <v>41913</v>
      </c>
      <c r="B747" t="s">
        <v>58</v>
      </c>
      <c r="C747" s="7">
        <v>-200</v>
      </c>
      <c r="D747" t="s">
        <v>6</v>
      </c>
      <c r="E747" s="8">
        <f>E746+F747</f>
        <v>112094</v>
      </c>
      <c r="F747" s="8">
        <f>IF($D747="CR01",$C747,0)</f>
        <v>-200</v>
      </c>
      <c r="G747" s="8">
        <f>G746+H747</f>
        <v>0</v>
      </c>
      <c r="H747" s="8">
        <f>IF($D747="VISA",$C747,0)</f>
        <v>0</v>
      </c>
      <c r="I747" s="8">
        <f>I746+J747</f>
        <v>0</v>
      </c>
      <c r="J747" s="8">
        <f>IF($D747="ACC",$C747,0)</f>
        <v>0</v>
      </c>
      <c r="K747" s="8">
        <f>K746+L747</f>
        <v>0</v>
      </c>
      <c r="L747" s="8">
        <f>IF($D747="CBB",$C747,0)</f>
        <v>0</v>
      </c>
    </row>
    <row r="748" spans="1:12" x14ac:dyDescent="0.25">
      <c r="A748" s="6">
        <v>41913</v>
      </c>
      <c r="B748" t="s">
        <v>60</v>
      </c>
      <c r="C748" s="7">
        <v>-400</v>
      </c>
      <c r="D748" t="s">
        <v>6</v>
      </c>
      <c r="E748" s="8">
        <f>E747+F748</f>
        <v>111694</v>
      </c>
      <c r="F748" s="8">
        <f>IF($D748="CR01",$C748,0)</f>
        <v>-400</v>
      </c>
      <c r="G748" s="8">
        <f>G747+H748</f>
        <v>0</v>
      </c>
      <c r="H748" s="8">
        <f>IF($D748="VISA",$C748,0)</f>
        <v>0</v>
      </c>
      <c r="I748" s="8">
        <f>I747+J748</f>
        <v>0</v>
      </c>
      <c r="J748" s="8">
        <f>IF($D748="ACC",$C748,0)</f>
        <v>0</v>
      </c>
      <c r="K748" s="8">
        <f>K747+L748</f>
        <v>0</v>
      </c>
      <c r="L748" s="8">
        <f>IF($D748="CBB",$C748,0)</f>
        <v>0</v>
      </c>
    </row>
    <row r="749" spans="1:12" x14ac:dyDescent="0.25">
      <c r="A749" s="6">
        <v>41913</v>
      </c>
      <c r="B749" t="s">
        <v>61</v>
      </c>
      <c r="C749" s="7">
        <v>-300</v>
      </c>
      <c r="D749" t="s">
        <v>6</v>
      </c>
      <c r="E749" s="8">
        <f>E748+F749</f>
        <v>111394</v>
      </c>
      <c r="F749" s="8">
        <f>IF($D749="CR01",$C749,0)</f>
        <v>-300</v>
      </c>
      <c r="G749" s="8">
        <f>G748+H749</f>
        <v>0</v>
      </c>
      <c r="H749" s="8">
        <f>IF($D749="VISA",$C749,0)</f>
        <v>0</v>
      </c>
      <c r="I749" s="8">
        <f>I748+J749</f>
        <v>0</v>
      </c>
      <c r="J749" s="8">
        <f>IF($D749="ACC",$C749,0)</f>
        <v>0</v>
      </c>
      <c r="K749" s="8">
        <f>K748+L749</f>
        <v>0</v>
      </c>
      <c r="L749" s="8">
        <f>IF($D749="CBB",$C749,0)</f>
        <v>0</v>
      </c>
    </row>
    <row r="750" spans="1:12" x14ac:dyDescent="0.25">
      <c r="A750" s="6">
        <v>41913</v>
      </c>
      <c r="B750" t="s">
        <v>64</v>
      </c>
      <c r="C750" s="7">
        <v>-26</v>
      </c>
      <c r="D750" t="s">
        <v>6</v>
      </c>
      <c r="E750" s="8">
        <f>E749+F750</f>
        <v>111368</v>
      </c>
      <c r="F750" s="8">
        <f>IF($D750="CR01",$C750,0)</f>
        <v>-26</v>
      </c>
      <c r="G750" s="8">
        <f>G749+H750</f>
        <v>0</v>
      </c>
      <c r="H750" s="8">
        <f>IF($D750="VISA",$C750,0)</f>
        <v>0</v>
      </c>
      <c r="I750" s="8">
        <f>I749+J750</f>
        <v>0</v>
      </c>
      <c r="J750" s="8">
        <f>IF($D750="ACC",$C750,0)</f>
        <v>0</v>
      </c>
      <c r="K750" s="8">
        <f>K749+L750</f>
        <v>0</v>
      </c>
      <c r="L750" s="8">
        <f>IF($D750="CBB",$C750,0)</f>
        <v>0</v>
      </c>
    </row>
    <row r="751" spans="1:12" x14ac:dyDescent="0.25">
      <c r="A751" s="6">
        <v>41913</v>
      </c>
      <c r="B751" t="s">
        <v>65</v>
      </c>
      <c r="C751" s="7">
        <v>-240</v>
      </c>
      <c r="D751" t="s">
        <v>6</v>
      </c>
      <c r="E751" s="8">
        <f>E750+F751</f>
        <v>111128</v>
      </c>
      <c r="F751" s="8">
        <f>IF($D751="CR01",$C751,0)</f>
        <v>-240</v>
      </c>
      <c r="G751" s="8">
        <f>G750+H751</f>
        <v>0</v>
      </c>
      <c r="H751" s="8">
        <f>IF($D751="VISA",$C751,0)</f>
        <v>0</v>
      </c>
      <c r="I751" s="8">
        <f>I750+J751</f>
        <v>0</v>
      </c>
      <c r="J751" s="8">
        <f>IF($D751="ACC",$C751,0)</f>
        <v>0</v>
      </c>
      <c r="K751" s="8">
        <f>K750+L751</f>
        <v>0</v>
      </c>
      <c r="L751" s="8">
        <f>IF($D751="CBB",$C751,0)</f>
        <v>0</v>
      </c>
    </row>
    <row r="752" spans="1:12" x14ac:dyDescent="0.25">
      <c r="A752" s="6">
        <v>41913</v>
      </c>
      <c r="B752" t="s">
        <v>66</v>
      </c>
      <c r="C752" s="7">
        <v>-120</v>
      </c>
      <c r="D752" t="s">
        <v>6</v>
      </c>
      <c r="E752" s="8">
        <f>E751+F752</f>
        <v>111008</v>
      </c>
      <c r="F752" s="8">
        <f>IF($D752="CR01",$C752,0)</f>
        <v>-120</v>
      </c>
      <c r="G752" s="8">
        <f>G751+H752</f>
        <v>0</v>
      </c>
      <c r="H752" s="8">
        <f>IF($D752="VISA",$C752,0)</f>
        <v>0</v>
      </c>
      <c r="I752" s="8">
        <f>I751+J752</f>
        <v>0</v>
      </c>
      <c r="J752" s="8">
        <f>IF($D752="ACC",$C752,0)</f>
        <v>0</v>
      </c>
      <c r="K752" s="8">
        <f>K751+L752</f>
        <v>0</v>
      </c>
      <c r="L752" s="8">
        <f>IF($D752="CBB",$C752,0)</f>
        <v>0</v>
      </c>
    </row>
    <row r="753" spans="1:12" x14ac:dyDescent="0.25">
      <c r="A753" s="6">
        <v>41914</v>
      </c>
      <c r="B753" t="s">
        <v>44</v>
      </c>
      <c r="C753" s="7">
        <v>-400</v>
      </c>
      <c r="D753" t="s">
        <v>6</v>
      </c>
      <c r="E753" s="8">
        <f>E752+F753</f>
        <v>110608</v>
      </c>
      <c r="F753" s="8">
        <f>IF($D753="CR01",$C753,0)</f>
        <v>-400</v>
      </c>
      <c r="G753" s="8">
        <f>G752+H753</f>
        <v>0</v>
      </c>
      <c r="H753" s="8">
        <f>IF($D753="VISA",$C753,0)</f>
        <v>0</v>
      </c>
      <c r="I753" s="8">
        <f>I752+J753</f>
        <v>0</v>
      </c>
      <c r="J753" s="8">
        <f>IF($D753="ACC",$C753,0)</f>
        <v>0</v>
      </c>
      <c r="K753" s="8">
        <f>K752+L753</f>
        <v>0</v>
      </c>
      <c r="L753" s="8">
        <f>IF($D753="CBB",$C753,0)</f>
        <v>0</v>
      </c>
    </row>
    <row r="754" spans="1:12" x14ac:dyDescent="0.25">
      <c r="A754" s="6">
        <v>41914</v>
      </c>
      <c r="B754" t="s">
        <v>45</v>
      </c>
      <c r="C754" s="7">
        <v>-180</v>
      </c>
      <c r="D754" t="s">
        <v>6</v>
      </c>
      <c r="E754" s="8">
        <f>E753+F754</f>
        <v>110428</v>
      </c>
      <c r="F754" s="8">
        <f>IF($D754="CR01",$C754,0)</f>
        <v>-180</v>
      </c>
      <c r="G754" s="8">
        <f>G753+H754</f>
        <v>0</v>
      </c>
      <c r="H754" s="8">
        <f>IF($D754="VISA",$C754,0)</f>
        <v>0</v>
      </c>
      <c r="I754" s="8">
        <f>I753+J754</f>
        <v>0</v>
      </c>
      <c r="J754" s="8">
        <f>IF($D754="ACC",$C754,0)</f>
        <v>0</v>
      </c>
      <c r="K754" s="8">
        <f>K753+L754</f>
        <v>0</v>
      </c>
      <c r="L754" s="8">
        <f>IF($D754="CBB",$C754,0)</f>
        <v>0</v>
      </c>
    </row>
    <row r="755" spans="1:12" x14ac:dyDescent="0.25">
      <c r="A755" s="6">
        <v>41914</v>
      </c>
      <c r="B755" t="s">
        <v>46</v>
      </c>
      <c r="C755" s="7">
        <v>-300</v>
      </c>
      <c r="D755" t="s">
        <v>6</v>
      </c>
      <c r="E755" s="8">
        <f>E754+F755</f>
        <v>110128</v>
      </c>
      <c r="F755" s="8">
        <f>IF($D755="CR01",$C755,0)</f>
        <v>-300</v>
      </c>
      <c r="G755" s="8">
        <f>G754+H755</f>
        <v>0</v>
      </c>
      <c r="H755" s="8">
        <f>IF($D755="VISA",$C755,0)</f>
        <v>0</v>
      </c>
      <c r="I755" s="8">
        <f>I754+J755</f>
        <v>0</v>
      </c>
      <c r="J755" s="8">
        <f>IF($D755="ACC",$C755,0)</f>
        <v>0</v>
      </c>
      <c r="K755" s="8">
        <f>K754+L755</f>
        <v>0</v>
      </c>
      <c r="L755" s="8">
        <f>IF($D755="CBB",$C755,0)</f>
        <v>0</v>
      </c>
    </row>
    <row r="756" spans="1:12" x14ac:dyDescent="0.25">
      <c r="A756" s="6">
        <v>41914</v>
      </c>
      <c r="B756" t="s">
        <v>59</v>
      </c>
      <c r="C756" s="7">
        <v>-900</v>
      </c>
      <c r="D756" t="s">
        <v>6</v>
      </c>
      <c r="E756" s="8">
        <f>E755+F756</f>
        <v>109228</v>
      </c>
      <c r="F756" s="8">
        <f>IF($D756="CR01",$C756,0)</f>
        <v>-900</v>
      </c>
      <c r="G756" s="8">
        <f>G755+H756</f>
        <v>0</v>
      </c>
      <c r="H756" s="8">
        <f>IF($D756="VISA",$C756,0)</f>
        <v>0</v>
      </c>
      <c r="I756" s="8">
        <f>I755+J756</f>
        <v>0</v>
      </c>
      <c r="J756" s="8">
        <f>IF($D756="ACC",$C756,0)</f>
        <v>0</v>
      </c>
      <c r="K756" s="8">
        <f>K755+L756</f>
        <v>0</v>
      </c>
      <c r="L756" s="8">
        <f>IF($D756="CBB",$C756,0)</f>
        <v>0</v>
      </c>
    </row>
    <row r="757" spans="1:12" x14ac:dyDescent="0.25">
      <c r="A757" s="6">
        <v>41916</v>
      </c>
      <c r="B757" t="s">
        <v>67</v>
      </c>
      <c r="C757" s="7">
        <v>5200</v>
      </c>
      <c r="D757" t="s">
        <v>6</v>
      </c>
      <c r="E757" s="8">
        <f>E756+F757</f>
        <v>114428</v>
      </c>
      <c r="F757" s="8">
        <f>IF($D757="CR01",$C757,0)</f>
        <v>5200</v>
      </c>
      <c r="G757" s="8">
        <f>G756+H757</f>
        <v>0</v>
      </c>
      <c r="H757" s="8">
        <f>IF($D757="VISA",$C757,0)</f>
        <v>0</v>
      </c>
      <c r="I757" s="8">
        <f>I756+J757</f>
        <v>0</v>
      </c>
      <c r="J757" s="8">
        <f>IF($D757="ACC",$C757,0)</f>
        <v>0</v>
      </c>
      <c r="K757" s="8">
        <f>K756+L757</f>
        <v>0</v>
      </c>
      <c r="L757" s="8">
        <f>IF($D757="CBB",$C757,0)</f>
        <v>0</v>
      </c>
    </row>
    <row r="758" spans="1:12" x14ac:dyDescent="0.25">
      <c r="A758" s="6">
        <v>41919</v>
      </c>
      <c r="B758" t="s">
        <v>42</v>
      </c>
      <c r="C758" s="7">
        <v>-2806</v>
      </c>
      <c r="D758" t="s">
        <v>6</v>
      </c>
      <c r="E758" s="8">
        <f>E757+F758</f>
        <v>111622</v>
      </c>
      <c r="F758" s="8">
        <f>IF($D758="CR01",$C758,0)</f>
        <v>-2806</v>
      </c>
      <c r="G758" s="8">
        <f>G757+H758</f>
        <v>0</v>
      </c>
      <c r="H758" s="8">
        <f>IF($D758="VISA",$C758,0)</f>
        <v>0</v>
      </c>
      <c r="I758" s="8">
        <f>I757+J758</f>
        <v>0</v>
      </c>
      <c r="J758" s="8">
        <f>IF($D758="ACC",$C758,0)</f>
        <v>0</v>
      </c>
      <c r="K758" s="8">
        <f>K757+L758</f>
        <v>0</v>
      </c>
      <c r="L758" s="8">
        <f>IF($D758="CBB",$C758,0)</f>
        <v>0</v>
      </c>
    </row>
    <row r="759" spans="1:12" x14ac:dyDescent="0.25">
      <c r="A759" s="6">
        <v>41919</v>
      </c>
      <c r="B759" t="s">
        <v>48</v>
      </c>
      <c r="C759" s="7">
        <v>-100</v>
      </c>
      <c r="D759" t="s">
        <v>6</v>
      </c>
      <c r="E759" s="8">
        <f>E758+F759</f>
        <v>111522</v>
      </c>
      <c r="F759" s="8">
        <f>IF($D759="CR01",$C759,0)</f>
        <v>-100</v>
      </c>
      <c r="G759" s="8">
        <f>G758+H759</f>
        <v>0</v>
      </c>
      <c r="H759" s="8">
        <f>IF($D759="VISA",$C759,0)</f>
        <v>0</v>
      </c>
      <c r="I759" s="8">
        <f>I758+J759</f>
        <v>0</v>
      </c>
      <c r="J759" s="8">
        <f>IF($D759="ACC",$C759,0)</f>
        <v>0</v>
      </c>
      <c r="K759" s="8">
        <f>K758+L759</f>
        <v>0</v>
      </c>
      <c r="L759" s="8">
        <f>IF($D759="CBB",$C759,0)</f>
        <v>0</v>
      </c>
    </row>
    <row r="760" spans="1:12" x14ac:dyDescent="0.25">
      <c r="A760" s="6">
        <v>41920</v>
      </c>
      <c r="B760" t="s">
        <v>47</v>
      </c>
      <c r="C760" s="7">
        <v>-120</v>
      </c>
      <c r="D760" t="s">
        <v>6</v>
      </c>
      <c r="E760" s="8">
        <f>E759+F760</f>
        <v>111402</v>
      </c>
      <c r="F760" s="8">
        <f>IF($D760="CR01",$C760,0)</f>
        <v>-120</v>
      </c>
      <c r="G760" s="8">
        <f>G759+H760</f>
        <v>0</v>
      </c>
      <c r="H760" s="8">
        <f>IF($D760="VISA",$C760,0)</f>
        <v>0</v>
      </c>
      <c r="I760" s="8">
        <f>I759+J760</f>
        <v>0</v>
      </c>
      <c r="J760" s="8">
        <f>IF($D760="ACC",$C760,0)</f>
        <v>0</v>
      </c>
      <c r="K760" s="8">
        <f>K759+L760</f>
        <v>0</v>
      </c>
      <c r="L760" s="8">
        <f>IF($D760="CBB",$C760,0)</f>
        <v>0</v>
      </c>
    </row>
    <row r="761" spans="1:12" x14ac:dyDescent="0.25">
      <c r="A761" s="6">
        <v>41921</v>
      </c>
      <c r="B761" t="s">
        <v>44</v>
      </c>
      <c r="C761" s="7">
        <v>-400</v>
      </c>
      <c r="D761" t="s">
        <v>6</v>
      </c>
      <c r="E761" s="8">
        <f>E760+F761</f>
        <v>111002</v>
      </c>
      <c r="F761" s="8">
        <f>IF($D761="CR01",$C761,0)</f>
        <v>-400</v>
      </c>
      <c r="G761" s="8">
        <f>G760+H761</f>
        <v>0</v>
      </c>
      <c r="H761" s="8">
        <f>IF($D761="VISA",$C761,0)</f>
        <v>0</v>
      </c>
      <c r="I761" s="8">
        <f>I760+J761</f>
        <v>0</v>
      </c>
      <c r="J761" s="8">
        <f>IF($D761="ACC",$C761,0)</f>
        <v>0</v>
      </c>
      <c r="K761" s="8">
        <f>K760+L761</f>
        <v>0</v>
      </c>
      <c r="L761" s="8">
        <f>IF($D761="CBB",$C761,0)</f>
        <v>0</v>
      </c>
    </row>
    <row r="762" spans="1:12" x14ac:dyDescent="0.25">
      <c r="A762" s="6">
        <v>41921</v>
      </c>
      <c r="B762" t="s">
        <v>45</v>
      </c>
      <c r="C762" s="7">
        <v>-180</v>
      </c>
      <c r="D762" t="s">
        <v>6</v>
      </c>
      <c r="E762" s="8">
        <f>E761+F762</f>
        <v>110822</v>
      </c>
      <c r="F762" s="8">
        <f>IF($D762="CR01",$C762,0)</f>
        <v>-180</v>
      </c>
      <c r="G762" s="8">
        <f>G761+H762</f>
        <v>0</v>
      </c>
      <c r="H762" s="8">
        <f>IF($D762="VISA",$C762,0)</f>
        <v>0</v>
      </c>
      <c r="I762" s="8">
        <f>I761+J762</f>
        <v>0</v>
      </c>
      <c r="J762" s="8">
        <f>IF($D762="ACC",$C762,0)</f>
        <v>0</v>
      </c>
      <c r="K762" s="8">
        <f>K761+L762</f>
        <v>0</v>
      </c>
      <c r="L762" s="8">
        <f>IF($D762="CBB",$C762,0)</f>
        <v>0</v>
      </c>
    </row>
    <row r="763" spans="1:12" x14ac:dyDescent="0.25">
      <c r="A763" s="6">
        <v>41921</v>
      </c>
      <c r="B763" t="s">
        <v>46</v>
      </c>
      <c r="C763" s="7">
        <v>-300</v>
      </c>
      <c r="D763" t="s">
        <v>6</v>
      </c>
      <c r="E763" s="8">
        <f>E762+F763</f>
        <v>110522</v>
      </c>
      <c r="F763" s="8">
        <f>IF($D763="CR01",$C763,0)</f>
        <v>-300</v>
      </c>
      <c r="G763" s="8">
        <f>G762+H763</f>
        <v>0</v>
      </c>
      <c r="H763" s="8">
        <f>IF($D763="VISA",$C763,0)</f>
        <v>0</v>
      </c>
      <c r="I763" s="8">
        <f>I762+J763</f>
        <v>0</v>
      </c>
      <c r="J763" s="8">
        <f>IF($D763="ACC",$C763,0)</f>
        <v>0</v>
      </c>
      <c r="K763" s="8">
        <f>K762+L763</f>
        <v>0</v>
      </c>
      <c r="L763" s="8">
        <f>IF($D763="CBB",$C763,0)</f>
        <v>0</v>
      </c>
    </row>
    <row r="764" spans="1:12" x14ac:dyDescent="0.25">
      <c r="A764" s="6">
        <v>41922</v>
      </c>
      <c r="B764" t="s">
        <v>43</v>
      </c>
      <c r="C764" s="7">
        <v>3226</v>
      </c>
      <c r="D764" t="s">
        <v>6</v>
      </c>
      <c r="E764" s="8">
        <f>E763+F764</f>
        <v>113748</v>
      </c>
      <c r="F764" s="8">
        <f>IF($D764="CR01",$C764,0)</f>
        <v>3226</v>
      </c>
      <c r="G764" s="8">
        <f>G763+H764</f>
        <v>0</v>
      </c>
      <c r="H764" s="8">
        <f>IF($D764="VISA",$C764,0)</f>
        <v>0</v>
      </c>
      <c r="I764" s="8">
        <f>I763+J764</f>
        <v>0</v>
      </c>
      <c r="J764" s="8">
        <f>IF($D764="ACC",$C764,0)</f>
        <v>0</v>
      </c>
      <c r="K764" s="8">
        <f>K763+L764</f>
        <v>0</v>
      </c>
      <c r="L764" s="8">
        <f>IF($D764="CBB",$C764,0)</f>
        <v>0</v>
      </c>
    </row>
    <row r="765" spans="1:12" x14ac:dyDescent="0.25">
      <c r="A765" s="6">
        <v>41926</v>
      </c>
      <c r="B765" t="s">
        <v>48</v>
      </c>
      <c r="C765" s="7">
        <v>-100</v>
      </c>
      <c r="D765" t="s">
        <v>6</v>
      </c>
      <c r="E765" s="8">
        <f>E764+F765</f>
        <v>113648</v>
      </c>
      <c r="F765" s="8">
        <f>IF($D765="CR01",$C765,0)</f>
        <v>-100</v>
      </c>
      <c r="G765" s="8">
        <f>G764+H765</f>
        <v>0</v>
      </c>
      <c r="H765" s="8">
        <f>IF($D765="VISA",$C765,0)</f>
        <v>0</v>
      </c>
      <c r="I765" s="8">
        <f>I764+J765</f>
        <v>0</v>
      </c>
      <c r="J765" s="8">
        <f>IF($D765="ACC",$C765,0)</f>
        <v>0</v>
      </c>
      <c r="K765" s="8">
        <f>K764+L765</f>
        <v>0</v>
      </c>
      <c r="L765" s="8">
        <f>IF($D765="CBB",$C765,0)</f>
        <v>0</v>
      </c>
    </row>
    <row r="766" spans="1:12" x14ac:dyDescent="0.25">
      <c r="A766" s="6">
        <v>41927</v>
      </c>
      <c r="B766" t="s">
        <v>47</v>
      </c>
      <c r="C766" s="7">
        <v>-120</v>
      </c>
      <c r="D766" t="s">
        <v>6</v>
      </c>
      <c r="E766" s="8">
        <f>E765+F766</f>
        <v>113528</v>
      </c>
      <c r="F766" s="8">
        <f>IF($D766="CR01",$C766,0)</f>
        <v>-120</v>
      </c>
      <c r="G766" s="8">
        <f>G765+H766</f>
        <v>0</v>
      </c>
      <c r="H766" s="8">
        <f>IF($D766="VISA",$C766,0)</f>
        <v>0</v>
      </c>
      <c r="I766" s="8">
        <f>I765+J766</f>
        <v>0</v>
      </c>
      <c r="J766" s="8">
        <f>IF($D766="ACC",$C766,0)</f>
        <v>0</v>
      </c>
      <c r="K766" s="8">
        <f>K765+L766</f>
        <v>0</v>
      </c>
      <c r="L766" s="8">
        <f>IF($D766="CBB",$C766,0)</f>
        <v>0</v>
      </c>
    </row>
    <row r="767" spans="1:12" x14ac:dyDescent="0.25">
      <c r="A767" s="6">
        <v>41928</v>
      </c>
      <c r="B767" t="s">
        <v>44</v>
      </c>
      <c r="C767" s="7">
        <v>-400</v>
      </c>
      <c r="D767" t="s">
        <v>6</v>
      </c>
      <c r="E767" s="8">
        <f>E766+F767</f>
        <v>113128</v>
      </c>
      <c r="F767" s="8">
        <f>IF($D767="CR01",$C767,0)</f>
        <v>-400</v>
      </c>
      <c r="G767" s="8">
        <f>G766+H767</f>
        <v>0</v>
      </c>
      <c r="H767" s="8">
        <f>IF($D767="VISA",$C767,0)</f>
        <v>0</v>
      </c>
      <c r="I767" s="8">
        <f>I766+J767</f>
        <v>0</v>
      </c>
      <c r="J767" s="8">
        <f>IF($D767="ACC",$C767,0)</f>
        <v>0</v>
      </c>
      <c r="K767" s="8">
        <f>K766+L767</f>
        <v>0</v>
      </c>
      <c r="L767" s="8">
        <f>IF($D767="CBB",$C767,0)</f>
        <v>0</v>
      </c>
    </row>
    <row r="768" spans="1:12" x14ac:dyDescent="0.25">
      <c r="A768" s="6">
        <v>41928</v>
      </c>
      <c r="B768" t="s">
        <v>45</v>
      </c>
      <c r="C768" s="7">
        <v>-180</v>
      </c>
      <c r="D768" t="s">
        <v>6</v>
      </c>
      <c r="E768" s="8">
        <f>E767+F768</f>
        <v>112948</v>
      </c>
      <c r="F768" s="8">
        <f>IF($D768="CR01",$C768,0)</f>
        <v>-180</v>
      </c>
      <c r="G768" s="8">
        <f>G767+H768</f>
        <v>0</v>
      </c>
      <c r="H768" s="8">
        <f>IF($D768="VISA",$C768,0)</f>
        <v>0</v>
      </c>
      <c r="I768" s="8">
        <f>I767+J768</f>
        <v>0</v>
      </c>
      <c r="J768" s="8">
        <f>IF($D768="ACC",$C768,0)</f>
        <v>0</v>
      </c>
      <c r="K768" s="8">
        <f>K767+L768</f>
        <v>0</v>
      </c>
      <c r="L768" s="8">
        <f>IF($D768="CBB",$C768,0)</f>
        <v>0</v>
      </c>
    </row>
    <row r="769" spans="1:12" x14ac:dyDescent="0.25">
      <c r="A769" s="6">
        <v>41928</v>
      </c>
      <c r="B769" t="s">
        <v>46</v>
      </c>
      <c r="C769" s="7">
        <v>-300</v>
      </c>
      <c r="D769" t="s">
        <v>6</v>
      </c>
      <c r="E769" s="8">
        <f>E768+F769</f>
        <v>112648</v>
      </c>
      <c r="F769" s="8">
        <f>IF($D769="CR01",$C769,0)</f>
        <v>-300</v>
      </c>
      <c r="G769" s="8">
        <f>G768+H769</f>
        <v>0</v>
      </c>
      <c r="H769" s="8">
        <f>IF($D769="VISA",$C769,0)</f>
        <v>0</v>
      </c>
      <c r="I769" s="8">
        <f>I768+J769</f>
        <v>0</v>
      </c>
      <c r="J769" s="8">
        <f>IF($D769="ACC",$C769,0)</f>
        <v>0</v>
      </c>
      <c r="K769" s="8">
        <f>K768+L769</f>
        <v>0</v>
      </c>
      <c r="L769" s="8">
        <f>IF($D769="CBB",$C769,0)</f>
        <v>0</v>
      </c>
    </row>
    <row r="770" spans="1:12" x14ac:dyDescent="0.25">
      <c r="A770" s="6">
        <v>41930</v>
      </c>
      <c r="B770" t="s">
        <v>67</v>
      </c>
      <c r="C770" s="7">
        <v>5200</v>
      </c>
      <c r="D770" t="s">
        <v>6</v>
      </c>
      <c r="E770" s="8">
        <f>E769+F770</f>
        <v>117848</v>
      </c>
      <c r="F770" s="8">
        <f>IF($D770="CR01",$C770,0)</f>
        <v>5200</v>
      </c>
      <c r="G770" s="8">
        <f>G769+H770</f>
        <v>0</v>
      </c>
      <c r="H770" s="8">
        <f>IF($D770="VISA",$C770,0)</f>
        <v>0</v>
      </c>
      <c r="I770" s="8">
        <f>I769+J770</f>
        <v>0</v>
      </c>
      <c r="J770" s="8">
        <f>IF($D770="ACC",$C770,0)</f>
        <v>0</v>
      </c>
      <c r="K770" s="8">
        <f>K769+L770</f>
        <v>0</v>
      </c>
      <c r="L770" s="8">
        <f>IF($D770="CBB",$C770,0)</f>
        <v>0</v>
      </c>
    </row>
    <row r="771" spans="1:12" x14ac:dyDescent="0.25">
      <c r="A771" s="6">
        <v>41933</v>
      </c>
      <c r="B771" t="s">
        <v>42</v>
      </c>
      <c r="C771" s="7">
        <v>-2806</v>
      </c>
      <c r="D771" t="s">
        <v>6</v>
      </c>
      <c r="E771" s="8">
        <f>E770+F771</f>
        <v>115042</v>
      </c>
      <c r="F771" s="8">
        <f>IF($D771="CR01",$C771,0)</f>
        <v>-2806</v>
      </c>
      <c r="G771" s="8">
        <f>G770+H771</f>
        <v>0</v>
      </c>
      <c r="H771" s="8">
        <f>IF($D771="VISA",$C771,0)</f>
        <v>0</v>
      </c>
      <c r="I771" s="8">
        <f>I770+J771</f>
        <v>0</v>
      </c>
      <c r="J771" s="8">
        <f>IF($D771="ACC",$C771,0)</f>
        <v>0</v>
      </c>
      <c r="K771" s="8">
        <f>K770+L771</f>
        <v>0</v>
      </c>
      <c r="L771" s="8">
        <f>IF($D771="CBB",$C771,0)</f>
        <v>0</v>
      </c>
    </row>
    <row r="772" spans="1:12" x14ac:dyDescent="0.25">
      <c r="A772" s="6">
        <v>41933</v>
      </c>
      <c r="B772" t="s">
        <v>48</v>
      </c>
      <c r="C772" s="7">
        <v>-100</v>
      </c>
      <c r="D772" t="s">
        <v>6</v>
      </c>
      <c r="E772" s="8">
        <f>E771+F772</f>
        <v>114942</v>
      </c>
      <c r="F772" s="8">
        <f>IF($D772="CR01",$C772,0)</f>
        <v>-100</v>
      </c>
      <c r="G772" s="8">
        <f>G771+H772</f>
        <v>0</v>
      </c>
      <c r="H772" s="8">
        <f>IF($D772="VISA",$C772,0)</f>
        <v>0</v>
      </c>
      <c r="I772" s="8">
        <f>I771+J772</f>
        <v>0</v>
      </c>
      <c r="J772" s="8">
        <f>IF($D772="ACC",$C772,0)</f>
        <v>0</v>
      </c>
      <c r="K772" s="8">
        <f>K771+L772</f>
        <v>0</v>
      </c>
      <c r="L772" s="8">
        <f>IF($D772="CBB",$C772,0)</f>
        <v>0</v>
      </c>
    </row>
    <row r="773" spans="1:12" x14ac:dyDescent="0.25">
      <c r="A773" s="6">
        <v>41934</v>
      </c>
      <c r="B773" t="s">
        <v>47</v>
      </c>
      <c r="C773" s="7">
        <v>-120</v>
      </c>
      <c r="D773" t="s">
        <v>6</v>
      </c>
      <c r="E773" s="8">
        <f>E772+F773</f>
        <v>114822</v>
      </c>
      <c r="F773" s="8">
        <f>IF($D773="CR01",$C773,0)</f>
        <v>-120</v>
      </c>
      <c r="G773" s="8">
        <f>G772+H773</f>
        <v>0</v>
      </c>
      <c r="H773" s="8">
        <f>IF($D773="VISA",$C773,0)</f>
        <v>0</v>
      </c>
      <c r="I773" s="8">
        <f>I772+J773</f>
        <v>0</v>
      </c>
      <c r="J773" s="8">
        <f>IF($D773="ACC",$C773,0)</f>
        <v>0</v>
      </c>
      <c r="K773" s="8">
        <f>K772+L773</f>
        <v>0</v>
      </c>
      <c r="L773" s="8">
        <f>IF($D773="CBB",$C773,0)</f>
        <v>0</v>
      </c>
    </row>
    <row r="774" spans="1:12" x14ac:dyDescent="0.25">
      <c r="A774" s="6">
        <v>41935</v>
      </c>
      <c r="B774" t="s">
        <v>44</v>
      </c>
      <c r="C774" s="7">
        <v>-400</v>
      </c>
      <c r="D774" t="s">
        <v>6</v>
      </c>
      <c r="E774" s="8">
        <f>E773+F774</f>
        <v>114422</v>
      </c>
      <c r="F774" s="8">
        <f>IF($D774="CR01",$C774,0)</f>
        <v>-400</v>
      </c>
      <c r="G774" s="8">
        <f>G773+H774</f>
        <v>0</v>
      </c>
      <c r="H774" s="8">
        <f>IF($D774="VISA",$C774,0)</f>
        <v>0</v>
      </c>
      <c r="I774" s="8">
        <f>I773+J774</f>
        <v>0</v>
      </c>
      <c r="J774" s="8">
        <f>IF($D774="ACC",$C774,0)</f>
        <v>0</v>
      </c>
      <c r="K774" s="8">
        <f>K773+L774</f>
        <v>0</v>
      </c>
      <c r="L774" s="8">
        <f>IF($D774="CBB",$C774,0)</f>
        <v>0</v>
      </c>
    </row>
    <row r="775" spans="1:12" x14ac:dyDescent="0.25">
      <c r="A775" s="6">
        <v>41935</v>
      </c>
      <c r="B775" t="s">
        <v>45</v>
      </c>
      <c r="C775" s="7">
        <v>-180</v>
      </c>
      <c r="D775" t="s">
        <v>6</v>
      </c>
      <c r="E775" s="8">
        <f>E774+F775</f>
        <v>114242</v>
      </c>
      <c r="F775" s="8">
        <f>IF($D775="CR01",$C775,0)</f>
        <v>-180</v>
      </c>
      <c r="G775" s="8">
        <f>G774+H775</f>
        <v>0</v>
      </c>
      <c r="H775" s="8">
        <f>IF($D775="VISA",$C775,0)</f>
        <v>0</v>
      </c>
      <c r="I775" s="8">
        <f>I774+J775</f>
        <v>0</v>
      </c>
      <c r="J775" s="8">
        <f>IF($D775="ACC",$C775,0)</f>
        <v>0</v>
      </c>
      <c r="K775" s="8">
        <f>K774+L775</f>
        <v>0</v>
      </c>
      <c r="L775" s="8">
        <f>IF($D775="CBB",$C775,0)</f>
        <v>0</v>
      </c>
    </row>
    <row r="776" spans="1:12" x14ac:dyDescent="0.25">
      <c r="A776" s="6">
        <v>41935</v>
      </c>
      <c r="B776" t="s">
        <v>46</v>
      </c>
      <c r="C776" s="7">
        <v>-300</v>
      </c>
      <c r="D776" t="s">
        <v>6</v>
      </c>
      <c r="E776" s="8">
        <f>E775+F776</f>
        <v>113942</v>
      </c>
      <c r="F776" s="8">
        <f>IF($D776="CR01",$C776,0)</f>
        <v>-300</v>
      </c>
      <c r="G776" s="8">
        <f>G775+H776</f>
        <v>0</v>
      </c>
      <c r="H776" s="8">
        <f>IF($D776="VISA",$C776,0)</f>
        <v>0</v>
      </c>
      <c r="I776" s="8">
        <f>I775+J776</f>
        <v>0</v>
      </c>
      <c r="J776" s="8">
        <f>IF($D776="ACC",$C776,0)</f>
        <v>0</v>
      </c>
      <c r="K776" s="8">
        <f>K775+L776</f>
        <v>0</v>
      </c>
      <c r="L776" s="8">
        <f>IF($D776="CBB",$C776,0)</f>
        <v>0</v>
      </c>
    </row>
    <row r="777" spans="1:12" x14ac:dyDescent="0.25">
      <c r="A777" s="6">
        <v>41936</v>
      </c>
      <c r="B777" t="s">
        <v>43</v>
      </c>
      <c r="C777" s="7">
        <v>3226</v>
      </c>
      <c r="D777" t="s">
        <v>6</v>
      </c>
      <c r="E777" s="8">
        <f>E776+F777</f>
        <v>117168</v>
      </c>
      <c r="F777" s="8">
        <f>IF($D777="CR01",$C777,0)</f>
        <v>3226</v>
      </c>
      <c r="G777" s="8">
        <f>G776+H777</f>
        <v>0</v>
      </c>
      <c r="H777" s="8">
        <f>IF($D777="VISA",$C777,0)</f>
        <v>0</v>
      </c>
      <c r="I777" s="8">
        <f>I776+J777</f>
        <v>0</v>
      </c>
      <c r="J777" s="8">
        <f>IF($D777="ACC",$C777,0)</f>
        <v>0</v>
      </c>
      <c r="K777" s="8">
        <f>K776+L777</f>
        <v>0</v>
      </c>
      <c r="L777" s="8">
        <f>IF($D777="CBB",$C777,0)</f>
        <v>0</v>
      </c>
    </row>
    <row r="778" spans="1:12" x14ac:dyDescent="0.25">
      <c r="A778" s="6">
        <v>41940</v>
      </c>
      <c r="B778" t="s">
        <v>48</v>
      </c>
      <c r="C778" s="7">
        <v>-100</v>
      </c>
      <c r="D778" t="s">
        <v>6</v>
      </c>
      <c r="E778" s="8">
        <f>E777+F778</f>
        <v>117068</v>
      </c>
      <c r="F778" s="8">
        <f>IF($D778="CR01",$C778,0)</f>
        <v>-100</v>
      </c>
      <c r="G778" s="8">
        <f>G777+H778</f>
        <v>0</v>
      </c>
      <c r="H778" s="8">
        <f>IF($D778="VISA",$C778,0)</f>
        <v>0</v>
      </c>
      <c r="I778" s="8">
        <f>I777+J778</f>
        <v>0</v>
      </c>
      <c r="J778" s="8">
        <f>IF($D778="ACC",$C778,0)</f>
        <v>0</v>
      </c>
      <c r="K778" s="8">
        <f>K777+L778</f>
        <v>0</v>
      </c>
      <c r="L778" s="8">
        <f>IF($D778="CBB",$C778,0)</f>
        <v>0</v>
      </c>
    </row>
    <row r="779" spans="1:12" x14ac:dyDescent="0.25">
      <c r="A779" s="6">
        <v>41941</v>
      </c>
      <c r="B779" t="s">
        <v>47</v>
      </c>
      <c r="C779" s="7">
        <v>-120</v>
      </c>
      <c r="D779" t="s">
        <v>6</v>
      </c>
      <c r="E779" s="8">
        <f>E778+F779</f>
        <v>116948</v>
      </c>
      <c r="F779" s="8">
        <f>IF($D779="CR01",$C779,0)</f>
        <v>-120</v>
      </c>
      <c r="G779" s="8">
        <f>G778+H779</f>
        <v>0</v>
      </c>
      <c r="H779" s="8">
        <f>IF($D779="VISA",$C779,0)</f>
        <v>0</v>
      </c>
      <c r="I779" s="8">
        <f>I778+J779</f>
        <v>0</v>
      </c>
      <c r="J779" s="8">
        <f>IF($D779="ACC",$C779,0)</f>
        <v>0</v>
      </c>
      <c r="K779" s="8">
        <f>K778+L779</f>
        <v>0</v>
      </c>
      <c r="L779" s="8">
        <f>IF($D779="CBB",$C779,0)</f>
        <v>0</v>
      </c>
    </row>
    <row r="780" spans="1:12" x14ac:dyDescent="0.25">
      <c r="A780" s="6">
        <v>41942</v>
      </c>
      <c r="B780" t="s">
        <v>44</v>
      </c>
      <c r="C780" s="7">
        <v>-400</v>
      </c>
      <c r="D780" t="s">
        <v>6</v>
      </c>
      <c r="E780" s="8">
        <f>E779+F780</f>
        <v>116548</v>
      </c>
      <c r="F780" s="8">
        <f>IF($D780="CR01",$C780,0)</f>
        <v>-400</v>
      </c>
      <c r="G780" s="8">
        <f>G779+H780</f>
        <v>0</v>
      </c>
      <c r="H780" s="8">
        <f>IF($D780="VISA",$C780,0)</f>
        <v>0</v>
      </c>
      <c r="I780" s="8">
        <f>I779+J780</f>
        <v>0</v>
      </c>
      <c r="J780" s="8">
        <f>IF($D780="ACC",$C780,0)</f>
        <v>0</v>
      </c>
      <c r="K780" s="8">
        <f>K779+L780</f>
        <v>0</v>
      </c>
      <c r="L780" s="8">
        <f>IF($D780="CBB",$C780,0)</f>
        <v>0</v>
      </c>
    </row>
    <row r="781" spans="1:12" x14ac:dyDescent="0.25">
      <c r="A781" s="6">
        <v>41942</v>
      </c>
      <c r="B781" t="s">
        <v>45</v>
      </c>
      <c r="C781" s="7">
        <v>-180</v>
      </c>
      <c r="D781" t="s">
        <v>6</v>
      </c>
      <c r="E781" s="8">
        <f>E780+F781</f>
        <v>116368</v>
      </c>
      <c r="F781" s="8">
        <f>IF($D781="CR01",$C781,0)</f>
        <v>-180</v>
      </c>
      <c r="G781" s="8">
        <f>G780+H781</f>
        <v>0</v>
      </c>
      <c r="H781" s="8">
        <f>IF($D781="VISA",$C781,0)</f>
        <v>0</v>
      </c>
      <c r="I781" s="8">
        <f>I780+J781</f>
        <v>0</v>
      </c>
      <c r="J781" s="8">
        <f>IF($D781="ACC",$C781,0)</f>
        <v>0</v>
      </c>
      <c r="K781" s="8">
        <f>K780+L781</f>
        <v>0</v>
      </c>
      <c r="L781" s="8">
        <f>IF($D781="CBB",$C781,0)</f>
        <v>0</v>
      </c>
    </row>
    <row r="782" spans="1:12" x14ac:dyDescent="0.25">
      <c r="A782" s="6">
        <v>41942</v>
      </c>
      <c r="B782" t="s">
        <v>46</v>
      </c>
      <c r="C782" s="7">
        <v>-300</v>
      </c>
      <c r="D782" t="s">
        <v>6</v>
      </c>
      <c r="E782" s="8">
        <f>E781+F782</f>
        <v>116068</v>
      </c>
      <c r="F782" s="8">
        <f>IF($D782="CR01",$C782,0)</f>
        <v>-300</v>
      </c>
      <c r="G782" s="8">
        <f>G781+H782</f>
        <v>0</v>
      </c>
      <c r="H782" s="8">
        <f>IF($D782="VISA",$C782,0)</f>
        <v>0</v>
      </c>
      <c r="I782" s="8">
        <f>I781+J782</f>
        <v>0</v>
      </c>
      <c r="J782" s="8">
        <f>IF($D782="ACC",$C782,0)</f>
        <v>0</v>
      </c>
      <c r="K782" s="8">
        <f>K781+L782</f>
        <v>0</v>
      </c>
      <c r="L782" s="8">
        <f>IF($D782="CBB",$C782,0)</f>
        <v>0</v>
      </c>
    </row>
    <row r="783" spans="1:12" x14ac:dyDescent="0.25">
      <c r="A783" s="6">
        <v>41944</v>
      </c>
      <c r="B783" t="s">
        <v>67</v>
      </c>
      <c r="C783" s="7">
        <v>5200</v>
      </c>
      <c r="D783" t="s">
        <v>6</v>
      </c>
      <c r="E783" s="8">
        <f>E782+F783</f>
        <v>121268</v>
      </c>
      <c r="F783" s="8">
        <f>IF($D783="CR01",$C783,0)</f>
        <v>5200</v>
      </c>
      <c r="G783" s="8">
        <f>G782+H783</f>
        <v>0</v>
      </c>
      <c r="H783" s="8">
        <f>IF($D783="VISA",$C783,0)</f>
        <v>0</v>
      </c>
      <c r="I783" s="8">
        <f>I782+J783</f>
        <v>0</v>
      </c>
      <c r="J783" s="8">
        <f>IF($D783="ACC",$C783,0)</f>
        <v>0</v>
      </c>
      <c r="K783" s="8">
        <f>K782+L783</f>
        <v>0</v>
      </c>
      <c r="L783" s="8">
        <f>IF($D783="CBB",$C783,0)</f>
        <v>0</v>
      </c>
    </row>
    <row r="784" spans="1:12" x14ac:dyDescent="0.25">
      <c r="A784" s="6">
        <v>41944</v>
      </c>
      <c r="B784" t="s">
        <v>58</v>
      </c>
      <c r="C784" s="7">
        <v>-200</v>
      </c>
      <c r="D784" t="s">
        <v>6</v>
      </c>
      <c r="E784" s="8">
        <f>E783+F784</f>
        <v>121068</v>
      </c>
      <c r="F784" s="8">
        <f>IF($D784="CR01",$C784,0)</f>
        <v>-200</v>
      </c>
      <c r="G784" s="8">
        <f>G783+H784</f>
        <v>0</v>
      </c>
      <c r="H784" s="8">
        <f>IF($D784="VISA",$C784,0)</f>
        <v>0</v>
      </c>
      <c r="I784" s="8">
        <f>I783+J784</f>
        <v>0</v>
      </c>
      <c r="J784" s="8">
        <f>IF($D784="ACC",$C784,0)</f>
        <v>0</v>
      </c>
      <c r="K784" s="8">
        <f>K783+L784</f>
        <v>0</v>
      </c>
      <c r="L784" s="8">
        <f>IF($D784="CBB",$C784,0)</f>
        <v>0</v>
      </c>
    </row>
    <row r="785" spans="1:12" x14ac:dyDescent="0.25">
      <c r="A785" s="6">
        <v>41944</v>
      </c>
      <c r="B785" t="s">
        <v>60</v>
      </c>
      <c r="C785" s="7">
        <v>-400</v>
      </c>
      <c r="D785" t="s">
        <v>6</v>
      </c>
      <c r="E785" s="8">
        <f>E784+F785</f>
        <v>120668</v>
      </c>
      <c r="F785" s="8">
        <f>IF($D785="CR01",$C785,0)</f>
        <v>-400</v>
      </c>
      <c r="G785" s="8">
        <f>G784+H785</f>
        <v>0</v>
      </c>
      <c r="H785" s="8">
        <f>IF($D785="VISA",$C785,0)</f>
        <v>0</v>
      </c>
      <c r="I785" s="8">
        <f>I784+J785</f>
        <v>0</v>
      </c>
      <c r="J785" s="8">
        <f>IF($D785="ACC",$C785,0)</f>
        <v>0</v>
      </c>
      <c r="K785" s="8">
        <f>K784+L785</f>
        <v>0</v>
      </c>
      <c r="L785" s="8">
        <f>IF($D785="CBB",$C785,0)</f>
        <v>0</v>
      </c>
    </row>
    <row r="786" spans="1:12" x14ac:dyDescent="0.25">
      <c r="A786" s="6">
        <v>41944</v>
      </c>
      <c r="B786" t="s">
        <v>62</v>
      </c>
      <c r="C786" s="7">
        <v>-300</v>
      </c>
      <c r="D786" t="s">
        <v>6</v>
      </c>
      <c r="E786" s="8">
        <f>E785+F786</f>
        <v>120368</v>
      </c>
      <c r="F786" s="8">
        <f>IF($D786="CR01",$C786,0)</f>
        <v>-300</v>
      </c>
      <c r="G786" s="8">
        <f>G785+H786</f>
        <v>0</v>
      </c>
      <c r="H786" s="8">
        <f>IF($D786="VISA",$C786,0)</f>
        <v>0</v>
      </c>
      <c r="I786" s="8">
        <f>I785+J786</f>
        <v>0</v>
      </c>
      <c r="J786" s="8">
        <f>IF($D786="ACC",$C786,0)</f>
        <v>0</v>
      </c>
      <c r="K786" s="8">
        <f>K785+L786</f>
        <v>0</v>
      </c>
      <c r="L786" s="8">
        <f>IF($D786="CBB",$C786,0)</f>
        <v>0</v>
      </c>
    </row>
    <row r="787" spans="1:12" x14ac:dyDescent="0.25">
      <c r="A787" s="6">
        <v>41944</v>
      </c>
      <c r="B787" t="s">
        <v>63</v>
      </c>
      <c r="C787" s="7">
        <v>-300</v>
      </c>
      <c r="D787" t="s">
        <v>6</v>
      </c>
      <c r="E787" s="8">
        <f>E786+F787</f>
        <v>120068</v>
      </c>
      <c r="F787" s="8">
        <f>IF($D787="CR01",$C787,0)</f>
        <v>-300</v>
      </c>
      <c r="G787" s="8">
        <f>G786+H787</f>
        <v>0</v>
      </c>
      <c r="H787" s="8">
        <f>IF($D787="VISA",$C787,0)</f>
        <v>0</v>
      </c>
      <c r="I787" s="8">
        <f>I786+J787</f>
        <v>0</v>
      </c>
      <c r="J787" s="8">
        <f>IF($D787="ACC",$C787,0)</f>
        <v>0</v>
      </c>
      <c r="K787" s="8">
        <f>K786+L787</f>
        <v>0</v>
      </c>
      <c r="L787" s="8">
        <f>IF($D787="CBB",$C787,0)</f>
        <v>0</v>
      </c>
    </row>
    <row r="788" spans="1:12" x14ac:dyDescent="0.25">
      <c r="A788" s="6">
        <v>41944</v>
      </c>
      <c r="B788" t="s">
        <v>64</v>
      </c>
      <c r="C788" s="7">
        <v>-26</v>
      </c>
      <c r="D788" t="s">
        <v>6</v>
      </c>
      <c r="E788" s="8">
        <f>E787+F788</f>
        <v>120042</v>
      </c>
      <c r="F788" s="8">
        <f>IF($D788="CR01",$C788,0)</f>
        <v>-26</v>
      </c>
      <c r="G788" s="8">
        <f>G787+H788</f>
        <v>0</v>
      </c>
      <c r="H788" s="8">
        <f>IF($D788="VISA",$C788,0)</f>
        <v>0</v>
      </c>
      <c r="I788" s="8">
        <f>I787+J788</f>
        <v>0</v>
      </c>
      <c r="J788" s="8">
        <f>IF($D788="ACC",$C788,0)</f>
        <v>0</v>
      </c>
      <c r="K788" s="8">
        <f>K787+L788</f>
        <v>0</v>
      </c>
      <c r="L788" s="8">
        <f>IF($D788="CBB",$C788,0)</f>
        <v>0</v>
      </c>
    </row>
    <row r="789" spans="1:12" x14ac:dyDescent="0.25">
      <c r="A789" s="6">
        <v>41944</v>
      </c>
      <c r="B789" t="s">
        <v>65</v>
      </c>
      <c r="C789" s="7">
        <v>-240</v>
      </c>
      <c r="D789" t="s">
        <v>6</v>
      </c>
      <c r="E789" s="8">
        <f>E788+F789</f>
        <v>119802</v>
      </c>
      <c r="F789" s="8">
        <f>IF($D789="CR01",$C789,0)</f>
        <v>-240</v>
      </c>
      <c r="G789" s="8">
        <f>G788+H789</f>
        <v>0</v>
      </c>
      <c r="H789" s="8">
        <f>IF($D789="VISA",$C789,0)</f>
        <v>0</v>
      </c>
      <c r="I789" s="8">
        <f>I788+J789</f>
        <v>0</v>
      </c>
      <c r="J789" s="8">
        <f>IF($D789="ACC",$C789,0)</f>
        <v>0</v>
      </c>
      <c r="K789" s="8">
        <f>K788+L789</f>
        <v>0</v>
      </c>
      <c r="L789" s="8">
        <f>IF($D789="CBB",$C789,0)</f>
        <v>0</v>
      </c>
    </row>
    <row r="790" spans="1:12" x14ac:dyDescent="0.25">
      <c r="A790" s="6">
        <v>41944</v>
      </c>
      <c r="B790" t="s">
        <v>66</v>
      </c>
      <c r="C790" s="7">
        <v>-120</v>
      </c>
      <c r="D790" t="s">
        <v>6</v>
      </c>
      <c r="E790" s="8">
        <f>E789+F790</f>
        <v>119682</v>
      </c>
      <c r="F790" s="8">
        <f>IF($D790="CR01",$C790,0)</f>
        <v>-120</v>
      </c>
      <c r="G790" s="8">
        <f>G789+H790</f>
        <v>0</v>
      </c>
      <c r="H790" s="8">
        <f>IF($D790="VISA",$C790,0)</f>
        <v>0</v>
      </c>
      <c r="I790" s="8">
        <f>I789+J790</f>
        <v>0</v>
      </c>
      <c r="J790" s="8">
        <f>IF($D790="ACC",$C790,0)</f>
        <v>0</v>
      </c>
      <c r="K790" s="8">
        <f>K789+L790</f>
        <v>0</v>
      </c>
      <c r="L790" s="8">
        <f>IF($D790="CBB",$C790,0)</f>
        <v>0</v>
      </c>
    </row>
    <row r="791" spans="1:12" x14ac:dyDescent="0.25">
      <c r="A791" s="6">
        <v>41945</v>
      </c>
      <c r="B791" t="s">
        <v>59</v>
      </c>
      <c r="C791" s="7">
        <v>-900</v>
      </c>
      <c r="D791" t="s">
        <v>6</v>
      </c>
      <c r="E791" s="8">
        <f>E790+F791</f>
        <v>118782</v>
      </c>
      <c r="F791" s="8">
        <f>IF($D791="CR01",$C791,0)</f>
        <v>-900</v>
      </c>
      <c r="G791" s="8">
        <f>G790+H791</f>
        <v>0</v>
      </c>
      <c r="H791" s="8">
        <f>IF($D791="VISA",$C791,0)</f>
        <v>0</v>
      </c>
      <c r="I791" s="8">
        <f>I790+J791</f>
        <v>0</v>
      </c>
      <c r="J791" s="8">
        <f>IF($D791="ACC",$C791,0)</f>
        <v>0</v>
      </c>
      <c r="K791" s="8">
        <f>K790+L791</f>
        <v>0</v>
      </c>
      <c r="L791" s="8">
        <f>IF($D791="CBB",$C791,0)</f>
        <v>0</v>
      </c>
    </row>
    <row r="792" spans="1:12" x14ac:dyDescent="0.25">
      <c r="A792" s="6">
        <v>41947</v>
      </c>
      <c r="B792" t="s">
        <v>42</v>
      </c>
      <c r="C792" s="7">
        <v>-2806</v>
      </c>
      <c r="D792" t="s">
        <v>6</v>
      </c>
      <c r="E792" s="8">
        <f>E791+F792</f>
        <v>115976</v>
      </c>
      <c r="F792" s="8">
        <f>IF($D792="CR01",$C792,0)</f>
        <v>-2806</v>
      </c>
      <c r="G792" s="8">
        <f>G791+H792</f>
        <v>0</v>
      </c>
      <c r="H792" s="8">
        <f>IF($D792="VISA",$C792,0)</f>
        <v>0</v>
      </c>
      <c r="I792" s="8">
        <f>I791+J792</f>
        <v>0</v>
      </c>
      <c r="J792" s="8">
        <f>IF($D792="ACC",$C792,0)</f>
        <v>0</v>
      </c>
      <c r="K792" s="8">
        <f>K791+L792</f>
        <v>0</v>
      </c>
      <c r="L792" s="8">
        <f>IF($D792="CBB",$C792,0)</f>
        <v>0</v>
      </c>
    </row>
    <row r="793" spans="1:12" x14ac:dyDescent="0.25">
      <c r="A793" s="6">
        <v>41947</v>
      </c>
      <c r="B793" t="s">
        <v>48</v>
      </c>
      <c r="C793" s="7">
        <v>-100</v>
      </c>
      <c r="D793" t="s">
        <v>6</v>
      </c>
      <c r="E793" s="8">
        <f>E792+F793</f>
        <v>115876</v>
      </c>
      <c r="F793" s="8">
        <f>IF($D793="CR01",$C793,0)</f>
        <v>-100</v>
      </c>
      <c r="G793" s="8">
        <f>G792+H793</f>
        <v>0</v>
      </c>
      <c r="H793" s="8">
        <f>IF($D793="VISA",$C793,0)</f>
        <v>0</v>
      </c>
      <c r="I793" s="8">
        <f>I792+J793</f>
        <v>0</v>
      </c>
      <c r="J793" s="8">
        <f>IF($D793="ACC",$C793,0)</f>
        <v>0</v>
      </c>
      <c r="K793" s="8">
        <f>K792+L793</f>
        <v>0</v>
      </c>
      <c r="L793" s="8">
        <f>IF($D793="CBB",$C793,0)</f>
        <v>0</v>
      </c>
    </row>
    <row r="794" spans="1:12" x14ac:dyDescent="0.25">
      <c r="A794" s="6">
        <v>41948</v>
      </c>
      <c r="B794" t="s">
        <v>47</v>
      </c>
      <c r="C794" s="7">
        <v>-120</v>
      </c>
      <c r="D794" t="s">
        <v>6</v>
      </c>
      <c r="E794" s="8">
        <f>E793+F794</f>
        <v>115756</v>
      </c>
      <c r="F794" s="8">
        <f>IF($D794="CR01",$C794,0)</f>
        <v>-120</v>
      </c>
      <c r="G794" s="8">
        <f>G793+H794</f>
        <v>0</v>
      </c>
      <c r="H794" s="8">
        <f>IF($D794="VISA",$C794,0)</f>
        <v>0</v>
      </c>
      <c r="I794" s="8">
        <f>I793+J794</f>
        <v>0</v>
      </c>
      <c r="J794" s="8">
        <f>IF($D794="ACC",$C794,0)</f>
        <v>0</v>
      </c>
      <c r="K794" s="8">
        <f>K793+L794</f>
        <v>0</v>
      </c>
      <c r="L794" s="8">
        <f>IF($D794="CBB",$C794,0)</f>
        <v>0</v>
      </c>
    </row>
    <row r="795" spans="1:12" x14ac:dyDescent="0.25">
      <c r="A795" s="6">
        <v>41949</v>
      </c>
      <c r="B795" t="s">
        <v>44</v>
      </c>
      <c r="C795" s="7">
        <v>-400</v>
      </c>
      <c r="D795" t="s">
        <v>6</v>
      </c>
      <c r="E795" s="8">
        <f>E794+F795</f>
        <v>115356</v>
      </c>
      <c r="F795" s="8">
        <f>IF($D795="CR01",$C795,0)</f>
        <v>-400</v>
      </c>
      <c r="G795" s="8">
        <f>G794+H795</f>
        <v>0</v>
      </c>
      <c r="H795" s="8">
        <f>IF($D795="VISA",$C795,0)</f>
        <v>0</v>
      </c>
      <c r="I795" s="8">
        <f>I794+J795</f>
        <v>0</v>
      </c>
      <c r="J795" s="8">
        <f>IF($D795="ACC",$C795,0)</f>
        <v>0</v>
      </c>
      <c r="K795" s="8">
        <f>K794+L795</f>
        <v>0</v>
      </c>
      <c r="L795" s="8">
        <f>IF($D795="CBB",$C795,0)</f>
        <v>0</v>
      </c>
    </row>
    <row r="796" spans="1:12" x14ac:dyDescent="0.25">
      <c r="A796" s="6">
        <v>41949</v>
      </c>
      <c r="B796" t="s">
        <v>45</v>
      </c>
      <c r="C796" s="7">
        <v>-180</v>
      </c>
      <c r="D796" t="s">
        <v>6</v>
      </c>
      <c r="E796" s="8">
        <f>E795+F796</f>
        <v>115176</v>
      </c>
      <c r="F796" s="8">
        <f>IF($D796="CR01",$C796,0)</f>
        <v>-180</v>
      </c>
      <c r="G796" s="8">
        <f>G795+H796</f>
        <v>0</v>
      </c>
      <c r="H796" s="8">
        <f>IF($D796="VISA",$C796,0)</f>
        <v>0</v>
      </c>
      <c r="I796" s="8">
        <f>I795+J796</f>
        <v>0</v>
      </c>
      <c r="J796" s="8">
        <f>IF($D796="ACC",$C796,0)</f>
        <v>0</v>
      </c>
      <c r="K796" s="8">
        <f>K795+L796</f>
        <v>0</v>
      </c>
      <c r="L796" s="8">
        <f>IF($D796="CBB",$C796,0)</f>
        <v>0</v>
      </c>
    </row>
    <row r="797" spans="1:12" x14ac:dyDescent="0.25">
      <c r="A797" s="6">
        <v>41949</v>
      </c>
      <c r="B797" t="s">
        <v>46</v>
      </c>
      <c r="C797" s="7">
        <v>-300</v>
      </c>
      <c r="D797" t="s">
        <v>6</v>
      </c>
      <c r="E797" s="8">
        <f>E796+F797</f>
        <v>114876</v>
      </c>
      <c r="F797" s="8">
        <f>IF($D797="CR01",$C797,0)</f>
        <v>-300</v>
      </c>
      <c r="G797" s="8">
        <f>G796+H797</f>
        <v>0</v>
      </c>
      <c r="H797" s="8">
        <f>IF($D797="VISA",$C797,0)</f>
        <v>0</v>
      </c>
      <c r="I797" s="8">
        <f>I796+J797</f>
        <v>0</v>
      </c>
      <c r="J797" s="8">
        <f>IF($D797="ACC",$C797,0)</f>
        <v>0</v>
      </c>
      <c r="K797" s="8">
        <f>K796+L797</f>
        <v>0</v>
      </c>
      <c r="L797" s="8">
        <f>IF($D797="CBB",$C797,0)</f>
        <v>0</v>
      </c>
    </row>
    <row r="798" spans="1:12" x14ac:dyDescent="0.25">
      <c r="A798" s="6">
        <v>41950</v>
      </c>
      <c r="B798" t="s">
        <v>43</v>
      </c>
      <c r="C798" s="7">
        <v>3226</v>
      </c>
      <c r="D798" t="s">
        <v>6</v>
      </c>
      <c r="E798" s="8">
        <f>E797+F798</f>
        <v>118102</v>
      </c>
      <c r="F798" s="8">
        <f>IF($D798="CR01",$C798,0)</f>
        <v>3226</v>
      </c>
      <c r="G798" s="8">
        <f>G797+H798</f>
        <v>0</v>
      </c>
      <c r="H798" s="8">
        <f>IF($D798="VISA",$C798,0)</f>
        <v>0</v>
      </c>
      <c r="I798" s="8">
        <f>I797+J798</f>
        <v>0</v>
      </c>
      <c r="J798" s="8">
        <f>IF($D798="ACC",$C798,0)</f>
        <v>0</v>
      </c>
      <c r="K798" s="8">
        <f>K797+L798</f>
        <v>0</v>
      </c>
      <c r="L798" s="8">
        <f>IF($D798="CBB",$C798,0)</f>
        <v>0</v>
      </c>
    </row>
    <row r="799" spans="1:12" x14ac:dyDescent="0.25">
      <c r="A799" s="6">
        <v>41954</v>
      </c>
      <c r="B799" t="s">
        <v>48</v>
      </c>
      <c r="C799" s="7">
        <v>-100</v>
      </c>
      <c r="D799" t="s">
        <v>6</v>
      </c>
      <c r="E799" s="8">
        <f>E798+F799</f>
        <v>118002</v>
      </c>
      <c r="F799" s="8">
        <f>IF($D799="CR01",$C799,0)</f>
        <v>-100</v>
      </c>
      <c r="G799" s="8">
        <f>G798+H799</f>
        <v>0</v>
      </c>
      <c r="H799" s="8">
        <f>IF($D799="VISA",$C799,0)</f>
        <v>0</v>
      </c>
      <c r="I799" s="8">
        <f>I798+J799</f>
        <v>0</v>
      </c>
      <c r="J799" s="8">
        <f>IF($D799="ACC",$C799,0)</f>
        <v>0</v>
      </c>
      <c r="K799" s="8">
        <f>K798+L799</f>
        <v>0</v>
      </c>
      <c r="L799" s="8">
        <f>IF($D799="CBB",$C799,0)</f>
        <v>0</v>
      </c>
    </row>
    <row r="800" spans="1:12" x14ac:dyDescent="0.25">
      <c r="A800" s="6">
        <v>41955</v>
      </c>
      <c r="B800" t="s">
        <v>47</v>
      </c>
      <c r="C800" s="7">
        <v>-120</v>
      </c>
      <c r="D800" t="s">
        <v>6</v>
      </c>
      <c r="E800" s="8">
        <f>E799+F800</f>
        <v>117882</v>
      </c>
      <c r="F800" s="8">
        <f>IF($D800="CR01",$C800,0)</f>
        <v>-120</v>
      </c>
      <c r="G800" s="8">
        <f>G799+H800</f>
        <v>0</v>
      </c>
      <c r="H800" s="8">
        <f>IF($D800="VISA",$C800,0)</f>
        <v>0</v>
      </c>
      <c r="I800" s="8">
        <f>I799+J800</f>
        <v>0</v>
      </c>
      <c r="J800" s="8">
        <f>IF($D800="ACC",$C800,0)</f>
        <v>0</v>
      </c>
      <c r="K800" s="8">
        <f>K799+L800</f>
        <v>0</v>
      </c>
      <c r="L800" s="8">
        <f>IF($D800="CBB",$C800,0)</f>
        <v>0</v>
      </c>
    </row>
    <row r="801" spans="1:12" x14ac:dyDescent="0.25">
      <c r="A801" s="6">
        <v>41956</v>
      </c>
      <c r="B801" t="s">
        <v>44</v>
      </c>
      <c r="C801" s="7">
        <v>-400</v>
      </c>
      <c r="D801" t="s">
        <v>6</v>
      </c>
      <c r="E801" s="8">
        <f>E800+F801</f>
        <v>117482</v>
      </c>
      <c r="F801" s="8">
        <f>IF($D801="CR01",$C801,0)</f>
        <v>-400</v>
      </c>
      <c r="G801" s="8">
        <f>G800+H801</f>
        <v>0</v>
      </c>
      <c r="H801" s="8">
        <f>IF($D801="VISA",$C801,0)</f>
        <v>0</v>
      </c>
      <c r="I801" s="8">
        <f>I800+J801</f>
        <v>0</v>
      </c>
      <c r="J801" s="8">
        <f>IF($D801="ACC",$C801,0)</f>
        <v>0</v>
      </c>
      <c r="K801" s="8">
        <f>K800+L801</f>
        <v>0</v>
      </c>
      <c r="L801" s="8">
        <f>IF($D801="CBB",$C801,0)</f>
        <v>0</v>
      </c>
    </row>
    <row r="802" spans="1:12" x14ac:dyDescent="0.25">
      <c r="A802" s="6">
        <v>41956</v>
      </c>
      <c r="B802" t="s">
        <v>45</v>
      </c>
      <c r="C802" s="7">
        <v>-180</v>
      </c>
      <c r="D802" t="s">
        <v>6</v>
      </c>
      <c r="E802" s="8">
        <f>E801+F802</f>
        <v>117302</v>
      </c>
      <c r="F802" s="8">
        <f>IF($D802="CR01",$C802,0)</f>
        <v>-180</v>
      </c>
      <c r="G802" s="8">
        <f>G801+H802</f>
        <v>0</v>
      </c>
      <c r="H802" s="8">
        <f>IF($D802="VISA",$C802,0)</f>
        <v>0</v>
      </c>
      <c r="I802" s="8">
        <f>I801+J802</f>
        <v>0</v>
      </c>
      <c r="J802" s="8">
        <f>IF($D802="ACC",$C802,0)</f>
        <v>0</v>
      </c>
      <c r="K802" s="8">
        <f>K801+L802</f>
        <v>0</v>
      </c>
      <c r="L802" s="8">
        <f>IF($D802="CBB",$C802,0)</f>
        <v>0</v>
      </c>
    </row>
    <row r="803" spans="1:12" x14ac:dyDescent="0.25">
      <c r="A803" s="6">
        <v>41956</v>
      </c>
      <c r="B803" t="s">
        <v>46</v>
      </c>
      <c r="C803" s="7">
        <v>-300</v>
      </c>
      <c r="D803" t="s">
        <v>6</v>
      </c>
      <c r="E803" s="8">
        <f>E802+F803</f>
        <v>117002</v>
      </c>
      <c r="F803" s="8">
        <f>IF($D803="CR01",$C803,0)</f>
        <v>-300</v>
      </c>
      <c r="G803" s="8">
        <f>G802+H803</f>
        <v>0</v>
      </c>
      <c r="H803" s="8">
        <f>IF($D803="VISA",$C803,0)</f>
        <v>0</v>
      </c>
      <c r="I803" s="8">
        <f>I802+J803</f>
        <v>0</v>
      </c>
      <c r="J803" s="8">
        <f>IF($D803="ACC",$C803,0)</f>
        <v>0</v>
      </c>
      <c r="K803" s="8">
        <f>K802+L803</f>
        <v>0</v>
      </c>
      <c r="L803" s="8">
        <f>IF($D803="CBB",$C803,0)</f>
        <v>0</v>
      </c>
    </row>
    <row r="804" spans="1:12" x14ac:dyDescent="0.25">
      <c r="A804" s="6">
        <v>41958</v>
      </c>
      <c r="B804" t="s">
        <v>67</v>
      </c>
      <c r="C804" s="7">
        <v>5200</v>
      </c>
      <c r="D804" t="s">
        <v>6</v>
      </c>
      <c r="E804" s="8">
        <f>E803+F804</f>
        <v>122202</v>
      </c>
      <c r="F804" s="8">
        <f>IF($D804="CR01",$C804,0)</f>
        <v>5200</v>
      </c>
      <c r="G804" s="8">
        <f>G803+H804</f>
        <v>0</v>
      </c>
      <c r="H804" s="8">
        <f>IF($D804="VISA",$C804,0)</f>
        <v>0</v>
      </c>
      <c r="I804" s="8">
        <f>I803+J804</f>
        <v>0</v>
      </c>
      <c r="J804" s="8">
        <f>IF($D804="ACC",$C804,0)</f>
        <v>0</v>
      </c>
      <c r="K804" s="8">
        <f>K803+L804</f>
        <v>0</v>
      </c>
      <c r="L804" s="8">
        <f>IF($D804="CBB",$C804,0)</f>
        <v>0</v>
      </c>
    </row>
    <row r="805" spans="1:12" x14ac:dyDescent="0.25">
      <c r="A805" s="6">
        <v>41961</v>
      </c>
      <c r="B805" t="s">
        <v>42</v>
      </c>
      <c r="C805" s="7">
        <v>-2806</v>
      </c>
      <c r="D805" t="s">
        <v>6</v>
      </c>
      <c r="E805" s="8">
        <f>E804+F805</f>
        <v>119396</v>
      </c>
      <c r="F805" s="8">
        <f>IF($D805="CR01",$C805,0)</f>
        <v>-2806</v>
      </c>
      <c r="G805" s="8">
        <f>G804+H805</f>
        <v>0</v>
      </c>
      <c r="H805" s="8">
        <f>IF($D805="VISA",$C805,0)</f>
        <v>0</v>
      </c>
      <c r="I805" s="8">
        <f>I804+J805</f>
        <v>0</v>
      </c>
      <c r="J805" s="8">
        <f>IF($D805="ACC",$C805,0)</f>
        <v>0</v>
      </c>
      <c r="K805" s="8">
        <f>K804+L805</f>
        <v>0</v>
      </c>
      <c r="L805" s="8">
        <f>IF($D805="CBB",$C805,0)</f>
        <v>0</v>
      </c>
    </row>
    <row r="806" spans="1:12" x14ac:dyDescent="0.25">
      <c r="A806" s="6">
        <v>41961</v>
      </c>
      <c r="B806" t="s">
        <v>48</v>
      </c>
      <c r="C806" s="7">
        <v>-100</v>
      </c>
      <c r="D806" t="s">
        <v>6</v>
      </c>
      <c r="E806" s="8">
        <f>E805+F806</f>
        <v>119296</v>
      </c>
      <c r="F806" s="8">
        <f>IF($D806="CR01",$C806,0)</f>
        <v>-100</v>
      </c>
      <c r="G806" s="8">
        <f>G805+H806</f>
        <v>0</v>
      </c>
      <c r="H806" s="8">
        <f>IF($D806="VISA",$C806,0)</f>
        <v>0</v>
      </c>
      <c r="I806" s="8">
        <f>I805+J806</f>
        <v>0</v>
      </c>
      <c r="J806" s="8">
        <f>IF($D806="ACC",$C806,0)</f>
        <v>0</v>
      </c>
      <c r="K806" s="8">
        <f>K805+L806</f>
        <v>0</v>
      </c>
      <c r="L806" s="8">
        <f>IF($D806="CBB",$C806,0)</f>
        <v>0</v>
      </c>
    </row>
    <row r="807" spans="1:12" x14ac:dyDescent="0.25">
      <c r="A807" s="6">
        <v>41962</v>
      </c>
      <c r="B807" t="s">
        <v>47</v>
      </c>
      <c r="C807" s="7">
        <v>-120</v>
      </c>
      <c r="D807" t="s">
        <v>6</v>
      </c>
      <c r="E807" s="8">
        <f>E806+F807</f>
        <v>119176</v>
      </c>
      <c r="F807" s="8">
        <f>IF($D807="CR01",$C807,0)</f>
        <v>-120</v>
      </c>
      <c r="G807" s="8">
        <f>G806+H807</f>
        <v>0</v>
      </c>
      <c r="H807" s="8">
        <f>IF($D807="VISA",$C807,0)</f>
        <v>0</v>
      </c>
      <c r="I807" s="8">
        <f>I806+J807</f>
        <v>0</v>
      </c>
      <c r="J807" s="8">
        <f>IF($D807="ACC",$C807,0)</f>
        <v>0</v>
      </c>
      <c r="K807" s="8">
        <f>K806+L807</f>
        <v>0</v>
      </c>
      <c r="L807" s="8">
        <f>IF($D807="CBB",$C807,0)</f>
        <v>0</v>
      </c>
    </row>
    <row r="808" spans="1:12" x14ac:dyDescent="0.25">
      <c r="A808" s="6">
        <v>41963</v>
      </c>
      <c r="B808" t="s">
        <v>44</v>
      </c>
      <c r="C808" s="7">
        <v>-400</v>
      </c>
      <c r="D808" t="s">
        <v>6</v>
      </c>
      <c r="E808" s="8">
        <f>E807+F808</f>
        <v>118776</v>
      </c>
      <c r="F808" s="8">
        <f>IF($D808="CR01",$C808,0)</f>
        <v>-400</v>
      </c>
      <c r="G808" s="8">
        <f>G807+H808</f>
        <v>0</v>
      </c>
      <c r="H808" s="8">
        <f>IF($D808="VISA",$C808,0)</f>
        <v>0</v>
      </c>
      <c r="I808" s="8">
        <f>I807+J808</f>
        <v>0</v>
      </c>
      <c r="J808" s="8">
        <f>IF($D808="ACC",$C808,0)</f>
        <v>0</v>
      </c>
      <c r="K808" s="8">
        <f>K807+L808</f>
        <v>0</v>
      </c>
      <c r="L808" s="8">
        <f>IF($D808="CBB",$C808,0)</f>
        <v>0</v>
      </c>
    </row>
    <row r="809" spans="1:12" x14ac:dyDescent="0.25">
      <c r="A809" s="6">
        <v>41963</v>
      </c>
      <c r="B809" t="s">
        <v>45</v>
      </c>
      <c r="C809" s="7">
        <v>-180</v>
      </c>
      <c r="D809" t="s">
        <v>6</v>
      </c>
      <c r="E809" s="8">
        <f>E808+F809</f>
        <v>118596</v>
      </c>
      <c r="F809" s="8">
        <f>IF($D809="CR01",$C809,0)</f>
        <v>-180</v>
      </c>
      <c r="G809" s="8">
        <f>G808+H809</f>
        <v>0</v>
      </c>
      <c r="H809" s="8">
        <f>IF($D809="VISA",$C809,0)</f>
        <v>0</v>
      </c>
      <c r="I809" s="8">
        <f>I808+J809</f>
        <v>0</v>
      </c>
      <c r="J809" s="8">
        <f>IF($D809="ACC",$C809,0)</f>
        <v>0</v>
      </c>
      <c r="K809" s="8">
        <f>K808+L809</f>
        <v>0</v>
      </c>
      <c r="L809" s="8">
        <f>IF($D809="CBB",$C809,0)</f>
        <v>0</v>
      </c>
    </row>
    <row r="810" spans="1:12" x14ac:dyDescent="0.25">
      <c r="A810" s="6">
        <v>41963</v>
      </c>
      <c r="B810" t="s">
        <v>46</v>
      </c>
      <c r="C810" s="7">
        <v>-300</v>
      </c>
      <c r="D810" t="s">
        <v>6</v>
      </c>
      <c r="E810" s="8">
        <f>E809+F810</f>
        <v>118296</v>
      </c>
      <c r="F810" s="8">
        <f>IF($D810="CR01",$C810,0)</f>
        <v>-300</v>
      </c>
      <c r="G810" s="8">
        <f>G809+H810</f>
        <v>0</v>
      </c>
      <c r="H810" s="8">
        <f>IF($D810="VISA",$C810,0)</f>
        <v>0</v>
      </c>
      <c r="I810" s="8">
        <f>I809+J810</f>
        <v>0</v>
      </c>
      <c r="J810" s="8">
        <f>IF($D810="ACC",$C810,0)</f>
        <v>0</v>
      </c>
      <c r="K810" s="8">
        <f>K809+L810</f>
        <v>0</v>
      </c>
      <c r="L810" s="8">
        <f>IF($D810="CBB",$C810,0)</f>
        <v>0</v>
      </c>
    </row>
    <row r="811" spans="1:12" x14ac:dyDescent="0.25">
      <c r="A811" s="6">
        <v>41964</v>
      </c>
      <c r="B811" t="s">
        <v>43</v>
      </c>
      <c r="C811" s="7">
        <v>3226</v>
      </c>
      <c r="D811" t="s">
        <v>6</v>
      </c>
      <c r="E811" s="8">
        <f>E810+F811</f>
        <v>121522</v>
      </c>
      <c r="F811" s="8">
        <f>IF($D811="CR01",$C811,0)</f>
        <v>3226</v>
      </c>
      <c r="G811" s="8">
        <f>G810+H811</f>
        <v>0</v>
      </c>
      <c r="H811" s="8">
        <f>IF($D811="VISA",$C811,0)</f>
        <v>0</v>
      </c>
      <c r="I811" s="8">
        <f>I810+J811</f>
        <v>0</v>
      </c>
      <c r="J811" s="8">
        <f>IF($D811="ACC",$C811,0)</f>
        <v>0</v>
      </c>
      <c r="K811" s="8">
        <f>K810+L811</f>
        <v>0</v>
      </c>
      <c r="L811" s="8">
        <f>IF($D811="CBB",$C811,0)</f>
        <v>0</v>
      </c>
    </row>
    <row r="812" spans="1:12" x14ac:dyDescent="0.25">
      <c r="A812" s="6">
        <v>41968</v>
      </c>
      <c r="B812" t="s">
        <v>48</v>
      </c>
      <c r="C812" s="7">
        <v>-100</v>
      </c>
      <c r="D812" t="s">
        <v>6</v>
      </c>
      <c r="E812" s="8">
        <f>E811+F812</f>
        <v>121422</v>
      </c>
      <c r="F812" s="8">
        <f>IF($D812="CR01",$C812,0)</f>
        <v>-100</v>
      </c>
      <c r="G812" s="8">
        <f>G811+H812</f>
        <v>0</v>
      </c>
      <c r="H812" s="8">
        <f>IF($D812="VISA",$C812,0)</f>
        <v>0</v>
      </c>
      <c r="I812" s="8">
        <f>I811+J812</f>
        <v>0</v>
      </c>
      <c r="J812" s="8">
        <f>IF($D812="ACC",$C812,0)</f>
        <v>0</v>
      </c>
      <c r="K812" s="8">
        <f>K811+L812</f>
        <v>0</v>
      </c>
      <c r="L812" s="8">
        <f>IF($D812="CBB",$C812,0)</f>
        <v>0</v>
      </c>
    </row>
    <row r="813" spans="1:12" x14ac:dyDescent="0.25">
      <c r="A813" s="6">
        <v>41969</v>
      </c>
      <c r="B813" t="s">
        <v>47</v>
      </c>
      <c r="C813" s="7">
        <v>-120</v>
      </c>
      <c r="D813" t="s">
        <v>6</v>
      </c>
      <c r="E813" s="8">
        <f>E812+F813</f>
        <v>121302</v>
      </c>
      <c r="F813" s="8">
        <f>IF($D813="CR01",$C813,0)</f>
        <v>-120</v>
      </c>
      <c r="G813" s="8">
        <f>G812+H813</f>
        <v>0</v>
      </c>
      <c r="H813" s="8">
        <f>IF($D813="VISA",$C813,0)</f>
        <v>0</v>
      </c>
      <c r="I813" s="8">
        <f>I812+J813</f>
        <v>0</v>
      </c>
      <c r="J813" s="8">
        <f>IF($D813="ACC",$C813,0)</f>
        <v>0</v>
      </c>
      <c r="K813" s="8">
        <f>K812+L813</f>
        <v>0</v>
      </c>
      <c r="L813" s="8">
        <f>IF($D813="CBB",$C813,0)</f>
        <v>0</v>
      </c>
    </row>
    <row r="814" spans="1:12" x14ac:dyDescent="0.25">
      <c r="A814" s="6">
        <v>41970</v>
      </c>
      <c r="B814" t="s">
        <v>44</v>
      </c>
      <c r="C814" s="7">
        <v>-400</v>
      </c>
      <c r="D814" t="s">
        <v>6</v>
      </c>
      <c r="E814" s="8">
        <f>E813+F814</f>
        <v>120902</v>
      </c>
      <c r="F814" s="8">
        <f>IF($D814="CR01",$C814,0)</f>
        <v>-400</v>
      </c>
      <c r="G814" s="8">
        <f>G813+H814</f>
        <v>0</v>
      </c>
      <c r="H814" s="8">
        <f>IF($D814="VISA",$C814,0)</f>
        <v>0</v>
      </c>
      <c r="I814" s="8">
        <f>I813+J814</f>
        <v>0</v>
      </c>
      <c r="J814" s="8">
        <f>IF($D814="ACC",$C814,0)</f>
        <v>0</v>
      </c>
      <c r="K814" s="8">
        <f>K813+L814</f>
        <v>0</v>
      </c>
      <c r="L814" s="8">
        <f>IF($D814="CBB",$C814,0)</f>
        <v>0</v>
      </c>
    </row>
    <row r="815" spans="1:12" x14ac:dyDescent="0.25">
      <c r="A815" s="6">
        <v>41970</v>
      </c>
      <c r="B815" t="s">
        <v>45</v>
      </c>
      <c r="C815" s="7">
        <v>-180</v>
      </c>
      <c r="D815" t="s">
        <v>6</v>
      </c>
      <c r="E815" s="8">
        <f>E814+F815</f>
        <v>120722</v>
      </c>
      <c r="F815" s="8">
        <f>IF($D815="CR01",$C815,0)</f>
        <v>-180</v>
      </c>
      <c r="G815" s="8">
        <f>G814+H815</f>
        <v>0</v>
      </c>
      <c r="H815" s="8">
        <f>IF($D815="VISA",$C815,0)</f>
        <v>0</v>
      </c>
      <c r="I815" s="8">
        <f>I814+J815</f>
        <v>0</v>
      </c>
      <c r="J815" s="8">
        <f>IF($D815="ACC",$C815,0)</f>
        <v>0</v>
      </c>
      <c r="K815" s="8">
        <f>K814+L815</f>
        <v>0</v>
      </c>
      <c r="L815" s="8">
        <f>IF($D815="CBB",$C815,0)</f>
        <v>0</v>
      </c>
    </row>
    <row r="816" spans="1:12" x14ac:dyDescent="0.25">
      <c r="A816" s="6">
        <v>41970</v>
      </c>
      <c r="B816" t="s">
        <v>46</v>
      </c>
      <c r="C816" s="7">
        <v>-300</v>
      </c>
      <c r="D816" t="s">
        <v>6</v>
      </c>
      <c r="E816" s="8">
        <f>E815+F816</f>
        <v>120422</v>
      </c>
      <c r="F816" s="8">
        <f>IF($D816="CR01",$C816,0)</f>
        <v>-300</v>
      </c>
      <c r="G816" s="8">
        <f>G815+H816</f>
        <v>0</v>
      </c>
      <c r="H816" s="8">
        <f>IF($D816="VISA",$C816,0)</f>
        <v>0</v>
      </c>
      <c r="I816" s="8">
        <f>I815+J816</f>
        <v>0</v>
      </c>
      <c r="J816" s="8">
        <f>IF($D816="ACC",$C816,0)</f>
        <v>0</v>
      </c>
      <c r="K816" s="8">
        <f>K815+L816</f>
        <v>0</v>
      </c>
      <c r="L816" s="8">
        <f>IF($D816="CBB",$C816,0)</f>
        <v>0</v>
      </c>
    </row>
    <row r="817" spans="1:12" x14ac:dyDescent="0.25">
      <c r="A817" s="6">
        <v>41972</v>
      </c>
      <c r="B817" t="s">
        <v>67</v>
      </c>
      <c r="C817" s="7">
        <v>5200</v>
      </c>
      <c r="D817" t="s">
        <v>6</v>
      </c>
      <c r="E817" s="8">
        <f>E816+F817</f>
        <v>125622</v>
      </c>
      <c r="F817" s="8">
        <f>IF($D817="CR01",$C817,0)</f>
        <v>5200</v>
      </c>
      <c r="G817" s="8">
        <f>G816+H817</f>
        <v>0</v>
      </c>
      <c r="H817" s="8">
        <f>IF($D817="VISA",$C817,0)</f>
        <v>0</v>
      </c>
      <c r="I817" s="8">
        <f>I816+J817</f>
        <v>0</v>
      </c>
      <c r="J817" s="8">
        <f>IF($D817="ACC",$C817,0)</f>
        <v>0</v>
      </c>
      <c r="K817" s="8">
        <f>K816+L817</f>
        <v>0</v>
      </c>
      <c r="L817" s="8">
        <f>IF($D817="CBB",$C817,0)</f>
        <v>0</v>
      </c>
    </row>
    <row r="818" spans="1:12" x14ac:dyDescent="0.25">
      <c r="A818" s="6">
        <v>41974</v>
      </c>
      <c r="B818" t="s">
        <v>58</v>
      </c>
      <c r="C818" s="7">
        <v>-200</v>
      </c>
      <c r="D818" t="s">
        <v>6</v>
      </c>
      <c r="E818" s="8">
        <f>E817+F818</f>
        <v>125422</v>
      </c>
      <c r="F818" s="8">
        <f>IF($D818="CR01",$C818,0)</f>
        <v>-200</v>
      </c>
      <c r="G818" s="8">
        <f>G817+H818</f>
        <v>0</v>
      </c>
      <c r="H818" s="8">
        <f>IF($D818="VISA",$C818,0)</f>
        <v>0</v>
      </c>
      <c r="I818" s="8">
        <f>I817+J818</f>
        <v>0</v>
      </c>
      <c r="J818" s="8">
        <f>IF($D818="ACC",$C818,0)</f>
        <v>0</v>
      </c>
      <c r="K818" s="8">
        <f>K817+L818</f>
        <v>0</v>
      </c>
      <c r="L818" s="8">
        <f>IF($D818="CBB",$C818,0)</f>
        <v>0</v>
      </c>
    </row>
    <row r="819" spans="1:12" x14ac:dyDescent="0.25">
      <c r="A819" s="6">
        <v>41974</v>
      </c>
      <c r="B819" t="s">
        <v>60</v>
      </c>
      <c r="C819" s="7">
        <v>-400</v>
      </c>
      <c r="D819" t="s">
        <v>6</v>
      </c>
      <c r="E819" s="8">
        <f>E818+F819</f>
        <v>125022</v>
      </c>
      <c r="F819" s="8">
        <f>IF($D819="CR01",$C819,0)</f>
        <v>-400</v>
      </c>
      <c r="G819" s="8">
        <f>G818+H819</f>
        <v>0</v>
      </c>
      <c r="H819" s="8">
        <f>IF($D819="VISA",$C819,0)</f>
        <v>0</v>
      </c>
      <c r="I819" s="8">
        <f>I818+J819</f>
        <v>0</v>
      </c>
      <c r="J819" s="8">
        <f>IF($D819="ACC",$C819,0)</f>
        <v>0</v>
      </c>
      <c r="K819" s="8">
        <f>K818+L819</f>
        <v>0</v>
      </c>
      <c r="L819" s="8">
        <f>IF($D819="CBB",$C819,0)</f>
        <v>0</v>
      </c>
    </row>
    <row r="820" spans="1:12" x14ac:dyDescent="0.25">
      <c r="A820" s="6">
        <v>41974</v>
      </c>
      <c r="B820" t="s">
        <v>64</v>
      </c>
      <c r="C820" s="7">
        <v>-26</v>
      </c>
      <c r="D820" t="s">
        <v>6</v>
      </c>
      <c r="E820" s="8">
        <f>E819+F820</f>
        <v>124996</v>
      </c>
      <c r="F820" s="8">
        <f>IF($D820="CR01",$C820,0)</f>
        <v>-26</v>
      </c>
      <c r="G820" s="8">
        <f>G819+H820</f>
        <v>0</v>
      </c>
      <c r="H820" s="8">
        <f>IF($D820="VISA",$C820,0)</f>
        <v>0</v>
      </c>
      <c r="I820" s="8">
        <f>I819+J820</f>
        <v>0</v>
      </c>
      <c r="J820" s="8">
        <f>IF($D820="ACC",$C820,0)</f>
        <v>0</v>
      </c>
      <c r="K820" s="8">
        <f>K819+L820</f>
        <v>0</v>
      </c>
      <c r="L820" s="8">
        <f>IF($D820="CBB",$C820,0)</f>
        <v>0</v>
      </c>
    </row>
    <row r="821" spans="1:12" x14ac:dyDescent="0.25">
      <c r="A821" s="6">
        <v>41974</v>
      </c>
      <c r="B821" t="s">
        <v>65</v>
      </c>
      <c r="C821" s="7">
        <v>-240</v>
      </c>
      <c r="D821" t="s">
        <v>6</v>
      </c>
      <c r="E821" s="8">
        <f>E820+F821</f>
        <v>124756</v>
      </c>
      <c r="F821" s="8">
        <f>IF($D821="CR01",$C821,0)</f>
        <v>-240</v>
      </c>
      <c r="G821" s="8">
        <f>G820+H821</f>
        <v>0</v>
      </c>
      <c r="H821" s="8">
        <f>IF($D821="VISA",$C821,0)</f>
        <v>0</v>
      </c>
      <c r="I821" s="8">
        <f>I820+J821</f>
        <v>0</v>
      </c>
      <c r="J821" s="8">
        <f>IF($D821="ACC",$C821,0)</f>
        <v>0</v>
      </c>
      <c r="K821" s="8">
        <f>K820+L821</f>
        <v>0</v>
      </c>
      <c r="L821" s="8">
        <f>IF($D821="CBB",$C821,0)</f>
        <v>0</v>
      </c>
    </row>
    <row r="822" spans="1:12" x14ac:dyDescent="0.25">
      <c r="A822" s="6">
        <v>41974</v>
      </c>
      <c r="B822" t="s">
        <v>66</v>
      </c>
      <c r="C822" s="7">
        <v>-120</v>
      </c>
      <c r="D822" t="s">
        <v>6</v>
      </c>
      <c r="E822" s="8">
        <f>E821+F822</f>
        <v>124636</v>
      </c>
      <c r="F822" s="8">
        <f>IF($D822="CR01",$C822,0)</f>
        <v>-120</v>
      </c>
      <c r="G822" s="8">
        <f>G821+H822</f>
        <v>0</v>
      </c>
      <c r="H822" s="8">
        <f>IF($D822="VISA",$C822,0)</f>
        <v>0</v>
      </c>
      <c r="I822" s="8">
        <f>I821+J822</f>
        <v>0</v>
      </c>
      <c r="J822" s="8">
        <f>IF($D822="ACC",$C822,0)</f>
        <v>0</v>
      </c>
      <c r="K822" s="8">
        <f>K821+L822</f>
        <v>0</v>
      </c>
      <c r="L822" s="8">
        <f>IF($D822="CBB",$C822,0)</f>
        <v>0</v>
      </c>
    </row>
    <row r="823" spans="1:12" x14ac:dyDescent="0.25">
      <c r="A823" s="6">
        <v>41975</v>
      </c>
      <c r="B823" t="s">
        <v>42</v>
      </c>
      <c r="C823" s="7">
        <v>-2806</v>
      </c>
      <c r="D823" t="s">
        <v>6</v>
      </c>
      <c r="E823" s="8">
        <f>E822+F823</f>
        <v>121830</v>
      </c>
      <c r="F823" s="8">
        <f>IF($D823="CR01",$C823,0)</f>
        <v>-2806</v>
      </c>
      <c r="G823" s="8">
        <f>G822+H823</f>
        <v>0</v>
      </c>
      <c r="H823" s="8">
        <f>IF($D823="VISA",$C823,0)</f>
        <v>0</v>
      </c>
      <c r="I823" s="8">
        <f>I822+J823</f>
        <v>0</v>
      </c>
      <c r="J823" s="8">
        <f>IF($D823="ACC",$C823,0)</f>
        <v>0</v>
      </c>
      <c r="K823" s="8">
        <f>K822+L823</f>
        <v>0</v>
      </c>
      <c r="L823" s="8">
        <f>IF($D823="CBB",$C823,0)</f>
        <v>0</v>
      </c>
    </row>
    <row r="824" spans="1:12" x14ac:dyDescent="0.25">
      <c r="A824" s="6">
        <v>41975</v>
      </c>
      <c r="B824" t="s">
        <v>48</v>
      </c>
      <c r="C824" s="7">
        <v>-100</v>
      </c>
      <c r="D824" t="s">
        <v>6</v>
      </c>
      <c r="E824" s="8">
        <f>E823+F824</f>
        <v>121730</v>
      </c>
      <c r="F824" s="8">
        <f>IF($D824="CR01",$C824,0)</f>
        <v>-100</v>
      </c>
      <c r="G824" s="8">
        <f>G823+H824</f>
        <v>0</v>
      </c>
      <c r="H824" s="8">
        <f>IF($D824="VISA",$C824,0)</f>
        <v>0</v>
      </c>
      <c r="I824" s="8">
        <f>I823+J824</f>
        <v>0</v>
      </c>
      <c r="J824" s="8">
        <f>IF($D824="ACC",$C824,0)</f>
        <v>0</v>
      </c>
      <c r="K824" s="8">
        <f>K823+L824</f>
        <v>0</v>
      </c>
      <c r="L824" s="8">
        <f>IF($D824="CBB",$C824,0)</f>
        <v>0</v>
      </c>
    </row>
    <row r="825" spans="1:12" x14ac:dyDescent="0.25">
      <c r="A825" s="6">
        <v>41975</v>
      </c>
      <c r="B825" t="s">
        <v>59</v>
      </c>
      <c r="C825" s="7">
        <v>-900</v>
      </c>
      <c r="D825" t="s">
        <v>6</v>
      </c>
      <c r="E825" s="8">
        <f>E824+F825</f>
        <v>120830</v>
      </c>
      <c r="F825" s="8">
        <f>IF($D825="CR01",$C825,0)</f>
        <v>-900</v>
      </c>
      <c r="G825" s="8">
        <f>G824+H825</f>
        <v>0</v>
      </c>
      <c r="H825" s="8">
        <f>IF($D825="VISA",$C825,0)</f>
        <v>0</v>
      </c>
      <c r="I825" s="8">
        <f>I824+J825</f>
        <v>0</v>
      </c>
      <c r="J825" s="8">
        <f>IF($D825="ACC",$C825,0)</f>
        <v>0</v>
      </c>
      <c r="K825" s="8">
        <f>K824+L825</f>
        <v>0</v>
      </c>
      <c r="L825" s="8">
        <f>IF($D825="CBB",$C825,0)</f>
        <v>0</v>
      </c>
    </row>
    <row r="826" spans="1:12" x14ac:dyDescent="0.25">
      <c r="A826" s="6">
        <v>41976</v>
      </c>
      <c r="B826" t="s">
        <v>47</v>
      </c>
      <c r="C826" s="7">
        <v>-120</v>
      </c>
      <c r="D826" t="s">
        <v>6</v>
      </c>
      <c r="E826" s="8">
        <f>E825+F826</f>
        <v>120710</v>
      </c>
      <c r="F826" s="8">
        <f>IF($D826="CR01",$C826,0)</f>
        <v>-120</v>
      </c>
      <c r="G826" s="8">
        <f>G825+H826</f>
        <v>0</v>
      </c>
      <c r="H826" s="8">
        <f>IF($D826="VISA",$C826,0)</f>
        <v>0</v>
      </c>
      <c r="I826" s="8">
        <f>I825+J826</f>
        <v>0</v>
      </c>
      <c r="J826" s="8">
        <f>IF($D826="ACC",$C826,0)</f>
        <v>0</v>
      </c>
      <c r="K826" s="8">
        <f>K825+L826</f>
        <v>0</v>
      </c>
      <c r="L826" s="8">
        <f>IF($D826="CBB",$C826,0)</f>
        <v>0</v>
      </c>
    </row>
    <row r="827" spans="1:12" x14ac:dyDescent="0.25">
      <c r="A827" s="6">
        <v>41977</v>
      </c>
      <c r="B827" t="s">
        <v>44</v>
      </c>
      <c r="C827" s="7">
        <v>-400</v>
      </c>
      <c r="D827" t="s">
        <v>6</v>
      </c>
      <c r="E827" s="8">
        <f>E826+F827</f>
        <v>120310</v>
      </c>
      <c r="F827" s="8">
        <f>IF($D827="CR01",$C827,0)</f>
        <v>-400</v>
      </c>
      <c r="G827" s="8">
        <f>G826+H827</f>
        <v>0</v>
      </c>
      <c r="H827" s="8">
        <f>IF($D827="VISA",$C827,0)</f>
        <v>0</v>
      </c>
      <c r="I827" s="8">
        <f>I826+J827</f>
        <v>0</v>
      </c>
      <c r="J827" s="8">
        <f>IF($D827="ACC",$C827,0)</f>
        <v>0</v>
      </c>
      <c r="K827" s="8">
        <f>K826+L827</f>
        <v>0</v>
      </c>
      <c r="L827" s="8">
        <f>IF($D827="CBB",$C827,0)</f>
        <v>0</v>
      </c>
    </row>
    <row r="828" spans="1:12" x14ac:dyDescent="0.25">
      <c r="A828" s="6">
        <v>41977</v>
      </c>
      <c r="B828" t="s">
        <v>45</v>
      </c>
      <c r="C828" s="7">
        <v>-180</v>
      </c>
      <c r="D828" t="s">
        <v>6</v>
      </c>
      <c r="E828" s="8">
        <f>E827+F828</f>
        <v>120130</v>
      </c>
      <c r="F828" s="8">
        <f>IF($D828="CR01",$C828,0)</f>
        <v>-180</v>
      </c>
      <c r="G828" s="8">
        <f>G827+H828</f>
        <v>0</v>
      </c>
      <c r="H828" s="8">
        <f>IF($D828="VISA",$C828,0)</f>
        <v>0</v>
      </c>
      <c r="I828" s="8">
        <f>I827+J828</f>
        <v>0</v>
      </c>
      <c r="J828" s="8">
        <f>IF($D828="ACC",$C828,0)</f>
        <v>0</v>
      </c>
      <c r="K828" s="8">
        <f>K827+L828</f>
        <v>0</v>
      </c>
      <c r="L828" s="8">
        <f>IF($D828="CBB",$C828,0)</f>
        <v>0</v>
      </c>
    </row>
    <row r="829" spans="1:12" x14ac:dyDescent="0.25">
      <c r="A829" s="6">
        <v>41977</v>
      </c>
      <c r="B829" t="s">
        <v>46</v>
      </c>
      <c r="C829" s="7">
        <v>-300</v>
      </c>
      <c r="D829" t="s">
        <v>6</v>
      </c>
      <c r="E829" s="8">
        <f>E828+F829</f>
        <v>119830</v>
      </c>
      <c r="F829" s="8">
        <f>IF($D829="CR01",$C829,0)</f>
        <v>-300</v>
      </c>
      <c r="G829" s="8">
        <f>G828+H829</f>
        <v>0</v>
      </c>
      <c r="H829" s="8">
        <f>IF($D829="VISA",$C829,0)</f>
        <v>0</v>
      </c>
      <c r="I829" s="8">
        <f>I828+J829</f>
        <v>0</v>
      </c>
      <c r="J829" s="8">
        <f>IF($D829="ACC",$C829,0)</f>
        <v>0</v>
      </c>
      <c r="K829" s="8">
        <f>K828+L829</f>
        <v>0</v>
      </c>
      <c r="L829" s="8">
        <f>IF($D829="CBB",$C829,0)</f>
        <v>0</v>
      </c>
    </row>
    <row r="830" spans="1:12" x14ac:dyDescent="0.25">
      <c r="A830" s="6">
        <v>41978</v>
      </c>
      <c r="B830" t="s">
        <v>43</v>
      </c>
      <c r="C830" s="7">
        <v>3226</v>
      </c>
      <c r="D830" t="s">
        <v>6</v>
      </c>
      <c r="E830" s="8">
        <f>E829+F830</f>
        <v>123056</v>
      </c>
      <c r="F830" s="8">
        <f>IF($D830="CR01",$C830,0)</f>
        <v>3226</v>
      </c>
      <c r="G830" s="8">
        <f>G829+H830</f>
        <v>0</v>
      </c>
      <c r="H830" s="8">
        <f>IF($D830="VISA",$C830,0)</f>
        <v>0</v>
      </c>
      <c r="I830" s="8">
        <f>I829+J830</f>
        <v>0</v>
      </c>
      <c r="J830" s="8">
        <f>IF($D830="ACC",$C830,0)</f>
        <v>0</v>
      </c>
      <c r="K830" s="8">
        <f>K829+L830</f>
        <v>0</v>
      </c>
      <c r="L830" s="8">
        <f>IF($D830="CBB",$C830,0)</f>
        <v>0</v>
      </c>
    </row>
    <row r="831" spans="1:12" x14ac:dyDescent="0.25">
      <c r="A831" s="6">
        <v>41982</v>
      </c>
      <c r="B831" t="s">
        <v>48</v>
      </c>
      <c r="C831" s="7">
        <v>-100</v>
      </c>
      <c r="D831" t="s">
        <v>6</v>
      </c>
      <c r="E831" s="8">
        <f>E830+F831</f>
        <v>122956</v>
      </c>
      <c r="F831" s="8">
        <f>IF($D831="CR01",$C831,0)</f>
        <v>-100</v>
      </c>
      <c r="G831" s="8">
        <f>G830+H831</f>
        <v>0</v>
      </c>
      <c r="H831" s="8">
        <f>IF($D831="VISA",$C831,0)</f>
        <v>0</v>
      </c>
      <c r="I831" s="8">
        <f>I830+J831</f>
        <v>0</v>
      </c>
      <c r="J831" s="8">
        <f>IF($D831="ACC",$C831,0)</f>
        <v>0</v>
      </c>
      <c r="K831" s="8">
        <f>K830+L831</f>
        <v>0</v>
      </c>
      <c r="L831" s="8">
        <f>IF($D831="CBB",$C831,0)</f>
        <v>0</v>
      </c>
    </row>
    <row r="832" spans="1:12" x14ac:dyDescent="0.25">
      <c r="A832" s="6">
        <v>41983</v>
      </c>
      <c r="B832" t="s">
        <v>47</v>
      </c>
      <c r="C832" s="7">
        <v>-120</v>
      </c>
      <c r="D832" t="s">
        <v>6</v>
      </c>
      <c r="E832" s="8">
        <f>E831+F832</f>
        <v>122836</v>
      </c>
      <c r="F832" s="8">
        <f>IF($D832="CR01",$C832,0)</f>
        <v>-120</v>
      </c>
      <c r="G832" s="8">
        <f>G831+H832</f>
        <v>0</v>
      </c>
      <c r="H832" s="8">
        <f>IF($D832="VISA",$C832,0)</f>
        <v>0</v>
      </c>
      <c r="I832" s="8">
        <f>I831+J832</f>
        <v>0</v>
      </c>
      <c r="J832" s="8">
        <f>IF($D832="ACC",$C832,0)</f>
        <v>0</v>
      </c>
      <c r="K832" s="8">
        <f>K831+L832</f>
        <v>0</v>
      </c>
      <c r="L832" s="8">
        <f>IF($D832="CBB",$C832,0)</f>
        <v>0</v>
      </c>
    </row>
    <row r="833" spans="1:12" x14ac:dyDescent="0.25">
      <c r="A833" s="6">
        <v>41984</v>
      </c>
      <c r="B833" t="s">
        <v>44</v>
      </c>
      <c r="C833" s="7">
        <v>-400</v>
      </c>
      <c r="D833" t="s">
        <v>6</v>
      </c>
      <c r="E833" s="8">
        <f>E832+F833</f>
        <v>122436</v>
      </c>
      <c r="F833" s="8">
        <f>IF($D833="CR01",$C833,0)</f>
        <v>-400</v>
      </c>
      <c r="G833" s="8">
        <f>G832+H833</f>
        <v>0</v>
      </c>
      <c r="H833" s="8">
        <f>IF($D833="VISA",$C833,0)</f>
        <v>0</v>
      </c>
      <c r="I833" s="8">
        <f>I832+J833</f>
        <v>0</v>
      </c>
      <c r="J833" s="8">
        <f>IF($D833="ACC",$C833,0)</f>
        <v>0</v>
      </c>
      <c r="K833" s="8">
        <f>K832+L833</f>
        <v>0</v>
      </c>
      <c r="L833" s="8">
        <f>IF($D833="CBB",$C833,0)</f>
        <v>0</v>
      </c>
    </row>
    <row r="834" spans="1:12" x14ac:dyDescent="0.25">
      <c r="A834" s="6">
        <v>41984</v>
      </c>
      <c r="B834" t="s">
        <v>45</v>
      </c>
      <c r="C834" s="7">
        <v>-180</v>
      </c>
      <c r="D834" t="s">
        <v>6</v>
      </c>
      <c r="E834" s="8">
        <f>E833+F834</f>
        <v>122256</v>
      </c>
      <c r="F834" s="8">
        <f>IF($D834="CR01",$C834,0)</f>
        <v>-180</v>
      </c>
      <c r="G834" s="8">
        <f>G833+H834</f>
        <v>0</v>
      </c>
      <c r="H834" s="8">
        <f>IF($D834="VISA",$C834,0)</f>
        <v>0</v>
      </c>
      <c r="I834" s="8">
        <f>I833+J834</f>
        <v>0</v>
      </c>
      <c r="J834" s="8">
        <f>IF($D834="ACC",$C834,0)</f>
        <v>0</v>
      </c>
      <c r="K834" s="8">
        <f>K833+L834</f>
        <v>0</v>
      </c>
      <c r="L834" s="8">
        <f>IF($D834="CBB",$C834,0)</f>
        <v>0</v>
      </c>
    </row>
    <row r="835" spans="1:12" x14ac:dyDescent="0.25">
      <c r="A835" s="6">
        <v>41984</v>
      </c>
      <c r="B835" t="s">
        <v>46</v>
      </c>
      <c r="C835" s="7">
        <v>-300</v>
      </c>
      <c r="D835" t="s">
        <v>6</v>
      </c>
      <c r="E835" s="8">
        <f>E834+F835</f>
        <v>121956</v>
      </c>
      <c r="F835" s="8">
        <f>IF($D835="CR01",$C835,0)</f>
        <v>-300</v>
      </c>
      <c r="G835" s="8">
        <f>G834+H835</f>
        <v>0</v>
      </c>
      <c r="H835" s="8">
        <f>IF($D835="VISA",$C835,0)</f>
        <v>0</v>
      </c>
      <c r="I835" s="8">
        <f>I834+J835</f>
        <v>0</v>
      </c>
      <c r="J835" s="8">
        <f>IF($D835="ACC",$C835,0)</f>
        <v>0</v>
      </c>
      <c r="K835" s="8">
        <f>K834+L835</f>
        <v>0</v>
      </c>
      <c r="L835" s="8">
        <f>IF($D835="CBB",$C835,0)</f>
        <v>0</v>
      </c>
    </row>
    <row r="836" spans="1:12" x14ac:dyDescent="0.25">
      <c r="A836" s="6">
        <v>41986</v>
      </c>
      <c r="B836" t="s">
        <v>67</v>
      </c>
      <c r="C836" s="7">
        <v>5200</v>
      </c>
      <c r="D836" t="s">
        <v>6</v>
      </c>
      <c r="E836" s="8">
        <f>E835+F836</f>
        <v>127156</v>
      </c>
      <c r="F836" s="8">
        <f>IF($D836="CR01",$C836,0)</f>
        <v>5200</v>
      </c>
      <c r="G836" s="8">
        <f>G835+H836</f>
        <v>0</v>
      </c>
      <c r="H836" s="8">
        <f>IF($D836="VISA",$C836,0)</f>
        <v>0</v>
      </c>
      <c r="I836" s="8">
        <f>I835+J836</f>
        <v>0</v>
      </c>
      <c r="J836" s="8">
        <f>IF($D836="ACC",$C836,0)</f>
        <v>0</v>
      </c>
      <c r="K836" s="8">
        <f>K835+L836</f>
        <v>0</v>
      </c>
      <c r="L836" s="8">
        <f>IF($D836="CBB",$C836,0)</f>
        <v>0</v>
      </c>
    </row>
    <row r="837" spans="1:12" x14ac:dyDescent="0.25">
      <c r="A837" s="6">
        <v>41989</v>
      </c>
      <c r="B837" t="s">
        <v>42</v>
      </c>
      <c r="C837" s="7">
        <v>-2806</v>
      </c>
      <c r="D837" t="s">
        <v>6</v>
      </c>
      <c r="E837" s="8">
        <f>E836+F837</f>
        <v>124350</v>
      </c>
      <c r="F837" s="8">
        <f>IF($D837="CR01",$C837,0)</f>
        <v>-2806</v>
      </c>
      <c r="G837" s="8">
        <f>G836+H837</f>
        <v>0</v>
      </c>
      <c r="H837" s="8">
        <f>IF($D837="VISA",$C837,0)</f>
        <v>0</v>
      </c>
      <c r="I837" s="8">
        <f>I836+J837</f>
        <v>0</v>
      </c>
      <c r="J837" s="8">
        <f>IF($D837="ACC",$C837,0)</f>
        <v>0</v>
      </c>
      <c r="K837" s="8">
        <f>K836+L837</f>
        <v>0</v>
      </c>
      <c r="L837" s="8">
        <f>IF($D837="CBB",$C837,0)</f>
        <v>0</v>
      </c>
    </row>
    <row r="838" spans="1:12" x14ac:dyDescent="0.25">
      <c r="A838" s="6">
        <v>41989</v>
      </c>
      <c r="B838" t="s">
        <v>48</v>
      </c>
      <c r="C838" s="7">
        <v>-100</v>
      </c>
      <c r="D838" t="s">
        <v>6</v>
      </c>
      <c r="E838" s="8">
        <f>E837+F838</f>
        <v>124250</v>
      </c>
      <c r="F838" s="8">
        <f>IF($D838="CR01",$C838,0)</f>
        <v>-100</v>
      </c>
      <c r="G838" s="8">
        <f>G837+H838</f>
        <v>0</v>
      </c>
      <c r="H838" s="8">
        <f>IF($D838="VISA",$C838,0)</f>
        <v>0</v>
      </c>
      <c r="I838" s="8">
        <f>I837+J838</f>
        <v>0</v>
      </c>
      <c r="J838" s="8">
        <f>IF($D838="ACC",$C838,0)</f>
        <v>0</v>
      </c>
      <c r="K838" s="8">
        <f>K837+L838</f>
        <v>0</v>
      </c>
      <c r="L838" s="8">
        <f>IF($D838="CBB",$C838,0)</f>
        <v>0</v>
      </c>
    </row>
    <row r="839" spans="1:12" x14ac:dyDescent="0.25">
      <c r="A839" s="6">
        <v>41990</v>
      </c>
      <c r="B839" t="s">
        <v>47</v>
      </c>
      <c r="C839" s="7">
        <v>-120</v>
      </c>
      <c r="D839" t="s">
        <v>6</v>
      </c>
      <c r="E839" s="8">
        <f>E838+F839</f>
        <v>124130</v>
      </c>
      <c r="F839" s="8">
        <f>IF($D839="CR01",$C839,0)</f>
        <v>-120</v>
      </c>
      <c r="G839" s="8">
        <f>G838+H839</f>
        <v>0</v>
      </c>
      <c r="H839" s="8">
        <f>IF($D839="VISA",$C839,0)</f>
        <v>0</v>
      </c>
      <c r="I839" s="8">
        <f>I838+J839</f>
        <v>0</v>
      </c>
      <c r="J839" s="8">
        <f>IF($D839="ACC",$C839,0)</f>
        <v>0</v>
      </c>
      <c r="K839" s="8">
        <f>K838+L839</f>
        <v>0</v>
      </c>
      <c r="L839" s="8">
        <f>IF($D839="CBB",$C839,0)</f>
        <v>0</v>
      </c>
    </row>
    <row r="840" spans="1:12" x14ac:dyDescent="0.25">
      <c r="A840" s="6">
        <v>41991</v>
      </c>
      <c r="B840" t="s">
        <v>44</v>
      </c>
      <c r="C840" s="7">
        <v>-400</v>
      </c>
      <c r="D840" t="s">
        <v>6</v>
      </c>
      <c r="E840" s="8">
        <f>E839+F840</f>
        <v>123730</v>
      </c>
      <c r="F840" s="8">
        <f>IF($D840="CR01",$C840,0)</f>
        <v>-400</v>
      </c>
      <c r="G840" s="8">
        <f>G839+H840</f>
        <v>0</v>
      </c>
      <c r="H840" s="8">
        <f>IF($D840="VISA",$C840,0)</f>
        <v>0</v>
      </c>
      <c r="I840" s="8">
        <f>I839+J840</f>
        <v>0</v>
      </c>
      <c r="J840" s="8">
        <f>IF($D840="ACC",$C840,0)</f>
        <v>0</v>
      </c>
      <c r="K840" s="8">
        <f>K839+L840</f>
        <v>0</v>
      </c>
      <c r="L840" s="8">
        <f>IF($D840="CBB",$C840,0)</f>
        <v>0</v>
      </c>
    </row>
    <row r="841" spans="1:12" x14ac:dyDescent="0.25">
      <c r="A841" s="6">
        <v>41991</v>
      </c>
      <c r="B841" t="s">
        <v>45</v>
      </c>
      <c r="C841" s="7">
        <v>-180</v>
      </c>
      <c r="D841" t="s">
        <v>6</v>
      </c>
      <c r="E841" s="8">
        <f>E840+F841</f>
        <v>123550</v>
      </c>
      <c r="F841" s="8">
        <f>IF($D841="CR01",$C841,0)</f>
        <v>-180</v>
      </c>
      <c r="G841" s="8">
        <f>G840+H841</f>
        <v>0</v>
      </c>
      <c r="H841" s="8">
        <f>IF($D841="VISA",$C841,0)</f>
        <v>0</v>
      </c>
      <c r="I841" s="8">
        <f>I840+J841</f>
        <v>0</v>
      </c>
      <c r="J841" s="8">
        <f>IF($D841="ACC",$C841,0)</f>
        <v>0</v>
      </c>
      <c r="K841" s="8">
        <f>K840+L841</f>
        <v>0</v>
      </c>
      <c r="L841" s="8">
        <f>IF($D841="CBB",$C841,0)</f>
        <v>0</v>
      </c>
    </row>
    <row r="842" spans="1:12" x14ac:dyDescent="0.25">
      <c r="A842" s="6">
        <v>41991</v>
      </c>
      <c r="B842" t="s">
        <v>46</v>
      </c>
      <c r="C842" s="7">
        <v>-300</v>
      </c>
      <c r="D842" t="s">
        <v>6</v>
      </c>
      <c r="E842" s="8">
        <f>E841+F842</f>
        <v>123250</v>
      </c>
      <c r="F842" s="8">
        <f>IF($D842="CR01",$C842,0)</f>
        <v>-300</v>
      </c>
      <c r="G842" s="8">
        <f>G841+H842</f>
        <v>0</v>
      </c>
      <c r="H842" s="8">
        <f>IF($D842="VISA",$C842,0)</f>
        <v>0</v>
      </c>
      <c r="I842" s="8">
        <f>I841+J842</f>
        <v>0</v>
      </c>
      <c r="J842" s="8">
        <f>IF($D842="ACC",$C842,0)</f>
        <v>0</v>
      </c>
      <c r="K842" s="8">
        <f>K841+L842</f>
        <v>0</v>
      </c>
      <c r="L842" s="8">
        <f>IF($D842="CBB",$C842,0)</f>
        <v>0</v>
      </c>
    </row>
    <row r="843" spans="1:12" x14ac:dyDescent="0.25">
      <c r="A843" s="6">
        <v>41992</v>
      </c>
      <c r="B843" t="s">
        <v>43</v>
      </c>
      <c r="C843" s="7">
        <v>3226</v>
      </c>
      <c r="D843" t="s">
        <v>6</v>
      </c>
      <c r="E843" s="8">
        <f>E842+F843</f>
        <v>126476</v>
      </c>
      <c r="F843" s="8">
        <f>IF($D843="CR01",$C843,0)</f>
        <v>3226</v>
      </c>
      <c r="G843" s="8">
        <f>G842+H843</f>
        <v>0</v>
      </c>
      <c r="H843" s="8">
        <f>IF($D843="VISA",$C843,0)</f>
        <v>0</v>
      </c>
      <c r="I843" s="8">
        <f>I842+J843</f>
        <v>0</v>
      </c>
      <c r="J843" s="8">
        <f>IF($D843="ACC",$C843,0)</f>
        <v>0</v>
      </c>
      <c r="K843" s="8">
        <f>K842+L843</f>
        <v>0</v>
      </c>
      <c r="L843" s="8">
        <f>IF($D843="CBB",$C843,0)</f>
        <v>0</v>
      </c>
    </row>
    <row r="844" spans="1:12" x14ac:dyDescent="0.25">
      <c r="A844" s="6">
        <v>41996</v>
      </c>
      <c r="B844" t="s">
        <v>48</v>
      </c>
      <c r="C844" s="7">
        <v>-100</v>
      </c>
      <c r="D844" t="s">
        <v>6</v>
      </c>
      <c r="E844" s="8">
        <f>E843+F844</f>
        <v>126376</v>
      </c>
      <c r="F844" s="8">
        <f>IF($D844="CR01",$C844,0)</f>
        <v>-100</v>
      </c>
      <c r="G844" s="8">
        <f>G843+H844</f>
        <v>0</v>
      </c>
      <c r="H844" s="8">
        <f>IF($D844="VISA",$C844,0)</f>
        <v>0</v>
      </c>
      <c r="I844" s="8">
        <f>I843+J844</f>
        <v>0</v>
      </c>
      <c r="J844" s="8">
        <f>IF($D844="ACC",$C844,0)</f>
        <v>0</v>
      </c>
      <c r="K844" s="8">
        <f>K843+L844</f>
        <v>0</v>
      </c>
      <c r="L844" s="8">
        <f>IF($D844="CBB",$C844,0)</f>
        <v>0</v>
      </c>
    </row>
    <row r="845" spans="1:12" x14ac:dyDescent="0.25">
      <c r="A845" s="6">
        <v>41997</v>
      </c>
      <c r="B845" t="s">
        <v>47</v>
      </c>
      <c r="C845" s="7">
        <v>-120</v>
      </c>
      <c r="D845" t="s">
        <v>6</v>
      </c>
      <c r="E845" s="8">
        <f>E844+F845</f>
        <v>126256</v>
      </c>
      <c r="F845" s="8">
        <f>IF($D845="CR01",$C845,0)</f>
        <v>-120</v>
      </c>
      <c r="G845" s="8">
        <f>G844+H845</f>
        <v>0</v>
      </c>
      <c r="H845" s="8">
        <f>IF($D845="VISA",$C845,0)</f>
        <v>0</v>
      </c>
      <c r="I845" s="8">
        <f>I844+J845</f>
        <v>0</v>
      </c>
      <c r="J845" s="8">
        <f>IF($D845="ACC",$C845,0)</f>
        <v>0</v>
      </c>
      <c r="K845" s="8">
        <f>K844+L845</f>
        <v>0</v>
      </c>
      <c r="L845" s="8">
        <f>IF($D845="CBB",$C845,0)</f>
        <v>0</v>
      </c>
    </row>
    <row r="846" spans="1:12" x14ac:dyDescent="0.25">
      <c r="A846" s="6">
        <v>41998</v>
      </c>
      <c r="B846" t="s">
        <v>44</v>
      </c>
      <c r="C846" s="7">
        <v>-400</v>
      </c>
      <c r="D846" t="s">
        <v>6</v>
      </c>
      <c r="E846" s="8">
        <f>E845+F846</f>
        <v>125856</v>
      </c>
      <c r="F846" s="8">
        <f>IF($D846="CR01",$C846,0)</f>
        <v>-400</v>
      </c>
      <c r="G846" s="8">
        <f>G845+H846</f>
        <v>0</v>
      </c>
      <c r="H846" s="8">
        <f>IF($D846="VISA",$C846,0)</f>
        <v>0</v>
      </c>
      <c r="I846" s="8">
        <f>I845+J846</f>
        <v>0</v>
      </c>
      <c r="J846" s="8">
        <f>IF($D846="ACC",$C846,0)</f>
        <v>0</v>
      </c>
      <c r="K846" s="8">
        <f>K845+L846</f>
        <v>0</v>
      </c>
      <c r="L846" s="8">
        <f>IF($D846="CBB",$C846,0)</f>
        <v>0</v>
      </c>
    </row>
    <row r="847" spans="1:12" x14ac:dyDescent="0.25">
      <c r="A847" s="6">
        <v>41998</v>
      </c>
      <c r="B847" t="s">
        <v>45</v>
      </c>
      <c r="C847" s="7">
        <v>-180</v>
      </c>
      <c r="D847" t="s">
        <v>6</v>
      </c>
      <c r="E847" s="8">
        <f>E846+F847</f>
        <v>125676</v>
      </c>
      <c r="F847" s="8">
        <f>IF($D847="CR01",$C847,0)</f>
        <v>-180</v>
      </c>
      <c r="G847" s="8">
        <f>G846+H847</f>
        <v>0</v>
      </c>
      <c r="H847" s="8">
        <f>IF($D847="VISA",$C847,0)</f>
        <v>0</v>
      </c>
      <c r="I847" s="8">
        <f>I846+J847</f>
        <v>0</v>
      </c>
      <c r="J847" s="8">
        <f>IF($D847="ACC",$C847,0)</f>
        <v>0</v>
      </c>
      <c r="K847" s="8">
        <f>K846+L847</f>
        <v>0</v>
      </c>
      <c r="L847" s="8">
        <f>IF($D847="CBB",$C847,0)</f>
        <v>0</v>
      </c>
    </row>
    <row r="848" spans="1:12" x14ac:dyDescent="0.25">
      <c r="A848" s="6">
        <v>41998</v>
      </c>
      <c r="B848" t="s">
        <v>46</v>
      </c>
      <c r="C848" s="7">
        <v>-300</v>
      </c>
      <c r="D848" t="s">
        <v>6</v>
      </c>
      <c r="E848" s="8">
        <f>E847+F848</f>
        <v>125376</v>
      </c>
      <c r="F848" s="8">
        <f>IF($D848="CR01",$C848,0)</f>
        <v>-300</v>
      </c>
      <c r="G848" s="8">
        <f>G847+H848</f>
        <v>0</v>
      </c>
      <c r="H848" s="8">
        <f>IF($D848="VISA",$C848,0)</f>
        <v>0</v>
      </c>
      <c r="I848" s="8">
        <f>I847+J848</f>
        <v>0</v>
      </c>
      <c r="J848" s="8">
        <f>IF($D848="ACC",$C848,0)</f>
        <v>0</v>
      </c>
      <c r="K848" s="8">
        <f>K847+L848</f>
        <v>0</v>
      </c>
      <c r="L848" s="8">
        <f>IF($D848="CBB",$C848,0)</f>
        <v>0</v>
      </c>
    </row>
    <row r="849" spans="1:12" x14ac:dyDescent="0.25">
      <c r="A849" s="6"/>
      <c r="C849" s="7"/>
      <c r="E849" s="8">
        <f>E848+F849</f>
        <v>125376</v>
      </c>
      <c r="F849" s="8">
        <f>IF($D849="CR01",$C849,0)</f>
        <v>0</v>
      </c>
      <c r="G849" s="8">
        <f>G848+H849</f>
        <v>0</v>
      </c>
      <c r="H849" s="8">
        <f>IF($D849="VISA",$C849,0)</f>
        <v>0</v>
      </c>
      <c r="I849" s="8">
        <f>I848+J849</f>
        <v>0</v>
      </c>
      <c r="J849" s="8">
        <f>IF($D849="ACC",$C849,0)</f>
        <v>0</v>
      </c>
      <c r="K849" s="8">
        <f>K848+L849</f>
        <v>0</v>
      </c>
      <c r="L849" s="8">
        <f>IF($D849="CBB",$C849,0)</f>
        <v>0</v>
      </c>
    </row>
    <row r="850" spans="1:12" x14ac:dyDescent="0.25">
      <c r="A850" s="6"/>
      <c r="C850" s="7"/>
      <c r="E850" s="8">
        <f>E849+F850</f>
        <v>125376</v>
      </c>
      <c r="F850" s="8">
        <f>IF($D850="CR01",$C850,0)</f>
        <v>0</v>
      </c>
      <c r="G850" s="8">
        <f>G849+H850</f>
        <v>0</v>
      </c>
      <c r="H850" s="8">
        <f>IF($D850="VISA",$C850,0)</f>
        <v>0</v>
      </c>
      <c r="I850" s="8">
        <f>I849+J850</f>
        <v>0</v>
      </c>
      <c r="J850" s="8">
        <f>IF($D850="ACC",$C850,0)</f>
        <v>0</v>
      </c>
      <c r="K850" s="8">
        <f>K849+L850</f>
        <v>0</v>
      </c>
      <c r="L850" s="8">
        <f>IF($D850="CBB",$C850,0)</f>
        <v>0</v>
      </c>
    </row>
    <row r="851" spans="1:12" x14ac:dyDescent="0.25">
      <c r="A851" s="6"/>
      <c r="C851" s="7"/>
      <c r="E851" s="8">
        <f>E850+F851</f>
        <v>125376</v>
      </c>
      <c r="F851" s="8">
        <f>IF($D851="CR01",$C851,0)</f>
        <v>0</v>
      </c>
      <c r="G851" s="8">
        <f>G850+H851</f>
        <v>0</v>
      </c>
      <c r="H851" s="8">
        <f>IF($D851="VISA",$C851,0)</f>
        <v>0</v>
      </c>
      <c r="I851" s="8">
        <f>I850+J851</f>
        <v>0</v>
      </c>
      <c r="J851" s="8">
        <f>IF($D851="ACC",$C851,0)</f>
        <v>0</v>
      </c>
      <c r="K851" s="8">
        <f>K850+L851</f>
        <v>0</v>
      </c>
      <c r="L851" s="8">
        <f>IF($D851="CBB",$C851,0)</f>
        <v>0</v>
      </c>
    </row>
    <row r="852" spans="1:12" x14ac:dyDescent="0.25">
      <c r="A852" s="6"/>
      <c r="C852" s="7"/>
      <c r="E852" s="8">
        <f>E851+F852</f>
        <v>125376</v>
      </c>
      <c r="F852" s="8">
        <f>IF($D852="CR01",$C852,0)</f>
        <v>0</v>
      </c>
      <c r="G852" s="8">
        <f>G851+H852</f>
        <v>0</v>
      </c>
      <c r="H852" s="8">
        <f>IF($D852="VISA",$C852,0)</f>
        <v>0</v>
      </c>
      <c r="I852" s="8">
        <f>I851+J852</f>
        <v>0</v>
      </c>
      <c r="J852" s="8">
        <f>IF($D852="ACC",$C852,0)</f>
        <v>0</v>
      </c>
      <c r="K852" s="8">
        <f>K851+L852</f>
        <v>0</v>
      </c>
      <c r="L852" s="8">
        <f>IF($D852="CBB",$C852,0)</f>
        <v>0</v>
      </c>
    </row>
    <row r="853" spans="1:12" x14ac:dyDescent="0.25">
      <c r="A853" s="6"/>
      <c r="C853" s="7"/>
      <c r="E853" s="8">
        <f>E852+F853</f>
        <v>125376</v>
      </c>
      <c r="F853" s="8">
        <f>IF($D853="CR01",$C853,0)</f>
        <v>0</v>
      </c>
      <c r="G853" s="8">
        <f>G852+H853</f>
        <v>0</v>
      </c>
      <c r="H853" s="8">
        <f>IF($D853="VISA",$C853,0)</f>
        <v>0</v>
      </c>
      <c r="I853" s="8">
        <f>I852+J853</f>
        <v>0</v>
      </c>
      <c r="J853" s="8">
        <f>IF($D853="ACC",$C853,0)</f>
        <v>0</v>
      </c>
      <c r="K853" s="8">
        <f>K852+L853</f>
        <v>0</v>
      </c>
      <c r="L853" s="8">
        <f>IF($D853="CBB",$C853,0)</f>
        <v>0</v>
      </c>
    </row>
    <row r="854" spans="1:12" x14ac:dyDescent="0.25">
      <c r="A854" s="6"/>
      <c r="C854" s="7"/>
      <c r="E854" s="8">
        <f>E853+F854</f>
        <v>125376</v>
      </c>
      <c r="F854" s="8">
        <f>IF($D854="CR01",$C854,0)</f>
        <v>0</v>
      </c>
      <c r="G854" s="8">
        <f>G853+H854</f>
        <v>0</v>
      </c>
      <c r="H854" s="8">
        <f>IF($D854="VISA",$C854,0)</f>
        <v>0</v>
      </c>
      <c r="I854" s="8">
        <f>I853+J854</f>
        <v>0</v>
      </c>
      <c r="J854" s="8">
        <f>IF($D854="ACC",$C854,0)</f>
        <v>0</v>
      </c>
      <c r="K854" s="8">
        <f>K853+L854</f>
        <v>0</v>
      </c>
      <c r="L854" s="8">
        <f>IF($D854="CBB",$C854,0)</f>
        <v>0</v>
      </c>
    </row>
    <row r="855" spans="1:12" x14ac:dyDescent="0.25">
      <c r="A855" s="6"/>
      <c r="C855" s="7"/>
      <c r="E855" s="8">
        <f>E854+F855</f>
        <v>125376</v>
      </c>
      <c r="F855" s="8">
        <f>IF($D855="CR01",$C855,0)</f>
        <v>0</v>
      </c>
      <c r="G855" s="8">
        <f>G854+H855</f>
        <v>0</v>
      </c>
      <c r="H855" s="8">
        <f>IF($D855="VISA",$C855,0)</f>
        <v>0</v>
      </c>
      <c r="I855" s="8">
        <f>I854+J855</f>
        <v>0</v>
      </c>
      <c r="J855" s="8">
        <f>IF($D855="ACC",$C855,0)</f>
        <v>0</v>
      </c>
      <c r="K855" s="8">
        <f>K854+L855</f>
        <v>0</v>
      </c>
      <c r="L855" s="8">
        <f>IF($D855="CBB",$C855,0)</f>
        <v>0</v>
      </c>
    </row>
    <row r="856" spans="1:12" x14ac:dyDescent="0.25">
      <c r="A856" s="6"/>
      <c r="C856" s="7"/>
      <c r="E856" s="8">
        <f>E855+F856</f>
        <v>125376</v>
      </c>
      <c r="F856" s="8">
        <f>IF($D856="CR01",$C856,0)</f>
        <v>0</v>
      </c>
      <c r="G856" s="8">
        <f>G855+H856</f>
        <v>0</v>
      </c>
      <c r="H856" s="8">
        <f>IF($D856="VISA",$C856,0)</f>
        <v>0</v>
      </c>
      <c r="I856" s="8">
        <f>I855+J856</f>
        <v>0</v>
      </c>
      <c r="J856" s="8">
        <f>IF($D856="ACC",$C856,0)</f>
        <v>0</v>
      </c>
      <c r="K856" s="8">
        <f>K855+L856</f>
        <v>0</v>
      </c>
      <c r="L856" s="8">
        <f>IF($D856="CBB",$C856,0)</f>
        <v>0</v>
      </c>
    </row>
    <row r="857" spans="1:12" x14ac:dyDescent="0.25">
      <c r="A857" s="6"/>
      <c r="C857" s="7"/>
      <c r="E857" s="8">
        <f>E856+F857</f>
        <v>125376</v>
      </c>
      <c r="F857" s="8">
        <f>IF($D857="CR01",$C857,0)</f>
        <v>0</v>
      </c>
      <c r="G857" s="8">
        <f>G856+H857</f>
        <v>0</v>
      </c>
      <c r="H857" s="8">
        <f>IF($D857="VISA",$C857,0)</f>
        <v>0</v>
      </c>
      <c r="I857" s="8">
        <f>I856+J857</f>
        <v>0</v>
      </c>
      <c r="J857" s="8">
        <f>IF($D857="ACC",$C857,0)</f>
        <v>0</v>
      </c>
      <c r="K857" s="8">
        <f>K856+L857</f>
        <v>0</v>
      </c>
      <c r="L857" s="8">
        <f>IF($D857="CBB",$C857,0)</f>
        <v>0</v>
      </c>
    </row>
    <row r="858" spans="1:12" x14ac:dyDescent="0.25">
      <c r="A858" s="6"/>
      <c r="C858" s="7"/>
      <c r="E858" s="8">
        <f>E857+F858</f>
        <v>125376</v>
      </c>
      <c r="F858" s="8">
        <f>IF($D858="CR01",$C858,0)</f>
        <v>0</v>
      </c>
      <c r="G858" s="8">
        <f>G857+H858</f>
        <v>0</v>
      </c>
      <c r="H858" s="8">
        <f>IF($D858="VISA",$C858,0)</f>
        <v>0</v>
      </c>
      <c r="I858" s="8">
        <f>I857+J858</f>
        <v>0</v>
      </c>
      <c r="J858" s="8">
        <f>IF($D858="ACC",$C858,0)</f>
        <v>0</v>
      </c>
      <c r="K858" s="8">
        <f>K857+L858</f>
        <v>0</v>
      </c>
      <c r="L858" s="8">
        <f>IF($D858="CBB",$C858,0)</f>
        <v>0</v>
      </c>
    </row>
    <row r="859" spans="1:12" x14ac:dyDescent="0.25">
      <c r="A859" s="6"/>
      <c r="C859" s="7"/>
      <c r="E859" s="8">
        <f>E858+F859</f>
        <v>125376</v>
      </c>
      <c r="F859" s="8">
        <f>IF($D859="CR01",$C859,0)</f>
        <v>0</v>
      </c>
      <c r="G859" s="8">
        <f>G858+H859</f>
        <v>0</v>
      </c>
      <c r="H859" s="8">
        <f>IF($D859="VISA",$C859,0)</f>
        <v>0</v>
      </c>
      <c r="I859" s="8">
        <f>I858+J859</f>
        <v>0</v>
      </c>
      <c r="J859" s="8">
        <f>IF($D859="ACC",$C859,0)</f>
        <v>0</v>
      </c>
      <c r="K859" s="8">
        <f>K858+L859</f>
        <v>0</v>
      </c>
      <c r="L859" s="8">
        <f>IF($D859="CBB",$C859,0)</f>
        <v>0</v>
      </c>
    </row>
    <row r="860" spans="1:12" x14ac:dyDescent="0.25">
      <c r="A860" s="6"/>
      <c r="C860" s="7"/>
      <c r="E860" s="8">
        <f>E859+F860</f>
        <v>125376</v>
      </c>
      <c r="F860" s="8">
        <f>IF($D860="CR01",$C860,0)</f>
        <v>0</v>
      </c>
      <c r="G860" s="8">
        <f>G859+H860</f>
        <v>0</v>
      </c>
      <c r="H860" s="8">
        <f>IF($D860="VISA",$C860,0)</f>
        <v>0</v>
      </c>
      <c r="I860" s="8">
        <f>I859+J860</f>
        <v>0</v>
      </c>
      <c r="J860" s="8">
        <f>IF($D860="ACC",$C860,0)</f>
        <v>0</v>
      </c>
      <c r="K860" s="8">
        <f>K859+L860</f>
        <v>0</v>
      </c>
      <c r="L860" s="8">
        <f>IF($D860="CBB",$C860,0)</f>
        <v>0</v>
      </c>
    </row>
    <row r="861" spans="1:12" x14ac:dyDescent="0.25">
      <c r="A861" s="6"/>
      <c r="C861" s="7"/>
      <c r="E861" s="8">
        <f>E860+F861</f>
        <v>125376</v>
      </c>
      <c r="F861" s="8">
        <f>IF($D861="CR01",$C861,0)</f>
        <v>0</v>
      </c>
      <c r="G861" s="8">
        <f>G860+H861</f>
        <v>0</v>
      </c>
      <c r="H861" s="8">
        <f>IF($D861="VISA",$C861,0)</f>
        <v>0</v>
      </c>
      <c r="I861" s="8">
        <f>I860+J861</f>
        <v>0</v>
      </c>
      <c r="J861" s="8">
        <f>IF($D861="ACC",$C861,0)</f>
        <v>0</v>
      </c>
      <c r="K861" s="8">
        <f>K860+L861</f>
        <v>0</v>
      </c>
      <c r="L861" s="8">
        <f>IF($D861="CBB",$C861,0)</f>
        <v>0</v>
      </c>
    </row>
    <row r="862" spans="1:12" x14ac:dyDescent="0.25">
      <c r="A862" s="6"/>
      <c r="C862" s="7"/>
      <c r="E862" s="8">
        <f>E861+F862</f>
        <v>125376</v>
      </c>
      <c r="F862" s="8">
        <f>IF($D862="CR01",$C862,0)</f>
        <v>0</v>
      </c>
      <c r="G862" s="8">
        <f>G861+H862</f>
        <v>0</v>
      </c>
      <c r="H862" s="8">
        <f>IF($D862="VISA",$C862,0)</f>
        <v>0</v>
      </c>
      <c r="I862" s="8">
        <f>I861+J862</f>
        <v>0</v>
      </c>
      <c r="J862" s="8">
        <f>IF($D862="ACC",$C862,0)</f>
        <v>0</v>
      </c>
      <c r="K862" s="8">
        <f>K861+L862</f>
        <v>0</v>
      </c>
      <c r="L862" s="8">
        <f>IF($D862="CBB",$C862,0)</f>
        <v>0</v>
      </c>
    </row>
    <row r="863" spans="1:12" x14ac:dyDescent="0.25">
      <c r="A863" s="6"/>
      <c r="C863" s="7"/>
      <c r="E863" s="8">
        <f>E862+F863</f>
        <v>125376</v>
      </c>
      <c r="F863" s="8">
        <f>IF($D863="CR01",$C863,0)</f>
        <v>0</v>
      </c>
      <c r="G863" s="8">
        <f>G862+H863</f>
        <v>0</v>
      </c>
      <c r="H863" s="8">
        <f>IF($D863="VISA",$C863,0)</f>
        <v>0</v>
      </c>
      <c r="I863" s="8">
        <f>I862+J863</f>
        <v>0</v>
      </c>
      <c r="J863" s="8">
        <f>IF($D863="ACC",$C863,0)</f>
        <v>0</v>
      </c>
      <c r="K863" s="8">
        <f>K862+L863</f>
        <v>0</v>
      </c>
      <c r="L863" s="8">
        <f>IF($D863="CBB",$C863,0)</f>
        <v>0</v>
      </c>
    </row>
    <row r="864" spans="1:12" x14ac:dyDescent="0.25">
      <c r="A864" s="6"/>
      <c r="C864" s="7"/>
      <c r="E864" s="8">
        <f>E863+F864</f>
        <v>125376</v>
      </c>
      <c r="F864" s="8">
        <f>IF($D864="CR01",$C864,0)</f>
        <v>0</v>
      </c>
      <c r="G864" s="8">
        <f>G863+H864</f>
        <v>0</v>
      </c>
      <c r="H864" s="8">
        <f>IF($D864="VISA",$C864,0)</f>
        <v>0</v>
      </c>
      <c r="I864" s="8">
        <f>I863+J864</f>
        <v>0</v>
      </c>
      <c r="J864" s="8">
        <f>IF($D864="ACC",$C864,0)</f>
        <v>0</v>
      </c>
      <c r="K864" s="8">
        <f>K863+L864</f>
        <v>0</v>
      </c>
      <c r="L864" s="8">
        <f>IF($D864="CBB",$C864,0)</f>
        <v>0</v>
      </c>
    </row>
    <row r="865" spans="1:12" x14ac:dyDescent="0.25">
      <c r="A865" s="6"/>
      <c r="C865" s="7"/>
      <c r="E865" s="8">
        <f>E864+F865</f>
        <v>125376</v>
      </c>
      <c r="F865" s="8">
        <f>IF($D865="CR01",$C865,0)</f>
        <v>0</v>
      </c>
      <c r="G865" s="8">
        <f>G864+H865</f>
        <v>0</v>
      </c>
      <c r="H865" s="8">
        <f>IF($D865="VISA",$C865,0)</f>
        <v>0</v>
      </c>
      <c r="I865" s="8">
        <f>I864+J865</f>
        <v>0</v>
      </c>
      <c r="J865" s="8">
        <f>IF($D865="ACC",$C865,0)</f>
        <v>0</v>
      </c>
      <c r="K865" s="8">
        <f>K864+L865</f>
        <v>0</v>
      </c>
      <c r="L865" s="8">
        <f>IF($D865="CBB",$C865,0)</f>
        <v>0</v>
      </c>
    </row>
    <row r="866" spans="1:12" x14ac:dyDescent="0.25">
      <c r="A866" s="6"/>
      <c r="C866" s="7"/>
      <c r="E866" s="8">
        <f>E865+F866</f>
        <v>125376</v>
      </c>
      <c r="F866" s="8">
        <f>IF($D866="CR01",$C866,0)</f>
        <v>0</v>
      </c>
      <c r="G866" s="8">
        <f>G865+H866</f>
        <v>0</v>
      </c>
      <c r="H866" s="8">
        <f>IF($D866="VISA",$C866,0)</f>
        <v>0</v>
      </c>
      <c r="I866" s="8">
        <f>I865+J866</f>
        <v>0</v>
      </c>
      <c r="J866" s="8">
        <f>IF($D866="ACC",$C866,0)</f>
        <v>0</v>
      </c>
      <c r="K866" s="8">
        <f>K865+L866</f>
        <v>0</v>
      </c>
      <c r="L866" s="8">
        <f>IF($D866="CBB",$C866,0)</f>
        <v>0</v>
      </c>
    </row>
    <row r="867" spans="1:12" x14ac:dyDescent="0.25">
      <c r="A867" s="6"/>
      <c r="C867" s="7"/>
      <c r="E867" s="8">
        <f>E866+F867</f>
        <v>125376</v>
      </c>
      <c r="F867" s="8">
        <f>IF($D867="CR01",$C867,0)</f>
        <v>0</v>
      </c>
      <c r="G867" s="8">
        <f>G866+H867</f>
        <v>0</v>
      </c>
      <c r="H867" s="8">
        <f>IF($D867="VISA",$C867,0)</f>
        <v>0</v>
      </c>
      <c r="I867" s="8">
        <f>I866+J867</f>
        <v>0</v>
      </c>
      <c r="J867" s="8">
        <f>IF($D867="ACC",$C867,0)</f>
        <v>0</v>
      </c>
      <c r="K867" s="8">
        <f>K866+L867</f>
        <v>0</v>
      </c>
      <c r="L867" s="8">
        <f>IF($D867="CBB",$C867,0)</f>
        <v>0</v>
      </c>
    </row>
    <row r="868" spans="1:12" x14ac:dyDescent="0.25">
      <c r="A868" s="6"/>
      <c r="C868" s="7"/>
      <c r="E868" s="8">
        <f>E867+F868</f>
        <v>125376</v>
      </c>
      <c r="F868" s="8">
        <f>IF($D868="CR01",$C868,0)</f>
        <v>0</v>
      </c>
      <c r="G868" s="8">
        <f>G867+H868</f>
        <v>0</v>
      </c>
      <c r="H868" s="8">
        <f>IF($D868="VISA",$C868,0)</f>
        <v>0</v>
      </c>
      <c r="I868" s="8">
        <f>I867+J868</f>
        <v>0</v>
      </c>
      <c r="J868" s="8">
        <f>IF($D868="ACC",$C868,0)</f>
        <v>0</v>
      </c>
      <c r="K868" s="8">
        <f>K867+L868</f>
        <v>0</v>
      </c>
      <c r="L868" s="8">
        <f>IF($D868="CBB",$C868,0)</f>
        <v>0</v>
      </c>
    </row>
    <row r="869" spans="1:12" x14ac:dyDescent="0.25">
      <c r="A869" s="6"/>
      <c r="C869" s="7"/>
      <c r="E869" s="8">
        <f>E868+F869</f>
        <v>125376</v>
      </c>
      <c r="F869" s="8">
        <f>IF($D869="CR01",$C869,0)</f>
        <v>0</v>
      </c>
      <c r="G869" s="8">
        <f>G868+H869</f>
        <v>0</v>
      </c>
      <c r="H869" s="8">
        <f>IF($D869="VISA",$C869,0)</f>
        <v>0</v>
      </c>
      <c r="I869" s="8">
        <f>I868+J869</f>
        <v>0</v>
      </c>
      <c r="J869" s="8">
        <f>IF($D869="ACC",$C869,0)</f>
        <v>0</v>
      </c>
      <c r="K869" s="8">
        <f>K868+L869</f>
        <v>0</v>
      </c>
      <c r="L869" s="8">
        <f>IF($D869="CBB",$C869,0)</f>
        <v>0</v>
      </c>
    </row>
    <row r="870" spans="1:12" x14ac:dyDescent="0.25">
      <c r="A870" s="6"/>
      <c r="C870" s="7"/>
      <c r="E870" s="8">
        <f>E869+F870</f>
        <v>125376</v>
      </c>
      <c r="F870" s="8">
        <f>IF($D870="CR01",$C870,0)</f>
        <v>0</v>
      </c>
      <c r="G870" s="8">
        <f>G869+H870</f>
        <v>0</v>
      </c>
      <c r="H870" s="8">
        <f>IF($D870="VISA",$C870,0)</f>
        <v>0</v>
      </c>
      <c r="I870" s="8">
        <f>I869+J870</f>
        <v>0</v>
      </c>
      <c r="J870" s="8">
        <f>IF($D870="ACC",$C870,0)</f>
        <v>0</v>
      </c>
      <c r="K870" s="8">
        <f>K869+L870</f>
        <v>0</v>
      </c>
      <c r="L870" s="8">
        <f>IF($D870="CBB",$C870,0)</f>
        <v>0</v>
      </c>
    </row>
    <row r="871" spans="1:12" x14ac:dyDescent="0.25">
      <c r="A871" s="6"/>
      <c r="C871" s="7"/>
      <c r="E871" s="8">
        <f>E870+F871</f>
        <v>125376</v>
      </c>
      <c r="F871" s="8">
        <f>IF($D871="CR01",$C871,0)</f>
        <v>0</v>
      </c>
      <c r="G871" s="8">
        <f>G870+H871</f>
        <v>0</v>
      </c>
      <c r="H871" s="8">
        <f>IF($D871="VISA",$C871,0)</f>
        <v>0</v>
      </c>
      <c r="I871" s="8">
        <f>I870+J871</f>
        <v>0</v>
      </c>
      <c r="J871" s="8">
        <f>IF($D871="ACC",$C871,0)</f>
        <v>0</v>
      </c>
      <c r="K871" s="8">
        <f>K870+L871</f>
        <v>0</v>
      </c>
      <c r="L871" s="8">
        <f>IF($D871="CBB",$C871,0)</f>
        <v>0</v>
      </c>
    </row>
    <row r="872" spans="1:12" x14ac:dyDescent="0.25">
      <c r="A872" s="6"/>
      <c r="C872" s="7"/>
      <c r="E872" s="8">
        <f>E871+F872</f>
        <v>125376</v>
      </c>
      <c r="F872" s="8">
        <f>IF($D872="CR01",$C872,0)</f>
        <v>0</v>
      </c>
      <c r="G872" s="8">
        <f>G871+H872</f>
        <v>0</v>
      </c>
      <c r="H872" s="8">
        <f>IF($D872="VISA",$C872,0)</f>
        <v>0</v>
      </c>
      <c r="I872" s="8">
        <f>I871+J872</f>
        <v>0</v>
      </c>
      <c r="J872" s="8">
        <f>IF($D872="ACC",$C872,0)</f>
        <v>0</v>
      </c>
      <c r="K872" s="8">
        <f>K871+L872</f>
        <v>0</v>
      </c>
      <c r="L872" s="8">
        <f>IF($D872="CBB",$C872,0)</f>
        <v>0</v>
      </c>
    </row>
    <row r="873" spans="1:12" x14ac:dyDescent="0.25">
      <c r="A873" s="6"/>
      <c r="C873" s="7"/>
      <c r="E873" s="8">
        <f>E872+F873</f>
        <v>125376</v>
      </c>
      <c r="F873" s="8">
        <f>IF($D873="CR01",$C873,0)</f>
        <v>0</v>
      </c>
      <c r="G873" s="8">
        <f>G872+H873</f>
        <v>0</v>
      </c>
      <c r="H873" s="8">
        <f>IF($D873="VISA",$C873,0)</f>
        <v>0</v>
      </c>
      <c r="I873" s="8">
        <f>I872+J873</f>
        <v>0</v>
      </c>
      <c r="J873" s="8">
        <f>IF($D873="ACC",$C873,0)</f>
        <v>0</v>
      </c>
      <c r="K873" s="8">
        <f>K872+L873</f>
        <v>0</v>
      </c>
      <c r="L873" s="8">
        <f>IF($D873="CBB",$C873,0)</f>
        <v>0</v>
      </c>
    </row>
    <row r="874" spans="1:12" x14ac:dyDescent="0.25">
      <c r="A874" s="6"/>
      <c r="C874" s="7"/>
      <c r="E874" s="8">
        <f>E873+F874</f>
        <v>125376</v>
      </c>
      <c r="F874" s="8">
        <f>IF($D874="CR01",$C874,0)</f>
        <v>0</v>
      </c>
      <c r="G874" s="8">
        <f>G873+H874</f>
        <v>0</v>
      </c>
      <c r="H874" s="8">
        <f>IF($D874="VISA",$C874,0)</f>
        <v>0</v>
      </c>
      <c r="I874" s="8">
        <f>I873+J874</f>
        <v>0</v>
      </c>
      <c r="J874" s="8">
        <f>IF($D874="ACC",$C874,0)</f>
        <v>0</v>
      </c>
      <c r="K874" s="8">
        <f>K873+L874</f>
        <v>0</v>
      </c>
      <c r="L874" s="8">
        <f>IF($D874="CBB",$C874,0)</f>
        <v>0</v>
      </c>
    </row>
    <row r="875" spans="1:12" x14ac:dyDescent="0.25">
      <c r="A875" s="6"/>
      <c r="C875" s="7"/>
      <c r="E875" s="8">
        <f>E874+F875</f>
        <v>125376</v>
      </c>
      <c r="F875" s="8">
        <f>IF($D875="CR01",$C875,0)</f>
        <v>0</v>
      </c>
      <c r="G875" s="8">
        <f>G874+H875</f>
        <v>0</v>
      </c>
      <c r="H875" s="8">
        <f>IF($D875="VISA",$C875,0)</f>
        <v>0</v>
      </c>
      <c r="I875" s="8">
        <f>I874+J875</f>
        <v>0</v>
      </c>
      <c r="J875" s="8">
        <f>IF($D875="ACC",$C875,0)</f>
        <v>0</v>
      </c>
      <c r="K875" s="8">
        <f>K874+L875</f>
        <v>0</v>
      </c>
      <c r="L875" s="8">
        <f>IF($D875="CBB",$C875,0)</f>
        <v>0</v>
      </c>
    </row>
    <row r="876" spans="1:12" x14ac:dyDescent="0.25">
      <c r="A876" s="6"/>
      <c r="C876" s="7"/>
      <c r="E876" s="8">
        <f>E875+F876</f>
        <v>125376</v>
      </c>
      <c r="F876" s="8">
        <f>IF($D876="CR01",$C876,0)</f>
        <v>0</v>
      </c>
      <c r="G876" s="8">
        <f>G875+H876</f>
        <v>0</v>
      </c>
      <c r="H876" s="8">
        <f>IF($D876="VISA",$C876,0)</f>
        <v>0</v>
      </c>
      <c r="I876" s="8">
        <f>I875+J876</f>
        <v>0</v>
      </c>
      <c r="J876" s="8">
        <f>IF($D876="ACC",$C876,0)</f>
        <v>0</v>
      </c>
      <c r="K876" s="8">
        <f>K875+L876</f>
        <v>0</v>
      </c>
      <c r="L876" s="8">
        <f>IF($D876="CBB",$C876,0)</f>
        <v>0</v>
      </c>
    </row>
    <row r="877" spans="1:12" x14ac:dyDescent="0.25">
      <c r="A877" s="6"/>
      <c r="C877" s="7"/>
      <c r="E877" s="8">
        <f>E876+F877</f>
        <v>125376</v>
      </c>
      <c r="F877" s="8">
        <f>IF($D877="CR01",$C877,0)</f>
        <v>0</v>
      </c>
      <c r="G877" s="8">
        <f>G876+H877</f>
        <v>0</v>
      </c>
      <c r="H877" s="8">
        <f>IF($D877="VISA",$C877,0)</f>
        <v>0</v>
      </c>
      <c r="I877" s="8">
        <f>I876+J877</f>
        <v>0</v>
      </c>
      <c r="J877" s="8">
        <f>IF($D877="ACC",$C877,0)</f>
        <v>0</v>
      </c>
      <c r="K877" s="8">
        <f>K876+L877</f>
        <v>0</v>
      </c>
      <c r="L877" s="8">
        <f>IF($D877="CBB",$C877,0)</f>
        <v>0</v>
      </c>
    </row>
    <row r="878" spans="1:12" x14ac:dyDescent="0.25">
      <c r="A878" s="6"/>
      <c r="C878" s="7"/>
      <c r="E878" s="8">
        <f>E877+F878</f>
        <v>125376</v>
      </c>
      <c r="F878" s="8">
        <f>IF($D878="CR01",$C878,0)</f>
        <v>0</v>
      </c>
      <c r="G878" s="8">
        <f>G877+H878</f>
        <v>0</v>
      </c>
      <c r="H878" s="8">
        <f>IF($D878="VISA",$C878,0)</f>
        <v>0</v>
      </c>
      <c r="I878" s="8">
        <f>I877+J878</f>
        <v>0</v>
      </c>
      <c r="J878" s="8">
        <f>IF($D878="ACC",$C878,0)</f>
        <v>0</v>
      </c>
      <c r="K878" s="8">
        <f>K877+L878</f>
        <v>0</v>
      </c>
      <c r="L878" s="8">
        <f>IF($D878="CBB",$C878,0)</f>
        <v>0</v>
      </c>
    </row>
    <row r="879" spans="1:12" x14ac:dyDescent="0.25">
      <c r="A879" s="6"/>
      <c r="C879" s="7"/>
      <c r="E879" s="8">
        <f>E878+F879</f>
        <v>125376</v>
      </c>
      <c r="F879" s="8">
        <f>IF($D879="CR01",$C879,0)</f>
        <v>0</v>
      </c>
      <c r="G879" s="8">
        <f>G878+H879</f>
        <v>0</v>
      </c>
      <c r="H879" s="8">
        <f>IF($D879="VISA",$C879,0)</f>
        <v>0</v>
      </c>
      <c r="I879" s="8">
        <f>I878+J879</f>
        <v>0</v>
      </c>
      <c r="J879" s="8">
        <f>IF($D879="ACC",$C879,0)</f>
        <v>0</v>
      </c>
      <c r="K879" s="8">
        <f>K878+L879</f>
        <v>0</v>
      </c>
      <c r="L879" s="8">
        <f>IF($D879="CBB",$C879,0)</f>
        <v>0</v>
      </c>
    </row>
    <row r="880" spans="1:12" x14ac:dyDescent="0.25">
      <c r="A880" s="6"/>
      <c r="C880" s="7"/>
      <c r="E880" s="8">
        <f>E879+F880</f>
        <v>125376</v>
      </c>
      <c r="F880" s="8">
        <f>IF($D880="CR01",$C880,0)</f>
        <v>0</v>
      </c>
      <c r="G880" s="8">
        <f>G879+H880</f>
        <v>0</v>
      </c>
      <c r="H880" s="8">
        <f>IF($D880="VISA",$C880,0)</f>
        <v>0</v>
      </c>
      <c r="I880" s="8">
        <f>I879+J880</f>
        <v>0</v>
      </c>
      <c r="J880" s="8">
        <f>IF($D880="ACC",$C880,0)</f>
        <v>0</v>
      </c>
      <c r="K880" s="8">
        <f>K879+L880</f>
        <v>0</v>
      </c>
      <c r="L880" s="8">
        <f>IF($D880="CBB",$C880,0)</f>
        <v>0</v>
      </c>
    </row>
    <row r="881" spans="1:12" x14ac:dyDescent="0.25">
      <c r="A881" s="6"/>
      <c r="C881" s="7"/>
      <c r="E881" s="8"/>
      <c r="F881" s="8"/>
      <c r="G881" s="8"/>
      <c r="H881" s="8"/>
      <c r="I881" s="8"/>
      <c r="J881" s="8"/>
      <c r="K881" s="8"/>
      <c r="L881" s="8"/>
    </row>
    <row r="882" spans="1:12" x14ac:dyDescent="0.25">
      <c r="A882" s="6"/>
      <c r="C882" s="7"/>
      <c r="E882" s="8"/>
      <c r="F882" s="8"/>
      <c r="G882" s="8"/>
      <c r="H882" s="8"/>
      <c r="I882" s="8"/>
      <c r="J882" s="8"/>
      <c r="K882" s="8"/>
      <c r="L882" s="8"/>
    </row>
    <row r="883" spans="1:12" x14ac:dyDescent="0.25">
      <c r="A883" s="6"/>
      <c r="C883" s="7"/>
      <c r="E883" s="8"/>
      <c r="F883" s="8"/>
      <c r="G883" s="8"/>
      <c r="H883" s="8"/>
      <c r="I883" s="8"/>
      <c r="J883" s="8"/>
      <c r="K883" s="8"/>
      <c r="L883" s="8"/>
    </row>
    <row r="884" spans="1:12" x14ac:dyDescent="0.25">
      <c r="A884" s="6"/>
      <c r="C884" s="7"/>
      <c r="E884" s="8"/>
      <c r="F884" s="8"/>
      <c r="G884" s="8"/>
      <c r="H884" s="8"/>
      <c r="I884" s="8"/>
      <c r="J884" s="8"/>
      <c r="K884" s="8"/>
      <c r="L884" s="8"/>
    </row>
    <row r="885" spans="1:12" x14ac:dyDescent="0.25">
      <c r="A885" s="6"/>
      <c r="C885" s="7"/>
      <c r="E885" s="8"/>
      <c r="F885" s="8"/>
      <c r="G885" s="8"/>
      <c r="H885" s="8"/>
      <c r="I885" s="8"/>
      <c r="J885" s="8"/>
      <c r="K885" s="8"/>
      <c r="L885" s="8"/>
    </row>
    <row r="886" spans="1:12" x14ac:dyDescent="0.25">
      <c r="A886" s="6"/>
      <c r="C886" s="7"/>
      <c r="E886" s="8"/>
      <c r="F886" s="8"/>
      <c r="G886" s="8"/>
      <c r="H886" s="8"/>
      <c r="I886" s="8"/>
      <c r="J886" s="8"/>
      <c r="K886" s="8"/>
      <c r="L886" s="8"/>
    </row>
    <row r="887" spans="1:12" x14ac:dyDescent="0.25">
      <c r="A887" s="6"/>
      <c r="C887" s="7"/>
      <c r="E887" s="8"/>
      <c r="F887" s="8"/>
      <c r="G887" s="8"/>
      <c r="H887" s="8"/>
      <c r="I887" s="8"/>
      <c r="J887" s="8"/>
      <c r="K887" s="8"/>
      <c r="L887" s="8"/>
    </row>
    <row r="888" spans="1:12" x14ac:dyDescent="0.25">
      <c r="A888" s="6"/>
      <c r="C888" s="7"/>
      <c r="E888" s="8"/>
      <c r="F888" s="8"/>
      <c r="G888" s="8"/>
      <c r="H888" s="8"/>
      <c r="I888" s="8"/>
      <c r="J888" s="8"/>
      <c r="K888" s="8"/>
      <c r="L888" s="8"/>
    </row>
    <row r="889" spans="1:12" x14ac:dyDescent="0.25">
      <c r="A889" s="6"/>
      <c r="C889" s="7"/>
      <c r="E889" s="8"/>
      <c r="F889" s="8"/>
      <c r="G889" s="8"/>
      <c r="H889" s="8"/>
      <c r="I889" s="8"/>
      <c r="J889" s="8"/>
      <c r="K889" s="8"/>
      <c r="L889" s="8"/>
    </row>
    <row r="890" spans="1:12" x14ac:dyDescent="0.25">
      <c r="A890" s="6"/>
      <c r="C890" s="7"/>
      <c r="E890" s="8"/>
      <c r="F890" s="8"/>
      <c r="G890" s="8"/>
      <c r="H890" s="8"/>
      <c r="I890" s="8"/>
      <c r="J890" s="8"/>
      <c r="K890" s="8"/>
      <c r="L890" s="8"/>
    </row>
    <row r="891" spans="1:12" x14ac:dyDescent="0.25">
      <c r="A891" s="6"/>
      <c r="C891" s="7"/>
      <c r="E891" s="8"/>
      <c r="F891" s="8"/>
      <c r="G891" s="8"/>
      <c r="H891" s="8"/>
      <c r="I891" s="8"/>
      <c r="J891" s="8"/>
      <c r="K891" s="8"/>
      <c r="L891" s="8"/>
    </row>
    <row r="892" spans="1:12" x14ac:dyDescent="0.25">
      <c r="A892" s="6"/>
      <c r="C892" s="7"/>
      <c r="E892" s="8"/>
      <c r="F892" s="8"/>
      <c r="G892" s="8"/>
      <c r="H892" s="8"/>
      <c r="I892" s="8"/>
      <c r="J892" s="8"/>
      <c r="K892" s="8"/>
      <c r="L892" s="8"/>
    </row>
    <row r="893" spans="1:12" x14ac:dyDescent="0.25">
      <c r="A893" s="6"/>
      <c r="C893" s="7"/>
      <c r="E893" s="8"/>
      <c r="F893" s="8"/>
      <c r="G893" s="8"/>
      <c r="H893" s="8"/>
      <c r="I893" s="8"/>
      <c r="J893" s="8"/>
      <c r="K893" s="8"/>
      <c r="L893" s="8"/>
    </row>
    <row r="894" spans="1:12" x14ac:dyDescent="0.25">
      <c r="A894" s="6"/>
      <c r="C894" s="7"/>
      <c r="E894" s="8"/>
      <c r="F894" s="8"/>
      <c r="G894" s="8"/>
      <c r="H894" s="8"/>
      <c r="I894" s="8"/>
      <c r="J894" s="8"/>
      <c r="K894" s="8"/>
      <c r="L894" s="8"/>
    </row>
    <row r="895" spans="1:12" x14ac:dyDescent="0.25">
      <c r="A895" s="6"/>
      <c r="C895" s="7"/>
      <c r="E895" s="8"/>
      <c r="F895" s="8"/>
      <c r="G895" s="8"/>
      <c r="H895" s="8"/>
      <c r="I895" s="8"/>
      <c r="J895" s="8"/>
      <c r="K895" s="8"/>
      <c r="L895" s="8"/>
    </row>
    <row r="896" spans="1:12" x14ac:dyDescent="0.25">
      <c r="A896" s="6"/>
      <c r="C896" s="7"/>
      <c r="E896" s="8"/>
      <c r="F896" s="8"/>
      <c r="G896" s="8"/>
      <c r="H896" s="8"/>
      <c r="I896" s="8"/>
      <c r="J896" s="8"/>
      <c r="K896" s="8"/>
      <c r="L896" s="8"/>
    </row>
    <row r="897" spans="1:12" x14ac:dyDescent="0.25">
      <c r="A897" s="6"/>
      <c r="C897" s="7"/>
      <c r="E897" s="8"/>
      <c r="F897" s="8"/>
      <c r="G897" s="8"/>
      <c r="H897" s="8"/>
      <c r="I897" s="8"/>
      <c r="J897" s="8"/>
      <c r="K897" s="8"/>
      <c r="L897" s="8"/>
    </row>
    <row r="898" spans="1:12" x14ac:dyDescent="0.25">
      <c r="A898" s="6"/>
      <c r="C898" s="7"/>
      <c r="E898" s="8"/>
      <c r="F898" s="8"/>
      <c r="G898" s="8"/>
      <c r="H898" s="8"/>
      <c r="I898" s="8"/>
      <c r="J898" s="8"/>
      <c r="K898" s="8"/>
      <c r="L898" s="8"/>
    </row>
    <row r="899" spans="1:12" x14ac:dyDescent="0.25">
      <c r="A899" s="6"/>
      <c r="C899" s="7"/>
      <c r="E899" s="8"/>
      <c r="F899" s="8"/>
      <c r="G899" s="8"/>
      <c r="H899" s="8"/>
      <c r="I899" s="8"/>
      <c r="J899" s="8"/>
      <c r="K899" s="8"/>
      <c r="L899" s="8"/>
    </row>
    <row r="900" spans="1:12" x14ac:dyDescent="0.25">
      <c r="A900" s="6"/>
      <c r="C900" s="7"/>
      <c r="E900" s="8"/>
      <c r="F900" s="8"/>
      <c r="G900" s="8"/>
      <c r="H900" s="8"/>
      <c r="I900" s="8"/>
      <c r="J900" s="8"/>
      <c r="K900" s="8"/>
      <c r="L900" s="8"/>
    </row>
    <row r="901" spans="1:12" x14ac:dyDescent="0.25">
      <c r="A901" s="6"/>
      <c r="C901" s="7"/>
      <c r="E901" s="8"/>
      <c r="F901" s="8"/>
      <c r="G901" s="8"/>
      <c r="H901" s="8"/>
      <c r="I901" s="8"/>
      <c r="J901" s="8"/>
      <c r="K901" s="8"/>
      <c r="L901" s="8"/>
    </row>
    <row r="902" spans="1:12" x14ac:dyDescent="0.25">
      <c r="A902" s="6"/>
      <c r="C902" s="7"/>
      <c r="E902" s="8"/>
      <c r="F902" s="8"/>
      <c r="G902" s="8"/>
      <c r="H902" s="8"/>
      <c r="I902" s="8"/>
      <c r="J902" s="8"/>
      <c r="K902" s="8"/>
      <c r="L902" s="8"/>
    </row>
    <row r="903" spans="1:12" x14ac:dyDescent="0.25">
      <c r="A903" s="6"/>
      <c r="C903" s="7"/>
      <c r="E903" s="8"/>
      <c r="F903" s="8"/>
      <c r="G903" s="8"/>
      <c r="H903" s="8"/>
      <c r="I903" s="8"/>
      <c r="J903" s="8"/>
      <c r="K903" s="8"/>
      <c r="L903" s="8"/>
    </row>
    <row r="904" spans="1:12" x14ac:dyDescent="0.25">
      <c r="A904" s="6"/>
      <c r="C904" s="7"/>
      <c r="E904" s="8"/>
      <c r="F904" s="8"/>
      <c r="G904" s="8"/>
      <c r="H904" s="8"/>
      <c r="I904" s="8"/>
      <c r="J904" s="8"/>
      <c r="K904" s="8"/>
      <c r="L904" s="8"/>
    </row>
    <row r="905" spans="1:12" x14ac:dyDescent="0.25">
      <c r="A905" s="6"/>
      <c r="C905" s="7"/>
      <c r="E905" s="8"/>
      <c r="F905" s="8"/>
      <c r="G905" s="8"/>
      <c r="H905" s="8"/>
      <c r="I905" s="8"/>
      <c r="J905" s="8"/>
      <c r="K905" s="8"/>
      <c r="L905" s="8"/>
    </row>
    <row r="906" spans="1:12" x14ac:dyDescent="0.25">
      <c r="A906" s="6"/>
      <c r="C906" s="7"/>
      <c r="E906" s="8"/>
      <c r="F906" s="8"/>
      <c r="G906" s="8"/>
      <c r="H906" s="8"/>
      <c r="I906" s="8"/>
      <c r="J906" s="8"/>
      <c r="K906" s="8"/>
      <c r="L906" s="8"/>
    </row>
    <row r="907" spans="1:12" x14ac:dyDescent="0.25">
      <c r="A907" s="6"/>
      <c r="C907" s="7"/>
      <c r="E907" s="8"/>
      <c r="F907" s="8"/>
      <c r="G907" s="8"/>
      <c r="H907" s="8"/>
      <c r="I907" s="8"/>
      <c r="J907" s="8"/>
      <c r="K907" s="8"/>
      <c r="L907" s="8"/>
    </row>
    <row r="908" spans="1:12" x14ac:dyDescent="0.25">
      <c r="A908" s="6"/>
      <c r="C908" s="7"/>
      <c r="E908" s="8"/>
      <c r="F908" s="8"/>
      <c r="G908" s="8"/>
      <c r="H908" s="8"/>
      <c r="I908" s="8"/>
      <c r="J908" s="8"/>
      <c r="K908" s="8"/>
      <c r="L908" s="8"/>
    </row>
    <row r="909" spans="1:12" x14ac:dyDescent="0.25">
      <c r="A909" s="6"/>
      <c r="C909" s="7"/>
      <c r="E909" s="8"/>
      <c r="F909" s="8"/>
      <c r="G909" s="8"/>
      <c r="H909" s="8"/>
      <c r="I909" s="8"/>
      <c r="J909" s="8"/>
      <c r="K909" s="8"/>
      <c r="L909" s="8"/>
    </row>
    <row r="910" spans="1:12" x14ac:dyDescent="0.25">
      <c r="A910" s="6"/>
      <c r="C910" s="7"/>
      <c r="E910" s="8"/>
      <c r="F910" s="8"/>
      <c r="G910" s="8"/>
      <c r="H910" s="8"/>
      <c r="I910" s="8"/>
      <c r="J910" s="8"/>
      <c r="K910" s="8"/>
      <c r="L910" s="8"/>
    </row>
    <row r="911" spans="1:12" x14ac:dyDescent="0.25">
      <c r="A911" s="6"/>
      <c r="C911" s="7"/>
      <c r="E911" s="8"/>
      <c r="F911" s="8"/>
      <c r="G911" s="8"/>
      <c r="H911" s="8"/>
      <c r="I911" s="8"/>
      <c r="J911" s="8"/>
      <c r="K911" s="8"/>
      <c r="L911" s="8"/>
    </row>
    <row r="912" spans="1:12" x14ac:dyDescent="0.25">
      <c r="A912" s="6"/>
      <c r="C912" s="7"/>
      <c r="E912" s="8"/>
      <c r="F912" s="8"/>
      <c r="G912" s="8"/>
      <c r="H912" s="8"/>
      <c r="I912" s="8"/>
      <c r="J912" s="8"/>
      <c r="K912" s="8"/>
      <c r="L912" s="8"/>
    </row>
    <row r="913" spans="1:12" x14ac:dyDescent="0.25">
      <c r="A913" s="6"/>
      <c r="C913" s="7"/>
      <c r="E913" s="8"/>
      <c r="F913" s="8"/>
      <c r="G913" s="8"/>
      <c r="H913" s="8"/>
      <c r="I913" s="8"/>
      <c r="J913" s="8"/>
      <c r="K913" s="8"/>
      <c r="L913" s="8"/>
    </row>
    <row r="914" spans="1:12" x14ac:dyDescent="0.25">
      <c r="A914" s="6"/>
      <c r="C914" s="7"/>
      <c r="E914" s="8"/>
      <c r="F914" s="8"/>
      <c r="G914" s="8"/>
      <c r="H914" s="8"/>
      <c r="I914" s="8"/>
      <c r="J914" s="8"/>
      <c r="K914" s="8"/>
      <c r="L914" s="8"/>
    </row>
    <row r="915" spans="1:12" x14ac:dyDescent="0.25">
      <c r="A915" s="6"/>
      <c r="C915" s="7"/>
      <c r="E915" s="8"/>
      <c r="F915" s="8"/>
      <c r="G915" s="8"/>
      <c r="H915" s="8"/>
      <c r="I915" s="8"/>
      <c r="J915" s="8"/>
      <c r="K915" s="8"/>
      <c r="L915" s="8"/>
    </row>
    <row r="916" spans="1:12" x14ac:dyDescent="0.25">
      <c r="A916" s="6"/>
      <c r="C916" s="7"/>
      <c r="E916" s="8"/>
      <c r="F916" s="8"/>
      <c r="G916" s="8"/>
      <c r="H916" s="8"/>
      <c r="I916" s="8"/>
      <c r="J916" s="8"/>
      <c r="K916" s="8"/>
      <c r="L916" s="8"/>
    </row>
    <row r="917" spans="1:12" x14ac:dyDescent="0.25">
      <c r="A917" s="6"/>
      <c r="C917" s="7"/>
      <c r="E917" s="8"/>
      <c r="F917" s="8"/>
      <c r="G917" s="8"/>
      <c r="H917" s="8"/>
      <c r="I917" s="8"/>
      <c r="J917" s="8"/>
      <c r="K917" s="8"/>
      <c r="L917" s="8"/>
    </row>
    <row r="918" spans="1:12" x14ac:dyDescent="0.25">
      <c r="A918" s="6"/>
      <c r="C918" s="7"/>
      <c r="E918" s="8"/>
      <c r="F918" s="8"/>
      <c r="G918" s="8"/>
      <c r="H918" s="8"/>
      <c r="I918" s="8"/>
      <c r="J918" s="8"/>
      <c r="K918" s="8"/>
      <c r="L918" s="8"/>
    </row>
    <row r="919" spans="1:12" x14ac:dyDescent="0.25">
      <c r="A919" s="6"/>
      <c r="C919" s="7"/>
      <c r="E919" s="8"/>
      <c r="F919" s="8"/>
      <c r="G919" s="8"/>
      <c r="H919" s="8"/>
      <c r="I919" s="8"/>
      <c r="J919" s="8"/>
      <c r="K919" s="8"/>
      <c r="L919" s="8"/>
    </row>
    <row r="920" spans="1:12" x14ac:dyDescent="0.25">
      <c r="A920" s="6"/>
      <c r="C920" s="7"/>
      <c r="E920" s="8"/>
      <c r="F920" s="8"/>
      <c r="G920" s="8"/>
      <c r="H920" s="8"/>
      <c r="I920" s="8"/>
      <c r="J920" s="8"/>
      <c r="K920" s="8"/>
      <c r="L920" s="8"/>
    </row>
    <row r="921" spans="1:12" x14ac:dyDescent="0.25">
      <c r="A921" s="6"/>
      <c r="C921" s="7"/>
      <c r="E921" s="8"/>
      <c r="F921" s="8"/>
      <c r="G921" s="8"/>
      <c r="H921" s="8"/>
      <c r="I921" s="8"/>
      <c r="J921" s="8"/>
      <c r="K921" s="8"/>
      <c r="L921" s="8"/>
    </row>
    <row r="922" spans="1:12" x14ac:dyDescent="0.25">
      <c r="A922" s="6"/>
      <c r="C922" s="7"/>
      <c r="E922" s="8"/>
      <c r="F922" s="8"/>
      <c r="G922" s="8"/>
      <c r="H922" s="8"/>
      <c r="I922" s="8"/>
      <c r="J922" s="8"/>
      <c r="K922" s="8"/>
      <c r="L922" s="8"/>
    </row>
    <row r="923" spans="1:12" x14ac:dyDescent="0.25">
      <c r="A923" s="6"/>
      <c r="C923" s="7"/>
      <c r="E923" s="8"/>
      <c r="F923" s="8"/>
      <c r="G923" s="8"/>
      <c r="H923" s="8"/>
      <c r="I923" s="8"/>
      <c r="J923" s="8"/>
      <c r="K923" s="8"/>
      <c r="L923" s="8"/>
    </row>
    <row r="924" spans="1:12" x14ac:dyDescent="0.25">
      <c r="A924" s="6"/>
      <c r="C924" s="7"/>
      <c r="E924" s="8"/>
      <c r="F924" s="8"/>
      <c r="G924" s="8"/>
      <c r="H924" s="8"/>
      <c r="I924" s="8"/>
      <c r="J924" s="8"/>
      <c r="K924" s="8"/>
      <c r="L924" s="8"/>
    </row>
    <row r="925" spans="1:12" x14ac:dyDescent="0.25">
      <c r="A925" s="6"/>
      <c r="C925" s="7"/>
      <c r="E925" s="8"/>
      <c r="F925" s="8"/>
      <c r="G925" s="8"/>
      <c r="H925" s="8"/>
      <c r="I925" s="8"/>
      <c r="J925" s="8"/>
      <c r="K925" s="8"/>
      <c r="L925" s="8"/>
    </row>
    <row r="926" spans="1:12" x14ac:dyDescent="0.25">
      <c r="A926" s="6"/>
      <c r="C926" s="7"/>
      <c r="E926" s="8"/>
      <c r="F926" s="8"/>
      <c r="G926" s="8"/>
      <c r="H926" s="8"/>
      <c r="I926" s="8"/>
      <c r="J926" s="8"/>
      <c r="K926" s="8"/>
      <c r="L926" s="8"/>
    </row>
    <row r="927" spans="1:12" x14ac:dyDescent="0.25">
      <c r="C927" s="7"/>
      <c r="E927" s="8"/>
      <c r="F927" s="8"/>
      <c r="G927" s="8"/>
      <c r="H927" s="8"/>
      <c r="I927" s="8"/>
      <c r="J927" s="8"/>
      <c r="K927" s="8"/>
      <c r="L927" s="8"/>
    </row>
    <row r="928" spans="1:12" x14ac:dyDescent="0.25">
      <c r="C928" s="7"/>
      <c r="E928" s="8"/>
      <c r="F928" s="8"/>
      <c r="G928" s="8"/>
      <c r="H928" s="8"/>
      <c r="I928" s="8"/>
      <c r="J928" s="8"/>
      <c r="K928" s="8"/>
      <c r="L928" s="8"/>
    </row>
    <row r="929" spans="3:12" x14ac:dyDescent="0.25">
      <c r="C929" s="7"/>
      <c r="E929" s="8"/>
      <c r="F929" s="8"/>
      <c r="G929" s="8"/>
      <c r="H929" s="8"/>
      <c r="I929" s="8"/>
      <c r="J929" s="8"/>
      <c r="K929" s="8"/>
      <c r="L929" s="8"/>
    </row>
    <row r="930" spans="3:12" x14ac:dyDescent="0.25">
      <c r="C930" s="7"/>
      <c r="E930" s="8"/>
      <c r="F930" s="8"/>
      <c r="G930" s="8"/>
      <c r="H930" s="8"/>
      <c r="I930" s="8"/>
      <c r="J930" s="8"/>
      <c r="K930" s="8"/>
      <c r="L930" s="8"/>
    </row>
    <row r="931" spans="3:12" x14ac:dyDescent="0.25">
      <c r="C931" s="7"/>
      <c r="E931" s="8"/>
      <c r="F931" s="8"/>
      <c r="G931" s="8"/>
      <c r="H931" s="8"/>
      <c r="I931" s="8"/>
      <c r="J931" s="8"/>
      <c r="K931" s="8"/>
      <c r="L931" s="8"/>
    </row>
    <row r="932" spans="3:12" x14ac:dyDescent="0.25">
      <c r="C932" s="7"/>
      <c r="E932" s="8"/>
      <c r="F932" s="8"/>
      <c r="G932" s="8"/>
      <c r="H932" s="8"/>
      <c r="I932" s="8"/>
      <c r="J932" s="8"/>
      <c r="K932" s="8"/>
      <c r="L932" s="8"/>
    </row>
    <row r="933" spans="3:12" x14ac:dyDescent="0.25">
      <c r="C933" s="7"/>
      <c r="E933" s="8"/>
      <c r="F933" s="8"/>
      <c r="G933" s="8"/>
      <c r="H933" s="8"/>
      <c r="I933" s="8"/>
      <c r="J933" s="8"/>
      <c r="K933" s="8"/>
      <c r="L933" s="8"/>
    </row>
    <row r="934" spans="3:12" x14ac:dyDescent="0.25">
      <c r="C934" s="7"/>
      <c r="E934" s="8"/>
      <c r="F934" s="8"/>
      <c r="G934" s="8"/>
      <c r="H934" s="8"/>
      <c r="I934" s="8"/>
      <c r="J934" s="8"/>
      <c r="K934" s="8"/>
      <c r="L934" s="8"/>
    </row>
    <row r="935" spans="3:12" x14ac:dyDescent="0.25">
      <c r="C935" s="7"/>
      <c r="E935" s="8"/>
      <c r="F935" s="8"/>
      <c r="G935" s="8"/>
      <c r="H935" s="8"/>
      <c r="I935" s="8"/>
      <c r="J935" s="8"/>
      <c r="K935" s="8"/>
      <c r="L935" s="8"/>
    </row>
    <row r="936" spans="3:12" x14ac:dyDescent="0.25">
      <c r="C936" s="7"/>
      <c r="E936" s="8"/>
      <c r="F936" s="8"/>
      <c r="G936" s="8"/>
      <c r="H936" s="8"/>
      <c r="I936" s="8"/>
      <c r="J936" s="8"/>
      <c r="K936" s="8"/>
      <c r="L936" s="8"/>
    </row>
    <row r="937" spans="3:12" x14ac:dyDescent="0.25">
      <c r="C937" s="7"/>
      <c r="E937" s="8"/>
      <c r="F937" s="8"/>
      <c r="G937" s="8"/>
      <c r="H937" s="8"/>
      <c r="I937" s="8"/>
      <c r="J937" s="8"/>
      <c r="K937" s="8"/>
      <c r="L937" s="8"/>
    </row>
    <row r="938" spans="3:12" x14ac:dyDescent="0.25">
      <c r="C938" s="7"/>
      <c r="E938" s="8"/>
      <c r="F938" s="8"/>
      <c r="G938" s="8"/>
      <c r="H938" s="8"/>
      <c r="I938" s="8"/>
      <c r="J938" s="8"/>
      <c r="K938" s="8"/>
      <c r="L938" s="8"/>
    </row>
    <row r="939" spans="3:12" x14ac:dyDescent="0.25">
      <c r="C939" s="7"/>
      <c r="E939" s="8"/>
      <c r="F939" s="8"/>
      <c r="G939" s="8"/>
      <c r="H939" s="8"/>
      <c r="I939" s="8"/>
      <c r="J939" s="8"/>
      <c r="K939" s="8"/>
      <c r="L939" s="8"/>
    </row>
    <row r="940" spans="3:12" x14ac:dyDescent="0.25">
      <c r="C940" s="7"/>
      <c r="E940" s="8"/>
      <c r="F940" s="8"/>
      <c r="G940" s="8"/>
      <c r="H940" s="8"/>
      <c r="I940" s="8"/>
      <c r="J940" s="8"/>
      <c r="K940" s="8"/>
      <c r="L940" s="8"/>
    </row>
    <row r="941" spans="3:12" x14ac:dyDescent="0.25">
      <c r="C941" s="7"/>
      <c r="E941" s="8"/>
      <c r="F941" s="8"/>
      <c r="G941" s="8"/>
      <c r="H941" s="8"/>
      <c r="I941" s="8"/>
      <c r="J941" s="8"/>
      <c r="K941" s="8"/>
      <c r="L941" s="8"/>
    </row>
    <row r="942" spans="3:12" x14ac:dyDescent="0.25">
      <c r="C942" s="7"/>
      <c r="E942" s="8"/>
      <c r="F942" s="8"/>
      <c r="G942" s="8"/>
      <c r="H942" s="8"/>
      <c r="I942" s="8"/>
      <c r="J942" s="8"/>
      <c r="K942" s="8"/>
      <c r="L942" s="8"/>
    </row>
    <row r="943" spans="3:12" x14ac:dyDescent="0.25">
      <c r="C943" s="7"/>
      <c r="E943" s="8"/>
      <c r="F943" s="8"/>
      <c r="G943" s="8"/>
      <c r="H943" s="8"/>
      <c r="I943" s="8"/>
      <c r="J943" s="8"/>
      <c r="K943" s="8"/>
      <c r="L943" s="8"/>
    </row>
    <row r="944" spans="3:12" x14ac:dyDescent="0.25">
      <c r="C944" s="7"/>
      <c r="E944" s="8"/>
      <c r="F944" s="8"/>
      <c r="G944" s="8"/>
      <c r="H944" s="8"/>
      <c r="I944" s="8"/>
      <c r="J944" s="8"/>
      <c r="K944" s="8"/>
      <c r="L944" s="8"/>
    </row>
    <row r="945" spans="3:12" x14ac:dyDescent="0.25">
      <c r="C945" s="7"/>
      <c r="E945" s="8"/>
      <c r="F945" s="8"/>
      <c r="G945" s="8"/>
      <c r="H945" s="8"/>
      <c r="I945" s="8"/>
      <c r="J945" s="8"/>
      <c r="K945" s="8"/>
      <c r="L945" s="8"/>
    </row>
    <row r="946" spans="3:12" x14ac:dyDescent="0.25">
      <c r="C946" s="7"/>
      <c r="E946" s="8"/>
      <c r="F946" s="8"/>
      <c r="G946" s="8"/>
      <c r="H946" s="8"/>
      <c r="I946" s="8"/>
      <c r="J946" s="8"/>
      <c r="K946" s="8"/>
      <c r="L946" s="8"/>
    </row>
    <row r="947" spans="3:12" x14ac:dyDescent="0.25">
      <c r="C947" s="7"/>
      <c r="E947" s="8"/>
      <c r="F947" s="8"/>
      <c r="G947" s="8"/>
      <c r="H947" s="8"/>
      <c r="I947" s="8"/>
      <c r="J947" s="8"/>
      <c r="K947" s="8"/>
      <c r="L947" s="8"/>
    </row>
    <row r="948" spans="3:12" x14ac:dyDescent="0.25">
      <c r="C948" s="7"/>
      <c r="E948" s="8"/>
      <c r="F948" s="8"/>
      <c r="G948" s="8"/>
      <c r="H948" s="8"/>
      <c r="I948" s="8"/>
      <c r="J948" s="8"/>
      <c r="K948" s="8"/>
      <c r="L948" s="8"/>
    </row>
    <row r="949" spans="3:12" x14ac:dyDescent="0.25">
      <c r="C949" s="7"/>
      <c r="E949" s="8"/>
      <c r="F949" s="8"/>
      <c r="G949" s="8"/>
      <c r="H949" s="8"/>
      <c r="I949" s="8"/>
      <c r="J949" s="8"/>
      <c r="K949" s="8"/>
      <c r="L949" s="8"/>
    </row>
    <row r="950" spans="3:12" x14ac:dyDescent="0.25">
      <c r="C950" s="7"/>
      <c r="E950" s="8"/>
      <c r="F950" s="8"/>
      <c r="G950" s="8"/>
      <c r="H950" s="8"/>
      <c r="I950" s="8"/>
      <c r="J950" s="8"/>
      <c r="K950" s="8"/>
      <c r="L950" s="8"/>
    </row>
    <row r="951" spans="3:12" x14ac:dyDescent="0.25">
      <c r="C951" s="7"/>
      <c r="E951" s="8"/>
      <c r="F951" s="8"/>
      <c r="G951" s="8"/>
      <c r="H951" s="8"/>
      <c r="I951" s="8"/>
      <c r="J951" s="8"/>
      <c r="K951" s="8"/>
      <c r="L951" s="8"/>
    </row>
    <row r="952" spans="3:12" x14ac:dyDescent="0.25">
      <c r="C952" s="7"/>
      <c r="E952" s="8"/>
      <c r="F952" s="8"/>
      <c r="G952" s="8"/>
      <c r="H952" s="8"/>
      <c r="I952" s="8"/>
      <c r="J952" s="8"/>
      <c r="K952" s="8"/>
      <c r="L952" s="8"/>
    </row>
    <row r="953" spans="3:12" x14ac:dyDescent="0.25">
      <c r="C953" s="7"/>
      <c r="E953" s="8"/>
      <c r="F953" s="8"/>
      <c r="G953" s="8"/>
      <c r="H953" s="8"/>
      <c r="I953" s="8"/>
      <c r="J953" s="8"/>
      <c r="K953" s="8"/>
      <c r="L953" s="8"/>
    </row>
    <row r="954" spans="3:12" x14ac:dyDescent="0.25">
      <c r="C954" s="7"/>
      <c r="E954" s="8"/>
      <c r="F954" s="8"/>
      <c r="G954" s="8"/>
      <c r="H954" s="8"/>
      <c r="I954" s="8"/>
      <c r="J954" s="8"/>
      <c r="K954" s="8"/>
      <c r="L954" s="8"/>
    </row>
    <row r="955" spans="3:12" x14ac:dyDescent="0.25">
      <c r="C955" s="7"/>
      <c r="E955" s="8"/>
      <c r="F955" s="8"/>
      <c r="G955" s="8"/>
      <c r="H955" s="8"/>
      <c r="I955" s="8"/>
      <c r="J955" s="8"/>
      <c r="K955" s="8"/>
      <c r="L955" s="8"/>
    </row>
    <row r="956" spans="3:12" x14ac:dyDescent="0.25">
      <c r="C956" s="7"/>
      <c r="E956" s="8"/>
      <c r="F956" s="8"/>
      <c r="G956" s="8"/>
      <c r="H956" s="8"/>
      <c r="I956" s="8"/>
      <c r="J956" s="8"/>
      <c r="K956" s="8"/>
      <c r="L956" s="8"/>
    </row>
    <row r="957" spans="3:12" x14ac:dyDescent="0.25">
      <c r="C957" s="7"/>
      <c r="E957" s="8"/>
      <c r="F957" s="8"/>
      <c r="G957" s="8"/>
      <c r="H957" s="8"/>
      <c r="I957" s="8"/>
      <c r="J957" s="8"/>
      <c r="K957" s="8"/>
      <c r="L957" s="8"/>
    </row>
    <row r="958" spans="3:12" x14ac:dyDescent="0.25">
      <c r="C958" s="7"/>
      <c r="E958" s="8"/>
      <c r="F958" s="8"/>
      <c r="G958" s="8"/>
      <c r="H958" s="8"/>
      <c r="I958" s="8"/>
      <c r="J958" s="8"/>
      <c r="K958" s="8"/>
      <c r="L958" s="8"/>
    </row>
    <row r="959" spans="3:12" x14ac:dyDescent="0.25">
      <c r="C959" s="7"/>
      <c r="E959" s="8"/>
      <c r="F959" s="8"/>
      <c r="G959" s="8"/>
      <c r="H959" s="8"/>
      <c r="I959" s="8"/>
      <c r="J959" s="8"/>
      <c r="K959" s="8"/>
      <c r="L959" s="8"/>
    </row>
    <row r="960" spans="3:12" x14ac:dyDescent="0.25">
      <c r="C960" s="7"/>
      <c r="E960" s="8"/>
      <c r="F960" s="8"/>
      <c r="G960" s="8"/>
      <c r="H960" s="8"/>
      <c r="I960" s="8"/>
      <c r="J960" s="8"/>
      <c r="K960" s="8"/>
      <c r="L960" s="8"/>
    </row>
    <row r="961" spans="3:12" x14ac:dyDescent="0.25">
      <c r="C961" s="7"/>
      <c r="E961" s="8"/>
      <c r="F961" s="8"/>
      <c r="G961" s="8"/>
      <c r="H961" s="8"/>
      <c r="I961" s="8"/>
      <c r="J961" s="8"/>
      <c r="K961" s="8"/>
      <c r="L961" s="8"/>
    </row>
    <row r="962" spans="3:12" x14ac:dyDescent="0.25">
      <c r="C962" s="7"/>
      <c r="E962" s="8"/>
      <c r="F962" s="8"/>
      <c r="G962" s="8"/>
      <c r="H962" s="8"/>
      <c r="I962" s="8"/>
      <c r="J962" s="8"/>
      <c r="K962" s="8"/>
      <c r="L962" s="8"/>
    </row>
    <row r="963" spans="3:12" x14ac:dyDescent="0.25">
      <c r="C963" s="7"/>
      <c r="E963" s="8"/>
      <c r="F963" s="8"/>
      <c r="G963" s="8"/>
      <c r="H963" s="8"/>
      <c r="I963" s="8"/>
      <c r="J963" s="8"/>
      <c r="K963" s="8"/>
      <c r="L963" s="8"/>
    </row>
    <row r="964" spans="3:12" x14ac:dyDescent="0.25">
      <c r="C964" s="7"/>
      <c r="E964" s="8"/>
      <c r="F964" s="8"/>
      <c r="G964" s="8"/>
      <c r="H964" s="8"/>
      <c r="I964" s="8"/>
      <c r="J964" s="8"/>
      <c r="K964" s="8"/>
      <c r="L964" s="8"/>
    </row>
    <row r="965" spans="3:12" x14ac:dyDescent="0.25">
      <c r="C965" s="7"/>
      <c r="E965" s="8"/>
      <c r="F965" s="8"/>
      <c r="G965" s="8"/>
      <c r="H965" s="8"/>
      <c r="I965" s="8"/>
      <c r="J965" s="8"/>
      <c r="K965" s="8"/>
      <c r="L965" s="8"/>
    </row>
    <row r="966" spans="3:12" x14ac:dyDescent="0.25">
      <c r="C966" s="7"/>
      <c r="E966" s="8"/>
      <c r="F966" s="8"/>
      <c r="G966" s="8"/>
      <c r="H966" s="8"/>
      <c r="I966" s="8"/>
      <c r="J966" s="8"/>
      <c r="K966" s="8"/>
      <c r="L966" s="8"/>
    </row>
    <row r="967" spans="3:12" x14ac:dyDescent="0.25">
      <c r="C967" s="7"/>
      <c r="E967" s="8"/>
      <c r="F967" s="8"/>
      <c r="G967" s="8"/>
      <c r="H967" s="8"/>
      <c r="I967" s="8"/>
      <c r="J967" s="8"/>
      <c r="K967" s="8"/>
      <c r="L967" s="8"/>
    </row>
    <row r="968" spans="3:12" x14ac:dyDescent="0.25">
      <c r="C968" s="7"/>
      <c r="E968" s="8"/>
      <c r="F968" s="8"/>
      <c r="G968" s="8"/>
      <c r="H968" s="8"/>
      <c r="I968" s="8"/>
      <c r="J968" s="8"/>
      <c r="K968" s="8"/>
      <c r="L968" s="8"/>
    </row>
    <row r="969" spans="3:12" x14ac:dyDescent="0.25">
      <c r="C969" s="7"/>
      <c r="E969" s="8"/>
      <c r="F969" s="8"/>
      <c r="G969" s="8"/>
      <c r="H969" s="8"/>
      <c r="I969" s="8"/>
      <c r="J969" s="8"/>
      <c r="K969" s="8"/>
      <c r="L969" s="8"/>
    </row>
    <row r="970" spans="3:12" x14ac:dyDescent="0.25">
      <c r="C970" s="7"/>
      <c r="E970" s="8"/>
      <c r="F970" s="8"/>
      <c r="G970" s="8"/>
      <c r="H970" s="8"/>
      <c r="I970" s="8"/>
      <c r="J970" s="8"/>
      <c r="K970" s="8"/>
      <c r="L970" s="8"/>
    </row>
    <row r="971" spans="3:12" x14ac:dyDescent="0.25">
      <c r="C971" s="7"/>
      <c r="E971" s="8"/>
      <c r="F971" s="8"/>
      <c r="G971" s="8"/>
      <c r="H971" s="8"/>
      <c r="I971" s="8"/>
      <c r="J971" s="8"/>
      <c r="K971" s="8"/>
      <c r="L971" s="8"/>
    </row>
    <row r="972" spans="3:12" x14ac:dyDescent="0.25">
      <c r="C972" s="7"/>
      <c r="E972" s="8"/>
      <c r="F972" s="8"/>
      <c r="G972" s="8"/>
      <c r="H972" s="8"/>
      <c r="I972" s="8"/>
      <c r="J972" s="8"/>
      <c r="K972" s="8"/>
      <c r="L972" s="8"/>
    </row>
    <row r="973" spans="3:12" x14ac:dyDescent="0.25">
      <c r="C973" s="7"/>
      <c r="E973" s="8"/>
      <c r="F973" s="8"/>
      <c r="G973" s="8"/>
      <c r="H973" s="8"/>
      <c r="I973" s="8"/>
      <c r="J973" s="8"/>
      <c r="K973" s="8"/>
      <c r="L973" s="8"/>
    </row>
    <row r="974" spans="3:12" x14ac:dyDescent="0.25">
      <c r="C974" s="7"/>
      <c r="E974" s="8"/>
      <c r="F974" s="8"/>
      <c r="G974" s="8"/>
      <c r="H974" s="8"/>
      <c r="I974" s="8"/>
      <c r="J974" s="8"/>
      <c r="K974" s="8"/>
      <c r="L974" s="8"/>
    </row>
    <row r="975" spans="3:12" x14ac:dyDescent="0.25">
      <c r="C975" s="7"/>
      <c r="E975" s="8"/>
      <c r="F975" s="8"/>
      <c r="G975" s="8"/>
      <c r="H975" s="8"/>
      <c r="I975" s="8"/>
      <c r="J975" s="8"/>
      <c r="K975" s="8"/>
      <c r="L975" s="8"/>
    </row>
    <row r="976" spans="3:12" x14ac:dyDescent="0.25">
      <c r="C976" s="7"/>
      <c r="E976" s="8"/>
      <c r="F976" s="8"/>
      <c r="G976" s="8"/>
      <c r="H976" s="8"/>
      <c r="I976" s="8"/>
      <c r="J976" s="8"/>
      <c r="K976" s="8"/>
      <c r="L976" s="8"/>
    </row>
    <row r="977" spans="3:12" x14ac:dyDescent="0.25">
      <c r="C977" s="7"/>
      <c r="E977" s="8"/>
      <c r="F977" s="8"/>
      <c r="G977" s="8"/>
      <c r="H977" s="8"/>
      <c r="I977" s="8"/>
      <c r="J977" s="8"/>
      <c r="K977" s="8"/>
      <c r="L977" s="8"/>
    </row>
    <row r="978" spans="3:12" x14ac:dyDescent="0.25">
      <c r="C978" s="7"/>
      <c r="E978" s="8"/>
      <c r="F978" s="8"/>
      <c r="G978" s="8"/>
      <c r="H978" s="8"/>
      <c r="I978" s="8"/>
      <c r="J978" s="8"/>
      <c r="K978" s="8"/>
      <c r="L978" s="8"/>
    </row>
    <row r="979" spans="3:12" x14ac:dyDescent="0.25">
      <c r="C979" s="7"/>
      <c r="E979" s="8"/>
      <c r="F979" s="8"/>
      <c r="G979" s="8"/>
      <c r="H979" s="8"/>
      <c r="I979" s="8"/>
      <c r="J979" s="8"/>
      <c r="K979" s="8"/>
      <c r="L979" s="8"/>
    </row>
    <row r="980" spans="3:12" x14ac:dyDescent="0.25">
      <c r="C980" s="7"/>
      <c r="E980" s="8"/>
      <c r="F980" s="8"/>
      <c r="G980" s="8"/>
      <c r="H980" s="8"/>
      <c r="I980" s="8"/>
      <c r="J980" s="8"/>
      <c r="K980" s="8"/>
      <c r="L980" s="8"/>
    </row>
    <row r="981" spans="3:12" x14ac:dyDescent="0.25">
      <c r="C981" s="7"/>
      <c r="E981" s="8"/>
      <c r="F981" s="8"/>
      <c r="G981" s="8"/>
      <c r="H981" s="8"/>
      <c r="I981" s="8"/>
      <c r="J981" s="8"/>
      <c r="K981" s="8"/>
      <c r="L981" s="8"/>
    </row>
    <row r="982" spans="3:12" x14ac:dyDescent="0.25">
      <c r="C982" s="7"/>
      <c r="E982" s="8"/>
      <c r="F982" s="8"/>
      <c r="G982" s="8"/>
      <c r="H982" s="8"/>
      <c r="I982" s="8"/>
      <c r="J982" s="8"/>
      <c r="K982" s="8"/>
      <c r="L982" s="8"/>
    </row>
    <row r="983" spans="3:12" x14ac:dyDescent="0.25">
      <c r="C983" s="7"/>
      <c r="E983" s="8"/>
      <c r="F983" s="8"/>
      <c r="G983" s="8"/>
      <c r="H983" s="8"/>
      <c r="I983" s="8"/>
      <c r="J983" s="8"/>
      <c r="K983" s="8"/>
      <c r="L983" s="8"/>
    </row>
    <row r="984" spans="3:12" x14ac:dyDescent="0.25">
      <c r="C984" s="7"/>
      <c r="E984" s="8"/>
      <c r="F984" s="8"/>
      <c r="G984" s="8"/>
      <c r="H984" s="8"/>
      <c r="I984" s="8"/>
      <c r="J984" s="8"/>
      <c r="K984" s="8"/>
      <c r="L984" s="8"/>
    </row>
    <row r="985" spans="3:12" x14ac:dyDescent="0.25">
      <c r="C985" s="7"/>
      <c r="E985" s="8"/>
      <c r="F985" s="8"/>
      <c r="G985" s="8"/>
      <c r="H985" s="8"/>
      <c r="I985" s="8"/>
      <c r="J985" s="8"/>
      <c r="K985" s="8"/>
      <c r="L985" s="8"/>
    </row>
    <row r="986" spans="3:12" x14ac:dyDescent="0.25">
      <c r="C986" s="7"/>
      <c r="E986" s="8"/>
      <c r="F986" s="8"/>
      <c r="G986" s="8"/>
      <c r="H986" s="8"/>
      <c r="I986" s="8"/>
      <c r="J986" s="8"/>
      <c r="K986" s="8"/>
      <c r="L986" s="8"/>
    </row>
    <row r="987" spans="3:12" x14ac:dyDescent="0.25">
      <c r="C987" s="7"/>
      <c r="E987" s="8"/>
      <c r="F987" s="8"/>
      <c r="G987" s="8"/>
      <c r="H987" s="8"/>
      <c r="I987" s="8"/>
      <c r="J987" s="8"/>
      <c r="K987" s="8"/>
      <c r="L987" s="8"/>
    </row>
    <row r="988" spans="3:12" x14ac:dyDescent="0.25">
      <c r="C988" s="7"/>
      <c r="E988" s="8"/>
      <c r="F988" s="8"/>
      <c r="G988" s="8"/>
      <c r="H988" s="8"/>
      <c r="I988" s="8"/>
      <c r="J988" s="8"/>
      <c r="K988" s="8"/>
      <c r="L988" s="8"/>
    </row>
    <row r="989" spans="3:12" x14ac:dyDescent="0.25">
      <c r="C989" s="7"/>
      <c r="E989" s="8"/>
      <c r="F989" s="8"/>
      <c r="G989" s="8"/>
      <c r="H989" s="8"/>
      <c r="I989" s="8"/>
      <c r="J989" s="8"/>
      <c r="K989" s="8"/>
      <c r="L989" s="8"/>
    </row>
    <row r="990" spans="3:12" x14ac:dyDescent="0.25">
      <c r="C990" s="7"/>
      <c r="E990" s="8"/>
      <c r="F990" s="8"/>
      <c r="G990" s="8"/>
      <c r="H990" s="8"/>
      <c r="I990" s="8"/>
      <c r="J990" s="8"/>
      <c r="K990" s="8"/>
      <c r="L990" s="8"/>
    </row>
    <row r="991" spans="3:12" x14ac:dyDescent="0.25">
      <c r="C991" s="7"/>
      <c r="E991" s="8"/>
      <c r="F991" s="8"/>
      <c r="G991" s="8"/>
      <c r="H991" s="8"/>
      <c r="I991" s="8"/>
      <c r="J991" s="8"/>
      <c r="K991" s="8"/>
      <c r="L991" s="8"/>
    </row>
    <row r="992" spans="3:12" x14ac:dyDescent="0.25">
      <c r="C992" s="7"/>
      <c r="E992" s="8"/>
      <c r="F992" s="8"/>
      <c r="G992" s="8"/>
      <c r="H992" s="8"/>
      <c r="I992" s="8"/>
      <c r="J992" s="8"/>
      <c r="K992" s="8"/>
      <c r="L992" s="8"/>
    </row>
    <row r="993" spans="3:12" x14ac:dyDescent="0.25">
      <c r="C993" s="7"/>
      <c r="E993" s="8"/>
      <c r="F993" s="8"/>
      <c r="G993" s="8"/>
      <c r="H993" s="8"/>
      <c r="I993" s="8"/>
      <c r="J993" s="8"/>
      <c r="K993" s="8"/>
      <c r="L993" s="8"/>
    </row>
    <row r="994" spans="3:12" x14ac:dyDescent="0.25">
      <c r="C994" s="7"/>
      <c r="E994" s="8"/>
      <c r="F994" s="8"/>
      <c r="G994" s="8"/>
      <c r="H994" s="8"/>
      <c r="I994" s="8"/>
      <c r="J994" s="8"/>
      <c r="K994" s="8"/>
      <c r="L994" s="8"/>
    </row>
    <row r="995" spans="3:12" x14ac:dyDescent="0.25">
      <c r="C995" s="7"/>
      <c r="E995" s="8"/>
      <c r="F995" s="8"/>
      <c r="G995" s="8"/>
      <c r="H995" s="8"/>
      <c r="I995" s="8"/>
      <c r="J995" s="8"/>
      <c r="K995" s="8"/>
      <c r="L995" s="8"/>
    </row>
    <row r="996" spans="3:12" x14ac:dyDescent="0.25">
      <c r="C996" s="7"/>
      <c r="E996" s="8"/>
      <c r="F996" s="8"/>
      <c r="G996" s="8"/>
      <c r="H996" s="8"/>
      <c r="I996" s="8"/>
      <c r="J996" s="8"/>
      <c r="K996" s="8"/>
      <c r="L996" s="8"/>
    </row>
    <row r="997" spans="3:12" x14ac:dyDescent="0.25">
      <c r="C997" s="7"/>
      <c r="E997" s="8"/>
      <c r="F997" s="8"/>
      <c r="G997" s="8"/>
      <c r="H997" s="8"/>
      <c r="I997" s="8"/>
      <c r="J997" s="8"/>
      <c r="K997" s="8"/>
      <c r="L997" s="8"/>
    </row>
    <row r="998" spans="3:12" x14ac:dyDescent="0.25">
      <c r="C998" s="7"/>
      <c r="E998" s="8"/>
      <c r="F998" s="8"/>
      <c r="G998" s="8"/>
      <c r="H998" s="8"/>
      <c r="I998" s="8"/>
      <c r="J998" s="8"/>
      <c r="K998" s="8"/>
      <c r="L998" s="8"/>
    </row>
    <row r="999" spans="3:12" x14ac:dyDescent="0.25">
      <c r="C999" s="7"/>
      <c r="E999" s="8"/>
      <c r="F999" s="8"/>
      <c r="G999" s="8"/>
      <c r="H999" s="8"/>
      <c r="I999" s="8"/>
      <c r="J999" s="8"/>
      <c r="K999" s="8"/>
      <c r="L999" s="8"/>
    </row>
    <row r="1000" spans="3:12" x14ac:dyDescent="0.25">
      <c r="C1000" s="7"/>
      <c r="E1000" s="8"/>
      <c r="F1000" s="8"/>
      <c r="G1000" s="8"/>
      <c r="H1000" s="8"/>
      <c r="I1000" s="8"/>
      <c r="J1000" s="8"/>
      <c r="K1000" s="8"/>
      <c r="L1000" s="8"/>
    </row>
    <row r="1001" spans="3:12" x14ac:dyDescent="0.25">
      <c r="C1001" s="7"/>
      <c r="E1001" s="8"/>
      <c r="F1001" s="8"/>
      <c r="G1001" s="8"/>
      <c r="H1001" s="8"/>
      <c r="I1001" s="8"/>
      <c r="J1001" s="8"/>
      <c r="K1001" s="8"/>
      <c r="L1001" s="8"/>
    </row>
    <row r="1002" spans="3:12" x14ac:dyDescent="0.25">
      <c r="C1002" s="7"/>
      <c r="E1002" s="8"/>
      <c r="F1002" s="8"/>
      <c r="G1002" s="8"/>
      <c r="H1002" s="8"/>
      <c r="I1002" s="8"/>
      <c r="J1002" s="8"/>
      <c r="K1002" s="8"/>
      <c r="L1002" s="8"/>
    </row>
    <row r="1003" spans="3:12" x14ac:dyDescent="0.25">
      <c r="C1003" s="7"/>
      <c r="E1003" s="8"/>
      <c r="F1003" s="8"/>
      <c r="G1003" s="8"/>
      <c r="H1003" s="8"/>
      <c r="I1003" s="8"/>
      <c r="J1003" s="8"/>
      <c r="K1003" s="8"/>
      <c r="L1003" s="8"/>
    </row>
    <row r="1004" spans="3:12" x14ac:dyDescent="0.25">
      <c r="C1004" s="7"/>
      <c r="E1004" s="8"/>
      <c r="F1004" s="8"/>
      <c r="G1004" s="8"/>
      <c r="H1004" s="8"/>
      <c r="I1004" s="8"/>
      <c r="J1004" s="8"/>
      <c r="K1004" s="8"/>
      <c r="L1004" s="8"/>
    </row>
    <row r="1005" spans="3:12" x14ac:dyDescent="0.25">
      <c r="C1005" s="7"/>
      <c r="E1005" s="8"/>
      <c r="F1005" s="8"/>
      <c r="G1005" s="8"/>
      <c r="H1005" s="8"/>
      <c r="I1005" s="8"/>
      <c r="J1005" s="8"/>
      <c r="K1005" s="8"/>
      <c r="L1005" s="8"/>
    </row>
    <row r="1006" spans="3:12" x14ac:dyDescent="0.25">
      <c r="C1006" s="7"/>
      <c r="E1006" s="8"/>
      <c r="F1006" s="8"/>
      <c r="G1006" s="8"/>
      <c r="H1006" s="8"/>
      <c r="I1006" s="8"/>
      <c r="J1006" s="8"/>
      <c r="K1006" s="8"/>
      <c r="L1006" s="8"/>
    </row>
    <row r="1007" spans="3:12" x14ac:dyDescent="0.25">
      <c r="C1007" s="7"/>
      <c r="E1007" s="8"/>
      <c r="F1007" s="8"/>
      <c r="G1007" s="8"/>
      <c r="H1007" s="8"/>
      <c r="I1007" s="8"/>
      <c r="J1007" s="8"/>
      <c r="K1007" s="8"/>
      <c r="L1007" s="8"/>
    </row>
    <row r="1008" spans="3:12" x14ac:dyDescent="0.25">
      <c r="C1008" s="7"/>
      <c r="E1008" s="8"/>
      <c r="F1008" s="8"/>
      <c r="G1008" s="8"/>
      <c r="H1008" s="8"/>
      <c r="I1008" s="8"/>
      <c r="J1008" s="8"/>
      <c r="K1008" s="8"/>
      <c r="L1008" s="8"/>
    </row>
    <row r="1009" spans="3:12" x14ac:dyDescent="0.25">
      <c r="C1009" s="7"/>
      <c r="E1009" s="8"/>
      <c r="F1009" s="8"/>
      <c r="G1009" s="8"/>
      <c r="H1009" s="8"/>
      <c r="I1009" s="8"/>
      <c r="J1009" s="8"/>
      <c r="K1009" s="8"/>
      <c r="L1009" s="8"/>
    </row>
    <row r="1010" spans="3:12" x14ac:dyDescent="0.25">
      <c r="C1010" s="7"/>
      <c r="E1010" s="8"/>
      <c r="F1010" s="8"/>
      <c r="G1010" s="8"/>
      <c r="H1010" s="8"/>
      <c r="I1010" s="8"/>
      <c r="J1010" s="8"/>
      <c r="K1010" s="8"/>
      <c r="L1010" s="8"/>
    </row>
    <row r="1011" spans="3:12" x14ac:dyDescent="0.25">
      <c r="C1011" s="7"/>
      <c r="E1011" s="8"/>
      <c r="F1011" s="8"/>
      <c r="G1011" s="8"/>
      <c r="H1011" s="8"/>
      <c r="I1011" s="8"/>
      <c r="J1011" s="8"/>
      <c r="K1011" s="8"/>
      <c r="L1011" s="8"/>
    </row>
    <row r="1012" spans="3:12" x14ac:dyDescent="0.25">
      <c r="C1012" s="7"/>
      <c r="E1012" s="8"/>
      <c r="F1012" s="8"/>
      <c r="G1012" s="8"/>
      <c r="H1012" s="8"/>
      <c r="I1012" s="8"/>
      <c r="J1012" s="8"/>
      <c r="K1012" s="8"/>
      <c r="L1012" s="8"/>
    </row>
    <row r="1013" spans="3:12" x14ac:dyDescent="0.25">
      <c r="C1013" s="7"/>
      <c r="E1013" s="8"/>
      <c r="F1013" s="8"/>
      <c r="G1013" s="8"/>
      <c r="H1013" s="8"/>
      <c r="I1013" s="8"/>
      <c r="J1013" s="8"/>
      <c r="K1013" s="8"/>
      <c r="L1013" s="8"/>
    </row>
    <row r="1014" spans="3:12" x14ac:dyDescent="0.25">
      <c r="C1014" s="7"/>
      <c r="E1014" s="8"/>
      <c r="F1014" s="8"/>
      <c r="G1014" s="8"/>
      <c r="H1014" s="8"/>
      <c r="I1014" s="8"/>
      <c r="J1014" s="8"/>
      <c r="K1014" s="8"/>
      <c r="L1014" s="8"/>
    </row>
    <row r="1015" spans="3:12" x14ac:dyDescent="0.25">
      <c r="C1015" s="7"/>
      <c r="E1015" s="8"/>
      <c r="F1015" s="8"/>
      <c r="G1015" s="8"/>
      <c r="H1015" s="8"/>
      <c r="I1015" s="8"/>
      <c r="J1015" s="8"/>
      <c r="K1015" s="8"/>
      <c r="L1015" s="8"/>
    </row>
    <row r="1016" spans="3:12" x14ac:dyDescent="0.25">
      <c r="C1016" s="7"/>
      <c r="E1016" s="8"/>
      <c r="F1016" s="8"/>
      <c r="G1016" s="8"/>
      <c r="H1016" s="8"/>
      <c r="I1016" s="8"/>
      <c r="J1016" s="8"/>
      <c r="K1016" s="8"/>
      <c r="L1016" s="8"/>
    </row>
    <row r="1017" spans="3:12" x14ac:dyDescent="0.25">
      <c r="C1017" s="7"/>
      <c r="E1017" s="8"/>
      <c r="F1017" s="8"/>
      <c r="G1017" s="8"/>
      <c r="H1017" s="8"/>
      <c r="I1017" s="8"/>
      <c r="J1017" s="8"/>
      <c r="K1017" s="8"/>
      <c r="L1017" s="8"/>
    </row>
    <row r="1018" spans="3:12" x14ac:dyDescent="0.25">
      <c r="C1018" s="7"/>
      <c r="E1018" s="8"/>
      <c r="F1018" s="8"/>
      <c r="G1018" s="8"/>
      <c r="H1018" s="8"/>
      <c r="I1018" s="8"/>
      <c r="J1018" s="8"/>
      <c r="K1018" s="8"/>
      <c r="L1018" s="8"/>
    </row>
    <row r="1019" spans="3:12" x14ac:dyDescent="0.25">
      <c r="C1019" s="7"/>
      <c r="E1019" s="8"/>
      <c r="F1019" s="8"/>
      <c r="G1019" s="8"/>
      <c r="H1019" s="8"/>
      <c r="I1019" s="8"/>
      <c r="J1019" s="8"/>
      <c r="K1019" s="8"/>
      <c r="L1019" s="8"/>
    </row>
    <row r="1020" spans="3:12" x14ac:dyDescent="0.25">
      <c r="C1020" s="7"/>
      <c r="E1020" s="8"/>
      <c r="F1020" s="8"/>
      <c r="G1020" s="8"/>
      <c r="H1020" s="8"/>
      <c r="I1020" s="8"/>
      <c r="J1020" s="8"/>
      <c r="K1020" s="8"/>
      <c r="L1020" s="8"/>
    </row>
    <row r="1021" spans="3:12" x14ac:dyDescent="0.25">
      <c r="C1021" s="7"/>
      <c r="E1021" s="8"/>
      <c r="F1021" s="8"/>
      <c r="G1021" s="8"/>
      <c r="H1021" s="8"/>
      <c r="I1021" s="8"/>
      <c r="J1021" s="8"/>
      <c r="K1021" s="8"/>
      <c r="L1021" s="8"/>
    </row>
    <row r="1022" spans="3:12" x14ac:dyDescent="0.25">
      <c r="C1022" s="7"/>
      <c r="E1022" s="8"/>
      <c r="F1022" s="8"/>
      <c r="G1022" s="8"/>
      <c r="H1022" s="8"/>
      <c r="I1022" s="8"/>
      <c r="J1022" s="8"/>
      <c r="K1022" s="8"/>
      <c r="L1022" s="8"/>
    </row>
    <row r="1023" spans="3:12" x14ac:dyDescent="0.25">
      <c r="C1023" s="7"/>
      <c r="E1023" s="8"/>
      <c r="F1023" s="8"/>
      <c r="G1023" s="8"/>
      <c r="H1023" s="8"/>
      <c r="I1023" s="8"/>
      <c r="J1023" s="8"/>
      <c r="K1023" s="8"/>
      <c r="L1023" s="8"/>
    </row>
    <row r="1024" spans="3:12" x14ac:dyDescent="0.25">
      <c r="C1024" s="7"/>
      <c r="E1024" s="8"/>
      <c r="F1024" s="8"/>
      <c r="G1024" s="8"/>
      <c r="H1024" s="8"/>
      <c r="I1024" s="8"/>
      <c r="J1024" s="8"/>
      <c r="K1024" s="8"/>
      <c r="L1024" s="8"/>
    </row>
    <row r="1025" spans="3:12" x14ac:dyDescent="0.25">
      <c r="C1025" s="7"/>
      <c r="E1025" s="8"/>
      <c r="F1025" s="8"/>
      <c r="G1025" s="8"/>
      <c r="H1025" s="8"/>
      <c r="I1025" s="8"/>
      <c r="J1025" s="8"/>
      <c r="K1025" s="8"/>
      <c r="L1025" s="8"/>
    </row>
    <row r="1026" spans="3:12" x14ac:dyDescent="0.25">
      <c r="C1026" s="7"/>
      <c r="E1026" s="8"/>
      <c r="F1026" s="8"/>
      <c r="G1026" s="8"/>
      <c r="H1026" s="8"/>
      <c r="I1026" s="8"/>
      <c r="J1026" s="8"/>
      <c r="K1026" s="8"/>
      <c r="L1026" s="8"/>
    </row>
    <row r="1027" spans="3:12" x14ac:dyDescent="0.25">
      <c r="C1027" s="7"/>
      <c r="E1027" s="8"/>
      <c r="F1027" s="8"/>
      <c r="G1027" s="8"/>
      <c r="H1027" s="8"/>
      <c r="I1027" s="8"/>
      <c r="J1027" s="8"/>
      <c r="K1027" s="8"/>
      <c r="L1027" s="8"/>
    </row>
    <row r="1028" spans="3:12" x14ac:dyDescent="0.25">
      <c r="C1028" s="7"/>
      <c r="E1028" s="8"/>
      <c r="F1028" s="8"/>
      <c r="G1028" s="8"/>
      <c r="H1028" s="8"/>
      <c r="I1028" s="8"/>
      <c r="J1028" s="8"/>
      <c r="K1028" s="8"/>
      <c r="L1028" s="8"/>
    </row>
    <row r="1029" spans="3:12" x14ac:dyDescent="0.25">
      <c r="C1029" s="7"/>
      <c r="E1029" s="8"/>
      <c r="F1029" s="8"/>
      <c r="G1029" s="8"/>
      <c r="H1029" s="8"/>
      <c r="I1029" s="8"/>
      <c r="J1029" s="8"/>
      <c r="K1029" s="8"/>
      <c r="L1029" s="8"/>
    </row>
    <row r="1030" spans="3:12" x14ac:dyDescent="0.25">
      <c r="C1030" s="7"/>
      <c r="E1030" s="8"/>
      <c r="F1030" s="8"/>
      <c r="G1030" s="8"/>
      <c r="H1030" s="8"/>
      <c r="I1030" s="8"/>
      <c r="J1030" s="8"/>
      <c r="K1030" s="8"/>
      <c r="L1030" s="8"/>
    </row>
    <row r="1031" spans="3:12" x14ac:dyDescent="0.25">
      <c r="C1031" s="7"/>
      <c r="E1031" s="8"/>
      <c r="F1031" s="8"/>
      <c r="G1031" s="8"/>
      <c r="H1031" s="8"/>
      <c r="I1031" s="8"/>
      <c r="J1031" s="8"/>
      <c r="K1031" s="8"/>
      <c r="L1031" s="8"/>
    </row>
    <row r="1032" spans="3:12" x14ac:dyDescent="0.25">
      <c r="C1032" s="7"/>
      <c r="E1032" s="8"/>
      <c r="F1032" s="8"/>
      <c r="G1032" s="8"/>
      <c r="H1032" s="8"/>
      <c r="I1032" s="8"/>
      <c r="J1032" s="8"/>
      <c r="K1032" s="8"/>
      <c r="L1032" s="8"/>
    </row>
    <row r="1033" spans="3:12" x14ac:dyDescent="0.25">
      <c r="C1033" s="7"/>
      <c r="E1033" s="8"/>
      <c r="F1033" s="8"/>
      <c r="G1033" s="8"/>
      <c r="H1033" s="8"/>
      <c r="I1033" s="8"/>
      <c r="J1033" s="8"/>
      <c r="K1033" s="8"/>
      <c r="L1033" s="8"/>
    </row>
    <row r="1034" spans="3:12" x14ac:dyDescent="0.25">
      <c r="C1034" s="7"/>
      <c r="E1034" s="8"/>
      <c r="F1034" s="8"/>
      <c r="G1034" s="8"/>
      <c r="H1034" s="8"/>
      <c r="I1034" s="8"/>
      <c r="J1034" s="8"/>
      <c r="K1034" s="8"/>
      <c r="L1034" s="8"/>
    </row>
    <row r="1035" spans="3:12" x14ac:dyDescent="0.25">
      <c r="C1035" s="7"/>
      <c r="E1035" s="8"/>
      <c r="F1035" s="8"/>
      <c r="G1035" s="8"/>
      <c r="H1035" s="8"/>
      <c r="I1035" s="8"/>
      <c r="J1035" s="8"/>
      <c r="K1035" s="8"/>
      <c r="L1035" s="8"/>
    </row>
    <row r="1036" spans="3:12" x14ac:dyDescent="0.25">
      <c r="C1036" s="7"/>
      <c r="E1036" s="8"/>
      <c r="F1036" s="8"/>
      <c r="G1036" s="8"/>
      <c r="H1036" s="8"/>
      <c r="I1036" s="8"/>
      <c r="J1036" s="8"/>
      <c r="K1036" s="8"/>
      <c r="L1036" s="8"/>
    </row>
    <row r="1037" spans="3:12" x14ac:dyDescent="0.25">
      <c r="C1037" s="7"/>
      <c r="E1037" s="8"/>
      <c r="F1037" s="8"/>
      <c r="G1037" s="8"/>
      <c r="H1037" s="8"/>
      <c r="I1037" s="8"/>
      <c r="J1037" s="8"/>
      <c r="K1037" s="8"/>
      <c r="L1037" s="8"/>
    </row>
    <row r="1038" spans="3:12" x14ac:dyDescent="0.25">
      <c r="C1038" s="7"/>
      <c r="E1038" s="8"/>
      <c r="F1038" s="8"/>
      <c r="G1038" s="8"/>
      <c r="H1038" s="8"/>
      <c r="I1038" s="8"/>
      <c r="J1038" s="8"/>
      <c r="K1038" s="8"/>
      <c r="L1038" s="8"/>
    </row>
    <row r="1039" spans="3:12" x14ac:dyDescent="0.25">
      <c r="C1039" s="7"/>
      <c r="E1039" s="8"/>
      <c r="F1039" s="8"/>
      <c r="G1039" s="8"/>
      <c r="H1039" s="8"/>
      <c r="I1039" s="8"/>
      <c r="J1039" s="8"/>
      <c r="K1039" s="8"/>
      <c r="L1039" s="8"/>
    </row>
    <row r="1040" spans="3:12" x14ac:dyDescent="0.25">
      <c r="C1040" s="7"/>
      <c r="E1040" s="8"/>
      <c r="F1040" s="8"/>
      <c r="G1040" s="8"/>
      <c r="H1040" s="8"/>
      <c r="I1040" s="8"/>
      <c r="J1040" s="8"/>
      <c r="K1040" s="8"/>
      <c r="L1040" s="8"/>
    </row>
    <row r="1041" spans="3:12" x14ac:dyDescent="0.25">
      <c r="C1041" s="7"/>
      <c r="E1041" s="8"/>
      <c r="F1041" s="8"/>
      <c r="G1041" s="8"/>
      <c r="H1041" s="8"/>
      <c r="I1041" s="8"/>
      <c r="J1041" s="8"/>
      <c r="K1041" s="8"/>
      <c r="L1041" s="8"/>
    </row>
    <row r="1042" spans="3:12" x14ac:dyDescent="0.25">
      <c r="C1042" s="7"/>
      <c r="E1042" s="8"/>
      <c r="F1042" s="8"/>
      <c r="G1042" s="8"/>
      <c r="H1042" s="8"/>
      <c r="I1042" s="8"/>
      <c r="J1042" s="8"/>
      <c r="K1042" s="8"/>
      <c r="L1042" s="8"/>
    </row>
    <row r="1043" spans="3:12" x14ac:dyDescent="0.25">
      <c r="C1043" s="7"/>
      <c r="E1043" s="8"/>
      <c r="F1043" s="8"/>
      <c r="G1043" s="8"/>
      <c r="H1043" s="8"/>
      <c r="I1043" s="8"/>
      <c r="J1043" s="8"/>
      <c r="K1043" s="8"/>
      <c r="L1043" s="8"/>
    </row>
    <row r="1044" spans="3:12" x14ac:dyDescent="0.25">
      <c r="C1044" s="7"/>
      <c r="E1044" s="8"/>
      <c r="F1044" s="8"/>
      <c r="G1044" s="8"/>
      <c r="H1044" s="8"/>
      <c r="I1044" s="8"/>
      <c r="J1044" s="8"/>
      <c r="K1044" s="8"/>
      <c r="L1044" s="8"/>
    </row>
    <row r="1045" spans="3:12" x14ac:dyDescent="0.25">
      <c r="C1045" s="7"/>
      <c r="E1045" s="8"/>
      <c r="F1045" s="8"/>
      <c r="G1045" s="8"/>
      <c r="H1045" s="8"/>
      <c r="I1045" s="8"/>
      <c r="J1045" s="8"/>
      <c r="K1045" s="8"/>
      <c r="L1045" s="8"/>
    </row>
    <row r="1046" spans="3:12" x14ac:dyDescent="0.25">
      <c r="C1046" s="7"/>
      <c r="E1046" s="8"/>
      <c r="F1046" s="8"/>
      <c r="G1046" s="8"/>
      <c r="H1046" s="8"/>
      <c r="I1046" s="8"/>
      <c r="J1046" s="8"/>
      <c r="K1046" s="8"/>
      <c r="L1046" s="8"/>
    </row>
    <row r="1047" spans="3:12" x14ac:dyDescent="0.25">
      <c r="C1047" s="7"/>
      <c r="E1047" s="8"/>
      <c r="F1047" s="8"/>
      <c r="G1047" s="8"/>
      <c r="H1047" s="8"/>
      <c r="I1047" s="8"/>
      <c r="J1047" s="8"/>
      <c r="K1047" s="8"/>
      <c r="L1047" s="8"/>
    </row>
    <row r="1048" spans="3:12" x14ac:dyDescent="0.25">
      <c r="C1048" s="7"/>
      <c r="E1048" s="8"/>
      <c r="F1048" s="8"/>
      <c r="G1048" s="8"/>
      <c r="H1048" s="8"/>
      <c r="I1048" s="8"/>
      <c r="J1048" s="8"/>
      <c r="K1048" s="8"/>
      <c r="L1048" s="8"/>
    </row>
    <row r="1049" spans="3:12" x14ac:dyDescent="0.25">
      <c r="C1049" s="7"/>
      <c r="E1049" s="8"/>
      <c r="F1049" s="8"/>
      <c r="G1049" s="8"/>
      <c r="H1049" s="8"/>
      <c r="I1049" s="8"/>
      <c r="J1049" s="8"/>
      <c r="K1049" s="8"/>
      <c r="L1049" s="8"/>
    </row>
    <row r="1050" spans="3:12" x14ac:dyDescent="0.25">
      <c r="C1050" s="7"/>
      <c r="E1050" s="8"/>
      <c r="F1050" s="8"/>
      <c r="G1050" s="8"/>
      <c r="H1050" s="8"/>
      <c r="I1050" s="8"/>
      <c r="J1050" s="8"/>
      <c r="K1050" s="8"/>
      <c r="L1050" s="8"/>
    </row>
    <row r="1051" spans="3:12" x14ac:dyDescent="0.25">
      <c r="C1051" s="7"/>
      <c r="E1051" s="8"/>
      <c r="F1051" s="8"/>
      <c r="G1051" s="8"/>
      <c r="H1051" s="8"/>
      <c r="I1051" s="8"/>
      <c r="J1051" s="8"/>
      <c r="K1051" s="8"/>
      <c r="L1051" s="8"/>
    </row>
    <row r="1052" spans="3:12" x14ac:dyDescent="0.25">
      <c r="C1052" s="7"/>
      <c r="E1052" s="8"/>
      <c r="F1052" s="8"/>
      <c r="G1052" s="8"/>
      <c r="H1052" s="8"/>
      <c r="I1052" s="8"/>
      <c r="J1052" s="8"/>
      <c r="K1052" s="8"/>
      <c r="L1052" s="8"/>
    </row>
    <row r="1053" spans="3:12" x14ac:dyDescent="0.25">
      <c r="C1053" s="7"/>
      <c r="E1053" s="8"/>
      <c r="F1053" s="8"/>
      <c r="G1053" s="8"/>
      <c r="H1053" s="8"/>
      <c r="I1053" s="8"/>
      <c r="J1053" s="8"/>
      <c r="K1053" s="8"/>
      <c r="L1053" s="8"/>
    </row>
    <row r="1054" spans="3:12" x14ac:dyDescent="0.25">
      <c r="C1054" s="7"/>
      <c r="E1054" s="8"/>
      <c r="F1054" s="8"/>
      <c r="G1054" s="8"/>
      <c r="H1054" s="8"/>
      <c r="I1054" s="8"/>
      <c r="J1054" s="8"/>
      <c r="K1054" s="8"/>
      <c r="L1054" s="8"/>
    </row>
    <row r="1055" spans="3:12" x14ac:dyDescent="0.25">
      <c r="C1055" s="7"/>
      <c r="E1055" s="8"/>
      <c r="F1055" s="8"/>
      <c r="G1055" s="8"/>
      <c r="H1055" s="8"/>
      <c r="I1055" s="8"/>
      <c r="J1055" s="8"/>
      <c r="K1055" s="8"/>
      <c r="L1055" s="8"/>
    </row>
    <row r="1056" spans="3:12" x14ac:dyDescent="0.25">
      <c r="C1056" s="7"/>
      <c r="E1056" s="8"/>
      <c r="F1056" s="8"/>
      <c r="G1056" s="8"/>
      <c r="H1056" s="8"/>
      <c r="I1056" s="8"/>
      <c r="J1056" s="8"/>
      <c r="K1056" s="8"/>
      <c r="L1056" s="8"/>
    </row>
    <row r="1057" spans="3:12" x14ac:dyDescent="0.25">
      <c r="C1057" s="7"/>
      <c r="E1057" s="8"/>
      <c r="F1057" s="8"/>
      <c r="G1057" s="8"/>
      <c r="H1057" s="8"/>
      <c r="I1057" s="8"/>
      <c r="J1057" s="8"/>
      <c r="K1057" s="8"/>
      <c r="L1057" s="8"/>
    </row>
    <row r="1058" spans="3:12" x14ac:dyDescent="0.25">
      <c r="C1058" s="7"/>
      <c r="E1058" s="8"/>
      <c r="F1058" s="8"/>
      <c r="G1058" s="8"/>
      <c r="H1058" s="8"/>
      <c r="I1058" s="8"/>
      <c r="J1058" s="8"/>
      <c r="K1058" s="8"/>
      <c r="L1058" s="8"/>
    </row>
    <row r="1059" spans="3:12" x14ac:dyDescent="0.25">
      <c r="C1059" s="7"/>
      <c r="E1059" s="8"/>
      <c r="F1059" s="8"/>
      <c r="G1059" s="8"/>
      <c r="H1059" s="8"/>
      <c r="I1059" s="8"/>
      <c r="J1059" s="8"/>
      <c r="K1059" s="8"/>
      <c r="L1059" s="8"/>
    </row>
    <row r="1060" spans="3:12" x14ac:dyDescent="0.25">
      <c r="C1060" s="7"/>
      <c r="E1060" s="8"/>
      <c r="F1060" s="8"/>
      <c r="G1060" s="8"/>
      <c r="H1060" s="8"/>
      <c r="I1060" s="8"/>
      <c r="J1060" s="8"/>
      <c r="K1060" s="8"/>
      <c r="L1060" s="8"/>
    </row>
    <row r="1061" spans="3:12" x14ac:dyDescent="0.25">
      <c r="C1061" s="7"/>
      <c r="E1061" s="8"/>
      <c r="F1061" s="8"/>
      <c r="G1061" s="8"/>
      <c r="H1061" s="8"/>
      <c r="I1061" s="8"/>
      <c r="J1061" s="8"/>
      <c r="K1061" s="8"/>
      <c r="L1061" s="8"/>
    </row>
    <row r="1062" spans="3:12" x14ac:dyDescent="0.25">
      <c r="C1062" s="7"/>
      <c r="E1062" s="8"/>
      <c r="F1062" s="8"/>
      <c r="G1062" s="8"/>
      <c r="H1062" s="8"/>
      <c r="I1062" s="8"/>
      <c r="J1062" s="8"/>
      <c r="K1062" s="8"/>
      <c r="L1062" s="8"/>
    </row>
    <row r="1063" spans="3:12" x14ac:dyDescent="0.25">
      <c r="C1063" s="7"/>
      <c r="E1063" s="8"/>
      <c r="F1063" s="8"/>
      <c r="G1063" s="8"/>
      <c r="H1063" s="8"/>
      <c r="I1063" s="8"/>
      <c r="J1063" s="8"/>
      <c r="K1063" s="8"/>
      <c r="L1063" s="8"/>
    </row>
    <row r="1064" spans="3:12" x14ac:dyDescent="0.25">
      <c r="C1064" s="7"/>
      <c r="E1064" s="8"/>
      <c r="F1064" s="8"/>
      <c r="G1064" s="8"/>
      <c r="H1064" s="8"/>
      <c r="I1064" s="8"/>
      <c r="J1064" s="8"/>
      <c r="K1064" s="8"/>
      <c r="L1064" s="8"/>
    </row>
    <row r="1065" spans="3:12" x14ac:dyDescent="0.25">
      <c r="C1065" s="7"/>
      <c r="E1065" s="8"/>
      <c r="F1065" s="8"/>
      <c r="G1065" s="8"/>
      <c r="H1065" s="8"/>
      <c r="I1065" s="8"/>
      <c r="J1065" s="8"/>
      <c r="K1065" s="8"/>
      <c r="L1065" s="8"/>
    </row>
    <row r="1066" spans="3:12" x14ac:dyDescent="0.25">
      <c r="C1066" s="7"/>
      <c r="E1066" s="8"/>
      <c r="F1066" s="8"/>
      <c r="G1066" s="8"/>
      <c r="H1066" s="8"/>
      <c r="I1066" s="8"/>
      <c r="J1066" s="8"/>
      <c r="K1066" s="8"/>
      <c r="L1066" s="8"/>
    </row>
    <row r="1067" spans="3:12" x14ac:dyDescent="0.25">
      <c r="C1067" s="7"/>
      <c r="E1067" s="8"/>
      <c r="F1067" s="8"/>
      <c r="G1067" s="8"/>
      <c r="H1067" s="8"/>
      <c r="I1067" s="8"/>
      <c r="J1067" s="8"/>
      <c r="K1067" s="8"/>
      <c r="L1067" s="8"/>
    </row>
    <row r="1068" spans="3:12" x14ac:dyDescent="0.25">
      <c r="C1068" s="7"/>
      <c r="E1068" s="8"/>
      <c r="F1068" s="8"/>
      <c r="G1068" s="8"/>
      <c r="H1068" s="8"/>
      <c r="I1068" s="8"/>
      <c r="J1068" s="8"/>
      <c r="K1068" s="8"/>
      <c r="L1068" s="8"/>
    </row>
    <row r="1069" spans="3:12" x14ac:dyDescent="0.25">
      <c r="C1069" s="7"/>
      <c r="E1069" s="8"/>
      <c r="F1069" s="8"/>
      <c r="G1069" s="8"/>
      <c r="H1069" s="8"/>
      <c r="I1069" s="8"/>
      <c r="J1069" s="8"/>
      <c r="K1069" s="8"/>
      <c r="L1069" s="8"/>
    </row>
    <row r="1070" spans="3:12" x14ac:dyDescent="0.25">
      <c r="C1070" s="7"/>
      <c r="E1070" s="8"/>
      <c r="F1070" s="8"/>
      <c r="G1070" s="8"/>
      <c r="H1070" s="8"/>
      <c r="I1070" s="8"/>
      <c r="J1070" s="8"/>
      <c r="K1070" s="8"/>
      <c r="L1070" s="8"/>
    </row>
    <row r="1071" spans="3:12" x14ac:dyDescent="0.25">
      <c r="C1071" s="7"/>
      <c r="E1071" s="8"/>
      <c r="F1071" s="8"/>
      <c r="G1071" s="8"/>
      <c r="H1071" s="8"/>
      <c r="I1071" s="8"/>
      <c r="J1071" s="8"/>
      <c r="K1071" s="8"/>
      <c r="L1071" s="8"/>
    </row>
    <row r="1072" spans="3:12" x14ac:dyDescent="0.25">
      <c r="C1072" s="7"/>
      <c r="E1072" s="8"/>
      <c r="F1072" s="8"/>
      <c r="G1072" s="8"/>
      <c r="H1072" s="8"/>
      <c r="I1072" s="8"/>
      <c r="J1072" s="8"/>
      <c r="K1072" s="8"/>
      <c r="L1072" s="8"/>
    </row>
    <row r="1073" spans="3:12" x14ac:dyDescent="0.25">
      <c r="C1073" s="7"/>
      <c r="E1073" s="8"/>
      <c r="F1073" s="8"/>
      <c r="G1073" s="8"/>
      <c r="H1073" s="8"/>
      <c r="I1073" s="8"/>
      <c r="J1073" s="8"/>
      <c r="K1073" s="8"/>
      <c r="L1073" s="8"/>
    </row>
    <row r="1074" spans="3:12" x14ac:dyDescent="0.25">
      <c r="C1074" s="7"/>
      <c r="E1074" s="8"/>
      <c r="F1074" s="8"/>
      <c r="G1074" s="8"/>
      <c r="H1074" s="8"/>
      <c r="I1074" s="8"/>
      <c r="J1074" s="8"/>
      <c r="K1074" s="8"/>
      <c r="L1074" s="8"/>
    </row>
    <row r="1075" spans="3:12" x14ac:dyDescent="0.25">
      <c r="C1075" s="7"/>
      <c r="E1075" s="8"/>
      <c r="F1075" s="8"/>
      <c r="G1075" s="8"/>
      <c r="H1075" s="8"/>
      <c r="I1075" s="8"/>
      <c r="J1075" s="8"/>
      <c r="K1075" s="8"/>
      <c r="L1075" s="8"/>
    </row>
    <row r="1076" spans="3:12" x14ac:dyDescent="0.25">
      <c r="C1076" s="7"/>
      <c r="E1076" s="8"/>
      <c r="F1076" s="8"/>
      <c r="G1076" s="8"/>
      <c r="H1076" s="8"/>
      <c r="I1076" s="8"/>
      <c r="J1076" s="8"/>
      <c r="K1076" s="8"/>
      <c r="L1076" s="8"/>
    </row>
    <row r="1077" spans="3:12" x14ac:dyDescent="0.25">
      <c r="C1077" s="7"/>
      <c r="E1077" s="8"/>
      <c r="F1077" s="8"/>
      <c r="G1077" s="8"/>
      <c r="H1077" s="8"/>
      <c r="I1077" s="8"/>
      <c r="J1077" s="8"/>
      <c r="K1077" s="8"/>
      <c r="L1077" s="8"/>
    </row>
    <row r="1078" spans="3:12" x14ac:dyDescent="0.25">
      <c r="C1078" s="7"/>
      <c r="E1078" s="8"/>
      <c r="F1078" s="8"/>
      <c r="G1078" s="8"/>
      <c r="H1078" s="8"/>
      <c r="I1078" s="8"/>
      <c r="J1078" s="8"/>
      <c r="K1078" s="8"/>
      <c r="L1078" s="8"/>
    </row>
    <row r="1079" spans="3:12" x14ac:dyDescent="0.25">
      <c r="C1079" s="7"/>
      <c r="E1079" s="8"/>
      <c r="F1079" s="8"/>
      <c r="G1079" s="8"/>
      <c r="H1079" s="8"/>
      <c r="I1079" s="8"/>
      <c r="J1079" s="8"/>
      <c r="K1079" s="8"/>
      <c r="L1079" s="8"/>
    </row>
    <row r="1080" spans="3:12" x14ac:dyDescent="0.25">
      <c r="C1080" s="7"/>
      <c r="E1080" s="8"/>
      <c r="F1080" s="8"/>
      <c r="G1080" s="8"/>
      <c r="H1080" s="8"/>
      <c r="I1080" s="8"/>
      <c r="J1080" s="8"/>
      <c r="K1080" s="8"/>
      <c r="L1080" s="8"/>
    </row>
    <row r="1081" spans="3:12" x14ac:dyDescent="0.25">
      <c r="C1081" s="7"/>
      <c r="E1081" s="8"/>
      <c r="F1081" s="8"/>
      <c r="G1081" s="8"/>
      <c r="H1081" s="8"/>
      <c r="I1081" s="8"/>
      <c r="J1081" s="8"/>
      <c r="K1081" s="8"/>
      <c r="L1081" s="8"/>
    </row>
    <row r="1082" spans="3:12" x14ac:dyDescent="0.25">
      <c r="C1082" s="7"/>
      <c r="E1082" s="8"/>
      <c r="F1082" s="8"/>
      <c r="G1082" s="8"/>
      <c r="H1082" s="8"/>
      <c r="I1082" s="8"/>
      <c r="J1082" s="8"/>
      <c r="K1082" s="8"/>
      <c r="L1082" s="8"/>
    </row>
    <row r="1083" spans="3:12" x14ac:dyDescent="0.25">
      <c r="C1083" s="7"/>
      <c r="E1083" s="8"/>
      <c r="F1083" s="8"/>
      <c r="G1083" s="8"/>
      <c r="H1083" s="8"/>
      <c r="I1083" s="8"/>
      <c r="J1083" s="8"/>
      <c r="K1083" s="8"/>
      <c r="L1083" s="8"/>
    </row>
    <row r="1084" spans="3:12" x14ac:dyDescent="0.25">
      <c r="C1084" s="7"/>
      <c r="E1084" s="8"/>
      <c r="F1084" s="8"/>
      <c r="G1084" s="8"/>
      <c r="H1084" s="8"/>
      <c r="I1084" s="8"/>
      <c r="J1084" s="8"/>
      <c r="K1084" s="8"/>
      <c r="L1084" s="8"/>
    </row>
    <row r="1085" spans="3:12" x14ac:dyDescent="0.25">
      <c r="C1085" s="7"/>
      <c r="E1085" s="8"/>
      <c r="F1085" s="8"/>
      <c r="G1085" s="8"/>
      <c r="H1085" s="8"/>
      <c r="I1085" s="8"/>
      <c r="J1085" s="8"/>
      <c r="K1085" s="8"/>
      <c r="L1085" s="8"/>
    </row>
    <row r="1086" spans="3:12" x14ac:dyDescent="0.25">
      <c r="C1086" s="7"/>
      <c r="E1086" s="8"/>
      <c r="F1086" s="8"/>
      <c r="G1086" s="8"/>
      <c r="H1086" s="8"/>
      <c r="I1086" s="8"/>
      <c r="J1086" s="8"/>
      <c r="K1086" s="8"/>
      <c r="L1086" s="8"/>
    </row>
    <row r="1087" spans="3:12" x14ac:dyDescent="0.25">
      <c r="C1087" s="7"/>
      <c r="E1087" s="8"/>
      <c r="F1087" s="8"/>
      <c r="G1087" s="8"/>
      <c r="H1087" s="8"/>
      <c r="I1087" s="8"/>
      <c r="J1087" s="8"/>
      <c r="K1087" s="8"/>
      <c r="L1087" s="8"/>
    </row>
    <row r="1088" spans="3:12" x14ac:dyDescent="0.25">
      <c r="C1088" s="7"/>
      <c r="E1088" s="8"/>
      <c r="F1088" s="8"/>
      <c r="G1088" s="8"/>
      <c r="H1088" s="8"/>
      <c r="I1088" s="8"/>
      <c r="J1088" s="8"/>
      <c r="K1088" s="8"/>
      <c r="L1088" s="8"/>
    </row>
    <row r="1089" spans="3:12" x14ac:dyDescent="0.25">
      <c r="C1089" s="7"/>
      <c r="E1089" s="8"/>
      <c r="F1089" s="8"/>
      <c r="G1089" s="8"/>
      <c r="H1089" s="8"/>
      <c r="I1089" s="8"/>
      <c r="J1089" s="8"/>
      <c r="K1089" s="8"/>
      <c r="L1089" s="8"/>
    </row>
    <row r="1090" spans="3:12" x14ac:dyDescent="0.25">
      <c r="C1090" s="7"/>
      <c r="E1090" s="8"/>
      <c r="F1090" s="8"/>
      <c r="G1090" s="8"/>
      <c r="H1090" s="8"/>
      <c r="I1090" s="8"/>
      <c r="J1090" s="8"/>
      <c r="K1090" s="8"/>
      <c r="L1090" s="8"/>
    </row>
    <row r="1091" spans="3:12" x14ac:dyDescent="0.25">
      <c r="C1091" s="7"/>
      <c r="E1091" s="8"/>
      <c r="F1091" s="8"/>
      <c r="G1091" s="8"/>
      <c r="H1091" s="8"/>
      <c r="I1091" s="8"/>
      <c r="J1091" s="8"/>
      <c r="K1091" s="8"/>
      <c r="L1091" s="8"/>
    </row>
    <row r="1092" spans="3:12" x14ac:dyDescent="0.25">
      <c r="C1092" s="7"/>
      <c r="E1092" s="8"/>
      <c r="F1092" s="8"/>
      <c r="G1092" s="8"/>
      <c r="H1092" s="8"/>
      <c r="I1092" s="8"/>
      <c r="J1092" s="8"/>
      <c r="K1092" s="8"/>
      <c r="L1092" s="8"/>
    </row>
    <row r="1093" spans="3:12" x14ac:dyDescent="0.25">
      <c r="C1093" s="7"/>
      <c r="E1093" s="8"/>
      <c r="F1093" s="8"/>
      <c r="G1093" s="8"/>
      <c r="H1093" s="8"/>
      <c r="I1093" s="8"/>
      <c r="J1093" s="8"/>
      <c r="K1093" s="8"/>
      <c r="L1093" s="8"/>
    </row>
    <row r="1094" spans="3:12" x14ac:dyDescent="0.25">
      <c r="C1094" s="7"/>
      <c r="E1094" s="8"/>
      <c r="F1094" s="8"/>
      <c r="G1094" s="8"/>
      <c r="H1094" s="8"/>
      <c r="I1094" s="8"/>
      <c r="J1094" s="8"/>
      <c r="K1094" s="8"/>
      <c r="L1094" s="8"/>
    </row>
    <row r="1095" spans="3:12" x14ac:dyDescent="0.25">
      <c r="C1095" s="7"/>
      <c r="E1095" s="8"/>
      <c r="F1095" s="8"/>
      <c r="G1095" s="8"/>
      <c r="H1095" s="8"/>
      <c r="I1095" s="8"/>
      <c r="J1095" s="8"/>
      <c r="K1095" s="8"/>
      <c r="L1095" s="8"/>
    </row>
    <row r="1096" spans="3:12" x14ac:dyDescent="0.25">
      <c r="C1096" s="7"/>
      <c r="E1096" s="8"/>
      <c r="F1096" s="8"/>
      <c r="G1096" s="8"/>
      <c r="H1096" s="8"/>
      <c r="I1096" s="8"/>
      <c r="J1096" s="8"/>
      <c r="K1096" s="8"/>
      <c r="L1096" s="8"/>
    </row>
    <row r="1097" spans="3:12" x14ac:dyDescent="0.25">
      <c r="C1097" s="7"/>
      <c r="E1097" s="8"/>
      <c r="F1097" s="8"/>
      <c r="G1097" s="8"/>
      <c r="H1097" s="8"/>
      <c r="I1097" s="8"/>
      <c r="J1097" s="8"/>
      <c r="K1097" s="8"/>
      <c r="L1097" s="8"/>
    </row>
    <row r="1098" spans="3:12" x14ac:dyDescent="0.25">
      <c r="C1098" s="7"/>
      <c r="E1098" s="8"/>
      <c r="F1098" s="8"/>
      <c r="G1098" s="8"/>
      <c r="H1098" s="8"/>
      <c r="I1098" s="8"/>
      <c r="J1098" s="8"/>
      <c r="K1098" s="8"/>
      <c r="L1098" s="8"/>
    </row>
    <row r="1099" spans="3:12" x14ac:dyDescent="0.25">
      <c r="C1099" s="7"/>
      <c r="E1099" s="8"/>
      <c r="F1099" s="8"/>
      <c r="G1099" s="8"/>
      <c r="H1099" s="8"/>
      <c r="I1099" s="8"/>
      <c r="J1099" s="8"/>
      <c r="K1099" s="8"/>
      <c r="L1099" s="8"/>
    </row>
    <row r="1100" spans="3:12" x14ac:dyDescent="0.25">
      <c r="C1100" s="7"/>
      <c r="E1100" s="8"/>
      <c r="F1100" s="8"/>
      <c r="G1100" s="8"/>
      <c r="H1100" s="8"/>
      <c r="I1100" s="8"/>
      <c r="J1100" s="8"/>
      <c r="K1100" s="8"/>
      <c r="L1100" s="8"/>
    </row>
    <row r="1101" spans="3:12" x14ac:dyDescent="0.25">
      <c r="C1101" s="7"/>
      <c r="E1101" s="8"/>
      <c r="F1101" s="8"/>
      <c r="G1101" s="8"/>
      <c r="H1101" s="8"/>
      <c r="I1101" s="8"/>
      <c r="J1101" s="8"/>
      <c r="K1101" s="8"/>
      <c r="L1101" s="8"/>
    </row>
    <row r="1102" spans="3:12" x14ac:dyDescent="0.25">
      <c r="C1102" s="7"/>
      <c r="E1102" s="8"/>
      <c r="F1102" s="8"/>
      <c r="G1102" s="8"/>
      <c r="H1102" s="8"/>
      <c r="I1102" s="8"/>
      <c r="J1102" s="8"/>
      <c r="K1102" s="8"/>
      <c r="L1102" s="8"/>
    </row>
    <row r="1103" spans="3:12" x14ac:dyDescent="0.25">
      <c r="C1103" s="7"/>
      <c r="E1103" s="8"/>
      <c r="F1103" s="8"/>
      <c r="G1103" s="8"/>
      <c r="H1103" s="8"/>
      <c r="I1103" s="8"/>
      <c r="J1103" s="8"/>
      <c r="K1103" s="8"/>
      <c r="L1103" s="8"/>
    </row>
    <row r="1104" spans="3:12" x14ac:dyDescent="0.25">
      <c r="C1104" s="7"/>
      <c r="E1104" s="8"/>
      <c r="F1104" s="8"/>
      <c r="G1104" s="8"/>
      <c r="H1104" s="8"/>
      <c r="I1104" s="8"/>
      <c r="J1104" s="8"/>
      <c r="K1104" s="8"/>
      <c r="L1104" s="8"/>
    </row>
    <row r="1105" spans="3:12" x14ac:dyDescent="0.25">
      <c r="C1105" s="7"/>
      <c r="E1105" s="8"/>
      <c r="F1105" s="8"/>
      <c r="G1105" s="8"/>
      <c r="H1105" s="8"/>
      <c r="I1105" s="8"/>
      <c r="J1105" s="8"/>
      <c r="K1105" s="8"/>
      <c r="L1105" s="8"/>
    </row>
    <row r="1106" spans="3:12" x14ac:dyDescent="0.25">
      <c r="C1106" s="7"/>
      <c r="E1106" s="8"/>
      <c r="F1106" s="8"/>
      <c r="G1106" s="8"/>
      <c r="H1106" s="8"/>
      <c r="I1106" s="8"/>
      <c r="J1106" s="8"/>
      <c r="K1106" s="8"/>
      <c r="L1106" s="8"/>
    </row>
    <row r="1107" spans="3:12" x14ac:dyDescent="0.25">
      <c r="C1107" s="7"/>
      <c r="E1107" s="8"/>
      <c r="F1107" s="8"/>
      <c r="G1107" s="8"/>
      <c r="H1107" s="8"/>
      <c r="I1107" s="8"/>
      <c r="J1107" s="8"/>
      <c r="K1107" s="8"/>
      <c r="L1107" s="8"/>
    </row>
    <row r="1108" spans="3:12" x14ac:dyDescent="0.25">
      <c r="C1108" s="7"/>
      <c r="E1108" s="8"/>
      <c r="F1108" s="8"/>
      <c r="G1108" s="8"/>
      <c r="H1108" s="8"/>
      <c r="I1108" s="8"/>
      <c r="J1108" s="8"/>
      <c r="K1108" s="8"/>
      <c r="L1108" s="8"/>
    </row>
    <row r="1109" spans="3:12" x14ac:dyDescent="0.25">
      <c r="C1109" s="7"/>
      <c r="E1109" s="8"/>
      <c r="F1109" s="8"/>
      <c r="G1109" s="8"/>
      <c r="H1109" s="8"/>
      <c r="I1109" s="8"/>
      <c r="J1109" s="8"/>
      <c r="K1109" s="8"/>
      <c r="L1109" s="8"/>
    </row>
    <row r="1110" spans="3:12" x14ac:dyDescent="0.25">
      <c r="C1110" s="7"/>
      <c r="E1110" s="8"/>
      <c r="F1110" s="8"/>
      <c r="G1110" s="8"/>
      <c r="H1110" s="8"/>
      <c r="I1110" s="8"/>
      <c r="J1110" s="8"/>
      <c r="K1110" s="8"/>
      <c r="L1110" s="8"/>
    </row>
    <row r="1111" spans="3:12" x14ac:dyDescent="0.25">
      <c r="C1111" s="7"/>
      <c r="E1111" s="8"/>
      <c r="F1111" s="8"/>
      <c r="G1111" s="8"/>
      <c r="H1111" s="8"/>
      <c r="I1111" s="8"/>
      <c r="J1111" s="8"/>
      <c r="K1111" s="8"/>
      <c r="L1111" s="8"/>
    </row>
    <row r="1112" spans="3:12" x14ac:dyDescent="0.25">
      <c r="C1112" s="7"/>
      <c r="E1112" s="8"/>
      <c r="F1112" s="8"/>
      <c r="G1112" s="8"/>
      <c r="H1112" s="8"/>
      <c r="I1112" s="8"/>
      <c r="J1112" s="8"/>
      <c r="K1112" s="8"/>
      <c r="L1112" s="8"/>
    </row>
    <row r="1113" spans="3:12" x14ac:dyDescent="0.25">
      <c r="C1113" s="7"/>
      <c r="E1113" s="8"/>
      <c r="F1113" s="8"/>
      <c r="G1113" s="8"/>
      <c r="H1113" s="8"/>
      <c r="I1113" s="8"/>
      <c r="J1113" s="8"/>
      <c r="K1113" s="8"/>
      <c r="L1113" s="8"/>
    </row>
    <row r="1114" spans="3:12" x14ac:dyDescent="0.25">
      <c r="C1114" s="7"/>
      <c r="E1114" s="8"/>
      <c r="F1114" s="8"/>
      <c r="G1114" s="8"/>
      <c r="H1114" s="8"/>
      <c r="I1114" s="8"/>
      <c r="J1114" s="8"/>
      <c r="K1114" s="8"/>
      <c r="L1114" s="8"/>
    </row>
    <row r="1115" spans="3:12" x14ac:dyDescent="0.25">
      <c r="C1115" s="7"/>
      <c r="E1115" s="8"/>
      <c r="F1115" s="8"/>
      <c r="G1115" s="8"/>
      <c r="H1115" s="8"/>
      <c r="I1115" s="8"/>
      <c r="J1115" s="8"/>
      <c r="K1115" s="8"/>
      <c r="L1115" s="8"/>
    </row>
    <row r="1116" spans="3:12" x14ac:dyDescent="0.25">
      <c r="C1116" s="7"/>
      <c r="E1116" s="8"/>
      <c r="F1116" s="8"/>
      <c r="G1116" s="8"/>
      <c r="H1116" s="8"/>
      <c r="I1116" s="8"/>
      <c r="J1116" s="8"/>
      <c r="K1116" s="8"/>
      <c r="L1116" s="8"/>
    </row>
    <row r="1117" spans="3:12" x14ac:dyDescent="0.25">
      <c r="C1117" s="7"/>
      <c r="E1117" s="8"/>
      <c r="F1117" s="8"/>
      <c r="G1117" s="8"/>
      <c r="H1117" s="8"/>
      <c r="I1117" s="8"/>
      <c r="J1117" s="8"/>
      <c r="K1117" s="8"/>
      <c r="L1117" s="8"/>
    </row>
    <row r="1118" spans="3:12" x14ac:dyDescent="0.25">
      <c r="C1118" s="7"/>
      <c r="E1118" s="8"/>
      <c r="F1118" s="8"/>
      <c r="G1118" s="8"/>
      <c r="H1118" s="8"/>
      <c r="I1118" s="8"/>
      <c r="J1118" s="8"/>
      <c r="K1118" s="8"/>
      <c r="L1118" s="8"/>
    </row>
    <row r="1119" spans="3:12" x14ac:dyDescent="0.25">
      <c r="C1119" s="7"/>
      <c r="E1119" s="8"/>
      <c r="F1119" s="8"/>
      <c r="G1119" s="8"/>
      <c r="H1119" s="8"/>
      <c r="I1119" s="8"/>
      <c r="J1119" s="8"/>
      <c r="K1119" s="8"/>
      <c r="L1119" s="8"/>
    </row>
    <row r="1120" spans="3:12" x14ac:dyDescent="0.25">
      <c r="C1120" s="7"/>
      <c r="E1120" s="8"/>
      <c r="F1120" s="8"/>
      <c r="G1120" s="8"/>
      <c r="H1120" s="8"/>
      <c r="I1120" s="8"/>
      <c r="J1120" s="8"/>
      <c r="K1120" s="8"/>
      <c r="L1120" s="8"/>
    </row>
    <row r="1121" spans="3:12" x14ac:dyDescent="0.25">
      <c r="C1121" s="7"/>
      <c r="E1121" s="8"/>
      <c r="F1121" s="8"/>
      <c r="G1121" s="8"/>
      <c r="H1121" s="8"/>
      <c r="I1121" s="8"/>
      <c r="J1121" s="8"/>
      <c r="K1121" s="8"/>
      <c r="L1121" s="8"/>
    </row>
    <row r="1122" spans="3:12" x14ac:dyDescent="0.25">
      <c r="C1122" s="7"/>
      <c r="E1122" s="8"/>
      <c r="F1122" s="8"/>
      <c r="G1122" s="8"/>
      <c r="H1122" s="8"/>
      <c r="I1122" s="8"/>
      <c r="J1122" s="8"/>
      <c r="K1122" s="8"/>
      <c r="L1122" s="8"/>
    </row>
    <row r="1123" spans="3:12" x14ac:dyDescent="0.25">
      <c r="C1123" s="7"/>
      <c r="E1123" s="8"/>
      <c r="F1123" s="8"/>
      <c r="G1123" s="8"/>
      <c r="H1123" s="8"/>
      <c r="I1123" s="8"/>
      <c r="J1123" s="8"/>
      <c r="K1123" s="8"/>
      <c r="L1123" s="8"/>
    </row>
    <row r="1124" spans="3:12" x14ac:dyDescent="0.25">
      <c r="C1124" s="7"/>
      <c r="E1124" s="8"/>
      <c r="F1124" s="8"/>
      <c r="G1124" s="8"/>
      <c r="H1124" s="8"/>
      <c r="I1124" s="8"/>
      <c r="J1124" s="8"/>
      <c r="K1124" s="8"/>
      <c r="L1124" s="8"/>
    </row>
    <row r="1125" spans="3:12" x14ac:dyDescent="0.25">
      <c r="C1125" s="7"/>
      <c r="E1125" s="8"/>
      <c r="F1125" s="8"/>
      <c r="G1125" s="8"/>
      <c r="H1125" s="8"/>
      <c r="I1125" s="8"/>
      <c r="J1125" s="8"/>
      <c r="K1125" s="8"/>
      <c r="L1125" s="8"/>
    </row>
    <row r="1126" spans="3:12" x14ac:dyDescent="0.25">
      <c r="C1126" s="7"/>
      <c r="E1126" s="8"/>
      <c r="F1126" s="8"/>
      <c r="G1126" s="8"/>
      <c r="H1126" s="8"/>
      <c r="I1126" s="8"/>
      <c r="J1126" s="8"/>
      <c r="K1126" s="8"/>
      <c r="L1126" s="8"/>
    </row>
    <row r="1127" spans="3:12" x14ac:dyDescent="0.25">
      <c r="C1127" s="7"/>
      <c r="E1127" s="8"/>
      <c r="F1127" s="8"/>
      <c r="G1127" s="8"/>
      <c r="H1127" s="8"/>
      <c r="I1127" s="8"/>
      <c r="J1127" s="8"/>
      <c r="K1127" s="8"/>
      <c r="L1127" s="8"/>
    </row>
    <row r="1128" spans="3:12" x14ac:dyDescent="0.25">
      <c r="C1128" s="7"/>
      <c r="E1128" s="8"/>
      <c r="F1128" s="8"/>
      <c r="G1128" s="8"/>
      <c r="H1128" s="8"/>
      <c r="I1128" s="8"/>
      <c r="J1128" s="8"/>
      <c r="K1128" s="8"/>
      <c r="L1128" s="8"/>
    </row>
    <row r="1129" spans="3:12" x14ac:dyDescent="0.25">
      <c r="C1129" s="7"/>
      <c r="E1129" s="8"/>
      <c r="F1129" s="8"/>
      <c r="G1129" s="8"/>
      <c r="H1129" s="8"/>
      <c r="I1129" s="8"/>
      <c r="J1129" s="8"/>
      <c r="K1129" s="8"/>
      <c r="L1129" s="8"/>
    </row>
    <row r="1130" spans="3:12" x14ac:dyDescent="0.25">
      <c r="C1130" s="7"/>
      <c r="E1130" s="8"/>
      <c r="F1130" s="8"/>
      <c r="G1130" s="8"/>
      <c r="H1130" s="8"/>
      <c r="I1130" s="8"/>
      <c r="J1130" s="8"/>
      <c r="K1130" s="8"/>
      <c r="L1130" s="8"/>
    </row>
    <row r="1131" spans="3:12" x14ac:dyDescent="0.25">
      <c r="C1131" s="7"/>
      <c r="E1131" s="8"/>
      <c r="F1131" s="8"/>
      <c r="G1131" s="8"/>
      <c r="H1131" s="8"/>
      <c r="I1131" s="8"/>
      <c r="J1131" s="8"/>
      <c r="K1131" s="8"/>
      <c r="L1131" s="8"/>
    </row>
    <row r="1132" spans="3:12" x14ac:dyDescent="0.25">
      <c r="C1132" s="7"/>
      <c r="E1132" s="8"/>
      <c r="F1132" s="8"/>
      <c r="G1132" s="8"/>
      <c r="H1132" s="8"/>
      <c r="I1132" s="8"/>
      <c r="J1132" s="8"/>
      <c r="K1132" s="8"/>
      <c r="L1132" s="8"/>
    </row>
    <row r="1133" spans="3:12" x14ac:dyDescent="0.25">
      <c r="C1133" s="7"/>
      <c r="E1133" s="8"/>
      <c r="F1133" s="8"/>
      <c r="G1133" s="8"/>
      <c r="H1133" s="8"/>
      <c r="I1133" s="8"/>
      <c r="J1133" s="8"/>
      <c r="K1133" s="8"/>
      <c r="L1133" s="8"/>
    </row>
    <row r="1134" spans="3:12" x14ac:dyDescent="0.25">
      <c r="C1134" s="7"/>
      <c r="E1134" s="8"/>
      <c r="F1134" s="8"/>
      <c r="G1134" s="8"/>
      <c r="H1134" s="8"/>
      <c r="I1134" s="8"/>
      <c r="J1134" s="8"/>
      <c r="K1134" s="8"/>
      <c r="L1134" s="8"/>
    </row>
    <row r="1135" spans="3:12" x14ac:dyDescent="0.25">
      <c r="C1135" s="7"/>
      <c r="E1135" s="8"/>
      <c r="F1135" s="8"/>
      <c r="G1135" s="8"/>
      <c r="H1135" s="8"/>
      <c r="I1135" s="8"/>
      <c r="J1135" s="8"/>
      <c r="K1135" s="8"/>
      <c r="L1135" s="8"/>
    </row>
    <row r="1136" spans="3:12" x14ac:dyDescent="0.25">
      <c r="C1136" s="7"/>
      <c r="E1136" s="8"/>
      <c r="F1136" s="8"/>
      <c r="G1136" s="8"/>
      <c r="H1136" s="8"/>
      <c r="I1136" s="8"/>
      <c r="J1136" s="8"/>
      <c r="K1136" s="8"/>
      <c r="L1136" s="8"/>
    </row>
    <row r="1137" spans="3:12" x14ac:dyDescent="0.25">
      <c r="C1137" s="7"/>
      <c r="E1137" s="8"/>
      <c r="F1137" s="8"/>
      <c r="G1137" s="8"/>
      <c r="H1137" s="8"/>
      <c r="I1137" s="8"/>
      <c r="J1137" s="8"/>
      <c r="K1137" s="8"/>
      <c r="L1137" s="8"/>
    </row>
    <row r="1138" spans="3:12" x14ac:dyDescent="0.25">
      <c r="C1138" s="7"/>
      <c r="E1138" s="8"/>
      <c r="F1138" s="8"/>
      <c r="G1138" s="8"/>
      <c r="H1138" s="8"/>
      <c r="I1138" s="8"/>
      <c r="J1138" s="8"/>
      <c r="K1138" s="8"/>
      <c r="L1138" s="8"/>
    </row>
    <row r="1139" spans="3:12" x14ac:dyDescent="0.25">
      <c r="C1139" s="7"/>
      <c r="E1139" s="8"/>
      <c r="F1139" s="8"/>
      <c r="G1139" s="8"/>
      <c r="H1139" s="8"/>
      <c r="I1139" s="8"/>
      <c r="J1139" s="8"/>
      <c r="K1139" s="8"/>
      <c r="L1139" s="8"/>
    </row>
    <row r="1140" spans="3:12" x14ac:dyDescent="0.25">
      <c r="C1140" s="7"/>
      <c r="E1140" s="8"/>
      <c r="F1140" s="8"/>
      <c r="G1140" s="8"/>
      <c r="H1140" s="8"/>
      <c r="I1140" s="8"/>
      <c r="J1140" s="8"/>
      <c r="K1140" s="8"/>
      <c r="L1140" s="8"/>
    </row>
    <row r="1141" spans="3:12" x14ac:dyDescent="0.25">
      <c r="C1141" s="7"/>
      <c r="E1141" s="8"/>
      <c r="F1141" s="8"/>
      <c r="G1141" s="8"/>
      <c r="H1141" s="8"/>
      <c r="I1141" s="8"/>
      <c r="J1141" s="8"/>
      <c r="K1141" s="8"/>
      <c r="L1141" s="8"/>
    </row>
    <row r="1142" spans="3:12" x14ac:dyDescent="0.25">
      <c r="C1142" s="7"/>
      <c r="E1142" s="8"/>
      <c r="F1142" s="8"/>
      <c r="G1142" s="8"/>
      <c r="H1142" s="8"/>
      <c r="I1142" s="8"/>
      <c r="J1142" s="8"/>
      <c r="K1142" s="8"/>
      <c r="L1142" s="8"/>
    </row>
    <row r="1143" spans="3:12" x14ac:dyDescent="0.25">
      <c r="C1143" s="7"/>
      <c r="E1143" s="8"/>
      <c r="F1143" s="8"/>
      <c r="G1143" s="8"/>
      <c r="H1143" s="8"/>
      <c r="I1143" s="8"/>
      <c r="J1143" s="8"/>
      <c r="K1143" s="8"/>
      <c r="L1143" s="8"/>
    </row>
    <row r="1144" spans="3:12" x14ac:dyDescent="0.25">
      <c r="C1144" s="7"/>
      <c r="E1144" s="8"/>
      <c r="F1144" s="8"/>
      <c r="G1144" s="8"/>
      <c r="H1144" s="8"/>
      <c r="I1144" s="8"/>
      <c r="J1144" s="8"/>
      <c r="K1144" s="8"/>
      <c r="L1144" s="8"/>
    </row>
    <row r="1145" spans="3:12" x14ac:dyDescent="0.25">
      <c r="C1145" s="7"/>
      <c r="E1145" s="8"/>
      <c r="F1145" s="8"/>
      <c r="G1145" s="8"/>
      <c r="H1145" s="8"/>
      <c r="I1145" s="8"/>
      <c r="J1145" s="8"/>
      <c r="K1145" s="8"/>
      <c r="L1145" s="8"/>
    </row>
    <row r="1146" spans="3:12" x14ac:dyDescent="0.25">
      <c r="C1146" s="7"/>
      <c r="E1146" s="8"/>
      <c r="F1146" s="8"/>
      <c r="G1146" s="8"/>
      <c r="H1146" s="8"/>
      <c r="I1146" s="8"/>
      <c r="J1146" s="8"/>
      <c r="K1146" s="8"/>
      <c r="L1146" s="8"/>
    </row>
    <row r="1147" spans="3:12" x14ac:dyDescent="0.25">
      <c r="C1147" s="7"/>
      <c r="E1147" s="8"/>
      <c r="F1147" s="8"/>
      <c r="G1147" s="8"/>
      <c r="H1147" s="8"/>
      <c r="I1147" s="8"/>
      <c r="J1147" s="8"/>
      <c r="K1147" s="8"/>
      <c r="L1147" s="8"/>
    </row>
    <row r="1148" spans="3:12" x14ac:dyDescent="0.25">
      <c r="C1148" s="7"/>
      <c r="E1148" s="8"/>
      <c r="F1148" s="8"/>
      <c r="G1148" s="8"/>
      <c r="H1148" s="8"/>
      <c r="I1148" s="8"/>
      <c r="J1148" s="8"/>
      <c r="K1148" s="8"/>
      <c r="L1148" s="8"/>
    </row>
    <row r="1149" spans="3:12" x14ac:dyDescent="0.25">
      <c r="C1149" s="7"/>
      <c r="E1149" s="8"/>
      <c r="F1149" s="8"/>
      <c r="G1149" s="8"/>
      <c r="H1149" s="8"/>
      <c r="I1149" s="8"/>
      <c r="J1149" s="8"/>
      <c r="K1149" s="8"/>
      <c r="L1149" s="8"/>
    </row>
    <row r="1150" spans="3:12" x14ac:dyDescent="0.25">
      <c r="C1150" s="7"/>
      <c r="E1150" s="8"/>
      <c r="F1150" s="8"/>
      <c r="G1150" s="8"/>
      <c r="H1150" s="8"/>
      <c r="I1150" s="8"/>
      <c r="J1150" s="8"/>
      <c r="K1150" s="8"/>
      <c r="L1150" s="8"/>
    </row>
    <row r="1151" spans="3:12" x14ac:dyDescent="0.25">
      <c r="C1151" s="7"/>
      <c r="E1151" s="8"/>
      <c r="F1151" s="8"/>
      <c r="G1151" s="8"/>
      <c r="H1151" s="8"/>
      <c r="I1151" s="8"/>
      <c r="J1151" s="8"/>
      <c r="K1151" s="8"/>
      <c r="L1151" s="8"/>
    </row>
    <row r="1152" spans="3:12" x14ac:dyDescent="0.25">
      <c r="C1152" s="7"/>
      <c r="E1152" s="8"/>
      <c r="F1152" s="8"/>
      <c r="G1152" s="8"/>
      <c r="H1152" s="8"/>
      <c r="I1152" s="8"/>
      <c r="J1152" s="8"/>
      <c r="K1152" s="8"/>
      <c r="L1152" s="8"/>
    </row>
    <row r="1153" spans="3:12" x14ac:dyDescent="0.25">
      <c r="C1153" s="7"/>
      <c r="E1153" s="8"/>
      <c r="F1153" s="8"/>
      <c r="G1153" s="8"/>
      <c r="H1153" s="8"/>
      <c r="I1153" s="8"/>
      <c r="J1153" s="8"/>
      <c r="K1153" s="8"/>
      <c r="L1153" s="8"/>
    </row>
    <row r="1154" spans="3:12" x14ac:dyDescent="0.25">
      <c r="C1154" s="7"/>
      <c r="E1154" s="8"/>
      <c r="F1154" s="8"/>
      <c r="G1154" s="8"/>
      <c r="H1154" s="8"/>
      <c r="I1154" s="8"/>
      <c r="J1154" s="8"/>
      <c r="K1154" s="8"/>
      <c r="L1154" s="8"/>
    </row>
    <row r="1155" spans="3:12" x14ac:dyDescent="0.25">
      <c r="C1155" s="7"/>
      <c r="E1155" s="8"/>
      <c r="F1155" s="8"/>
      <c r="G1155" s="8"/>
      <c r="H1155" s="8"/>
      <c r="I1155" s="8"/>
      <c r="J1155" s="8"/>
      <c r="K1155" s="8"/>
      <c r="L1155" s="8"/>
    </row>
    <row r="1156" spans="3:12" x14ac:dyDescent="0.25">
      <c r="C1156" s="7"/>
      <c r="E1156" s="8"/>
      <c r="F1156" s="8"/>
      <c r="G1156" s="8"/>
      <c r="H1156" s="8"/>
      <c r="I1156" s="8"/>
      <c r="J1156" s="8"/>
      <c r="K1156" s="8"/>
      <c r="L1156" s="8"/>
    </row>
    <row r="1157" spans="3:12" x14ac:dyDescent="0.25">
      <c r="C1157" s="7"/>
      <c r="E1157" s="8"/>
      <c r="F1157" s="8"/>
      <c r="G1157" s="8"/>
      <c r="H1157" s="8"/>
      <c r="I1157" s="8"/>
      <c r="J1157" s="8"/>
      <c r="K1157" s="8"/>
      <c r="L1157" s="8"/>
    </row>
    <row r="1158" spans="3:12" x14ac:dyDescent="0.25">
      <c r="C1158" s="7"/>
      <c r="E1158" s="8"/>
      <c r="F1158" s="8"/>
      <c r="G1158" s="8"/>
      <c r="H1158" s="8"/>
      <c r="I1158" s="8"/>
      <c r="J1158" s="8"/>
      <c r="K1158" s="8"/>
      <c r="L1158" s="8"/>
    </row>
    <row r="1159" spans="3:12" x14ac:dyDescent="0.25">
      <c r="C1159" s="7"/>
      <c r="E1159" s="8"/>
      <c r="F1159" s="8"/>
      <c r="G1159" s="8"/>
      <c r="H1159" s="8"/>
      <c r="I1159" s="8"/>
      <c r="J1159" s="8"/>
      <c r="K1159" s="8"/>
      <c r="L1159" s="8"/>
    </row>
    <row r="1160" spans="3:12" x14ac:dyDescent="0.25">
      <c r="C1160" s="7"/>
      <c r="E1160" s="8"/>
      <c r="F1160" s="8"/>
      <c r="G1160" s="8"/>
      <c r="H1160" s="8"/>
      <c r="I1160" s="8"/>
      <c r="J1160" s="8"/>
      <c r="K1160" s="8"/>
      <c r="L1160" s="8"/>
    </row>
    <row r="1161" spans="3:12" x14ac:dyDescent="0.25">
      <c r="C1161" s="7"/>
      <c r="E1161" s="8"/>
      <c r="F1161" s="8"/>
      <c r="G1161" s="8"/>
      <c r="H1161" s="8"/>
      <c r="I1161" s="8"/>
      <c r="J1161" s="8"/>
      <c r="K1161" s="8"/>
      <c r="L1161" s="8"/>
    </row>
    <row r="1162" spans="3:12" x14ac:dyDescent="0.25">
      <c r="C1162" s="7"/>
      <c r="E1162" s="8"/>
      <c r="F1162" s="8"/>
      <c r="G1162" s="8"/>
      <c r="H1162" s="8"/>
      <c r="I1162" s="8"/>
      <c r="J1162" s="8"/>
      <c r="K1162" s="8"/>
      <c r="L1162" s="8"/>
    </row>
    <row r="1163" spans="3:12" x14ac:dyDescent="0.25">
      <c r="C1163" s="7"/>
      <c r="E1163" s="8"/>
      <c r="F1163" s="8"/>
      <c r="G1163" s="8"/>
      <c r="H1163" s="8"/>
      <c r="I1163" s="8"/>
      <c r="J1163" s="8"/>
      <c r="K1163" s="8"/>
      <c r="L1163" s="8"/>
    </row>
    <row r="1164" spans="3:12" x14ac:dyDescent="0.25">
      <c r="C1164" s="7"/>
      <c r="E1164" s="8"/>
      <c r="F1164" s="8"/>
      <c r="G1164" s="8"/>
      <c r="H1164" s="8"/>
      <c r="I1164" s="8"/>
      <c r="J1164" s="8"/>
      <c r="K1164" s="8"/>
      <c r="L1164" s="8"/>
    </row>
    <row r="1165" spans="3:12" x14ac:dyDescent="0.25">
      <c r="C1165" s="7"/>
      <c r="E1165" s="8"/>
      <c r="F1165" s="8"/>
      <c r="G1165" s="8"/>
      <c r="H1165" s="8"/>
      <c r="I1165" s="8"/>
      <c r="J1165" s="8"/>
      <c r="K1165" s="8"/>
      <c r="L1165" s="8"/>
    </row>
    <row r="1166" spans="3:12" x14ac:dyDescent="0.25">
      <c r="C1166" s="7"/>
      <c r="E1166" s="8"/>
      <c r="F1166" s="8"/>
      <c r="G1166" s="8"/>
      <c r="H1166" s="8"/>
      <c r="I1166" s="8"/>
      <c r="J1166" s="8"/>
      <c r="K1166" s="8"/>
      <c r="L1166" s="8"/>
    </row>
    <row r="1167" spans="3:12" x14ac:dyDescent="0.25">
      <c r="C1167" s="7"/>
      <c r="E1167" s="8"/>
      <c r="F1167" s="8"/>
      <c r="G1167" s="8"/>
      <c r="H1167" s="8"/>
      <c r="I1167" s="8"/>
      <c r="J1167" s="8"/>
      <c r="K1167" s="8"/>
      <c r="L1167" s="8"/>
    </row>
    <row r="1168" spans="3:12" x14ac:dyDescent="0.25">
      <c r="C1168" s="7"/>
      <c r="E1168" s="8"/>
      <c r="F1168" s="8"/>
      <c r="G1168" s="8"/>
      <c r="H1168" s="8"/>
      <c r="I1168" s="8"/>
      <c r="J1168" s="8"/>
      <c r="K1168" s="8"/>
      <c r="L1168" s="8"/>
    </row>
    <row r="1169" spans="3:12" x14ac:dyDescent="0.25">
      <c r="C1169" s="7"/>
      <c r="E1169" s="8"/>
      <c r="F1169" s="8"/>
      <c r="G1169" s="8"/>
      <c r="H1169" s="8"/>
      <c r="I1169" s="8"/>
      <c r="J1169" s="8"/>
      <c r="K1169" s="8"/>
      <c r="L1169" s="8"/>
    </row>
    <row r="1170" spans="3:12" x14ac:dyDescent="0.25">
      <c r="C1170" s="7"/>
      <c r="E1170" s="8"/>
      <c r="F1170" s="8"/>
      <c r="G1170" s="8"/>
      <c r="H1170" s="8"/>
      <c r="I1170" s="8"/>
      <c r="J1170" s="8"/>
      <c r="K1170" s="8"/>
      <c r="L1170" s="8"/>
    </row>
    <row r="1171" spans="3:12" x14ac:dyDescent="0.25">
      <c r="C1171" s="7"/>
      <c r="E1171" s="8"/>
      <c r="F1171" s="8"/>
      <c r="G1171" s="8"/>
      <c r="H1171" s="8"/>
      <c r="I1171" s="8"/>
      <c r="J1171" s="8"/>
      <c r="K1171" s="8"/>
      <c r="L1171" s="8"/>
    </row>
    <row r="1172" spans="3:12" x14ac:dyDescent="0.25">
      <c r="C1172" s="7"/>
      <c r="E1172" s="8"/>
      <c r="F1172" s="8"/>
      <c r="G1172" s="8"/>
      <c r="H1172" s="8"/>
      <c r="I1172" s="8"/>
      <c r="J1172" s="8"/>
      <c r="K1172" s="8"/>
      <c r="L1172" s="8"/>
    </row>
    <row r="1173" spans="3:12" x14ac:dyDescent="0.25">
      <c r="C1173" s="7"/>
      <c r="E1173" s="8"/>
      <c r="F1173" s="8"/>
      <c r="G1173" s="8"/>
      <c r="H1173" s="8"/>
      <c r="I1173" s="8"/>
      <c r="J1173" s="8"/>
      <c r="K1173" s="8"/>
      <c r="L1173" s="8"/>
    </row>
    <row r="1174" spans="3:12" x14ac:dyDescent="0.25">
      <c r="C1174" s="7"/>
      <c r="E1174" s="8"/>
      <c r="F1174" s="8"/>
      <c r="G1174" s="8"/>
      <c r="H1174" s="8"/>
      <c r="I1174" s="8"/>
      <c r="J1174" s="8"/>
      <c r="K1174" s="8"/>
      <c r="L1174" s="8"/>
    </row>
    <row r="1175" spans="3:12" x14ac:dyDescent="0.25">
      <c r="C1175" s="7"/>
      <c r="E1175" s="8"/>
      <c r="F1175" s="8"/>
      <c r="G1175" s="8"/>
      <c r="H1175" s="8"/>
      <c r="I1175" s="8"/>
      <c r="J1175" s="8"/>
      <c r="K1175" s="8"/>
      <c r="L1175" s="8"/>
    </row>
    <row r="1176" spans="3:12" x14ac:dyDescent="0.25">
      <c r="C1176" s="7"/>
      <c r="E1176" s="8"/>
      <c r="F1176" s="8"/>
      <c r="G1176" s="8"/>
      <c r="H1176" s="8"/>
      <c r="I1176" s="8"/>
      <c r="J1176" s="8"/>
      <c r="K1176" s="8"/>
      <c r="L1176" s="8"/>
    </row>
    <row r="1177" spans="3:12" x14ac:dyDescent="0.25">
      <c r="C1177" s="7"/>
      <c r="E1177" s="8"/>
      <c r="F1177" s="8"/>
      <c r="G1177" s="8"/>
      <c r="H1177" s="8"/>
      <c r="I1177" s="8"/>
      <c r="J1177" s="8"/>
      <c r="K1177" s="8"/>
      <c r="L1177" s="8"/>
    </row>
    <row r="1178" spans="3:12" x14ac:dyDescent="0.25">
      <c r="C1178" s="7"/>
      <c r="E1178" s="8"/>
      <c r="F1178" s="8"/>
      <c r="G1178" s="8"/>
      <c r="H1178" s="8"/>
      <c r="I1178" s="8"/>
      <c r="J1178" s="8"/>
      <c r="K1178" s="8"/>
      <c r="L1178" s="8"/>
    </row>
    <row r="1179" spans="3:12" x14ac:dyDescent="0.25">
      <c r="C1179" s="7"/>
      <c r="E1179" s="8"/>
      <c r="F1179" s="8"/>
      <c r="G1179" s="8"/>
      <c r="H1179" s="8"/>
      <c r="I1179" s="8"/>
      <c r="J1179" s="8"/>
      <c r="K1179" s="8"/>
      <c r="L1179" s="8"/>
    </row>
    <row r="1180" spans="3:12" x14ac:dyDescent="0.25">
      <c r="C1180" s="7"/>
      <c r="E1180" s="8"/>
      <c r="F1180" s="8"/>
      <c r="G1180" s="8"/>
      <c r="H1180" s="8"/>
      <c r="I1180" s="8"/>
      <c r="J1180" s="8"/>
      <c r="K1180" s="8"/>
      <c r="L1180" s="8"/>
    </row>
    <row r="1181" spans="3:12" x14ac:dyDescent="0.25">
      <c r="C1181" s="7"/>
      <c r="E1181" s="8"/>
      <c r="F1181" s="8"/>
      <c r="G1181" s="8"/>
      <c r="H1181" s="8"/>
      <c r="I1181" s="8"/>
      <c r="J1181" s="8"/>
      <c r="K1181" s="8"/>
      <c r="L1181" s="8"/>
    </row>
    <row r="1182" spans="3:12" x14ac:dyDescent="0.25">
      <c r="C1182" s="7"/>
      <c r="E1182" s="8"/>
      <c r="F1182" s="8"/>
      <c r="G1182" s="8"/>
      <c r="H1182" s="8"/>
      <c r="I1182" s="8"/>
      <c r="J1182" s="8"/>
      <c r="K1182" s="8"/>
      <c r="L1182" s="8"/>
    </row>
    <row r="1183" spans="3:12" x14ac:dyDescent="0.25">
      <c r="C1183" s="7"/>
      <c r="E1183" s="8"/>
      <c r="F1183" s="8"/>
      <c r="G1183" s="8"/>
      <c r="H1183" s="8"/>
      <c r="I1183" s="8"/>
      <c r="J1183" s="8"/>
      <c r="K1183" s="8"/>
      <c r="L1183" s="8"/>
    </row>
    <row r="1184" spans="3:12" x14ac:dyDescent="0.25">
      <c r="C1184" s="7"/>
      <c r="E1184" s="8"/>
      <c r="F1184" s="8"/>
      <c r="G1184" s="8"/>
      <c r="H1184" s="8"/>
      <c r="I1184" s="8"/>
      <c r="J1184" s="8"/>
      <c r="K1184" s="8"/>
      <c r="L1184" s="8"/>
    </row>
    <row r="1185" spans="3:12" x14ac:dyDescent="0.25">
      <c r="C1185" s="7"/>
      <c r="E1185" s="8"/>
      <c r="F1185" s="8"/>
      <c r="G1185" s="8"/>
      <c r="H1185" s="8"/>
      <c r="I1185" s="8"/>
      <c r="J1185" s="8"/>
      <c r="K1185" s="8"/>
      <c r="L1185" s="8"/>
    </row>
    <row r="1186" spans="3:12" x14ac:dyDescent="0.25">
      <c r="C1186" s="7"/>
      <c r="E1186" s="8"/>
      <c r="F1186" s="8"/>
      <c r="G1186" s="8"/>
      <c r="H1186" s="8"/>
      <c r="I1186" s="8"/>
      <c r="J1186" s="8"/>
      <c r="K1186" s="8"/>
      <c r="L1186" s="8"/>
    </row>
    <row r="1187" spans="3:12" x14ac:dyDescent="0.25">
      <c r="C1187" s="7"/>
      <c r="E1187" s="8"/>
      <c r="F1187" s="8"/>
      <c r="G1187" s="8"/>
      <c r="H1187" s="8"/>
      <c r="I1187" s="8"/>
      <c r="J1187" s="8"/>
      <c r="K1187" s="8"/>
      <c r="L1187" s="8"/>
    </row>
    <row r="1188" spans="3:12" x14ac:dyDescent="0.25">
      <c r="C1188" s="7"/>
      <c r="E1188" s="8"/>
      <c r="F1188" s="8"/>
      <c r="G1188" s="8"/>
      <c r="H1188" s="8"/>
      <c r="I1188" s="8"/>
      <c r="J1188" s="8"/>
      <c r="K1188" s="8"/>
      <c r="L1188" s="8"/>
    </row>
    <row r="1189" spans="3:12" x14ac:dyDescent="0.25">
      <c r="C1189" s="7"/>
      <c r="E1189" s="8"/>
      <c r="F1189" s="8"/>
      <c r="G1189" s="8"/>
      <c r="H1189" s="8"/>
      <c r="I1189" s="8"/>
      <c r="J1189" s="8"/>
      <c r="K1189" s="8"/>
      <c r="L1189" s="8"/>
    </row>
    <row r="1190" spans="3:12" x14ac:dyDescent="0.25">
      <c r="C1190" s="7"/>
      <c r="E1190" s="8"/>
      <c r="F1190" s="8"/>
      <c r="G1190" s="8"/>
      <c r="H1190" s="8"/>
      <c r="I1190" s="8"/>
      <c r="J1190" s="8"/>
      <c r="K1190" s="8"/>
      <c r="L1190" s="8"/>
    </row>
    <row r="1191" spans="3:12" x14ac:dyDescent="0.25">
      <c r="C1191" s="7"/>
      <c r="E1191" s="8"/>
      <c r="F1191" s="8"/>
      <c r="G1191" s="8"/>
      <c r="H1191" s="8"/>
      <c r="I1191" s="8"/>
      <c r="J1191" s="8"/>
      <c r="K1191" s="8"/>
      <c r="L1191" s="8"/>
    </row>
    <row r="1192" spans="3:12" x14ac:dyDescent="0.25">
      <c r="C1192" s="7"/>
      <c r="E1192" s="8"/>
      <c r="F1192" s="8"/>
      <c r="G1192" s="8"/>
      <c r="H1192" s="8"/>
      <c r="I1192" s="8"/>
      <c r="J1192" s="8"/>
      <c r="K1192" s="8"/>
      <c r="L1192" s="8"/>
    </row>
    <row r="1193" spans="3:12" x14ac:dyDescent="0.25">
      <c r="C1193" s="7"/>
      <c r="E1193" s="8"/>
      <c r="F1193" s="8"/>
      <c r="G1193" s="8"/>
      <c r="H1193" s="8"/>
      <c r="I1193" s="8"/>
      <c r="J1193" s="8"/>
      <c r="K1193" s="8"/>
      <c r="L1193" s="8"/>
    </row>
    <row r="1194" spans="3:12" x14ac:dyDescent="0.25">
      <c r="C1194" s="7"/>
      <c r="E1194" s="8"/>
      <c r="F1194" s="8"/>
      <c r="G1194" s="8"/>
      <c r="H1194" s="8"/>
      <c r="I1194" s="8"/>
      <c r="J1194" s="8"/>
      <c r="K1194" s="8"/>
      <c r="L1194" s="8"/>
    </row>
    <row r="1195" spans="3:12" x14ac:dyDescent="0.25">
      <c r="C1195" s="7"/>
      <c r="E1195" s="8"/>
      <c r="F1195" s="8"/>
      <c r="G1195" s="8"/>
      <c r="H1195" s="8"/>
      <c r="I1195" s="8"/>
      <c r="J1195" s="8"/>
      <c r="K1195" s="8"/>
      <c r="L1195" s="8"/>
    </row>
    <row r="1196" spans="3:12" x14ac:dyDescent="0.25">
      <c r="C1196" s="7"/>
      <c r="E1196" s="8"/>
      <c r="F1196" s="8"/>
      <c r="G1196" s="8"/>
      <c r="H1196" s="8"/>
      <c r="I1196" s="8"/>
      <c r="J1196" s="8"/>
      <c r="K1196" s="8"/>
      <c r="L1196" s="8"/>
    </row>
    <row r="1197" spans="3:12" x14ac:dyDescent="0.25">
      <c r="C1197" s="7"/>
      <c r="E1197" s="8"/>
      <c r="F1197" s="8"/>
      <c r="G1197" s="8"/>
      <c r="H1197" s="8"/>
      <c r="I1197" s="8"/>
      <c r="J1197" s="8"/>
      <c r="K1197" s="8"/>
      <c r="L1197" s="8"/>
    </row>
    <row r="1198" spans="3:12" x14ac:dyDescent="0.25">
      <c r="C1198" s="7"/>
      <c r="E1198" s="8"/>
      <c r="F1198" s="8"/>
      <c r="G1198" s="8"/>
      <c r="H1198" s="8"/>
      <c r="I1198" s="8"/>
      <c r="J1198" s="8"/>
      <c r="K1198" s="8"/>
      <c r="L1198" s="8"/>
    </row>
    <row r="1199" spans="3:12" x14ac:dyDescent="0.25">
      <c r="C1199" s="7"/>
      <c r="E1199" s="8"/>
      <c r="F1199" s="8"/>
      <c r="G1199" s="8"/>
      <c r="H1199" s="8"/>
      <c r="I1199" s="8"/>
      <c r="J1199" s="8"/>
      <c r="K1199" s="8"/>
      <c r="L1199" s="8"/>
    </row>
    <row r="1200" spans="3:12" x14ac:dyDescent="0.25">
      <c r="C1200" s="7"/>
      <c r="E1200" s="8"/>
      <c r="F1200" s="8"/>
      <c r="G1200" s="8"/>
      <c r="H1200" s="8"/>
      <c r="I1200" s="8"/>
      <c r="J1200" s="8"/>
      <c r="K1200" s="8"/>
      <c r="L1200" s="8"/>
    </row>
    <row r="1201" spans="3:12" x14ac:dyDescent="0.25">
      <c r="C1201" s="7"/>
      <c r="E1201" s="8"/>
      <c r="F1201" s="8"/>
      <c r="G1201" s="8"/>
      <c r="H1201" s="8"/>
      <c r="I1201" s="8"/>
      <c r="J1201" s="8"/>
      <c r="K1201" s="8"/>
      <c r="L1201" s="8"/>
    </row>
    <row r="1202" spans="3:12" x14ac:dyDescent="0.25">
      <c r="C1202" s="7"/>
      <c r="E1202" s="8"/>
      <c r="F1202" s="8"/>
      <c r="G1202" s="8"/>
      <c r="H1202" s="8"/>
      <c r="I1202" s="8"/>
      <c r="J1202" s="8"/>
      <c r="K1202" s="8"/>
      <c r="L1202" s="8"/>
    </row>
    <row r="1203" spans="3:12" x14ac:dyDescent="0.25">
      <c r="C1203" s="7"/>
      <c r="E1203" s="8"/>
      <c r="F1203" s="8"/>
      <c r="G1203" s="8"/>
      <c r="H1203" s="8"/>
      <c r="I1203" s="8"/>
      <c r="J1203" s="8"/>
      <c r="K1203" s="8"/>
      <c r="L1203" s="8"/>
    </row>
    <row r="1204" spans="3:12" x14ac:dyDescent="0.25">
      <c r="C1204" s="7"/>
      <c r="E1204" s="8"/>
      <c r="F1204" s="8"/>
      <c r="G1204" s="8"/>
      <c r="H1204" s="8"/>
      <c r="I1204" s="8"/>
      <c r="J1204" s="8"/>
      <c r="K1204" s="8"/>
      <c r="L1204" s="8"/>
    </row>
    <row r="1205" spans="3:12" x14ac:dyDescent="0.25">
      <c r="C1205" s="7"/>
      <c r="E1205" s="8"/>
      <c r="F1205" s="8"/>
      <c r="G1205" s="8"/>
      <c r="H1205" s="8"/>
      <c r="I1205" s="8"/>
      <c r="J1205" s="8"/>
      <c r="K1205" s="8"/>
      <c r="L1205" s="8"/>
    </row>
    <row r="1206" spans="3:12" x14ac:dyDescent="0.25">
      <c r="C1206" s="7"/>
      <c r="E1206" s="8"/>
      <c r="F1206" s="8"/>
      <c r="G1206" s="8"/>
      <c r="H1206" s="8"/>
      <c r="I1206" s="8"/>
      <c r="J1206" s="8"/>
      <c r="K1206" s="8"/>
      <c r="L1206" s="8"/>
    </row>
    <row r="1207" spans="3:12" x14ac:dyDescent="0.25">
      <c r="C1207" s="7"/>
      <c r="E1207" s="8"/>
      <c r="F1207" s="8"/>
      <c r="G1207" s="8"/>
      <c r="H1207" s="8"/>
      <c r="I1207" s="8"/>
      <c r="J1207" s="8"/>
      <c r="K1207" s="8"/>
      <c r="L1207" s="8"/>
    </row>
    <row r="1208" spans="3:12" x14ac:dyDescent="0.25">
      <c r="C1208" s="7"/>
      <c r="E1208" s="8"/>
      <c r="F1208" s="8"/>
      <c r="G1208" s="8"/>
      <c r="H1208" s="8"/>
      <c r="I1208" s="8"/>
      <c r="J1208" s="8"/>
      <c r="K1208" s="8"/>
      <c r="L1208" s="8"/>
    </row>
    <row r="1209" spans="3:12" x14ac:dyDescent="0.25">
      <c r="C1209" s="7"/>
      <c r="E1209" s="8"/>
      <c r="F1209" s="8"/>
      <c r="G1209" s="8"/>
      <c r="H1209" s="8"/>
      <c r="I1209" s="8"/>
      <c r="J1209" s="8"/>
      <c r="K1209" s="8"/>
      <c r="L1209" s="8"/>
    </row>
    <row r="1210" spans="3:12" x14ac:dyDescent="0.25">
      <c r="C1210" s="7"/>
      <c r="E1210" s="8"/>
      <c r="F1210" s="8"/>
      <c r="G1210" s="8"/>
      <c r="H1210" s="8"/>
      <c r="I1210" s="8"/>
      <c r="J1210" s="8"/>
      <c r="K1210" s="8"/>
      <c r="L1210" s="8"/>
    </row>
    <row r="1211" spans="3:12" x14ac:dyDescent="0.25">
      <c r="C1211" s="7"/>
      <c r="E1211" s="8"/>
      <c r="F1211" s="8"/>
      <c r="G1211" s="8"/>
      <c r="H1211" s="8"/>
      <c r="I1211" s="8"/>
      <c r="J1211" s="8"/>
      <c r="K1211" s="8"/>
      <c r="L1211" s="8"/>
    </row>
    <row r="1212" spans="3:12" x14ac:dyDescent="0.25">
      <c r="C1212" s="7"/>
      <c r="E1212" s="8"/>
      <c r="F1212" s="8"/>
      <c r="G1212" s="8"/>
      <c r="H1212" s="8"/>
      <c r="I1212" s="8"/>
      <c r="J1212" s="8"/>
      <c r="K1212" s="8"/>
      <c r="L1212" s="8"/>
    </row>
    <row r="1213" spans="3:12" x14ac:dyDescent="0.25">
      <c r="C1213" s="7"/>
      <c r="E1213" s="8"/>
      <c r="F1213" s="8"/>
      <c r="G1213" s="8"/>
      <c r="H1213" s="8"/>
      <c r="I1213" s="8"/>
      <c r="J1213" s="8"/>
      <c r="K1213" s="8"/>
      <c r="L1213" s="8"/>
    </row>
    <row r="1214" spans="3:12" x14ac:dyDescent="0.25">
      <c r="C1214" s="7"/>
      <c r="E1214" s="8"/>
      <c r="F1214" s="8"/>
      <c r="G1214" s="8"/>
      <c r="H1214" s="8"/>
      <c r="I1214" s="8"/>
      <c r="J1214" s="8"/>
      <c r="K1214" s="8"/>
      <c r="L1214" s="8"/>
    </row>
    <row r="1215" spans="3:12" x14ac:dyDescent="0.25">
      <c r="C1215" s="7"/>
      <c r="E1215" s="8"/>
      <c r="F1215" s="8"/>
      <c r="G1215" s="8"/>
      <c r="H1215" s="8"/>
      <c r="I1215" s="8"/>
      <c r="J1215" s="8"/>
      <c r="K1215" s="8"/>
      <c r="L1215" s="8"/>
    </row>
    <row r="1216" spans="3:12" x14ac:dyDescent="0.25">
      <c r="C1216" s="7"/>
      <c r="E1216" s="8"/>
      <c r="F1216" s="8"/>
      <c r="G1216" s="8"/>
      <c r="H1216" s="8"/>
      <c r="I1216" s="8"/>
      <c r="J1216" s="8"/>
      <c r="K1216" s="8"/>
      <c r="L1216" s="8"/>
    </row>
    <row r="1217" spans="3:12" x14ac:dyDescent="0.25">
      <c r="C1217" s="7"/>
      <c r="E1217" s="8"/>
      <c r="F1217" s="8"/>
      <c r="G1217" s="8"/>
      <c r="H1217" s="8"/>
      <c r="I1217" s="8"/>
      <c r="J1217" s="8"/>
      <c r="K1217" s="8"/>
      <c r="L1217" s="8"/>
    </row>
    <row r="1218" spans="3:12" x14ac:dyDescent="0.25">
      <c r="C1218" s="7"/>
      <c r="E1218" s="8"/>
      <c r="F1218" s="8"/>
      <c r="G1218" s="8"/>
      <c r="H1218" s="8"/>
      <c r="I1218" s="8"/>
      <c r="J1218" s="8"/>
      <c r="K1218" s="8"/>
      <c r="L1218" s="8"/>
    </row>
    <row r="1219" spans="3:12" x14ac:dyDescent="0.25">
      <c r="C1219" s="7"/>
      <c r="E1219" s="8"/>
      <c r="F1219" s="8"/>
      <c r="G1219" s="8"/>
      <c r="H1219" s="8"/>
      <c r="I1219" s="8"/>
      <c r="J1219" s="8"/>
      <c r="K1219" s="8"/>
      <c r="L1219" s="8"/>
    </row>
    <row r="1220" spans="3:12" x14ac:dyDescent="0.25">
      <c r="C1220" s="7"/>
      <c r="E1220" s="8"/>
      <c r="F1220" s="8"/>
      <c r="G1220" s="8"/>
      <c r="H1220" s="8"/>
      <c r="I1220" s="8"/>
      <c r="J1220" s="8"/>
      <c r="K1220" s="8"/>
      <c r="L1220" s="8"/>
    </row>
    <row r="1221" spans="3:12" x14ac:dyDescent="0.25">
      <c r="C1221" s="7"/>
      <c r="E1221" s="8"/>
      <c r="F1221" s="8"/>
      <c r="G1221" s="8"/>
      <c r="H1221" s="8"/>
      <c r="I1221" s="8"/>
      <c r="J1221" s="8"/>
      <c r="K1221" s="8"/>
      <c r="L1221" s="8"/>
    </row>
    <row r="1222" spans="3:12" x14ac:dyDescent="0.25">
      <c r="C1222" s="7"/>
      <c r="E1222" s="8"/>
      <c r="F1222" s="8"/>
      <c r="G1222" s="8"/>
      <c r="H1222" s="8"/>
      <c r="I1222" s="8"/>
      <c r="J1222" s="8"/>
      <c r="K1222" s="8"/>
      <c r="L1222" s="8"/>
    </row>
    <row r="1223" spans="3:12" x14ac:dyDescent="0.25">
      <c r="C1223" s="7"/>
      <c r="E1223" s="8"/>
      <c r="F1223" s="8"/>
      <c r="G1223" s="8"/>
      <c r="H1223" s="8"/>
      <c r="I1223" s="8"/>
      <c r="J1223" s="8"/>
      <c r="K1223" s="8"/>
      <c r="L1223" s="8"/>
    </row>
    <row r="1224" spans="3:12" x14ac:dyDescent="0.25">
      <c r="C1224" s="7"/>
      <c r="E1224" s="8"/>
      <c r="F1224" s="8"/>
      <c r="G1224" s="8"/>
      <c r="H1224" s="8"/>
      <c r="I1224" s="8"/>
      <c r="J1224" s="8"/>
      <c r="K1224" s="8"/>
      <c r="L1224" s="8"/>
    </row>
    <row r="1225" spans="3:12" x14ac:dyDescent="0.25">
      <c r="C1225" s="7"/>
      <c r="E1225" s="8"/>
      <c r="F1225" s="8"/>
      <c r="G1225" s="8"/>
      <c r="H1225" s="8"/>
      <c r="I1225" s="8"/>
      <c r="J1225" s="8"/>
      <c r="K1225" s="8"/>
      <c r="L1225" s="8"/>
    </row>
    <row r="1226" spans="3:12" x14ac:dyDescent="0.25">
      <c r="C1226" s="7"/>
      <c r="E1226" s="8"/>
      <c r="F1226" s="8"/>
      <c r="G1226" s="8"/>
      <c r="H1226" s="8"/>
      <c r="I1226" s="8"/>
      <c r="J1226" s="8"/>
      <c r="K1226" s="8"/>
      <c r="L1226" s="8"/>
    </row>
    <row r="1227" spans="3:12" x14ac:dyDescent="0.25">
      <c r="C1227" s="7"/>
      <c r="E1227" s="8"/>
      <c r="F1227" s="8"/>
      <c r="G1227" s="8"/>
      <c r="H1227" s="8"/>
      <c r="I1227" s="8"/>
      <c r="J1227" s="8"/>
      <c r="K1227" s="8"/>
      <c r="L1227" s="8"/>
    </row>
    <row r="1228" spans="3:12" x14ac:dyDescent="0.25">
      <c r="C1228" s="7"/>
      <c r="E1228" s="8"/>
      <c r="F1228" s="8"/>
      <c r="G1228" s="8"/>
      <c r="H1228" s="8"/>
      <c r="I1228" s="8"/>
      <c r="J1228" s="8"/>
      <c r="K1228" s="8"/>
      <c r="L1228" s="8"/>
    </row>
    <row r="1229" spans="3:12" x14ac:dyDescent="0.25">
      <c r="C1229" s="7"/>
      <c r="E1229" s="8"/>
      <c r="F1229" s="8"/>
      <c r="G1229" s="8"/>
      <c r="H1229" s="8"/>
      <c r="I1229" s="8"/>
      <c r="J1229" s="8"/>
      <c r="K1229" s="8"/>
      <c r="L1229" s="8"/>
    </row>
    <row r="1230" spans="3:12" x14ac:dyDescent="0.25">
      <c r="C1230" s="7"/>
      <c r="E1230" s="8"/>
      <c r="F1230" s="8"/>
      <c r="G1230" s="8"/>
      <c r="H1230" s="8"/>
      <c r="I1230" s="8"/>
      <c r="J1230" s="8"/>
      <c r="K1230" s="8"/>
      <c r="L1230" s="8"/>
    </row>
    <row r="1231" spans="3:12" x14ac:dyDescent="0.25">
      <c r="C1231" s="7"/>
      <c r="E1231" s="8"/>
      <c r="F1231" s="8"/>
      <c r="G1231" s="8"/>
      <c r="H1231" s="8"/>
      <c r="I1231" s="8"/>
      <c r="J1231" s="8"/>
      <c r="K1231" s="8"/>
      <c r="L1231" s="8"/>
    </row>
    <row r="1232" spans="3:12" x14ac:dyDescent="0.25">
      <c r="C1232" s="7"/>
      <c r="E1232" s="8"/>
      <c r="F1232" s="8"/>
      <c r="G1232" s="8"/>
      <c r="H1232" s="8"/>
      <c r="I1232" s="8"/>
      <c r="J1232" s="8"/>
      <c r="K1232" s="8"/>
      <c r="L1232" s="8"/>
    </row>
    <row r="1233" spans="3:12" x14ac:dyDescent="0.25">
      <c r="C1233" s="7"/>
      <c r="E1233" s="8"/>
      <c r="F1233" s="8"/>
      <c r="G1233" s="8"/>
      <c r="H1233" s="8"/>
      <c r="I1233" s="8"/>
      <c r="J1233" s="8"/>
      <c r="K1233" s="8"/>
      <c r="L1233" s="8"/>
    </row>
    <row r="1234" spans="3:12" x14ac:dyDescent="0.25">
      <c r="C1234" s="7"/>
      <c r="E1234" s="8"/>
      <c r="F1234" s="8"/>
      <c r="G1234" s="8"/>
      <c r="H1234" s="8"/>
      <c r="I1234" s="8"/>
      <c r="J1234" s="8"/>
      <c r="K1234" s="8"/>
      <c r="L1234" s="8"/>
    </row>
    <row r="1235" spans="3:12" x14ac:dyDescent="0.25">
      <c r="C1235" s="7"/>
      <c r="E1235" s="8"/>
      <c r="F1235" s="8"/>
      <c r="G1235" s="8"/>
      <c r="H1235" s="8"/>
      <c r="I1235" s="8"/>
      <c r="J1235" s="8"/>
      <c r="K1235" s="8"/>
      <c r="L1235" s="8"/>
    </row>
    <row r="1236" spans="3:12" x14ac:dyDescent="0.25">
      <c r="C1236" s="7"/>
      <c r="E1236" s="8"/>
      <c r="F1236" s="8"/>
      <c r="G1236" s="8"/>
      <c r="H1236" s="8"/>
      <c r="I1236" s="8"/>
      <c r="J1236" s="8"/>
      <c r="K1236" s="8"/>
      <c r="L1236" s="8"/>
    </row>
    <row r="1237" spans="3:12" x14ac:dyDescent="0.25">
      <c r="C1237" s="7"/>
      <c r="E1237" s="8"/>
      <c r="F1237" s="8"/>
      <c r="G1237" s="8"/>
      <c r="H1237" s="8"/>
      <c r="I1237" s="8"/>
      <c r="J1237" s="8"/>
      <c r="K1237" s="8"/>
      <c r="L1237" s="8"/>
    </row>
    <row r="1238" spans="3:12" x14ac:dyDescent="0.25">
      <c r="C1238" s="7"/>
      <c r="E1238" s="8"/>
      <c r="F1238" s="8"/>
      <c r="G1238" s="8"/>
      <c r="H1238" s="8"/>
      <c r="I1238" s="8"/>
      <c r="J1238" s="8"/>
      <c r="K1238" s="8"/>
      <c r="L1238" s="8"/>
    </row>
    <row r="1239" spans="3:12" x14ac:dyDescent="0.25">
      <c r="C1239" s="7"/>
      <c r="E1239" s="8"/>
      <c r="F1239" s="8"/>
      <c r="G1239" s="8"/>
      <c r="H1239" s="8"/>
      <c r="I1239" s="8"/>
      <c r="J1239" s="8"/>
      <c r="K1239" s="8"/>
      <c r="L1239" s="8"/>
    </row>
    <row r="1240" spans="3:12" x14ac:dyDescent="0.25">
      <c r="C1240" s="7"/>
      <c r="E1240" s="8"/>
      <c r="F1240" s="8"/>
      <c r="G1240" s="8"/>
      <c r="H1240" s="8"/>
      <c r="I1240" s="8"/>
      <c r="J1240" s="8"/>
      <c r="K1240" s="8"/>
      <c r="L1240" s="8"/>
    </row>
    <row r="1241" spans="3:12" x14ac:dyDescent="0.25">
      <c r="C1241" s="7"/>
      <c r="E1241" s="8"/>
      <c r="F1241" s="8"/>
      <c r="G1241" s="8"/>
      <c r="H1241" s="8"/>
      <c r="I1241" s="8"/>
      <c r="J1241" s="8"/>
      <c r="K1241" s="8"/>
      <c r="L1241" s="8"/>
    </row>
    <row r="1242" spans="3:12" x14ac:dyDescent="0.25">
      <c r="C1242" s="7"/>
      <c r="E1242" s="8"/>
      <c r="F1242" s="8"/>
      <c r="G1242" s="8"/>
      <c r="H1242" s="8"/>
      <c r="I1242" s="8"/>
      <c r="J1242" s="8"/>
      <c r="K1242" s="8"/>
      <c r="L1242" s="8"/>
    </row>
    <row r="1243" spans="3:12" x14ac:dyDescent="0.25">
      <c r="C1243" s="7"/>
      <c r="E1243" s="8"/>
      <c r="F1243" s="8"/>
      <c r="G1243" s="8"/>
      <c r="H1243" s="8"/>
      <c r="I1243" s="8"/>
      <c r="J1243" s="8"/>
      <c r="K1243" s="8"/>
      <c r="L1243" s="8"/>
    </row>
    <row r="1244" spans="3:12" x14ac:dyDescent="0.25">
      <c r="C1244" s="7"/>
      <c r="E1244" s="8"/>
      <c r="F1244" s="8"/>
      <c r="G1244" s="8"/>
      <c r="H1244" s="8"/>
      <c r="I1244" s="8"/>
      <c r="J1244" s="8"/>
      <c r="K1244" s="8"/>
      <c r="L1244" s="8"/>
    </row>
    <row r="1245" spans="3:12" x14ac:dyDescent="0.25">
      <c r="C1245" s="7"/>
      <c r="E1245" s="8"/>
      <c r="F1245" s="8"/>
      <c r="G1245" s="8"/>
      <c r="H1245" s="8"/>
      <c r="I1245" s="8"/>
      <c r="J1245" s="8"/>
      <c r="K1245" s="8"/>
      <c r="L1245" s="8"/>
    </row>
    <row r="1246" spans="3:12" x14ac:dyDescent="0.25">
      <c r="C1246" s="7"/>
      <c r="E1246" s="8"/>
      <c r="F1246" s="8"/>
      <c r="G1246" s="8"/>
      <c r="H1246" s="8"/>
      <c r="I1246" s="8"/>
      <c r="J1246" s="8"/>
      <c r="K1246" s="8"/>
      <c r="L1246" s="8"/>
    </row>
    <row r="1247" spans="3:12" x14ac:dyDescent="0.25">
      <c r="C1247" s="7"/>
      <c r="E1247" s="8"/>
      <c r="F1247" s="8"/>
      <c r="G1247" s="8"/>
      <c r="H1247" s="8"/>
      <c r="I1247" s="8"/>
      <c r="J1247" s="8"/>
      <c r="K1247" s="8"/>
      <c r="L1247" s="8"/>
    </row>
    <row r="1248" spans="3:12" x14ac:dyDescent="0.25">
      <c r="C1248" s="7"/>
      <c r="E1248" s="8"/>
      <c r="F1248" s="8"/>
      <c r="G1248" s="8"/>
      <c r="H1248" s="8"/>
      <c r="I1248" s="8"/>
      <c r="J1248" s="8"/>
      <c r="K1248" s="8"/>
      <c r="L1248" s="8"/>
    </row>
    <row r="1249" spans="3:12" x14ac:dyDescent="0.25">
      <c r="C1249" s="7"/>
      <c r="E1249" s="8"/>
      <c r="F1249" s="8"/>
      <c r="G1249" s="8"/>
      <c r="H1249" s="8"/>
      <c r="I1249" s="8"/>
      <c r="J1249" s="8"/>
      <c r="K1249" s="8"/>
      <c r="L1249" s="8"/>
    </row>
    <row r="1250" spans="3:12" x14ac:dyDescent="0.25">
      <c r="C1250" s="7"/>
      <c r="E1250" s="8"/>
      <c r="F1250" s="8"/>
      <c r="G1250" s="8"/>
      <c r="H1250" s="8"/>
      <c r="I1250" s="8"/>
      <c r="J1250" s="8"/>
      <c r="K1250" s="8"/>
      <c r="L1250" s="8"/>
    </row>
    <row r="1251" spans="3:12" x14ac:dyDescent="0.25">
      <c r="C1251" s="7"/>
      <c r="E1251" s="8"/>
      <c r="F1251" s="8"/>
      <c r="G1251" s="8"/>
      <c r="H1251" s="8"/>
      <c r="I1251" s="8"/>
      <c r="J1251" s="8"/>
      <c r="K1251" s="8"/>
      <c r="L1251" s="8"/>
    </row>
    <row r="1252" spans="3:12" x14ac:dyDescent="0.25">
      <c r="C1252" s="7"/>
      <c r="E1252" s="8"/>
      <c r="F1252" s="8"/>
      <c r="G1252" s="8"/>
      <c r="H1252" s="8"/>
      <c r="I1252" s="8"/>
      <c r="J1252" s="8"/>
      <c r="K1252" s="8"/>
      <c r="L1252" s="8"/>
    </row>
    <row r="1253" spans="3:12" x14ac:dyDescent="0.25">
      <c r="C1253" s="7"/>
      <c r="E1253" s="8"/>
      <c r="F1253" s="8"/>
      <c r="G1253" s="8"/>
      <c r="H1253" s="8"/>
      <c r="I1253" s="8"/>
      <c r="J1253" s="8"/>
      <c r="K1253" s="8"/>
      <c r="L1253" s="8"/>
    </row>
    <row r="1254" spans="3:12" x14ac:dyDescent="0.25">
      <c r="C1254" s="7"/>
      <c r="E1254" s="8"/>
      <c r="F1254" s="8"/>
      <c r="G1254" s="8"/>
      <c r="H1254" s="8"/>
      <c r="I1254" s="8"/>
      <c r="J1254" s="8"/>
      <c r="K1254" s="8"/>
      <c r="L1254" s="8"/>
    </row>
    <row r="1255" spans="3:12" x14ac:dyDescent="0.25">
      <c r="C1255" s="7"/>
      <c r="E1255" s="8"/>
      <c r="F1255" s="8"/>
      <c r="G1255" s="8"/>
      <c r="H1255" s="8"/>
      <c r="I1255" s="8"/>
      <c r="J1255" s="8"/>
      <c r="K1255" s="8"/>
      <c r="L1255" s="8"/>
    </row>
    <row r="1256" spans="3:12" x14ac:dyDescent="0.25">
      <c r="C1256" s="7"/>
      <c r="E1256" s="8"/>
      <c r="F1256" s="8"/>
      <c r="G1256" s="8"/>
      <c r="H1256" s="8"/>
      <c r="I1256" s="8"/>
      <c r="J1256" s="8"/>
      <c r="K1256" s="8"/>
      <c r="L1256" s="8"/>
    </row>
    <row r="1257" spans="3:12" x14ac:dyDescent="0.25">
      <c r="C1257" s="7"/>
      <c r="E1257" s="8"/>
      <c r="F1257" s="8"/>
      <c r="G1257" s="8"/>
      <c r="H1257" s="8"/>
      <c r="I1257" s="8"/>
      <c r="J1257" s="8"/>
      <c r="K1257" s="8"/>
      <c r="L1257" s="8"/>
    </row>
    <row r="1258" spans="3:12" x14ac:dyDescent="0.25">
      <c r="C1258" s="7"/>
      <c r="E1258" s="8"/>
      <c r="F1258" s="8"/>
      <c r="G1258" s="8"/>
      <c r="H1258" s="8"/>
      <c r="I1258" s="8"/>
      <c r="J1258" s="8"/>
      <c r="K1258" s="8"/>
      <c r="L1258" s="8"/>
    </row>
    <row r="1259" spans="3:12" x14ac:dyDescent="0.25">
      <c r="C1259" s="7"/>
      <c r="E1259" s="8"/>
      <c r="F1259" s="8"/>
      <c r="G1259" s="8"/>
      <c r="H1259" s="8"/>
      <c r="I1259" s="8"/>
      <c r="J1259" s="8"/>
      <c r="K1259" s="8"/>
      <c r="L1259" s="8"/>
    </row>
    <row r="1260" spans="3:12" x14ac:dyDescent="0.25">
      <c r="C1260" s="7"/>
      <c r="E1260" s="8"/>
      <c r="F1260" s="8"/>
      <c r="G1260" s="8"/>
      <c r="H1260" s="8"/>
      <c r="I1260" s="8"/>
      <c r="J1260" s="8"/>
      <c r="K1260" s="8"/>
      <c r="L1260" s="8"/>
    </row>
    <row r="1261" spans="3:12" x14ac:dyDescent="0.25">
      <c r="C1261" s="7"/>
      <c r="E1261" s="8"/>
      <c r="F1261" s="8"/>
      <c r="G1261" s="8"/>
      <c r="H1261" s="8"/>
      <c r="I1261" s="8"/>
      <c r="J1261" s="8"/>
      <c r="K1261" s="8"/>
      <c r="L1261" s="8"/>
    </row>
    <row r="1262" spans="3:12" x14ac:dyDescent="0.25">
      <c r="C1262" s="7"/>
      <c r="E1262" s="8"/>
      <c r="F1262" s="8"/>
      <c r="G1262" s="8"/>
      <c r="H1262" s="8"/>
      <c r="I1262" s="8"/>
      <c r="J1262" s="8"/>
      <c r="K1262" s="8"/>
      <c r="L1262" s="8"/>
    </row>
    <row r="1263" spans="3:12" x14ac:dyDescent="0.25">
      <c r="C1263" s="7"/>
      <c r="E1263" s="8"/>
      <c r="F1263" s="8"/>
      <c r="G1263" s="8"/>
      <c r="H1263" s="8"/>
      <c r="I1263" s="8"/>
      <c r="J1263" s="8"/>
      <c r="K1263" s="8"/>
      <c r="L1263" s="8"/>
    </row>
    <row r="1264" spans="3:12" x14ac:dyDescent="0.25">
      <c r="C1264" s="7"/>
      <c r="E1264" s="8"/>
      <c r="F1264" s="8"/>
      <c r="G1264" s="8"/>
      <c r="H1264" s="8"/>
      <c r="I1264" s="8"/>
      <c r="J1264" s="8"/>
      <c r="K1264" s="8"/>
      <c r="L1264" s="8"/>
    </row>
    <row r="1265" spans="3:12" x14ac:dyDescent="0.25">
      <c r="C1265" s="7"/>
      <c r="E1265" s="8"/>
      <c r="F1265" s="8"/>
      <c r="G1265" s="8"/>
      <c r="H1265" s="8"/>
      <c r="I1265" s="8"/>
      <c r="J1265" s="8"/>
      <c r="K1265" s="8"/>
      <c r="L1265" s="8"/>
    </row>
    <row r="1266" spans="3:12" x14ac:dyDescent="0.25">
      <c r="C1266" s="7"/>
      <c r="E1266" s="8"/>
      <c r="F1266" s="8"/>
      <c r="G1266" s="8"/>
      <c r="H1266" s="8"/>
      <c r="I1266" s="8"/>
      <c r="J1266" s="8"/>
      <c r="K1266" s="8"/>
      <c r="L1266" s="8"/>
    </row>
    <row r="1267" spans="3:12" x14ac:dyDescent="0.25">
      <c r="C1267" s="7"/>
      <c r="E1267" s="8"/>
      <c r="F1267" s="8"/>
      <c r="G1267" s="8"/>
      <c r="H1267" s="8"/>
      <c r="I1267" s="8"/>
      <c r="J1267" s="8"/>
      <c r="K1267" s="8"/>
      <c r="L1267" s="8"/>
    </row>
    <row r="1268" spans="3:12" x14ac:dyDescent="0.25">
      <c r="C1268" s="7"/>
      <c r="E1268" s="8"/>
      <c r="F1268" s="8"/>
      <c r="G1268" s="8"/>
      <c r="H1268" s="8"/>
      <c r="I1268" s="8"/>
      <c r="J1268" s="8"/>
      <c r="K1268" s="8"/>
      <c r="L1268" s="8"/>
    </row>
    <row r="1269" spans="3:12" x14ac:dyDescent="0.25">
      <c r="C1269" s="7"/>
      <c r="E1269" s="8"/>
      <c r="F1269" s="8"/>
      <c r="G1269" s="8"/>
      <c r="H1269" s="8"/>
      <c r="I1269" s="8"/>
      <c r="J1269" s="8"/>
      <c r="K1269" s="8"/>
      <c r="L1269" s="8"/>
    </row>
    <row r="1270" spans="3:12" x14ac:dyDescent="0.25">
      <c r="C1270" s="7"/>
      <c r="E1270" s="8"/>
      <c r="F1270" s="8"/>
      <c r="G1270" s="8"/>
      <c r="H1270" s="8"/>
      <c r="I1270" s="8"/>
      <c r="J1270" s="8"/>
      <c r="K1270" s="8"/>
      <c r="L1270" s="8"/>
    </row>
    <row r="1271" spans="3:12" x14ac:dyDescent="0.25">
      <c r="C1271" s="7"/>
      <c r="E1271" s="8"/>
      <c r="F1271" s="8"/>
      <c r="G1271" s="8"/>
      <c r="H1271" s="8"/>
      <c r="I1271" s="8"/>
      <c r="J1271" s="8"/>
      <c r="K1271" s="8"/>
      <c r="L1271" s="8"/>
    </row>
    <row r="1272" spans="3:12" x14ac:dyDescent="0.25">
      <c r="C1272" s="7"/>
      <c r="E1272" s="8"/>
      <c r="F1272" s="8"/>
      <c r="G1272" s="8"/>
      <c r="H1272" s="8"/>
      <c r="I1272" s="8"/>
      <c r="J1272" s="8"/>
      <c r="K1272" s="8"/>
      <c r="L1272" s="8"/>
    </row>
    <row r="1273" spans="3:12" x14ac:dyDescent="0.25">
      <c r="C1273" s="7"/>
      <c r="E1273" s="8"/>
      <c r="F1273" s="8"/>
      <c r="G1273" s="8"/>
      <c r="H1273" s="8"/>
      <c r="I1273" s="8"/>
      <c r="J1273" s="8"/>
      <c r="K1273" s="8"/>
      <c r="L1273" s="8"/>
    </row>
    <row r="1274" spans="3:12" x14ac:dyDescent="0.25">
      <c r="C1274" s="7"/>
      <c r="E1274" s="8"/>
      <c r="F1274" s="8"/>
      <c r="G1274" s="8"/>
      <c r="H1274" s="8"/>
      <c r="I1274" s="8"/>
      <c r="J1274" s="8"/>
      <c r="K1274" s="8"/>
      <c r="L1274" s="8"/>
    </row>
    <row r="1275" spans="3:12" x14ac:dyDescent="0.25">
      <c r="C1275" s="7"/>
      <c r="E1275" s="8"/>
      <c r="F1275" s="8"/>
      <c r="G1275" s="8"/>
      <c r="H1275" s="8"/>
      <c r="I1275" s="8"/>
      <c r="J1275" s="8"/>
      <c r="K1275" s="8"/>
      <c r="L1275" s="8"/>
    </row>
    <row r="1276" spans="3:12" x14ac:dyDescent="0.25">
      <c r="C1276" s="7"/>
      <c r="E1276" s="8"/>
      <c r="F1276" s="8"/>
      <c r="G1276" s="8"/>
      <c r="H1276" s="8"/>
      <c r="I1276" s="8"/>
      <c r="J1276" s="8"/>
      <c r="K1276" s="8"/>
      <c r="L1276" s="8"/>
    </row>
    <row r="1277" spans="3:12" x14ac:dyDescent="0.25">
      <c r="C1277" s="7"/>
      <c r="E1277" s="8"/>
      <c r="F1277" s="8"/>
      <c r="G1277" s="8"/>
      <c r="H1277" s="8"/>
      <c r="I1277" s="8"/>
      <c r="J1277" s="8"/>
      <c r="K1277" s="8"/>
      <c r="L1277" s="8"/>
    </row>
    <row r="1278" spans="3:12" x14ac:dyDescent="0.25">
      <c r="C1278" s="7"/>
      <c r="E1278" s="8"/>
      <c r="F1278" s="8"/>
      <c r="G1278" s="8"/>
      <c r="H1278" s="8"/>
      <c r="I1278" s="8"/>
      <c r="J1278" s="8"/>
      <c r="K1278" s="8"/>
      <c r="L1278" s="8"/>
    </row>
    <row r="1279" spans="3:12" x14ac:dyDescent="0.25">
      <c r="C1279" s="7"/>
      <c r="E1279" s="8"/>
      <c r="F1279" s="8"/>
      <c r="G1279" s="8"/>
      <c r="H1279" s="8"/>
      <c r="I1279" s="8"/>
      <c r="J1279" s="8"/>
      <c r="K1279" s="8"/>
      <c r="L1279" s="8"/>
    </row>
    <row r="1280" spans="3:12" x14ac:dyDescent="0.25">
      <c r="C1280" s="7"/>
      <c r="E1280" s="8"/>
      <c r="F1280" s="8"/>
      <c r="G1280" s="8"/>
      <c r="H1280" s="8"/>
      <c r="I1280" s="8"/>
      <c r="J1280" s="8"/>
      <c r="K1280" s="8"/>
      <c r="L1280" s="8"/>
    </row>
    <row r="1281" spans="3:12" x14ac:dyDescent="0.25">
      <c r="C1281" s="7"/>
      <c r="E1281" s="8"/>
      <c r="F1281" s="8"/>
      <c r="G1281" s="8"/>
      <c r="H1281" s="8"/>
      <c r="I1281" s="8"/>
      <c r="J1281" s="8"/>
      <c r="K1281" s="8"/>
      <c r="L1281" s="8"/>
    </row>
    <row r="1282" spans="3:12" x14ac:dyDescent="0.25">
      <c r="C1282" s="7"/>
      <c r="E1282" s="8"/>
      <c r="F1282" s="8"/>
      <c r="G1282" s="8"/>
      <c r="H1282" s="8"/>
      <c r="I1282" s="8"/>
      <c r="J1282" s="8"/>
      <c r="K1282" s="8"/>
      <c r="L1282" s="8"/>
    </row>
    <row r="1283" spans="3:12" x14ac:dyDescent="0.25">
      <c r="C1283" s="7"/>
      <c r="E1283" s="8"/>
      <c r="F1283" s="8"/>
      <c r="G1283" s="8"/>
      <c r="H1283" s="8"/>
      <c r="I1283" s="8"/>
      <c r="J1283" s="8"/>
      <c r="K1283" s="8"/>
      <c r="L1283" s="8"/>
    </row>
    <row r="1284" spans="3:12" x14ac:dyDescent="0.25">
      <c r="C1284" s="7"/>
      <c r="E1284" s="8"/>
      <c r="F1284" s="8"/>
      <c r="G1284" s="8"/>
      <c r="H1284" s="8"/>
      <c r="I1284" s="8"/>
      <c r="J1284" s="8"/>
      <c r="K1284" s="8"/>
      <c r="L1284" s="8"/>
    </row>
    <row r="1285" spans="3:12" x14ac:dyDescent="0.25">
      <c r="C1285" s="7"/>
      <c r="E1285" s="8"/>
      <c r="F1285" s="8"/>
      <c r="G1285" s="8"/>
      <c r="H1285" s="8"/>
      <c r="I1285" s="8"/>
      <c r="J1285" s="8"/>
      <c r="K1285" s="8"/>
      <c r="L1285" s="8"/>
    </row>
    <row r="1286" spans="3:12" x14ac:dyDescent="0.25">
      <c r="C1286" s="7"/>
      <c r="E1286" s="8"/>
      <c r="F1286" s="8"/>
      <c r="G1286" s="8"/>
      <c r="H1286" s="8"/>
      <c r="I1286" s="8"/>
      <c r="J1286" s="8"/>
      <c r="K1286" s="8"/>
      <c r="L1286" s="8"/>
    </row>
    <row r="1287" spans="3:12" x14ac:dyDescent="0.25">
      <c r="C1287" s="7"/>
      <c r="E1287" s="8"/>
      <c r="F1287" s="8"/>
      <c r="G1287" s="8"/>
      <c r="H1287" s="8"/>
      <c r="I1287" s="8"/>
      <c r="J1287" s="8"/>
      <c r="K1287" s="8"/>
      <c r="L1287" s="8"/>
    </row>
    <row r="1288" spans="3:12" x14ac:dyDescent="0.25">
      <c r="C1288" s="7"/>
      <c r="E1288" s="8"/>
      <c r="F1288" s="8"/>
      <c r="G1288" s="8"/>
      <c r="H1288" s="8"/>
      <c r="I1288" s="8"/>
      <c r="J1288" s="8"/>
      <c r="K1288" s="8"/>
      <c r="L1288" s="8"/>
    </row>
    <row r="1289" spans="3:12" x14ac:dyDescent="0.25">
      <c r="C1289" s="7"/>
      <c r="E1289" s="8"/>
      <c r="F1289" s="8"/>
      <c r="G1289" s="8"/>
      <c r="H1289" s="8"/>
      <c r="I1289" s="8"/>
      <c r="J1289" s="8"/>
      <c r="K1289" s="8"/>
      <c r="L1289" s="8"/>
    </row>
    <row r="1290" spans="3:12" x14ac:dyDescent="0.25">
      <c r="C1290" s="7"/>
      <c r="E1290" s="8"/>
      <c r="F1290" s="8"/>
      <c r="G1290" s="8"/>
      <c r="H1290" s="8"/>
      <c r="I1290" s="8"/>
      <c r="J1290" s="8"/>
      <c r="K1290" s="8"/>
      <c r="L1290" s="8"/>
    </row>
    <row r="1291" spans="3:12" x14ac:dyDescent="0.25">
      <c r="C1291" s="7"/>
      <c r="E1291" s="8"/>
      <c r="F1291" s="8"/>
      <c r="G1291" s="8"/>
      <c r="H1291" s="8"/>
      <c r="I1291" s="8"/>
      <c r="J1291" s="8"/>
      <c r="K1291" s="8"/>
      <c r="L1291" s="8"/>
    </row>
    <row r="1292" spans="3:12" x14ac:dyDescent="0.25">
      <c r="C1292" s="7"/>
      <c r="E1292" s="8"/>
      <c r="F1292" s="8"/>
      <c r="G1292" s="8"/>
      <c r="H1292" s="8"/>
      <c r="I1292" s="8"/>
      <c r="J1292" s="8"/>
      <c r="K1292" s="8"/>
      <c r="L1292" s="8"/>
    </row>
    <row r="1293" spans="3:12" x14ac:dyDescent="0.25">
      <c r="C1293" s="7"/>
      <c r="E1293" s="8"/>
      <c r="F1293" s="8"/>
      <c r="G1293" s="8"/>
      <c r="H1293" s="8"/>
      <c r="I1293" s="8"/>
      <c r="J1293" s="8"/>
      <c r="K1293" s="8"/>
      <c r="L1293" s="8"/>
    </row>
    <row r="1294" spans="3:12" x14ac:dyDescent="0.25">
      <c r="C1294" s="7"/>
      <c r="E1294" s="8"/>
      <c r="F1294" s="8"/>
      <c r="G1294" s="8"/>
      <c r="H1294" s="8"/>
      <c r="I1294" s="8"/>
      <c r="J1294" s="8"/>
      <c r="K1294" s="8"/>
      <c r="L1294" s="8"/>
    </row>
    <row r="1295" spans="3:12" x14ac:dyDescent="0.25">
      <c r="C1295" s="7"/>
      <c r="E1295" s="8"/>
      <c r="F1295" s="8"/>
      <c r="G1295" s="8"/>
      <c r="H1295" s="8"/>
      <c r="I1295" s="8"/>
      <c r="J1295" s="8"/>
      <c r="K1295" s="8"/>
      <c r="L1295" s="8"/>
    </row>
    <row r="1296" spans="3:12" x14ac:dyDescent="0.25">
      <c r="C1296" s="7"/>
      <c r="E1296" s="8"/>
      <c r="F1296" s="8"/>
      <c r="G1296" s="8"/>
      <c r="H1296" s="8"/>
      <c r="I1296" s="8"/>
      <c r="J1296" s="8"/>
      <c r="K1296" s="8"/>
      <c r="L1296" s="8"/>
    </row>
    <row r="1297" spans="3:12" x14ac:dyDescent="0.25">
      <c r="C1297" s="7"/>
      <c r="E1297" s="8"/>
      <c r="F1297" s="8"/>
      <c r="G1297" s="8"/>
      <c r="H1297" s="8"/>
      <c r="I1297" s="8"/>
      <c r="J1297" s="8"/>
      <c r="K1297" s="8"/>
      <c r="L1297" s="8"/>
    </row>
    <row r="1298" spans="3:12" x14ac:dyDescent="0.25">
      <c r="C1298" s="7"/>
      <c r="E1298" s="8"/>
      <c r="F1298" s="8"/>
      <c r="G1298" s="8"/>
      <c r="H1298" s="8"/>
      <c r="I1298" s="8"/>
      <c r="J1298" s="8"/>
      <c r="K1298" s="8"/>
      <c r="L1298" s="8"/>
    </row>
    <row r="1299" spans="3:12" x14ac:dyDescent="0.25">
      <c r="C1299" s="7"/>
      <c r="E1299" s="8"/>
      <c r="F1299" s="8"/>
      <c r="G1299" s="8"/>
      <c r="H1299" s="8"/>
      <c r="I1299" s="8"/>
      <c r="J1299" s="8"/>
      <c r="K1299" s="8"/>
      <c r="L1299" s="8"/>
    </row>
    <row r="1300" spans="3:12" x14ac:dyDescent="0.25">
      <c r="C1300" s="7"/>
      <c r="E1300" s="8"/>
      <c r="F1300" s="8"/>
      <c r="G1300" s="8"/>
      <c r="H1300" s="8"/>
      <c r="I1300" s="8"/>
      <c r="J1300" s="8"/>
      <c r="K1300" s="8"/>
      <c r="L1300" s="8"/>
    </row>
    <row r="1301" spans="3:12" x14ac:dyDescent="0.25">
      <c r="C1301" s="7"/>
      <c r="E1301" s="8"/>
      <c r="F1301" s="8"/>
      <c r="G1301" s="8"/>
      <c r="H1301" s="8"/>
      <c r="I1301" s="8"/>
      <c r="J1301" s="8"/>
      <c r="K1301" s="8"/>
      <c r="L1301" s="8"/>
    </row>
    <row r="1302" spans="3:12" x14ac:dyDescent="0.25">
      <c r="C1302" s="7"/>
      <c r="E1302" s="8"/>
      <c r="F1302" s="8"/>
      <c r="G1302" s="8"/>
      <c r="H1302" s="8"/>
      <c r="I1302" s="8"/>
      <c r="J1302" s="8"/>
      <c r="K1302" s="8"/>
      <c r="L1302" s="8"/>
    </row>
    <row r="1303" spans="3:12" x14ac:dyDescent="0.25">
      <c r="C1303" s="7"/>
      <c r="E1303" s="8"/>
      <c r="F1303" s="8"/>
      <c r="G1303" s="8"/>
      <c r="H1303" s="8"/>
      <c r="I1303" s="8"/>
      <c r="J1303" s="8"/>
      <c r="K1303" s="8"/>
      <c r="L1303" s="8"/>
    </row>
    <row r="1304" spans="3:12" x14ac:dyDescent="0.25">
      <c r="C1304" s="7"/>
      <c r="E1304" s="8"/>
      <c r="F1304" s="8"/>
      <c r="G1304" s="8"/>
      <c r="H1304" s="8"/>
      <c r="I1304" s="8"/>
      <c r="J1304" s="8"/>
      <c r="K1304" s="8"/>
      <c r="L1304" s="8"/>
    </row>
    <row r="1305" spans="3:12" x14ac:dyDescent="0.25">
      <c r="C1305" s="7"/>
      <c r="E1305" s="8"/>
      <c r="F1305" s="8"/>
      <c r="G1305" s="8"/>
      <c r="H1305" s="8"/>
      <c r="I1305" s="8"/>
      <c r="J1305" s="8"/>
      <c r="K1305" s="8"/>
      <c r="L1305" s="8"/>
    </row>
    <row r="1306" spans="3:12" x14ac:dyDescent="0.25">
      <c r="C1306" s="7"/>
      <c r="E1306" s="8"/>
      <c r="F1306" s="8"/>
      <c r="G1306" s="8"/>
      <c r="H1306" s="8"/>
      <c r="I1306" s="8"/>
      <c r="J1306" s="8"/>
      <c r="K1306" s="8"/>
      <c r="L1306" s="8"/>
    </row>
    <row r="1307" spans="3:12" x14ac:dyDescent="0.25">
      <c r="C1307" s="7"/>
      <c r="E1307" s="8"/>
      <c r="F1307" s="8"/>
      <c r="G1307" s="8"/>
      <c r="H1307" s="8"/>
      <c r="I1307" s="8"/>
      <c r="J1307" s="8"/>
      <c r="K1307" s="8"/>
      <c r="L1307" s="8"/>
    </row>
    <row r="1308" spans="3:12" x14ac:dyDescent="0.25">
      <c r="C1308" s="7"/>
      <c r="E1308" s="8"/>
      <c r="F1308" s="8"/>
      <c r="G1308" s="8"/>
      <c r="H1308" s="8"/>
      <c r="I1308" s="8"/>
      <c r="J1308" s="8"/>
      <c r="K1308" s="8"/>
      <c r="L1308" s="8"/>
    </row>
    <row r="1309" spans="3:12" x14ac:dyDescent="0.25">
      <c r="C1309" s="7"/>
      <c r="E1309" s="8"/>
      <c r="F1309" s="8"/>
      <c r="G1309" s="8"/>
      <c r="H1309" s="8"/>
      <c r="I1309" s="8"/>
      <c r="J1309" s="8"/>
      <c r="K1309" s="8"/>
      <c r="L1309" s="8"/>
    </row>
    <row r="1310" spans="3:12" x14ac:dyDescent="0.25">
      <c r="C1310" s="7"/>
      <c r="E1310" s="8"/>
      <c r="F1310" s="8"/>
      <c r="G1310" s="8"/>
      <c r="H1310" s="8"/>
      <c r="I1310" s="8"/>
      <c r="J1310" s="8"/>
      <c r="K1310" s="8"/>
      <c r="L1310" s="8"/>
    </row>
    <row r="1311" spans="3:12" x14ac:dyDescent="0.25">
      <c r="C1311" s="7"/>
      <c r="E1311" s="8"/>
      <c r="F1311" s="8"/>
      <c r="G1311" s="8"/>
      <c r="H1311" s="8"/>
      <c r="I1311" s="8"/>
      <c r="J1311" s="8"/>
      <c r="K1311" s="8"/>
      <c r="L1311" s="8"/>
    </row>
    <row r="1312" spans="3:12" x14ac:dyDescent="0.25">
      <c r="C1312" s="7"/>
      <c r="E1312" s="8"/>
      <c r="F1312" s="8"/>
      <c r="G1312" s="8"/>
      <c r="H1312" s="8"/>
      <c r="I1312" s="8"/>
      <c r="J1312" s="8"/>
      <c r="K1312" s="8"/>
      <c r="L1312" s="8"/>
    </row>
    <row r="1313" spans="3:12" x14ac:dyDescent="0.25">
      <c r="C1313" s="7"/>
      <c r="E1313" s="8"/>
      <c r="F1313" s="8"/>
      <c r="G1313" s="8"/>
      <c r="H1313" s="8"/>
      <c r="I1313" s="8"/>
      <c r="J1313" s="8"/>
      <c r="K1313" s="8"/>
      <c r="L1313" s="8"/>
    </row>
    <row r="1314" spans="3:12" x14ac:dyDescent="0.25">
      <c r="C1314" s="7"/>
      <c r="E1314" s="8"/>
      <c r="F1314" s="8"/>
      <c r="G1314" s="8"/>
      <c r="H1314" s="8"/>
      <c r="I1314" s="8"/>
      <c r="J1314" s="8"/>
      <c r="K1314" s="8"/>
      <c r="L1314" s="8"/>
    </row>
    <row r="1315" spans="3:12" x14ac:dyDescent="0.25">
      <c r="C1315" s="7"/>
      <c r="E1315" s="8"/>
      <c r="F1315" s="8"/>
      <c r="G1315" s="8"/>
      <c r="H1315" s="8"/>
      <c r="I1315" s="8"/>
      <c r="J1315" s="8"/>
      <c r="K1315" s="8"/>
      <c r="L1315" s="8"/>
    </row>
    <row r="1316" spans="3:12" x14ac:dyDescent="0.25">
      <c r="C1316" s="7"/>
      <c r="E1316" s="8"/>
      <c r="F1316" s="8"/>
      <c r="G1316" s="8"/>
      <c r="H1316" s="8"/>
      <c r="I1316" s="8"/>
      <c r="J1316" s="8"/>
      <c r="K1316" s="8"/>
      <c r="L1316" s="8"/>
    </row>
    <row r="1317" spans="3:12" x14ac:dyDescent="0.25">
      <c r="C1317" s="7"/>
      <c r="E1317" s="8"/>
      <c r="F1317" s="8"/>
      <c r="G1317" s="8"/>
      <c r="H1317" s="8"/>
      <c r="I1317" s="8"/>
      <c r="J1317" s="8"/>
      <c r="K1317" s="8"/>
      <c r="L1317" s="8"/>
    </row>
    <row r="1318" spans="3:12" x14ac:dyDescent="0.25">
      <c r="C1318" s="7"/>
      <c r="E1318" s="8"/>
      <c r="F1318" s="8"/>
      <c r="G1318" s="8"/>
      <c r="H1318" s="8"/>
      <c r="I1318" s="8"/>
      <c r="J1318" s="8"/>
      <c r="K1318" s="8"/>
      <c r="L1318" s="8"/>
    </row>
    <row r="1319" spans="3:12" x14ac:dyDescent="0.25">
      <c r="C1319" s="7"/>
      <c r="E1319" s="8"/>
      <c r="F1319" s="8"/>
      <c r="G1319" s="8"/>
      <c r="H1319" s="8"/>
      <c r="I1319" s="8"/>
      <c r="J1319" s="8"/>
      <c r="K1319" s="8"/>
      <c r="L1319" s="8"/>
    </row>
    <row r="1320" spans="3:12" x14ac:dyDescent="0.25">
      <c r="C1320" s="7"/>
      <c r="E1320" s="8"/>
      <c r="F1320" s="8"/>
      <c r="G1320" s="8"/>
      <c r="H1320" s="8"/>
      <c r="I1320" s="8"/>
      <c r="J1320" s="8"/>
      <c r="K1320" s="8"/>
      <c r="L1320" s="8"/>
    </row>
    <row r="1321" spans="3:12" x14ac:dyDescent="0.25">
      <c r="C1321" s="7"/>
      <c r="E1321" s="8"/>
      <c r="F1321" s="8"/>
      <c r="G1321" s="8"/>
      <c r="H1321" s="8"/>
      <c r="I1321" s="8"/>
      <c r="J1321" s="8"/>
      <c r="K1321" s="8"/>
      <c r="L1321" s="8"/>
    </row>
    <row r="1322" spans="3:12" x14ac:dyDescent="0.25">
      <c r="C1322" s="7"/>
      <c r="E1322" s="8"/>
      <c r="F1322" s="8"/>
      <c r="G1322" s="8"/>
      <c r="H1322" s="8"/>
      <c r="I1322" s="8"/>
      <c r="J1322" s="8"/>
      <c r="K1322" s="8"/>
      <c r="L1322" s="8"/>
    </row>
    <row r="1323" spans="3:12" x14ac:dyDescent="0.25">
      <c r="C1323" s="7"/>
      <c r="E1323" s="8"/>
      <c r="F1323" s="8"/>
      <c r="G1323" s="8"/>
      <c r="H1323" s="8"/>
      <c r="I1323" s="8"/>
      <c r="J1323" s="8"/>
      <c r="K1323" s="8"/>
      <c r="L1323" s="8"/>
    </row>
    <row r="1324" spans="3:12" x14ac:dyDescent="0.25">
      <c r="C1324" s="7"/>
      <c r="E1324" s="8"/>
      <c r="F1324" s="8"/>
      <c r="G1324" s="8"/>
      <c r="H1324" s="8"/>
      <c r="I1324" s="8"/>
      <c r="J1324" s="8"/>
      <c r="K1324" s="8"/>
      <c r="L1324" s="8"/>
    </row>
    <row r="1325" spans="3:12" x14ac:dyDescent="0.25">
      <c r="C1325" s="7"/>
      <c r="E1325" s="8"/>
      <c r="F1325" s="8"/>
      <c r="G1325" s="8"/>
      <c r="H1325" s="8"/>
      <c r="I1325" s="8"/>
      <c r="J1325" s="8"/>
      <c r="K1325" s="8"/>
      <c r="L1325" s="8"/>
    </row>
    <row r="1326" spans="3:12" x14ac:dyDescent="0.25">
      <c r="C1326" s="7"/>
      <c r="E1326" s="8"/>
      <c r="F1326" s="8"/>
      <c r="G1326" s="8"/>
      <c r="H1326" s="8"/>
      <c r="I1326" s="8"/>
      <c r="J1326" s="8"/>
      <c r="K1326" s="8"/>
      <c r="L1326" s="8"/>
    </row>
    <row r="1327" spans="3:12" x14ac:dyDescent="0.25">
      <c r="C1327" s="7"/>
      <c r="E1327" s="8"/>
      <c r="F1327" s="8"/>
      <c r="G1327" s="8"/>
      <c r="H1327" s="8"/>
      <c r="I1327" s="8"/>
      <c r="J1327" s="8"/>
      <c r="K1327" s="8"/>
      <c r="L1327" s="8"/>
    </row>
    <row r="1328" spans="3:12" x14ac:dyDescent="0.25">
      <c r="C1328" s="7"/>
      <c r="E1328" s="8"/>
      <c r="F1328" s="8"/>
      <c r="G1328" s="8"/>
      <c r="H1328" s="8"/>
      <c r="I1328" s="8"/>
      <c r="J1328" s="8"/>
      <c r="K1328" s="8"/>
      <c r="L1328" s="8"/>
    </row>
    <row r="1329" spans="3:12" x14ac:dyDescent="0.25">
      <c r="C1329" s="7"/>
      <c r="E1329" s="8"/>
      <c r="F1329" s="8"/>
      <c r="G1329" s="8"/>
      <c r="H1329" s="8"/>
      <c r="I1329" s="8"/>
      <c r="J1329" s="8"/>
      <c r="K1329" s="8"/>
      <c r="L1329" s="8"/>
    </row>
    <row r="1330" spans="3:12" x14ac:dyDescent="0.25">
      <c r="C1330" s="7"/>
      <c r="E1330" s="8"/>
      <c r="F1330" s="8"/>
      <c r="G1330" s="8"/>
      <c r="H1330" s="8"/>
      <c r="I1330" s="8"/>
      <c r="J1330" s="8"/>
      <c r="K1330" s="8"/>
      <c r="L1330" s="8"/>
    </row>
    <row r="1331" spans="3:12" x14ac:dyDescent="0.25">
      <c r="C1331" s="7"/>
      <c r="E1331" s="8"/>
      <c r="F1331" s="8"/>
      <c r="G1331" s="8"/>
      <c r="H1331" s="8"/>
      <c r="I1331" s="8"/>
      <c r="J1331" s="8"/>
      <c r="K1331" s="8"/>
      <c r="L1331" s="8"/>
    </row>
    <row r="1332" spans="3:12" x14ac:dyDescent="0.25">
      <c r="C1332" s="7"/>
      <c r="E1332" s="8"/>
      <c r="F1332" s="8"/>
      <c r="G1332" s="8"/>
      <c r="H1332" s="8"/>
      <c r="I1332" s="8"/>
      <c r="J1332" s="8"/>
      <c r="K1332" s="8"/>
      <c r="L1332" s="8"/>
    </row>
    <row r="1333" spans="3:12" x14ac:dyDescent="0.25">
      <c r="C1333" s="7"/>
      <c r="E1333" s="8"/>
      <c r="F1333" s="8"/>
      <c r="G1333" s="8"/>
      <c r="H1333" s="8"/>
      <c r="I1333" s="8"/>
      <c r="J1333" s="8"/>
      <c r="K1333" s="8"/>
      <c r="L1333" s="8"/>
    </row>
    <row r="1334" spans="3:12" x14ac:dyDescent="0.25">
      <c r="C1334" s="7"/>
      <c r="E1334" s="8"/>
      <c r="F1334" s="8"/>
      <c r="G1334" s="8"/>
      <c r="H1334" s="8"/>
      <c r="I1334" s="8"/>
      <c r="J1334" s="8"/>
      <c r="K1334" s="8"/>
      <c r="L1334" s="8"/>
    </row>
    <row r="1335" spans="3:12" x14ac:dyDescent="0.25">
      <c r="C1335" s="7"/>
      <c r="E1335" s="8"/>
      <c r="F1335" s="8"/>
      <c r="G1335" s="8"/>
      <c r="H1335" s="8"/>
      <c r="I1335" s="8"/>
      <c r="J1335" s="8"/>
      <c r="K1335" s="8"/>
      <c r="L1335" s="8"/>
    </row>
    <row r="1336" spans="3:12" x14ac:dyDescent="0.25">
      <c r="C1336" s="7"/>
      <c r="E1336" s="8"/>
      <c r="F1336" s="8"/>
      <c r="G1336" s="8"/>
      <c r="H1336" s="8"/>
      <c r="I1336" s="8"/>
      <c r="J1336" s="8"/>
      <c r="K1336" s="8"/>
      <c r="L1336" s="8"/>
    </row>
    <row r="1337" spans="3:12" x14ac:dyDescent="0.25">
      <c r="C1337" s="7"/>
      <c r="E1337" s="8"/>
      <c r="F1337" s="8"/>
      <c r="G1337" s="8"/>
      <c r="H1337" s="8"/>
      <c r="I1337" s="8"/>
      <c r="J1337" s="8"/>
      <c r="K1337" s="8"/>
      <c r="L1337" s="8"/>
    </row>
    <row r="1338" spans="3:12" x14ac:dyDescent="0.25">
      <c r="C1338" s="7"/>
      <c r="E1338" s="8"/>
      <c r="F1338" s="8"/>
      <c r="G1338" s="8"/>
      <c r="H1338" s="8"/>
      <c r="I1338" s="8"/>
      <c r="J1338" s="8"/>
      <c r="K1338" s="8"/>
      <c r="L1338" s="8"/>
    </row>
    <row r="1339" spans="3:12" x14ac:dyDescent="0.25">
      <c r="C1339" s="7"/>
      <c r="E1339" s="8"/>
      <c r="F1339" s="8"/>
      <c r="G1339" s="8"/>
      <c r="H1339" s="8"/>
      <c r="I1339" s="8"/>
      <c r="J1339" s="8"/>
      <c r="K1339" s="8"/>
      <c r="L1339" s="8"/>
    </row>
    <row r="1340" spans="3:12" x14ac:dyDescent="0.25">
      <c r="C1340" s="7"/>
      <c r="E1340" s="8"/>
      <c r="F1340" s="8"/>
      <c r="G1340" s="8"/>
      <c r="H1340" s="8"/>
      <c r="I1340" s="8"/>
      <c r="J1340" s="8"/>
      <c r="K1340" s="8"/>
      <c r="L1340" s="8"/>
    </row>
    <row r="1341" spans="3:12" x14ac:dyDescent="0.25">
      <c r="C1341" s="7"/>
      <c r="E1341" s="8"/>
      <c r="F1341" s="8"/>
      <c r="G1341" s="8"/>
      <c r="H1341" s="8"/>
      <c r="I1341" s="8"/>
      <c r="J1341" s="8"/>
      <c r="K1341" s="8"/>
      <c r="L1341" s="8"/>
    </row>
    <row r="1342" spans="3:12" x14ac:dyDescent="0.25">
      <c r="C1342" s="7"/>
      <c r="E1342" s="8"/>
      <c r="F1342" s="8"/>
      <c r="G1342" s="8"/>
      <c r="H1342" s="8"/>
      <c r="I1342" s="8"/>
      <c r="J1342" s="8"/>
      <c r="K1342" s="8"/>
      <c r="L1342" s="8"/>
    </row>
    <row r="1343" spans="3:12" x14ac:dyDescent="0.25">
      <c r="C1343" s="7"/>
      <c r="E1343" s="8"/>
      <c r="F1343" s="8"/>
      <c r="G1343" s="8"/>
      <c r="H1343" s="8"/>
      <c r="I1343" s="8"/>
      <c r="J1343" s="8"/>
      <c r="K1343" s="8"/>
      <c r="L1343" s="8"/>
    </row>
    <row r="1344" spans="3:12" x14ac:dyDescent="0.25">
      <c r="C1344" s="7"/>
      <c r="E1344" s="8"/>
      <c r="F1344" s="8"/>
      <c r="G1344" s="8"/>
      <c r="H1344" s="8"/>
      <c r="I1344" s="8"/>
      <c r="J1344" s="8"/>
      <c r="K1344" s="8"/>
      <c r="L1344" s="8"/>
    </row>
    <row r="1345" spans="3:12" x14ac:dyDescent="0.25">
      <c r="C1345" s="7"/>
      <c r="E1345" s="8"/>
      <c r="F1345" s="8"/>
      <c r="G1345" s="8"/>
      <c r="H1345" s="8"/>
      <c r="I1345" s="8"/>
      <c r="J1345" s="8"/>
      <c r="K1345" s="8"/>
      <c r="L1345" s="8"/>
    </row>
    <row r="1346" spans="3:12" x14ac:dyDescent="0.25">
      <c r="C1346" s="7"/>
      <c r="E1346" s="8"/>
      <c r="F1346" s="8"/>
      <c r="G1346" s="8"/>
      <c r="H1346" s="8"/>
      <c r="I1346" s="8"/>
      <c r="J1346" s="8"/>
      <c r="K1346" s="8"/>
      <c r="L1346" s="8"/>
    </row>
    <row r="1347" spans="3:12" x14ac:dyDescent="0.25">
      <c r="C1347" s="7"/>
      <c r="E1347" s="8"/>
      <c r="F1347" s="8"/>
      <c r="G1347" s="8"/>
      <c r="H1347" s="8"/>
      <c r="I1347" s="8"/>
      <c r="J1347" s="8"/>
      <c r="K1347" s="8"/>
      <c r="L1347" s="8"/>
    </row>
    <row r="1348" spans="3:12" x14ac:dyDescent="0.25">
      <c r="C1348" s="7"/>
      <c r="E1348" s="8"/>
      <c r="F1348" s="8"/>
      <c r="G1348" s="8"/>
      <c r="H1348" s="8"/>
      <c r="I1348" s="8"/>
      <c r="J1348" s="8"/>
      <c r="K1348" s="8"/>
      <c r="L1348" s="8"/>
    </row>
    <row r="1349" spans="3:12" x14ac:dyDescent="0.25">
      <c r="C1349" s="7"/>
      <c r="E1349" s="8"/>
      <c r="F1349" s="8"/>
      <c r="G1349" s="8"/>
      <c r="H1349" s="8"/>
      <c r="I1349" s="8"/>
      <c r="J1349" s="8"/>
      <c r="K1349" s="8"/>
      <c r="L1349" s="8"/>
    </row>
    <row r="1350" spans="3:12" x14ac:dyDescent="0.25">
      <c r="C1350" s="7"/>
      <c r="E1350" s="8"/>
      <c r="F1350" s="8"/>
      <c r="G1350" s="8"/>
      <c r="H1350" s="8"/>
      <c r="I1350" s="8"/>
      <c r="J1350" s="8"/>
      <c r="K1350" s="8"/>
      <c r="L1350" s="8"/>
    </row>
    <row r="1351" spans="3:12" x14ac:dyDescent="0.25">
      <c r="C1351" s="7"/>
      <c r="E1351" s="8"/>
      <c r="F1351" s="8"/>
      <c r="G1351" s="8"/>
      <c r="H1351" s="8"/>
      <c r="I1351" s="8"/>
      <c r="J1351" s="8"/>
      <c r="K1351" s="8"/>
      <c r="L1351" s="8"/>
    </row>
    <row r="1352" spans="3:12" x14ac:dyDescent="0.25">
      <c r="C1352" s="7"/>
      <c r="E1352" s="8"/>
      <c r="F1352" s="8"/>
      <c r="G1352" s="8"/>
      <c r="H1352" s="8"/>
      <c r="I1352" s="8"/>
      <c r="J1352" s="8"/>
      <c r="K1352" s="8"/>
      <c r="L1352" s="8"/>
    </row>
    <row r="1353" spans="3:12" x14ac:dyDescent="0.25">
      <c r="C1353" s="7"/>
      <c r="E1353" s="8"/>
      <c r="F1353" s="8"/>
      <c r="G1353" s="8"/>
      <c r="H1353" s="8"/>
      <c r="I1353" s="8"/>
      <c r="J1353" s="8"/>
      <c r="K1353" s="8"/>
      <c r="L1353" s="8"/>
    </row>
    <row r="1354" spans="3:12" x14ac:dyDescent="0.25">
      <c r="C1354" s="7"/>
      <c r="E1354" s="8"/>
      <c r="F1354" s="8"/>
      <c r="G1354" s="8"/>
      <c r="H1354" s="8"/>
      <c r="I1354" s="8"/>
      <c r="J1354" s="8"/>
      <c r="K1354" s="8"/>
      <c r="L1354" s="8"/>
    </row>
    <row r="1355" spans="3:12" x14ac:dyDescent="0.25">
      <c r="C1355" s="7"/>
      <c r="E1355" s="8"/>
      <c r="F1355" s="8"/>
      <c r="G1355" s="8"/>
      <c r="H1355" s="8"/>
      <c r="I1355" s="8"/>
      <c r="J1355" s="8"/>
      <c r="K1355" s="8"/>
      <c r="L1355" s="8"/>
    </row>
    <row r="1356" spans="3:12" x14ac:dyDescent="0.25">
      <c r="C1356" s="7"/>
      <c r="E1356" s="8"/>
      <c r="F1356" s="8"/>
      <c r="G1356" s="8"/>
      <c r="H1356" s="8"/>
      <c r="I1356" s="8"/>
      <c r="J1356" s="8"/>
      <c r="K1356" s="8"/>
      <c r="L1356" s="8"/>
    </row>
    <row r="1357" spans="3:12" x14ac:dyDescent="0.25">
      <c r="C1357" s="7"/>
      <c r="E1357" s="8"/>
      <c r="F1357" s="8"/>
      <c r="G1357" s="8"/>
      <c r="H1357" s="8"/>
      <c r="I1357" s="8"/>
      <c r="J1357" s="8"/>
      <c r="K1357" s="8"/>
      <c r="L1357" s="8"/>
    </row>
    <row r="1358" spans="3:12" x14ac:dyDescent="0.25">
      <c r="C1358" s="7"/>
      <c r="E1358" s="8"/>
      <c r="F1358" s="8"/>
      <c r="G1358" s="8"/>
      <c r="H1358" s="8"/>
      <c r="I1358" s="8"/>
      <c r="J1358" s="8"/>
      <c r="K1358" s="8"/>
      <c r="L1358" s="8"/>
    </row>
    <row r="1359" spans="3:12" x14ac:dyDescent="0.25">
      <c r="C1359" s="7"/>
      <c r="E1359" s="8"/>
      <c r="F1359" s="8"/>
      <c r="G1359" s="8"/>
      <c r="H1359" s="8"/>
      <c r="I1359" s="8"/>
      <c r="J1359" s="8"/>
      <c r="K1359" s="8"/>
      <c r="L1359" s="8"/>
    </row>
    <row r="1360" spans="3:12" x14ac:dyDescent="0.25">
      <c r="C1360" s="7"/>
      <c r="E1360" s="8"/>
      <c r="F1360" s="8"/>
      <c r="G1360" s="8"/>
      <c r="H1360" s="8"/>
      <c r="I1360" s="8"/>
      <c r="J1360" s="8"/>
      <c r="K1360" s="8"/>
      <c r="L1360" s="8"/>
    </row>
    <row r="1361" spans="3:12" x14ac:dyDescent="0.25">
      <c r="C1361" s="7"/>
      <c r="E1361" s="8"/>
      <c r="F1361" s="8"/>
      <c r="G1361" s="8"/>
      <c r="H1361" s="8"/>
      <c r="I1361" s="8"/>
      <c r="J1361" s="8"/>
      <c r="K1361" s="8"/>
      <c r="L1361" s="8"/>
    </row>
    <row r="1362" spans="3:12" x14ac:dyDescent="0.25">
      <c r="C1362" s="7"/>
      <c r="E1362" s="8"/>
      <c r="F1362" s="8"/>
      <c r="G1362" s="8"/>
      <c r="H1362" s="8"/>
      <c r="I1362" s="8"/>
      <c r="J1362" s="8"/>
      <c r="K1362" s="8"/>
      <c r="L1362" s="8"/>
    </row>
    <row r="1363" spans="3:12" x14ac:dyDescent="0.25">
      <c r="C1363" s="7"/>
      <c r="E1363" s="8"/>
      <c r="F1363" s="8"/>
      <c r="G1363" s="8"/>
      <c r="H1363" s="8"/>
      <c r="I1363" s="8"/>
      <c r="J1363" s="8"/>
      <c r="K1363" s="8"/>
      <c r="L1363" s="8"/>
    </row>
    <row r="1364" spans="3:12" x14ac:dyDescent="0.25">
      <c r="C1364" s="7"/>
      <c r="E1364" s="8"/>
      <c r="F1364" s="8"/>
      <c r="G1364" s="8"/>
      <c r="H1364" s="8"/>
      <c r="I1364" s="8"/>
      <c r="J1364" s="8"/>
      <c r="K1364" s="8"/>
      <c r="L1364" s="8"/>
    </row>
    <row r="1365" spans="3:12" x14ac:dyDescent="0.25">
      <c r="C1365" s="7"/>
      <c r="E1365" s="8"/>
      <c r="F1365" s="8"/>
      <c r="G1365" s="8"/>
      <c r="H1365" s="8"/>
      <c r="I1365" s="8"/>
      <c r="J1365" s="8"/>
      <c r="K1365" s="8"/>
      <c r="L1365" s="8"/>
    </row>
    <row r="1366" spans="3:12" x14ac:dyDescent="0.25">
      <c r="C1366" s="7"/>
      <c r="E1366" s="8"/>
      <c r="F1366" s="8"/>
      <c r="G1366" s="8"/>
      <c r="H1366" s="8"/>
      <c r="I1366" s="8"/>
      <c r="J1366" s="8"/>
      <c r="K1366" s="8"/>
      <c r="L1366" s="8"/>
    </row>
    <row r="1367" spans="3:12" x14ac:dyDescent="0.25">
      <c r="C1367" s="7"/>
      <c r="E1367" s="8"/>
      <c r="F1367" s="8"/>
      <c r="G1367" s="8"/>
      <c r="H1367" s="8"/>
      <c r="I1367" s="8"/>
      <c r="J1367" s="8"/>
      <c r="K1367" s="8"/>
      <c r="L1367" s="8"/>
    </row>
    <row r="1368" spans="3:12" x14ac:dyDescent="0.25">
      <c r="C1368" s="7"/>
      <c r="E1368" s="8"/>
      <c r="F1368" s="8"/>
      <c r="G1368" s="8"/>
      <c r="H1368" s="8"/>
      <c r="I1368" s="8"/>
      <c r="J1368" s="8"/>
      <c r="K1368" s="8"/>
      <c r="L1368" s="8"/>
    </row>
    <row r="1369" spans="3:12" x14ac:dyDescent="0.25">
      <c r="C1369" s="7"/>
      <c r="E1369" s="8"/>
      <c r="F1369" s="8"/>
      <c r="G1369" s="8"/>
      <c r="H1369" s="8"/>
      <c r="I1369" s="8"/>
      <c r="J1369" s="8"/>
      <c r="K1369" s="8"/>
      <c r="L1369" s="8"/>
    </row>
    <row r="1370" spans="3:12" x14ac:dyDescent="0.25">
      <c r="C1370" s="7"/>
      <c r="E1370" s="8"/>
      <c r="F1370" s="8"/>
      <c r="G1370" s="8"/>
      <c r="H1370" s="8"/>
      <c r="I1370" s="8"/>
      <c r="J1370" s="8"/>
      <c r="K1370" s="8"/>
      <c r="L1370" s="8"/>
    </row>
    <row r="1371" spans="3:12" x14ac:dyDescent="0.25">
      <c r="C1371" s="7"/>
      <c r="E1371" s="8"/>
      <c r="F1371" s="8"/>
      <c r="G1371" s="8"/>
      <c r="H1371" s="8"/>
      <c r="I1371" s="8"/>
      <c r="J1371" s="8"/>
      <c r="K1371" s="8"/>
      <c r="L1371" s="8"/>
    </row>
    <row r="1372" spans="3:12" x14ac:dyDescent="0.25">
      <c r="C1372" s="7"/>
      <c r="E1372" s="8"/>
      <c r="F1372" s="8"/>
      <c r="G1372" s="8"/>
      <c r="H1372" s="8"/>
      <c r="I1372" s="8"/>
      <c r="J1372" s="8"/>
      <c r="K1372" s="8"/>
      <c r="L1372" s="8"/>
    </row>
    <row r="1373" spans="3:12" x14ac:dyDescent="0.25">
      <c r="C1373" s="7"/>
      <c r="E1373" s="8"/>
      <c r="F1373" s="8"/>
      <c r="G1373" s="8"/>
      <c r="H1373" s="8"/>
      <c r="I1373" s="8"/>
      <c r="J1373" s="8"/>
      <c r="K1373" s="8"/>
      <c r="L1373" s="8"/>
    </row>
    <row r="1374" spans="3:12" x14ac:dyDescent="0.25">
      <c r="C1374" s="7"/>
      <c r="E1374" s="8"/>
      <c r="F1374" s="8"/>
      <c r="G1374" s="8"/>
      <c r="H1374" s="8"/>
      <c r="I1374" s="8"/>
      <c r="J1374" s="8"/>
      <c r="K1374" s="8"/>
      <c r="L1374" s="8"/>
    </row>
    <row r="1375" spans="3:12" x14ac:dyDescent="0.25">
      <c r="C1375" s="7"/>
      <c r="E1375" s="8"/>
      <c r="F1375" s="8"/>
      <c r="G1375" s="8"/>
      <c r="H1375" s="8"/>
      <c r="I1375" s="8"/>
      <c r="J1375" s="8"/>
      <c r="K1375" s="8"/>
      <c r="L1375" s="8"/>
    </row>
    <row r="1376" spans="3:12" x14ac:dyDescent="0.25">
      <c r="C1376" s="7"/>
      <c r="E1376" s="8"/>
      <c r="F1376" s="8"/>
      <c r="G1376" s="8"/>
      <c r="H1376" s="8"/>
      <c r="I1376" s="8"/>
      <c r="J1376" s="8"/>
      <c r="K1376" s="8"/>
      <c r="L1376" s="8"/>
    </row>
    <row r="1377" spans="3:12" x14ac:dyDescent="0.25">
      <c r="C1377" s="7"/>
      <c r="E1377" s="8"/>
      <c r="F1377" s="8"/>
      <c r="G1377" s="8"/>
      <c r="H1377" s="8"/>
      <c r="I1377" s="8"/>
      <c r="J1377" s="8"/>
      <c r="K1377" s="8"/>
      <c r="L1377" s="8"/>
    </row>
    <row r="1378" spans="3:12" x14ac:dyDescent="0.25">
      <c r="C1378" s="7"/>
      <c r="E1378" s="8"/>
      <c r="F1378" s="8"/>
      <c r="G1378" s="8"/>
      <c r="H1378" s="8"/>
      <c r="I1378" s="8"/>
      <c r="J1378" s="8"/>
      <c r="K1378" s="8"/>
      <c r="L1378" s="8"/>
    </row>
    <row r="1379" spans="3:12" x14ac:dyDescent="0.25">
      <c r="C1379" s="7"/>
      <c r="E1379" s="8"/>
      <c r="F1379" s="8"/>
      <c r="G1379" s="8"/>
      <c r="H1379" s="8"/>
      <c r="I1379" s="8"/>
      <c r="J1379" s="8"/>
      <c r="K1379" s="8"/>
      <c r="L1379" s="8"/>
    </row>
    <row r="1380" spans="3:12" x14ac:dyDescent="0.25">
      <c r="C1380" s="7"/>
      <c r="E1380" s="8"/>
      <c r="F1380" s="8"/>
      <c r="G1380" s="8"/>
      <c r="H1380" s="8"/>
      <c r="I1380" s="8"/>
      <c r="J1380" s="8"/>
      <c r="K1380" s="8"/>
      <c r="L1380" s="8"/>
    </row>
    <row r="1381" spans="3:12" x14ac:dyDescent="0.25">
      <c r="C1381" s="7"/>
      <c r="E1381" s="8"/>
      <c r="F1381" s="8"/>
      <c r="G1381" s="8"/>
      <c r="H1381" s="8"/>
      <c r="I1381" s="8"/>
      <c r="J1381" s="8"/>
      <c r="K1381" s="8"/>
      <c r="L1381" s="8"/>
    </row>
    <row r="1382" spans="3:12" x14ac:dyDescent="0.25">
      <c r="C1382" s="7"/>
      <c r="E1382" s="8"/>
      <c r="F1382" s="8"/>
      <c r="G1382" s="8"/>
      <c r="H1382" s="8"/>
      <c r="I1382" s="8"/>
      <c r="J1382" s="8"/>
      <c r="K1382" s="8"/>
      <c r="L1382" s="8"/>
    </row>
    <row r="1383" spans="3:12" x14ac:dyDescent="0.25">
      <c r="C1383" s="7"/>
      <c r="E1383" s="8"/>
      <c r="F1383" s="8"/>
      <c r="G1383" s="8"/>
      <c r="H1383" s="8"/>
      <c r="I1383" s="8"/>
      <c r="J1383" s="8"/>
      <c r="K1383" s="8"/>
      <c r="L1383" s="8"/>
    </row>
    <row r="1384" spans="3:12" x14ac:dyDescent="0.25">
      <c r="C1384" s="7"/>
      <c r="E1384" s="8"/>
      <c r="F1384" s="8"/>
      <c r="G1384" s="8"/>
      <c r="H1384" s="8"/>
      <c r="I1384" s="8"/>
      <c r="J1384" s="8"/>
      <c r="K1384" s="8"/>
      <c r="L1384" s="8"/>
    </row>
    <row r="1385" spans="3:12" x14ac:dyDescent="0.25">
      <c r="C1385" s="7"/>
      <c r="E1385" s="8"/>
      <c r="F1385" s="8"/>
      <c r="G1385" s="8"/>
      <c r="H1385" s="8"/>
      <c r="I1385" s="8"/>
      <c r="J1385" s="8"/>
      <c r="K1385" s="8"/>
      <c r="L1385" s="8"/>
    </row>
    <row r="1386" spans="3:12" x14ac:dyDescent="0.25">
      <c r="C1386" s="7"/>
      <c r="E1386" s="8"/>
      <c r="F1386" s="8"/>
      <c r="G1386" s="8"/>
      <c r="H1386" s="8"/>
      <c r="I1386" s="8"/>
      <c r="J1386" s="8"/>
      <c r="K1386" s="8"/>
      <c r="L1386" s="8"/>
    </row>
    <row r="1387" spans="3:12" x14ac:dyDescent="0.25">
      <c r="C1387" s="7"/>
      <c r="E1387" s="8"/>
      <c r="F1387" s="8"/>
      <c r="G1387" s="8"/>
      <c r="H1387" s="8"/>
      <c r="I1387" s="8"/>
      <c r="J1387" s="8"/>
      <c r="K1387" s="8"/>
      <c r="L1387" s="8"/>
    </row>
    <row r="1388" spans="3:12" x14ac:dyDescent="0.25">
      <c r="C1388" s="7"/>
      <c r="E1388" s="8"/>
      <c r="F1388" s="8"/>
      <c r="G1388" s="8"/>
      <c r="H1388" s="8"/>
      <c r="I1388" s="8"/>
      <c r="J1388" s="8"/>
      <c r="K1388" s="8"/>
      <c r="L1388" s="8"/>
    </row>
    <row r="1389" spans="3:12" x14ac:dyDescent="0.25">
      <c r="C1389" s="7"/>
      <c r="E1389" s="8"/>
      <c r="F1389" s="8"/>
      <c r="G1389" s="8"/>
      <c r="H1389" s="8"/>
      <c r="I1389" s="8"/>
      <c r="J1389" s="8"/>
      <c r="K1389" s="8"/>
      <c r="L1389" s="8"/>
    </row>
    <row r="1390" spans="3:12" x14ac:dyDescent="0.25">
      <c r="C1390" s="7"/>
      <c r="E1390" s="8"/>
      <c r="F1390" s="8"/>
      <c r="G1390" s="8"/>
      <c r="H1390" s="8"/>
      <c r="I1390" s="8"/>
      <c r="J1390" s="8"/>
      <c r="K1390" s="8"/>
      <c r="L1390" s="8"/>
    </row>
    <row r="1391" spans="3:12" x14ac:dyDescent="0.25">
      <c r="C1391" s="7"/>
      <c r="E1391" s="8"/>
      <c r="F1391" s="8"/>
      <c r="G1391" s="8"/>
      <c r="H1391" s="8"/>
      <c r="I1391" s="8"/>
      <c r="J1391" s="8"/>
      <c r="K1391" s="8"/>
      <c r="L1391" s="8"/>
    </row>
    <row r="1392" spans="3:12" x14ac:dyDescent="0.25">
      <c r="C1392" s="7"/>
      <c r="E1392" s="8"/>
      <c r="F1392" s="8"/>
      <c r="G1392" s="8"/>
      <c r="H1392" s="8"/>
      <c r="I1392" s="8"/>
      <c r="J1392" s="8"/>
      <c r="K1392" s="8"/>
      <c r="L1392" s="8"/>
    </row>
    <row r="1393" spans="3:12" x14ac:dyDescent="0.25">
      <c r="C1393" s="7"/>
      <c r="E1393" s="8"/>
      <c r="F1393" s="8"/>
      <c r="G1393" s="8"/>
      <c r="H1393" s="8"/>
      <c r="I1393" s="8"/>
      <c r="J1393" s="8"/>
      <c r="K1393" s="8"/>
      <c r="L1393" s="8"/>
    </row>
    <row r="1394" spans="3:12" x14ac:dyDescent="0.25">
      <c r="C1394" s="7"/>
      <c r="E1394" s="8"/>
      <c r="F1394" s="8"/>
      <c r="G1394" s="8"/>
      <c r="H1394" s="8"/>
      <c r="I1394" s="8"/>
      <c r="J1394" s="8"/>
      <c r="K1394" s="8"/>
      <c r="L1394" s="8"/>
    </row>
    <row r="1395" spans="3:12" x14ac:dyDescent="0.25">
      <c r="C1395" s="7"/>
      <c r="E1395" s="8"/>
      <c r="F1395" s="8"/>
      <c r="G1395" s="8"/>
      <c r="H1395" s="8"/>
      <c r="I1395" s="8"/>
      <c r="J1395" s="8"/>
      <c r="K1395" s="8"/>
      <c r="L1395" s="8"/>
    </row>
    <row r="1396" spans="3:12" x14ac:dyDescent="0.25">
      <c r="C1396" s="7"/>
      <c r="E1396" s="8"/>
      <c r="F1396" s="8"/>
      <c r="G1396" s="8"/>
      <c r="H1396" s="8"/>
      <c r="I1396" s="8"/>
      <c r="J1396" s="8"/>
      <c r="K1396" s="8"/>
      <c r="L1396" s="8"/>
    </row>
    <row r="1397" spans="3:12" x14ac:dyDescent="0.25">
      <c r="C1397" s="7"/>
      <c r="E1397" s="8"/>
      <c r="F1397" s="8"/>
      <c r="G1397" s="8"/>
      <c r="H1397" s="8"/>
      <c r="I1397" s="8"/>
      <c r="J1397" s="8"/>
      <c r="K1397" s="8"/>
      <c r="L1397" s="8"/>
    </row>
    <row r="1398" spans="3:12" x14ac:dyDescent="0.25">
      <c r="C1398" s="7"/>
      <c r="E1398" s="8"/>
      <c r="F1398" s="8"/>
      <c r="G1398" s="8"/>
      <c r="H1398" s="8"/>
      <c r="I1398" s="8"/>
      <c r="J1398" s="8"/>
      <c r="K1398" s="8"/>
      <c r="L1398" s="8"/>
    </row>
    <row r="1399" spans="3:12" x14ac:dyDescent="0.25">
      <c r="C1399" s="7"/>
      <c r="E1399" s="8"/>
      <c r="F1399" s="8"/>
      <c r="G1399" s="8"/>
      <c r="H1399" s="8"/>
      <c r="I1399" s="8"/>
      <c r="J1399" s="8"/>
      <c r="K1399" s="8"/>
      <c r="L1399" s="8"/>
    </row>
    <row r="1400" spans="3:12" x14ac:dyDescent="0.25">
      <c r="C1400" s="7"/>
      <c r="E1400" s="8"/>
      <c r="F1400" s="8"/>
      <c r="G1400" s="8"/>
      <c r="H1400" s="8"/>
      <c r="I1400" s="8"/>
      <c r="J1400" s="8"/>
      <c r="K1400" s="8"/>
      <c r="L1400" s="8"/>
    </row>
    <row r="1401" spans="3:12" x14ac:dyDescent="0.25">
      <c r="C1401" s="7"/>
      <c r="E1401" s="8"/>
      <c r="F1401" s="8"/>
      <c r="G1401" s="8"/>
      <c r="H1401" s="8"/>
      <c r="I1401" s="8"/>
      <c r="J1401" s="8"/>
      <c r="K1401" s="8"/>
      <c r="L1401" s="8"/>
    </row>
    <row r="1402" spans="3:12" x14ac:dyDescent="0.25">
      <c r="C1402" s="7"/>
      <c r="E1402" s="8"/>
      <c r="F1402" s="8"/>
      <c r="G1402" s="8"/>
      <c r="H1402" s="8"/>
      <c r="I1402" s="8"/>
      <c r="J1402" s="8"/>
      <c r="K1402" s="8"/>
      <c r="L1402" s="8"/>
    </row>
    <row r="1403" spans="3:12" x14ac:dyDescent="0.25">
      <c r="C1403" s="7"/>
      <c r="E1403" s="8"/>
      <c r="F1403" s="8"/>
      <c r="G1403" s="8"/>
      <c r="H1403" s="8"/>
      <c r="I1403" s="8"/>
      <c r="J1403" s="8"/>
      <c r="K1403" s="8"/>
      <c r="L1403" s="8"/>
    </row>
    <row r="1404" spans="3:12" x14ac:dyDescent="0.25">
      <c r="C1404" s="7"/>
      <c r="E1404" s="8"/>
      <c r="F1404" s="8"/>
      <c r="G1404" s="8"/>
      <c r="H1404" s="8"/>
      <c r="I1404" s="8"/>
      <c r="J1404" s="8"/>
      <c r="K1404" s="8"/>
      <c r="L1404" s="8"/>
    </row>
    <row r="1405" spans="3:12" x14ac:dyDescent="0.25">
      <c r="C1405" s="7"/>
      <c r="E1405" s="8"/>
      <c r="F1405" s="8"/>
      <c r="G1405" s="8"/>
      <c r="H1405" s="8"/>
      <c r="I1405" s="8"/>
      <c r="J1405" s="8"/>
      <c r="K1405" s="8"/>
      <c r="L1405" s="8"/>
    </row>
    <row r="1406" spans="3:12" x14ac:dyDescent="0.25">
      <c r="C1406" s="7"/>
      <c r="E1406" s="8"/>
      <c r="F1406" s="8"/>
      <c r="G1406" s="8"/>
      <c r="H1406" s="8"/>
      <c r="I1406" s="8"/>
      <c r="J1406" s="8"/>
      <c r="K1406" s="8"/>
      <c r="L1406" s="8"/>
    </row>
    <row r="1407" spans="3:12" x14ac:dyDescent="0.25">
      <c r="C1407" s="7"/>
      <c r="E1407" s="8"/>
      <c r="F1407" s="8"/>
      <c r="G1407" s="8"/>
      <c r="H1407" s="8"/>
      <c r="I1407" s="8"/>
      <c r="J1407" s="8"/>
      <c r="K1407" s="8"/>
      <c r="L1407" s="8"/>
    </row>
    <row r="1408" spans="3:12" x14ac:dyDescent="0.25">
      <c r="C1408" s="7"/>
      <c r="E1408" s="8"/>
      <c r="F1408" s="8"/>
      <c r="G1408" s="8"/>
      <c r="H1408" s="8"/>
      <c r="I1408" s="8"/>
      <c r="J1408" s="8"/>
      <c r="K1408" s="8"/>
      <c r="L1408" s="8"/>
    </row>
    <row r="1409" spans="3:12" x14ac:dyDescent="0.25">
      <c r="C1409" s="7"/>
      <c r="E1409" s="8"/>
      <c r="F1409" s="8"/>
      <c r="G1409" s="8"/>
      <c r="H1409" s="8"/>
      <c r="I1409" s="8"/>
      <c r="J1409" s="8"/>
      <c r="K1409" s="8"/>
      <c r="L1409" s="8"/>
    </row>
    <row r="1410" spans="3:12" x14ac:dyDescent="0.25">
      <c r="C1410" s="7"/>
      <c r="E1410" s="8"/>
      <c r="F1410" s="8"/>
      <c r="G1410" s="8"/>
      <c r="H1410" s="8"/>
      <c r="I1410" s="8"/>
      <c r="J1410" s="8"/>
      <c r="K1410" s="8"/>
      <c r="L1410" s="8"/>
    </row>
    <row r="1411" spans="3:12" x14ac:dyDescent="0.25">
      <c r="C1411" s="7"/>
      <c r="E1411" s="8"/>
      <c r="F1411" s="8"/>
      <c r="G1411" s="8"/>
      <c r="H1411" s="8"/>
      <c r="I1411" s="8"/>
      <c r="J1411" s="8"/>
      <c r="K1411" s="8"/>
      <c r="L1411" s="8"/>
    </row>
    <row r="1412" spans="3:12" x14ac:dyDescent="0.25">
      <c r="C1412" s="7"/>
      <c r="E1412" s="8"/>
      <c r="F1412" s="8"/>
      <c r="G1412" s="8"/>
      <c r="H1412" s="8"/>
      <c r="I1412" s="8"/>
      <c r="J1412" s="8"/>
      <c r="K1412" s="8"/>
      <c r="L1412" s="8"/>
    </row>
    <row r="1413" spans="3:12" x14ac:dyDescent="0.25">
      <c r="C1413" s="7"/>
      <c r="E1413" s="8"/>
      <c r="F1413" s="8"/>
      <c r="G1413" s="8"/>
      <c r="H1413" s="8"/>
      <c r="I1413" s="8"/>
      <c r="J1413" s="8"/>
      <c r="K1413" s="8"/>
      <c r="L1413" s="8"/>
    </row>
    <row r="1414" spans="3:12" x14ac:dyDescent="0.25">
      <c r="C1414" s="7"/>
      <c r="E1414" s="8"/>
      <c r="F1414" s="8"/>
      <c r="G1414" s="8"/>
      <c r="H1414" s="8"/>
      <c r="I1414" s="8"/>
      <c r="J1414" s="8"/>
      <c r="K1414" s="8"/>
      <c r="L1414" s="8"/>
    </row>
    <row r="1415" spans="3:12" x14ac:dyDescent="0.25">
      <c r="C1415" s="7"/>
      <c r="E1415" s="8"/>
      <c r="F1415" s="8"/>
      <c r="G1415" s="8"/>
      <c r="H1415" s="8"/>
      <c r="I1415" s="8"/>
      <c r="J1415" s="8"/>
      <c r="K1415" s="8"/>
      <c r="L1415" s="8"/>
    </row>
    <row r="1416" spans="3:12" x14ac:dyDescent="0.25">
      <c r="C1416" s="7"/>
      <c r="E1416" s="8"/>
      <c r="F1416" s="8"/>
      <c r="G1416" s="8"/>
      <c r="H1416" s="8"/>
      <c r="I1416" s="8"/>
      <c r="J1416" s="8"/>
      <c r="K1416" s="8"/>
      <c r="L1416" s="8"/>
    </row>
    <row r="1417" spans="3:12" x14ac:dyDescent="0.25">
      <c r="C1417" s="7"/>
      <c r="E1417" s="8"/>
      <c r="F1417" s="8"/>
      <c r="G1417" s="8"/>
      <c r="H1417" s="8"/>
      <c r="I1417" s="8"/>
      <c r="J1417" s="8"/>
      <c r="K1417" s="8"/>
      <c r="L1417" s="8"/>
    </row>
    <row r="1418" spans="3:12" x14ac:dyDescent="0.25">
      <c r="C1418" s="7"/>
      <c r="E1418" s="8"/>
      <c r="F1418" s="8"/>
      <c r="G1418" s="8"/>
      <c r="H1418" s="8"/>
      <c r="I1418" s="8"/>
      <c r="J1418" s="8"/>
      <c r="K1418" s="8"/>
      <c r="L1418" s="8"/>
    </row>
    <row r="1419" spans="3:12" x14ac:dyDescent="0.25">
      <c r="C1419" s="7"/>
      <c r="E1419" s="8"/>
      <c r="F1419" s="8"/>
      <c r="G1419" s="8"/>
      <c r="H1419" s="8"/>
      <c r="I1419" s="8"/>
      <c r="J1419" s="8"/>
      <c r="K1419" s="8"/>
      <c r="L1419" s="8"/>
    </row>
    <row r="1420" spans="3:12" x14ac:dyDescent="0.25">
      <c r="C1420" s="7"/>
      <c r="E1420" s="8"/>
      <c r="F1420" s="8"/>
      <c r="G1420" s="8"/>
      <c r="H1420" s="8"/>
      <c r="I1420" s="8"/>
      <c r="J1420" s="8"/>
      <c r="K1420" s="8"/>
      <c r="L1420" s="8"/>
    </row>
    <row r="1421" spans="3:12" x14ac:dyDescent="0.25">
      <c r="C1421" s="7"/>
      <c r="E1421" s="8"/>
      <c r="F1421" s="8"/>
      <c r="G1421" s="8"/>
      <c r="H1421" s="8"/>
      <c r="I1421" s="8"/>
      <c r="J1421" s="8"/>
      <c r="K1421" s="8"/>
      <c r="L1421" s="8"/>
    </row>
    <row r="1422" spans="3:12" x14ac:dyDescent="0.25">
      <c r="C1422" s="7"/>
      <c r="E1422" s="8"/>
      <c r="F1422" s="8"/>
      <c r="G1422" s="8"/>
      <c r="H1422" s="8"/>
      <c r="I1422" s="8"/>
      <c r="J1422" s="8"/>
      <c r="K1422" s="8"/>
      <c r="L1422" s="8"/>
    </row>
    <row r="1423" spans="3:12" x14ac:dyDescent="0.25">
      <c r="C1423" s="7"/>
      <c r="E1423" s="8"/>
      <c r="F1423" s="8"/>
      <c r="G1423" s="8"/>
      <c r="H1423" s="8"/>
      <c r="I1423" s="8"/>
      <c r="J1423" s="8"/>
      <c r="K1423" s="8"/>
      <c r="L1423" s="8"/>
    </row>
    <row r="1424" spans="3:12" x14ac:dyDescent="0.25">
      <c r="C1424" s="7"/>
      <c r="E1424" s="8"/>
      <c r="F1424" s="8"/>
      <c r="G1424" s="8"/>
      <c r="H1424" s="8"/>
      <c r="I1424" s="8"/>
      <c r="J1424" s="8"/>
      <c r="K1424" s="8"/>
      <c r="L1424" s="8"/>
    </row>
    <row r="1425" spans="3:12" x14ac:dyDescent="0.25">
      <c r="C1425" s="7"/>
      <c r="E1425" s="8"/>
      <c r="F1425" s="8"/>
      <c r="G1425" s="8"/>
      <c r="H1425" s="8"/>
      <c r="I1425" s="8"/>
      <c r="J1425" s="8"/>
      <c r="K1425" s="8"/>
      <c r="L1425" s="8"/>
    </row>
    <row r="1426" spans="3:12" x14ac:dyDescent="0.25">
      <c r="C1426" s="7"/>
      <c r="E1426" s="8"/>
      <c r="F1426" s="8"/>
      <c r="G1426" s="8"/>
      <c r="H1426" s="8"/>
      <c r="I1426" s="8"/>
      <c r="J1426" s="8"/>
      <c r="K1426" s="8"/>
      <c r="L1426" s="8"/>
    </row>
    <row r="1427" spans="3:12" x14ac:dyDescent="0.25">
      <c r="C1427" s="7"/>
      <c r="E1427" s="8"/>
      <c r="F1427" s="8"/>
      <c r="G1427" s="8"/>
      <c r="H1427" s="8"/>
      <c r="I1427" s="8"/>
      <c r="J1427" s="8"/>
      <c r="K1427" s="8"/>
      <c r="L1427" s="8"/>
    </row>
    <row r="1428" spans="3:12" x14ac:dyDescent="0.25">
      <c r="C1428" s="7"/>
      <c r="E1428" s="8"/>
      <c r="F1428" s="8"/>
      <c r="G1428" s="8"/>
      <c r="H1428" s="8"/>
      <c r="I1428" s="8"/>
      <c r="J1428" s="8"/>
      <c r="K1428" s="8"/>
      <c r="L1428" s="8"/>
    </row>
    <row r="1429" spans="3:12" x14ac:dyDescent="0.25">
      <c r="C1429" s="7"/>
      <c r="E1429" s="8"/>
      <c r="F1429" s="8"/>
      <c r="G1429" s="8"/>
      <c r="H1429" s="8"/>
      <c r="I1429" s="8"/>
      <c r="J1429" s="8"/>
      <c r="K1429" s="8"/>
      <c r="L1429" s="8"/>
    </row>
    <row r="1430" spans="3:12" x14ac:dyDescent="0.25">
      <c r="C1430" s="7"/>
      <c r="E1430" s="8"/>
      <c r="F1430" s="8"/>
      <c r="G1430" s="8"/>
      <c r="H1430" s="8"/>
      <c r="I1430" s="8"/>
      <c r="J1430" s="8"/>
      <c r="K1430" s="8"/>
      <c r="L1430" s="8"/>
    </row>
    <row r="1431" spans="3:12" x14ac:dyDescent="0.25">
      <c r="C1431" s="7"/>
      <c r="E1431" s="8"/>
      <c r="F1431" s="8"/>
      <c r="G1431" s="8"/>
      <c r="H1431" s="8"/>
      <c r="I1431" s="8"/>
      <c r="J1431" s="8"/>
      <c r="K1431" s="8"/>
      <c r="L1431" s="8"/>
    </row>
    <row r="1432" spans="3:12" x14ac:dyDescent="0.25">
      <c r="C1432" s="7"/>
      <c r="E1432" s="8"/>
      <c r="F1432" s="8"/>
      <c r="G1432" s="8"/>
      <c r="H1432" s="8"/>
      <c r="I1432" s="8"/>
      <c r="J1432" s="8"/>
      <c r="K1432" s="8"/>
      <c r="L1432" s="8"/>
    </row>
    <row r="1433" spans="3:12" x14ac:dyDescent="0.25">
      <c r="C1433" s="7"/>
      <c r="E1433" s="8"/>
      <c r="F1433" s="8"/>
      <c r="G1433" s="8"/>
      <c r="H1433" s="8"/>
      <c r="I1433" s="8"/>
      <c r="J1433" s="8"/>
      <c r="K1433" s="8"/>
      <c r="L1433" s="8"/>
    </row>
    <row r="1434" spans="3:12" x14ac:dyDescent="0.25">
      <c r="C1434" s="7"/>
      <c r="E1434" s="8"/>
      <c r="F1434" s="8"/>
      <c r="G1434" s="8"/>
      <c r="H1434" s="8"/>
      <c r="I1434" s="8"/>
      <c r="J1434" s="8"/>
      <c r="K1434" s="8"/>
      <c r="L1434" s="8"/>
    </row>
    <row r="1435" spans="3:12" x14ac:dyDescent="0.25">
      <c r="C1435" s="7"/>
      <c r="E1435" s="8"/>
      <c r="F1435" s="8"/>
      <c r="G1435" s="8"/>
      <c r="H1435" s="8"/>
      <c r="I1435" s="8"/>
      <c r="J1435" s="8"/>
      <c r="K1435" s="8"/>
      <c r="L1435" s="8"/>
    </row>
    <row r="1436" spans="3:12" x14ac:dyDescent="0.25">
      <c r="C1436" s="7"/>
      <c r="E1436" s="8"/>
      <c r="F1436" s="8"/>
      <c r="G1436" s="8"/>
      <c r="H1436" s="8"/>
      <c r="I1436" s="8"/>
      <c r="J1436" s="8"/>
      <c r="K1436" s="8"/>
      <c r="L1436" s="8"/>
    </row>
    <row r="1437" spans="3:12" x14ac:dyDescent="0.25">
      <c r="C1437" s="7"/>
      <c r="E1437" s="8"/>
      <c r="F1437" s="8"/>
      <c r="G1437" s="8"/>
      <c r="H1437" s="8"/>
      <c r="I1437" s="8"/>
      <c r="J1437" s="8"/>
      <c r="K1437" s="8"/>
      <c r="L1437" s="8"/>
    </row>
    <row r="1438" spans="3:12" x14ac:dyDescent="0.25">
      <c r="C1438" s="7"/>
      <c r="E1438" s="8"/>
      <c r="F1438" s="8"/>
      <c r="G1438" s="8"/>
      <c r="H1438" s="8"/>
      <c r="I1438" s="8"/>
      <c r="J1438" s="8"/>
      <c r="K1438" s="8"/>
      <c r="L1438" s="8"/>
    </row>
    <row r="1439" spans="3:12" x14ac:dyDescent="0.25">
      <c r="C1439" s="7"/>
      <c r="E1439" s="8"/>
      <c r="F1439" s="8"/>
      <c r="G1439" s="8"/>
      <c r="H1439" s="8"/>
      <c r="I1439" s="8"/>
      <c r="J1439" s="8"/>
      <c r="K1439" s="8"/>
      <c r="L1439" s="8"/>
    </row>
    <row r="1440" spans="3:12" x14ac:dyDescent="0.25">
      <c r="C1440" s="7"/>
      <c r="E1440" s="8"/>
      <c r="F1440" s="8"/>
      <c r="G1440" s="8"/>
      <c r="H1440" s="8"/>
      <c r="I1440" s="8"/>
      <c r="J1440" s="8"/>
      <c r="K1440" s="8"/>
      <c r="L1440" s="8"/>
    </row>
    <row r="1441" spans="3:12" x14ac:dyDescent="0.25">
      <c r="C1441" s="7"/>
      <c r="E1441" s="8"/>
      <c r="F1441" s="8"/>
      <c r="G1441" s="8"/>
      <c r="H1441" s="8"/>
      <c r="I1441" s="8"/>
      <c r="J1441" s="8"/>
      <c r="K1441" s="8"/>
      <c r="L1441" s="8"/>
    </row>
    <row r="1442" spans="3:12" x14ac:dyDescent="0.25">
      <c r="C1442" s="7"/>
      <c r="E1442" s="8"/>
      <c r="F1442" s="8"/>
      <c r="G1442" s="8"/>
      <c r="H1442" s="8"/>
      <c r="I1442" s="8"/>
      <c r="J1442" s="8"/>
      <c r="K1442" s="8"/>
      <c r="L1442" s="8"/>
    </row>
    <row r="1443" spans="3:12" x14ac:dyDescent="0.25">
      <c r="C1443" s="7"/>
      <c r="E1443" s="8"/>
      <c r="F1443" s="8"/>
      <c r="G1443" s="8"/>
      <c r="H1443" s="8"/>
      <c r="I1443" s="8"/>
      <c r="J1443" s="8"/>
      <c r="K1443" s="8"/>
      <c r="L1443" s="8"/>
    </row>
    <row r="1444" spans="3:12" x14ac:dyDescent="0.25">
      <c r="C1444" s="7"/>
      <c r="E1444" s="8"/>
      <c r="F1444" s="8"/>
      <c r="G1444" s="8"/>
      <c r="H1444" s="8"/>
      <c r="I1444" s="8"/>
      <c r="J1444" s="8"/>
      <c r="K1444" s="8"/>
      <c r="L1444" s="8"/>
    </row>
    <row r="1445" spans="3:12" x14ac:dyDescent="0.25">
      <c r="C1445" s="7"/>
      <c r="E1445" s="8"/>
      <c r="F1445" s="8"/>
      <c r="G1445" s="8"/>
      <c r="H1445" s="8"/>
      <c r="I1445" s="8"/>
      <c r="J1445" s="8"/>
      <c r="K1445" s="8"/>
      <c r="L1445" s="8"/>
    </row>
    <row r="1446" spans="3:12" x14ac:dyDescent="0.25">
      <c r="C1446" s="7"/>
      <c r="E1446" s="8"/>
      <c r="F1446" s="8"/>
      <c r="G1446" s="8"/>
      <c r="H1446" s="8"/>
      <c r="I1446" s="8"/>
      <c r="J1446" s="8"/>
      <c r="K1446" s="8"/>
      <c r="L1446" s="8"/>
    </row>
    <row r="1447" spans="3:12" x14ac:dyDescent="0.25">
      <c r="C1447" s="7"/>
      <c r="E1447" s="8"/>
      <c r="F1447" s="8"/>
      <c r="G1447" s="8"/>
      <c r="H1447" s="8"/>
      <c r="I1447" s="8"/>
      <c r="J1447" s="8"/>
      <c r="K1447" s="8"/>
      <c r="L1447" s="8"/>
    </row>
    <row r="1448" spans="3:12" x14ac:dyDescent="0.25">
      <c r="C1448" s="7"/>
      <c r="E1448" s="8"/>
      <c r="F1448" s="8"/>
      <c r="G1448" s="8"/>
      <c r="H1448" s="8"/>
      <c r="I1448" s="8"/>
      <c r="J1448" s="8"/>
      <c r="K1448" s="8"/>
      <c r="L1448" s="8"/>
    </row>
    <row r="1449" spans="3:12" x14ac:dyDescent="0.25">
      <c r="C1449" s="7"/>
      <c r="E1449" s="8"/>
      <c r="F1449" s="8"/>
      <c r="G1449" s="8"/>
      <c r="H1449" s="8"/>
      <c r="I1449" s="8"/>
      <c r="J1449" s="8"/>
      <c r="K1449" s="8"/>
      <c r="L1449" s="8"/>
    </row>
    <row r="1450" spans="3:12" x14ac:dyDescent="0.25">
      <c r="C1450" s="7"/>
      <c r="E1450" s="8"/>
      <c r="F1450" s="8"/>
      <c r="G1450" s="8"/>
      <c r="H1450" s="8"/>
      <c r="I1450" s="8"/>
      <c r="J1450" s="8"/>
      <c r="K1450" s="8"/>
      <c r="L1450" s="8"/>
    </row>
    <row r="1451" spans="3:12" x14ac:dyDescent="0.25">
      <c r="C1451" s="7"/>
      <c r="E1451" s="8"/>
      <c r="F1451" s="8"/>
      <c r="G1451" s="8"/>
      <c r="H1451" s="8"/>
      <c r="I1451" s="8"/>
      <c r="J1451" s="8"/>
      <c r="K1451" s="8"/>
      <c r="L1451" s="8"/>
    </row>
    <row r="1452" spans="3:12" x14ac:dyDescent="0.25">
      <c r="C1452" s="7"/>
      <c r="E1452" s="8"/>
      <c r="F1452" s="8"/>
      <c r="G1452" s="8"/>
      <c r="H1452" s="8"/>
      <c r="I1452" s="8"/>
      <c r="J1452" s="8"/>
      <c r="K1452" s="8"/>
      <c r="L1452" s="8"/>
    </row>
    <row r="1453" spans="3:12" x14ac:dyDescent="0.25">
      <c r="C1453" s="7"/>
      <c r="E1453" s="8"/>
      <c r="F1453" s="8"/>
      <c r="G1453" s="8"/>
      <c r="H1453" s="8"/>
      <c r="I1453" s="8"/>
      <c r="J1453" s="8"/>
      <c r="K1453" s="8"/>
      <c r="L1453" s="8"/>
    </row>
    <row r="1454" spans="3:12" x14ac:dyDescent="0.25">
      <c r="C1454" s="7"/>
      <c r="E1454" s="8"/>
      <c r="F1454" s="8"/>
      <c r="G1454" s="8"/>
      <c r="H1454" s="8"/>
      <c r="I1454" s="8"/>
      <c r="J1454" s="8"/>
      <c r="K1454" s="8"/>
      <c r="L1454" s="8"/>
    </row>
    <row r="1455" spans="3:12" x14ac:dyDescent="0.25">
      <c r="C1455" s="7"/>
      <c r="E1455" s="8"/>
      <c r="F1455" s="8"/>
      <c r="G1455" s="8"/>
      <c r="H1455" s="8"/>
      <c r="I1455" s="8"/>
      <c r="J1455" s="8"/>
      <c r="K1455" s="8"/>
      <c r="L1455" s="8"/>
    </row>
    <row r="1456" spans="3:12" x14ac:dyDescent="0.25">
      <c r="C1456" s="7"/>
      <c r="E1456" s="8"/>
      <c r="F1456" s="8"/>
      <c r="G1456" s="8"/>
      <c r="H1456" s="8"/>
      <c r="I1456" s="8"/>
      <c r="J1456" s="8"/>
      <c r="K1456" s="8"/>
      <c r="L1456" s="8"/>
    </row>
    <row r="1457" spans="3:12" x14ac:dyDescent="0.25">
      <c r="C1457" s="7"/>
      <c r="E1457" s="8"/>
      <c r="F1457" s="8"/>
      <c r="G1457" s="8"/>
      <c r="H1457" s="8"/>
      <c r="I1457" s="8"/>
      <c r="J1457" s="8"/>
      <c r="K1457" s="8"/>
      <c r="L1457" s="8"/>
    </row>
    <row r="1458" spans="3:12" x14ac:dyDescent="0.25">
      <c r="C1458" s="7"/>
      <c r="E1458" s="8"/>
      <c r="F1458" s="8"/>
      <c r="G1458" s="8"/>
      <c r="H1458" s="8"/>
      <c r="I1458" s="8"/>
      <c r="J1458" s="8"/>
      <c r="K1458" s="8"/>
      <c r="L1458" s="8"/>
    </row>
    <row r="1459" spans="3:12" x14ac:dyDescent="0.25">
      <c r="C1459" s="7"/>
      <c r="E1459" s="8"/>
      <c r="F1459" s="8"/>
      <c r="G1459" s="8"/>
      <c r="H1459" s="8"/>
      <c r="I1459" s="8"/>
      <c r="J1459" s="8"/>
      <c r="K1459" s="8"/>
      <c r="L1459" s="8"/>
    </row>
    <row r="1460" spans="3:12" x14ac:dyDescent="0.25">
      <c r="C1460" s="7"/>
      <c r="E1460" s="8"/>
      <c r="F1460" s="8"/>
      <c r="G1460" s="8"/>
      <c r="H1460" s="8"/>
      <c r="I1460" s="8"/>
      <c r="J1460" s="8"/>
      <c r="K1460" s="8"/>
      <c r="L1460" s="8"/>
    </row>
    <row r="1461" spans="3:12" x14ac:dyDescent="0.25">
      <c r="C1461" s="7"/>
      <c r="E1461" s="8"/>
      <c r="F1461" s="8"/>
      <c r="G1461" s="8"/>
      <c r="H1461" s="8"/>
      <c r="I1461" s="8"/>
      <c r="J1461" s="8"/>
      <c r="K1461" s="8"/>
      <c r="L1461" s="8"/>
    </row>
    <row r="1462" spans="3:12" x14ac:dyDescent="0.25">
      <c r="C1462" s="7"/>
      <c r="E1462" s="8"/>
      <c r="F1462" s="8"/>
      <c r="G1462" s="8"/>
      <c r="H1462" s="8"/>
      <c r="I1462" s="8"/>
      <c r="J1462" s="8"/>
      <c r="K1462" s="8"/>
      <c r="L1462" s="8"/>
    </row>
    <row r="1463" spans="3:12" x14ac:dyDescent="0.25">
      <c r="C1463" s="7"/>
      <c r="E1463" s="8"/>
      <c r="F1463" s="8"/>
      <c r="G1463" s="8"/>
      <c r="H1463" s="8"/>
      <c r="I1463" s="8"/>
      <c r="J1463" s="8"/>
      <c r="K1463" s="8"/>
      <c r="L1463" s="8"/>
    </row>
    <row r="1464" spans="3:12" x14ac:dyDescent="0.25">
      <c r="C1464" s="7"/>
      <c r="E1464" s="8"/>
      <c r="F1464" s="8"/>
      <c r="G1464" s="8"/>
      <c r="H1464" s="8"/>
      <c r="I1464" s="8"/>
      <c r="J1464" s="8"/>
      <c r="K1464" s="8"/>
      <c r="L1464" s="8"/>
    </row>
    <row r="1465" spans="3:12" x14ac:dyDescent="0.25">
      <c r="C1465" s="7"/>
      <c r="E1465" s="8"/>
      <c r="F1465" s="8"/>
      <c r="G1465" s="8"/>
      <c r="H1465" s="8"/>
      <c r="I1465" s="8"/>
      <c r="J1465" s="8"/>
      <c r="K1465" s="8"/>
      <c r="L1465" s="8"/>
    </row>
    <row r="1466" spans="3:12" x14ac:dyDescent="0.25">
      <c r="C1466" s="7"/>
      <c r="E1466" s="8"/>
      <c r="F1466" s="8"/>
      <c r="G1466" s="8"/>
      <c r="H1466" s="8"/>
      <c r="I1466" s="8"/>
      <c r="J1466" s="8"/>
      <c r="K1466" s="8"/>
      <c r="L1466" s="8"/>
    </row>
    <row r="1467" spans="3:12" x14ac:dyDescent="0.25">
      <c r="C1467" s="7"/>
      <c r="E1467" s="8"/>
      <c r="F1467" s="8"/>
      <c r="G1467" s="8"/>
      <c r="H1467" s="8"/>
      <c r="I1467" s="8"/>
      <c r="J1467" s="8"/>
      <c r="K1467" s="8"/>
      <c r="L1467" s="8"/>
    </row>
    <row r="1468" spans="3:12" x14ac:dyDescent="0.25">
      <c r="C1468" s="7"/>
      <c r="E1468" s="8"/>
      <c r="F1468" s="8"/>
      <c r="G1468" s="8"/>
      <c r="H1468" s="8"/>
      <c r="I1468" s="8"/>
      <c r="J1468" s="8"/>
      <c r="K1468" s="8"/>
      <c r="L1468" s="8"/>
    </row>
    <row r="1469" spans="3:12" x14ac:dyDescent="0.25">
      <c r="C1469" s="7"/>
      <c r="E1469" s="8"/>
      <c r="F1469" s="8"/>
      <c r="G1469" s="8"/>
      <c r="H1469" s="8"/>
      <c r="I1469" s="8"/>
      <c r="J1469" s="8"/>
      <c r="K1469" s="8"/>
      <c r="L1469" s="8"/>
    </row>
    <row r="1470" spans="3:12" x14ac:dyDescent="0.25">
      <c r="C1470" s="7"/>
      <c r="E1470" s="8"/>
      <c r="F1470" s="8"/>
      <c r="G1470" s="8"/>
      <c r="H1470" s="8"/>
      <c r="I1470" s="8"/>
      <c r="J1470" s="8"/>
      <c r="K1470" s="8"/>
      <c r="L1470" s="8"/>
    </row>
    <row r="1471" spans="3:12" x14ac:dyDescent="0.25">
      <c r="C1471" s="7"/>
      <c r="E1471" s="8"/>
      <c r="F1471" s="8"/>
      <c r="G1471" s="8"/>
      <c r="H1471" s="8"/>
      <c r="I1471" s="8"/>
      <c r="J1471" s="8"/>
      <c r="K1471" s="8"/>
      <c r="L1471" s="8"/>
    </row>
    <row r="1472" spans="3:12" x14ac:dyDescent="0.25">
      <c r="C1472" s="7"/>
      <c r="E1472" s="8"/>
      <c r="F1472" s="8"/>
      <c r="G1472" s="8"/>
      <c r="H1472" s="8"/>
      <c r="I1472" s="8"/>
      <c r="J1472" s="8"/>
      <c r="K1472" s="8"/>
      <c r="L1472" s="8"/>
    </row>
    <row r="1473" spans="3:12" x14ac:dyDescent="0.25">
      <c r="C1473" s="7"/>
      <c r="E1473" s="8"/>
      <c r="F1473" s="8"/>
      <c r="G1473" s="8"/>
      <c r="H1473" s="8"/>
      <c r="I1473" s="8"/>
      <c r="J1473" s="8"/>
      <c r="K1473" s="8"/>
      <c r="L1473" s="8"/>
    </row>
    <row r="1474" spans="3:12" x14ac:dyDescent="0.25">
      <c r="C1474" s="7"/>
      <c r="E1474" s="8"/>
      <c r="F1474" s="8"/>
      <c r="G1474" s="8"/>
      <c r="H1474" s="8"/>
      <c r="I1474" s="8"/>
      <c r="J1474" s="8"/>
      <c r="K1474" s="8"/>
      <c r="L1474" s="8"/>
    </row>
    <row r="1475" spans="3:12" x14ac:dyDescent="0.25">
      <c r="C1475" s="7"/>
      <c r="E1475" s="8"/>
      <c r="F1475" s="8"/>
      <c r="G1475" s="8"/>
      <c r="H1475" s="8"/>
      <c r="I1475" s="8"/>
      <c r="J1475" s="8"/>
      <c r="K1475" s="8"/>
      <c r="L1475" s="8"/>
    </row>
    <row r="1476" spans="3:12" x14ac:dyDescent="0.25">
      <c r="C1476" s="7"/>
      <c r="E1476" s="8"/>
      <c r="F1476" s="8"/>
      <c r="G1476" s="8"/>
      <c r="H1476" s="8"/>
      <c r="I1476" s="8"/>
      <c r="J1476" s="8"/>
      <c r="K1476" s="8"/>
      <c r="L1476" s="8"/>
    </row>
    <row r="1477" spans="3:12" x14ac:dyDescent="0.25">
      <c r="C1477" s="7"/>
      <c r="E1477" s="8"/>
      <c r="F1477" s="8"/>
      <c r="G1477" s="8"/>
      <c r="H1477" s="8"/>
      <c r="I1477" s="8"/>
      <c r="J1477" s="8"/>
      <c r="K1477" s="8"/>
      <c r="L1477" s="8"/>
    </row>
    <row r="1478" spans="3:12" x14ac:dyDescent="0.25">
      <c r="C1478" s="7"/>
      <c r="E1478" s="8"/>
      <c r="F1478" s="8"/>
      <c r="G1478" s="8"/>
      <c r="H1478" s="8"/>
      <c r="I1478" s="8"/>
      <c r="J1478" s="8"/>
      <c r="K1478" s="8"/>
      <c r="L1478" s="8"/>
    </row>
    <row r="1479" spans="3:12" x14ac:dyDescent="0.25">
      <c r="C1479" s="7"/>
      <c r="E1479" s="8"/>
      <c r="F1479" s="8"/>
      <c r="G1479" s="8"/>
      <c r="H1479" s="8"/>
      <c r="I1479" s="8"/>
      <c r="J1479" s="8"/>
      <c r="K1479" s="8"/>
      <c r="L1479" s="8"/>
    </row>
    <row r="1480" spans="3:12" x14ac:dyDescent="0.25">
      <c r="C1480" s="7"/>
      <c r="E1480" s="8"/>
      <c r="F1480" s="8"/>
      <c r="G1480" s="8"/>
      <c r="H1480" s="8"/>
      <c r="I1480" s="8"/>
      <c r="J1480" s="8"/>
      <c r="K1480" s="8"/>
      <c r="L1480" s="8"/>
    </row>
    <row r="1481" spans="3:12" x14ac:dyDescent="0.25">
      <c r="C1481" s="7"/>
      <c r="E1481" s="8"/>
      <c r="F1481" s="8"/>
      <c r="G1481" s="8"/>
      <c r="H1481" s="8"/>
      <c r="I1481" s="8"/>
      <c r="J1481" s="8"/>
      <c r="K1481" s="8"/>
      <c r="L1481" s="8"/>
    </row>
    <row r="1482" spans="3:12" x14ac:dyDescent="0.25">
      <c r="C1482" s="7"/>
      <c r="E1482" s="8"/>
      <c r="F1482" s="8"/>
      <c r="G1482" s="8"/>
      <c r="H1482" s="8"/>
      <c r="I1482" s="8"/>
      <c r="J1482" s="8"/>
      <c r="K1482" s="8"/>
      <c r="L1482" s="8"/>
    </row>
    <row r="1483" spans="3:12" x14ac:dyDescent="0.25">
      <c r="C1483" s="7"/>
      <c r="E1483" s="8"/>
      <c r="F1483" s="8"/>
      <c r="G1483" s="8"/>
      <c r="H1483" s="8"/>
      <c r="I1483" s="8"/>
      <c r="J1483" s="8"/>
      <c r="K1483" s="8"/>
      <c r="L1483" s="8"/>
    </row>
    <row r="1484" spans="3:12" x14ac:dyDescent="0.25">
      <c r="C1484" s="7"/>
      <c r="E1484" s="8"/>
      <c r="F1484" s="8"/>
      <c r="G1484" s="8"/>
      <c r="H1484" s="8"/>
      <c r="I1484" s="8"/>
      <c r="J1484" s="8"/>
      <c r="K1484" s="8"/>
      <c r="L1484" s="8"/>
    </row>
    <row r="1485" spans="3:12" x14ac:dyDescent="0.25">
      <c r="C1485" s="7"/>
      <c r="E1485" s="8"/>
      <c r="F1485" s="8"/>
      <c r="G1485" s="8"/>
      <c r="H1485" s="8"/>
      <c r="I1485" s="8"/>
      <c r="J1485" s="8"/>
      <c r="K1485" s="8"/>
      <c r="L1485" s="8"/>
    </row>
    <row r="1486" spans="3:12" x14ac:dyDescent="0.25">
      <c r="C1486" s="7"/>
      <c r="E1486" s="8"/>
      <c r="F1486" s="8"/>
      <c r="G1486" s="8"/>
      <c r="H1486" s="8"/>
      <c r="I1486" s="8"/>
      <c r="J1486" s="8"/>
      <c r="K1486" s="8"/>
      <c r="L1486" s="8"/>
    </row>
    <row r="1487" spans="3:12" x14ac:dyDescent="0.25">
      <c r="C1487" s="7"/>
      <c r="E1487" s="8"/>
      <c r="F1487" s="8"/>
      <c r="G1487" s="8"/>
      <c r="H1487" s="8"/>
      <c r="I1487" s="8"/>
      <c r="J1487" s="8"/>
      <c r="K1487" s="8"/>
      <c r="L1487" s="8"/>
    </row>
    <row r="1488" spans="3:12" x14ac:dyDescent="0.25">
      <c r="C1488" s="7"/>
      <c r="E1488" s="8"/>
      <c r="F1488" s="8"/>
      <c r="G1488" s="8"/>
      <c r="H1488" s="8"/>
      <c r="I1488" s="8"/>
      <c r="J1488" s="8"/>
      <c r="K1488" s="8"/>
      <c r="L1488" s="8"/>
    </row>
    <row r="1489" spans="3:12" x14ac:dyDescent="0.25">
      <c r="C1489" s="7"/>
      <c r="E1489" s="8"/>
      <c r="F1489" s="8"/>
      <c r="G1489" s="8"/>
      <c r="H1489" s="8"/>
      <c r="I1489" s="8"/>
      <c r="J1489" s="8"/>
      <c r="K1489" s="8"/>
      <c r="L1489" s="8"/>
    </row>
    <row r="1490" spans="3:12" x14ac:dyDescent="0.25">
      <c r="C1490" s="7"/>
      <c r="E1490" s="8"/>
      <c r="F1490" s="8"/>
      <c r="G1490" s="8"/>
      <c r="H1490" s="8"/>
      <c r="I1490" s="8"/>
      <c r="J1490" s="8"/>
      <c r="K1490" s="8"/>
      <c r="L1490" s="8"/>
    </row>
    <row r="1491" spans="3:12" x14ac:dyDescent="0.25">
      <c r="C1491" s="7"/>
      <c r="E1491" s="8"/>
      <c r="F1491" s="8"/>
      <c r="G1491" s="8"/>
      <c r="H1491" s="8"/>
      <c r="I1491" s="8"/>
      <c r="J1491" s="8"/>
      <c r="K1491" s="8"/>
      <c r="L1491" s="8"/>
    </row>
    <row r="1492" spans="3:12" x14ac:dyDescent="0.25">
      <c r="C1492" s="7"/>
      <c r="E1492" s="8"/>
      <c r="F1492" s="8"/>
      <c r="G1492" s="8"/>
      <c r="H1492" s="8"/>
      <c r="I1492" s="8"/>
      <c r="J1492" s="8"/>
      <c r="K1492" s="8"/>
      <c r="L1492" s="8"/>
    </row>
    <row r="1493" spans="3:12" x14ac:dyDescent="0.25">
      <c r="C1493" s="7"/>
      <c r="E1493" s="8"/>
      <c r="F1493" s="8"/>
      <c r="G1493" s="8"/>
      <c r="H1493" s="8"/>
      <c r="I1493" s="8"/>
      <c r="J1493" s="8"/>
      <c r="K1493" s="8"/>
      <c r="L1493" s="8"/>
    </row>
    <row r="1494" spans="3:12" x14ac:dyDescent="0.25">
      <c r="C1494" s="7"/>
      <c r="E1494" s="8"/>
      <c r="F1494" s="8"/>
      <c r="G1494" s="8"/>
      <c r="H1494" s="8"/>
      <c r="I1494" s="8"/>
      <c r="J1494" s="8"/>
      <c r="K1494" s="8"/>
      <c r="L1494" s="8"/>
    </row>
    <row r="1495" spans="3:12" x14ac:dyDescent="0.25">
      <c r="C1495" s="7"/>
      <c r="E1495" s="8"/>
      <c r="F1495" s="8"/>
      <c r="G1495" s="8"/>
      <c r="H1495" s="8"/>
      <c r="I1495" s="8"/>
      <c r="J1495" s="8"/>
      <c r="K1495" s="8"/>
      <c r="L1495" s="8"/>
    </row>
    <row r="1496" spans="3:12" x14ac:dyDescent="0.25">
      <c r="C1496" s="7"/>
      <c r="E1496" s="8"/>
      <c r="F1496" s="8"/>
      <c r="G1496" s="8"/>
      <c r="H1496" s="8"/>
      <c r="I1496" s="8"/>
      <c r="J1496" s="8"/>
      <c r="K1496" s="8"/>
      <c r="L1496" s="8"/>
    </row>
    <row r="1497" spans="3:12" x14ac:dyDescent="0.25">
      <c r="C1497" s="7"/>
      <c r="E1497" s="8"/>
      <c r="F1497" s="8"/>
      <c r="G1497" s="8"/>
      <c r="H1497" s="8"/>
      <c r="I1497" s="8"/>
      <c r="J1497" s="8"/>
      <c r="K1497" s="8"/>
      <c r="L1497" s="8"/>
    </row>
    <row r="1498" spans="3:12" x14ac:dyDescent="0.25">
      <c r="C1498" s="7"/>
      <c r="E1498" s="8"/>
      <c r="F1498" s="8"/>
      <c r="G1498" s="8"/>
      <c r="H1498" s="8"/>
      <c r="I1498" s="8"/>
      <c r="J1498" s="8"/>
      <c r="K1498" s="8"/>
      <c r="L1498" s="8"/>
    </row>
    <row r="1499" spans="3:12" x14ac:dyDescent="0.25">
      <c r="C1499" s="7"/>
      <c r="E1499" s="8"/>
      <c r="F1499" s="8"/>
      <c r="G1499" s="8"/>
      <c r="H1499" s="8"/>
      <c r="I1499" s="8"/>
      <c r="J1499" s="8"/>
      <c r="K1499" s="8"/>
      <c r="L1499" s="8"/>
    </row>
    <row r="1500" spans="3:12" x14ac:dyDescent="0.25">
      <c r="C1500" s="7"/>
      <c r="E1500" s="8"/>
      <c r="F1500" s="8"/>
      <c r="G1500" s="8"/>
      <c r="H1500" s="8"/>
      <c r="I1500" s="8"/>
      <c r="J1500" s="8"/>
      <c r="K1500" s="8"/>
      <c r="L1500" s="8"/>
    </row>
    <row r="1501" spans="3:12" x14ac:dyDescent="0.25">
      <c r="C1501" s="7"/>
      <c r="E1501" s="8"/>
      <c r="F1501" s="8"/>
      <c r="G1501" s="8"/>
      <c r="H1501" s="8"/>
      <c r="I1501" s="8"/>
      <c r="J1501" s="8"/>
      <c r="K1501" s="8"/>
      <c r="L1501" s="8"/>
    </row>
    <row r="1502" spans="3:12" x14ac:dyDescent="0.25">
      <c r="C1502" s="7"/>
      <c r="E1502" s="8"/>
      <c r="F1502" s="8"/>
      <c r="G1502" s="8"/>
      <c r="H1502" s="8"/>
      <c r="I1502" s="8"/>
      <c r="J1502" s="8"/>
      <c r="K1502" s="8"/>
      <c r="L1502" s="8"/>
    </row>
    <row r="1503" spans="3:12" x14ac:dyDescent="0.25">
      <c r="C1503" s="7"/>
      <c r="E1503" s="8"/>
      <c r="F1503" s="8"/>
      <c r="G1503" s="8"/>
      <c r="H1503" s="8"/>
      <c r="I1503" s="8"/>
      <c r="J1503" s="8"/>
      <c r="K1503" s="8"/>
      <c r="L1503" s="8"/>
    </row>
    <row r="1504" spans="3:12" x14ac:dyDescent="0.25">
      <c r="C1504" s="7"/>
      <c r="E1504" s="8"/>
      <c r="F1504" s="8"/>
      <c r="G1504" s="8"/>
      <c r="H1504" s="8"/>
      <c r="I1504" s="8"/>
      <c r="J1504" s="8"/>
      <c r="K1504" s="8"/>
      <c r="L1504" s="8"/>
    </row>
    <row r="1505" spans="3:12" x14ac:dyDescent="0.25">
      <c r="C1505" s="7"/>
      <c r="E1505" s="8"/>
      <c r="F1505" s="8"/>
      <c r="G1505" s="8"/>
      <c r="H1505" s="8"/>
      <c r="I1505" s="8"/>
      <c r="J1505" s="8"/>
      <c r="K1505" s="8"/>
      <c r="L1505" s="8"/>
    </row>
    <row r="1506" spans="3:12" x14ac:dyDescent="0.25">
      <c r="C1506" s="7"/>
      <c r="E1506" s="8"/>
      <c r="F1506" s="8"/>
      <c r="G1506" s="8"/>
      <c r="H1506" s="8"/>
      <c r="I1506" s="8"/>
      <c r="J1506" s="8"/>
      <c r="K1506" s="8"/>
      <c r="L1506" s="8"/>
    </row>
    <row r="1507" spans="3:12" x14ac:dyDescent="0.25">
      <c r="C1507" s="7"/>
      <c r="E1507" s="8"/>
      <c r="F1507" s="8"/>
      <c r="G1507" s="8"/>
      <c r="H1507" s="8"/>
      <c r="I1507" s="8"/>
      <c r="J1507" s="8"/>
      <c r="K1507" s="8"/>
      <c r="L1507" s="8"/>
    </row>
    <row r="1508" spans="3:12" x14ac:dyDescent="0.25">
      <c r="C1508" s="7"/>
      <c r="E1508" s="8"/>
      <c r="F1508" s="8"/>
      <c r="G1508" s="8"/>
      <c r="H1508" s="8"/>
      <c r="I1508" s="8"/>
      <c r="J1508" s="8"/>
      <c r="K1508" s="8"/>
      <c r="L1508" s="8"/>
    </row>
    <row r="1509" spans="3:12" x14ac:dyDescent="0.25">
      <c r="C1509" s="7"/>
      <c r="E1509" s="8"/>
      <c r="F1509" s="8"/>
      <c r="G1509" s="8"/>
      <c r="H1509" s="8"/>
      <c r="I1509" s="8"/>
      <c r="J1509" s="8"/>
      <c r="K1509" s="8"/>
      <c r="L1509" s="8"/>
    </row>
    <row r="1510" spans="3:12" x14ac:dyDescent="0.25">
      <c r="C1510" s="7"/>
      <c r="E1510" s="8"/>
      <c r="F1510" s="8"/>
      <c r="G1510" s="8"/>
      <c r="H1510" s="8"/>
      <c r="I1510" s="8"/>
      <c r="J1510" s="8"/>
      <c r="K1510" s="8"/>
      <c r="L1510" s="8"/>
    </row>
    <row r="1511" spans="3:12" x14ac:dyDescent="0.25">
      <c r="C1511" s="7"/>
      <c r="E1511" s="8"/>
      <c r="F1511" s="8"/>
      <c r="G1511" s="8"/>
      <c r="H1511" s="8"/>
      <c r="I1511" s="8"/>
      <c r="J1511" s="8"/>
      <c r="K1511" s="8"/>
      <c r="L1511" s="8"/>
    </row>
    <row r="1512" spans="3:12" x14ac:dyDescent="0.25">
      <c r="C1512" s="7"/>
      <c r="E1512" s="8"/>
      <c r="F1512" s="8"/>
      <c r="G1512" s="8"/>
      <c r="H1512" s="8"/>
      <c r="I1512" s="8"/>
      <c r="J1512" s="8"/>
      <c r="K1512" s="8"/>
      <c r="L1512" s="8"/>
    </row>
    <row r="1513" spans="3:12" x14ac:dyDescent="0.25">
      <c r="C1513" s="7"/>
      <c r="E1513" s="8"/>
      <c r="F1513" s="8"/>
      <c r="G1513" s="8"/>
      <c r="H1513" s="8"/>
      <c r="I1513" s="8"/>
      <c r="J1513" s="8"/>
      <c r="K1513" s="8"/>
      <c r="L1513" s="8"/>
    </row>
    <row r="1514" spans="3:12" x14ac:dyDescent="0.25">
      <c r="C1514" s="7"/>
      <c r="E1514" s="8"/>
      <c r="F1514" s="8"/>
      <c r="G1514" s="8"/>
      <c r="H1514" s="8"/>
      <c r="I1514" s="8"/>
      <c r="J1514" s="8"/>
      <c r="K1514" s="8"/>
      <c r="L1514" s="8"/>
    </row>
    <row r="1515" spans="3:12" x14ac:dyDescent="0.25">
      <c r="C1515" s="7"/>
      <c r="E1515" s="8"/>
      <c r="F1515" s="8"/>
      <c r="G1515" s="8"/>
      <c r="H1515" s="8"/>
      <c r="I1515" s="8"/>
      <c r="J1515" s="8"/>
      <c r="K1515" s="8"/>
      <c r="L1515" s="8"/>
    </row>
    <row r="1516" spans="3:12" x14ac:dyDescent="0.25">
      <c r="C1516" s="7"/>
      <c r="E1516" s="8"/>
      <c r="F1516" s="8"/>
      <c r="G1516" s="8"/>
      <c r="H1516" s="8"/>
      <c r="I1516" s="8"/>
      <c r="J1516" s="8"/>
      <c r="K1516" s="8"/>
      <c r="L1516" s="8"/>
    </row>
    <row r="1517" spans="3:12" x14ac:dyDescent="0.25">
      <c r="C1517" s="7"/>
      <c r="E1517" s="8"/>
      <c r="F1517" s="8"/>
      <c r="G1517" s="8"/>
      <c r="H1517" s="8"/>
      <c r="I1517" s="8"/>
      <c r="J1517" s="8"/>
      <c r="K1517" s="8"/>
      <c r="L1517" s="8"/>
    </row>
    <row r="1518" spans="3:12" x14ac:dyDescent="0.25">
      <c r="C1518" s="7"/>
      <c r="E1518" s="8"/>
      <c r="F1518" s="8"/>
      <c r="G1518" s="8"/>
      <c r="H1518" s="8"/>
      <c r="I1518" s="8"/>
      <c r="J1518" s="8"/>
      <c r="K1518" s="8"/>
      <c r="L1518" s="8"/>
    </row>
    <row r="1519" spans="3:12" x14ac:dyDescent="0.25">
      <c r="C1519" s="7"/>
      <c r="E1519" s="8"/>
      <c r="F1519" s="8"/>
      <c r="G1519" s="8"/>
      <c r="H1519" s="8"/>
      <c r="I1519" s="8"/>
      <c r="J1519" s="8"/>
      <c r="K1519" s="8"/>
      <c r="L1519" s="8"/>
    </row>
    <row r="1520" spans="3:12" x14ac:dyDescent="0.25">
      <c r="C1520" s="7"/>
      <c r="E1520" s="8"/>
      <c r="F1520" s="8"/>
      <c r="G1520" s="8"/>
      <c r="H1520" s="8"/>
      <c r="I1520" s="8"/>
      <c r="J1520" s="8"/>
      <c r="K1520" s="8"/>
      <c r="L1520" s="8"/>
    </row>
    <row r="1521" spans="3:12" x14ac:dyDescent="0.25">
      <c r="C1521" s="7"/>
      <c r="E1521" s="8"/>
      <c r="F1521" s="8"/>
      <c r="G1521" s="8"/>
      <c r="H1521" s="8"/>
      <c r="I1521" s="8"/>
      <c r="J1521" s="8"/>
      <c r="K1521" s="8"/>
      <c r="L1521" s="8"/>
    </row>
    <row r="1522" spans="3:12" x14ac:dyDescent="0.25">
      <c r="C1522" s="7"/>
      <c r="E1522" s="8"/>
      <c r="F1522" s="8"/>
      <c r="G1522" s="8"/>
      <c r="H1522" s="8"/>
      <c r="I1522" s="8"/>
      <c r="J1522" s="8"/>
      <c r="K1522" s="8"/>
      <c r="L1522" s="8"/>
    </row>
    <row r="1523" spans="3:12" x14ac:dyDescent="0.25">
      <c r="C1523" s="7"/>
      <c r="E1523" s="8"/>
      <c r="F1523" s="8"/>
      <c r="G1523" s="8"/>
      <c r="H1523" s="8"/>
      <c r="I1523" s="8"/>
      <c r="J1523" s="8"/>
      <c r="K1523" s="8"/>
      <c r="L1523" s="8"/>
    </row>
    <row r="1524" spans="3:12" x14ac:dyDescent="0.25">
      <c r="C1524" s="7"/>
      <c r="E1524" s="8"/>
      <c r="F1524" s="8"/>
      <c r="G1524" s="8"/>
      <c r="H1524" s="8"/>
      <c r="I1524" s="8"/>
      <c r="J1524" s="8"/>
      <c r="K1524" s="8"/>
      <c r="L1524" s="8"/>
    </row>
    <row r="1525" spans="3:12" x14ac:dyDescent="0.25">
      <c r="C1525" s="7"/>
      <c r="E1525" s="8"/>
      <c r="F1525" s="8"/>
      <c r="G1525" s="8"/>
      <c r="H1525" s="8"/>
      <c r="I1525" s="8"/>
      <c r="J1525" s="8"/>
      <c r="K1525" s="8"/>
      <c r="L1525" s="8"/>
    </row>
    <row r="1526" spans="3:12" x14ac:dyDescent="0.25">
      <c r="C1526" s="7"/>
      <c r="E1526" s="8"/>
      <c r="F1526" s="8"/>
      <c r="G1526" s="8"/>
      <c r="H1526" s="8"/>
      <c r="I1526" s="8"/>
      <c r="J1526" s="8"/>
      <c r="K1526" s="8"/>
      <c r="L1526" s="8"/>
    </row>
    <row r="1527" spans="3:12" x14ac:dyDescent="0.25">
      <c r="C1527" s="7"/>
      <c r="E1527" s="8"/>
      <c r="F1527" s="8"/>
      <c r="G1527" s="8"/>
      <c r="H1527" s="8"/>
      <c r="I1527" s="8"/>
      <c r="J1527" s="8"/>
      <c r="K1527" s="8"/>
      <c r="L1527" s="8"/>
    </row>
    <row r="1528" spans="3:12" x14ac:dyDescent="0.25">
      <c r="C1528" s="7"/>
      <c r="E1528" s="8"/>
      <c r="F1528" s="8"/>
      <c r="G1528" s="8"/>
      <c r="H1528" s="8"/>
      <c r="I1528" s="8"/>
      <c r="J1528" s="8"/>
      <c r="K1528" s="8"/>
      <c r="L1528" s="8"/>
    </row>
    <row r="1529" spans="3:12" x14ac:dyDescent="0.25">
      <c r="C1529" s="7"/>
      <c r="E1529" s="8"/>
      <c r="F1529" s="8"/>
      <c r="G1529" s="8"/>
      <c r="H1529" s="8"/>
      <c r="I1529" s="8"/>
      <c r="J1529" s="8"/>
      <c r="K1529" s="8"/>
      <c r="L1529" s="8"/>
    </row>
    <row r="1530" spans="3:12" x14ac:dyDescent="0.25">
      <c r="C1530" s="7"/>
      <c r="E1530" s="8"/>
      <c r="F1530" s="8"/>
      <c r="G1530" s="8"/>
      <c r="H1530" s="8"/>
      <c r="I1530" s="8"/>
      <c r="J1530" s="8"/>
      <c r="K1530" s="8"/>
      <c r="L1530" s="8"/>
    </row>
    <row r="1531" spans="3:12" x14ac:dyDescent="0.25">
      <c r="C1531" s="7"/>
      <c r="E1531" s="8"/>
      <c r="F1531" s="8"/>
      <c r="G1531" s="8"/>
      <c r="H1531" s="8"/>
      <c r="I1531" s="8"/>
      <c r="J1531" s="8"/>
      <c r="K1531" s="8"/>
      <c r="L1531" s="8"/>
    </row>
    <row r="1532" spans="3:12" x14ac:dyDescent="0.25">
      <c r="C1532" s="7"/>
      <c r="E1532" s="8"/>
      <c r="F1532" s="8"/>
      <c r="G1532" s="8"/>
      <c r="H1532" s="8"/>
      <c r="I1532" s="8"/>
      <c r="J1532" s="8"/>
      <c r="K1532" s="8"/>
      <c r="L1532" s="8"/>
    </row>
    <row r="1533" spans="3:12" x14ac:dyDescent="0.25">
      <c r="C1533" s="7"/>
      <c r="E1533" s="8"/>
      <c r="F1533" s="8"/>
      <c r="G1533" s="8"/>
      <c r="H1533" s="8"/>
      <c r="I1533" s="8"/>
      <c r="J1533" s="8"/>
      <c r="K1533" s="8"/>
      <c r="L1533" s="8"/>
    </row>
    <row r="1534" spans="3:12" x14ac:dyDescent="0.25">
      <c r="C1534" s="7"/>
      <c r="E1534" s="8"/>
      <c r="F1534" s="8"/>
      <c r="G1534" s="8"/>
      <c r="H1534" s="8"/>
      <c r="I1534" s="8"/>
      <c r="J1534" s="8"/>
      <c r="K1534" s="8"/>
      <c r="L1534" s="8"/>
    </row>
    <row r="1535" spans="3:12" x14ac:dyDescent="0.25">
      <c r="C1535" s="7"/>
      <c r="E1535" s="8"/>
      <c r="F1535" s="8"/>
      <c r="G1535" s="8"/>
      <c r="H1535" s="8"/>
      <c r="I1535" s="8"/>
      <c r="J1535" s="8"/>
      <c r="K1535" s="8"/>
      <c r="L1535" s="8"/>
    </row>
    <row r="1536" spans="3:12" x14ac:dyDescent="0.25">
      <c r="C1536" s="7"/>
      <c r="E1536" s="8"/>
      <c r="F1536" s="8"/>
      <c r="G1536" s="8"/>
      <c r="H1536" s="8"/>
      <c r="I1536" s="8"/>
      <c r="J1536" s="8"/>
      <c r="K1536" s="8"/>
      <c r="L1536" s="8"/>
    </row>
    <row r="1537" spans="3:12" x14ac:dyDescent="0.25">
      <c r="C1537" s="7"/>
      <c r="E1537" s="8"/>
      <c r="F1537" s="8"/>
      <c r="G1537" s="8"/>
      <c r="H1537" s="8"/>
      <c r="I1537" s="8"/>
      <c r="J1537" s="8"/>
      <c r="K1537" s="8"/>
      <c r="L1537" s="8"/>
    </row>
    <row r="1538" spans="3:12" x14ac:dyDescent="0.25">
      <c r="C1538" s="7"/>
      <c r="E1538" s="8"/>
      <c r="F1538" s="8"/>
      <c r="G1538" s="8"/>
      <c r="H1538" s="8"/>
      <c r="I1538" s="8"/>
      <c r="J1538" s="8"/>
      <c r="K1538" s="8"/>
      <c r="L1538" s="8"/>
    </row>
    <row r="1539" spans="3:12" x14ac:dyDescent="0.25">
      <c r="C1539" s="7"/>
      <c r="E1539" s="8"/>
      <c r="F1539" s="8"/>
      <c r="G1539" s="8"/>
      <c r="H1539" s="8"/>
      <c r="I1539" s="8"/>
      <c r="J1539" s="8"/>
      <c r="K1539" s="8"/>
      <c r="L1539" s="8"/>
    </row>
    <row r="1540" spans="3:12" x14ac:dyDescent="0.25">
      <c r="C1540" s="7"/>
      <c r="E1540" s="8"/>
      <c r="F1540" s="8"/>
      <c r="G1540" s="8"/>
      <c r="H1540" s="8"/>
      <c r="I1540" s="8"/>
      <c r="J1540" s="8"/>
      <c r="K1540" s="8"/>
      <c r="L1540" s="8"/>
    </row>
    <row r="1541" spans="3:12" x14ac:dyDescent="0.25">
      <c r="C1541" s="7"/>
      <c r="E1541" s="8"/>
      <c r="F1541" s="8"/>
      <c r="G1541" s="8"/>
      <c r="H1541" s="8"/>
      <c r="I1541" s="8"/>
      <c r="J1541" s="8"/>
      <c r="K1541" s="8"/>
      <c r="L1541" s="8"/>
    </row>
    <row r="1542" spans="3:12" x14ac:dyDescent="0.25">
      <c r="C1542" s="7"/>
      <c r="E1542" s="8"/>
      <c r="F1542" s="8"/>
      <c r="G1542" s="8"/>
      <c r="H1542" s="8"/>
      <c r="I1542" s="8"/>
      <c r="J1542" s="8"/>
      <c r="K1542" s="8"/>
      <c r="L1542" s="8"/>
    </row>
    <row r="1543" spans="3:12" x14ac:dyDescent="0.25">
      <c r="C1543" s="7"/>
      <c r="E1543" s="8"/>
      <c r="F1543" s="8"/>
      <c r="G1543" s="8"/>
      <c r="H1543" s="8"/>
      <c r="I1543" s="8"/>
      <c r="J1543" s="8"/>
      <c r="K1543" s="8"/>
      <c r="L1543" s="8"/>
    </row>
    <row r="1544" spans="3:12" x14ac:dyDescent="0.25">
      <c r="C1544" s="7"/>
      <c r="E1544" s="8"/>
      <c r="F1544" s="8"/>
      <c r="G1544" s="8"/>
      <c r="H1544" s="8"/>
      <c r="I1544" s="8"/>
      <c r="J1544" s="8"/>
      <c r="K1544" s="8"/>
      <c r="L1544" s="8"/>
    </row>
    <row r="1545" spans="3:12" x14ac:dyDescent="0.25">
      <c r="C1545" s="7"/>
      <c r="E1545" s="8"/>
      <c r="F1545" s="8"/>
      <c r="G1545" s="8"/>
      <c r="H1545" s="8"/>
      <c r="I1545" s="8"/>
      <c r="J1545" s="8"/>
      <c r="K1545" s="8"/>
      <c r="L1545" s="8"/>
    </row>
    <row r="1546" spans="3:12" x14ac:dyDescent="0.25">
      <c r="C1546" s="7"/>
      <c r="E1546" s="8"/>
      <c r="F1546" s="8"/>
      <c r="G1546" s="8"/>
      <c r="H1546" s="8"/>
      <c r="I1546" s="8"/>
      <c r="J1546" s="8"/>
      <c r="K1546" s="8"/>
      <c r="L1546" s="8"/>
    </row>
    <row r="1547" spans="3:12" x14ac:dyDescent="0.25">
      <c r="C1547" s="7"/>
      <c r="E1547" s="8"/>
      <c r="F1547" s="8"/>
      <c r="G1547" s="8"/>
      <c r="H1547" s="8"/>
      <c r="I1547" s="8"/>
      <c r="J1547" s="8"/>
      <c r="K1547" s="8"/>
      <c r="L1547" s="8"/>
    </row>
    <row r="1548" spans="3:12" x14ac:dyDescent="0.25">
      <c r="C1548" s="7"/>
      <c r="E1548" s="8"/>
      <c r="F1548" s="8"/>
      <c r="G1548" s="8"/>
      <c r="H1548" s="8"/>
      <c r="I1548" s="8"/>
      <c r="J1548" s="8"/>
      <c r="K1548" s="8"/>
      <c r="L1548" s="8"/>
    </row>
    <row r="1549" spans="3:12" x14ac:dyDescent="0.25">
      <c r="C1549" s="7"/>
      <c r="E1549" s="8"/>
      <c r="F1549" s="8"/>
      <c r="G1549" s="8"/>
      <c r="H1549" s="8"/>
      <c r="I1549" s="8"/>
      <c r="J1549" s="8"/>
      <c r="K1549" s="8"/>
      <c r="L1549" s="8"/>
    </row>
    <row r="1550" spans="3:12" x14ac:dyDescent="0.25">
      <c r="C1550" s="7"/>
      <c r="E1550" s="8"/>
      <c r="F1550" s="8"/>
      <c r="G1550" s="8"/>
      <c r="H1550" s="8"/>
      <c r="I1550" s="8"/>
      <c r="J1550" s="8"/>
      <c r="K1550" s="8"/>
      <c r="L1550" s="8"/>
    </row>
    <row r="1551" spans="3:12" x14ac:dyDescent="0.25">
      <c r="C1551" s="7"/>
      <c r="E1551" s="8"/>
      <c r="F1551" s="8"/>
      <c r="G1551" s="8"/>
      <c r="H1551" s="8"/>
      <c r="I1551" s="8"/>
      <c r="J1551" s="8"/>
      <c r="K1551" s="8"/>
      <c r="L1551" s="8"/>
    </row>
    <row r="1552" spans="3:12" x14ac:dyDescent="0.25">
      <c r="C1552" s="7"/>
      <c r="E1552" s="8"/>
      <c r="F1552" s="8"/>
      <c r="G1552" s="8"/>
      <c r="H1552" s="8"/>
      <c r="I1552" s="8"/>
      <c r="J1552" s="8"/>
      <c r="K1552" s="8"/>
      <c r="L1552" s="8"/>
    </row>
    <row r="1553" spans="3:12" x14ac:dyDescent="0.25">
      <c r="C1553" s="7"/>
      <c r="E1553" s="8"/>
      <c r="F1553" s="8"/>
      <c r="G1553" s="8"/>
      <c r="H1553" s="8"/>
      <c r="I1553" s="8"/>
      <c r="J1553" s="8"/>
      <c r="K1553" s="8"/>
      <c r="L1553" s="8"/>
    </row>
    <row r="1554" spans="3:12" x14ac:dyDescent="0.25">
      <c r="C1554" s="7"/>
      <c r="E1554" s="8"/>
      <c r="F1554" s="8"/>
      <c r="G1554" s="8"/>
      <c r="H1554" s="8"/>
      <c r="I1554" s="8"/>
      <c r="J1554" s="8"/>
      <c r="K1554" s="8"/>
      <c r="L1554" s="8"/>
    </row>
    <row r="1555" spans="3:12" x14ac:dyDescent="0.25">
      <c r="C1555" s="7"/>
      <c r="E1555" s="8"/>
      <c r="F1555" s="8"/>
      <c r="G1555" s="8"/>
      <c r="H1555" s="8"/>
      <c r="I1555" s="8"/>
      <c r="J1555" s="8"/>
      <c r="K1555" s="8"/>
      <c r="L1555" s="8"/>
    </row>
    <row r="1556" spans="3:12" x14ac:dyDescent="0.25">
      <c r="C1556" s="7"/>
      <c r="E1556" s="8"/>
      <c r="F1556" s="8"/>
      <c r="G1556" s="8"/>
      <c r="H1556" s="8"/>
      <c r="I1556" s="8"/>
      <c r="J1556" s="8"/>
      <c r="K1556" s="8"/>
      <c r="L1556" s="8"/>
    </row>
    <row r="1557" spans="3:12" x14ac:dyDescent="0.25">
      <c r="C1557" s="7"/>
      <c r="E1557" s="8"/>
      <c r="F1557" s="8"/>
      <c r="G1557" s="8"/>
      <c r="H1557" s="8"/>
      <c r="I1557" s="8"/>
      <c r="J1557" s="8"/>
      <c r="K1557" s="8"/>
      <c r="L1557" s="8"/>
    </row>
    <row r="1558" spans="3:12" x14ac:dyDescent="0.25">
      <c r="C1558" s="7"/>
      <c r="E1558" s="8"/>
      <c r="F1558" s="8"/>
      <c r="G1558" s="8"/>
      <c r="H1558" s="8"/>
      <c r="I1558" s="8"/>
      <c r="J1558" s="8"/>
      <c r="K1558" s="8"/>
      <c r="L1558" s="8"/>
    </row>
    <row r="1559" spans="3:12" x14ac:dyDescent="0.25">
      <c r="C1559" s="7"/>
      <c r="E1559" s="8"/>
      <c r="F1559" s="8"/>
      <c r="G1559" s="8"/>
      <c r="H1559" s="8"/>
      <c r="I1559" s="8"/>
      <c r="J1559" s="8"/>
      <c r="K1559" s="8"/>
      <c r="L1559" s="8"/>
    </row>
    <row r="1560" spans="3:12" x14ac:dyDescent="0.25">
      <c r="C1560" s="7"/>
      <c r="E1560" s="8"/>
      <c r="F1560" s="8"/>
      <c r="G1560" s="8"/>
      <c r="H1560" s="8"/>
      <c r="I1560" s="8"/>
      <c r="J1560" s="8"/>
      <c r="K1560" s="8"/>
      <c r="L1560" s="8"/>
    </row>
    <row r="1561" spans="3:12" x14ac:dyDescent="0.25">
      <c r="C1561" s="7"/>
      <c r="E1561" s="8"/>
      <c r="F1561" s="8"/>
      <c r="G1561" s="8"/>
      <c r="H1561" s="8"/>
      <c r="I1561" s="8"/>
      <c r="J1561" s="8"/>
      <c r="K1561" s="8"/>
      <c r="L1561" s="8"/>
    </row>
    <row r="1562" spans="3:12" x14ac:dyDescent="0.25">
      <c r="C1562" s="7"/>
      <c r="E1562" s="8"/>
      <c r="F1562" s="8"/>
      <c r="G1562" s="8"/>
      <c r="H1562" s="8"/>
      <c r="I1562" s="8"/>
      <c r="J1562" s="8"/>
      <c r="K1562" s="8"/>
      <c r="L1562" s="8"/>
    </row>
    <row r="1563" spans="3:12" x14ac:dyDescent="0.25">
      <c r="C1563" s="7"/>
      <c r="E1563" s="8"/>
      <c r="F1563" s="8"/>
      <c r="G1563" s="8"/>
      <c r="H1563" s="8"/>
      <c r="I1563" s="8"/>
      <c r="J1563" s="8"/>
      <c r="K1563" s="8"/>
      <c r="L1563" s="8"/>
    </row>
    <row r="1564" spans="3:12" x14ac:dyDescent="0.25">
      <c r="C1564" s="7"/>
      <c r="E1564" s="8"/>
      <c r="F1564" s="8"/>
      <c r="G1564" s="8"/>
      <c r="H1564" s="8"/>
      <c r="I1564" s="8"/>
      <c r="J1564" s="8"/>
      <c r="K1564" s="8"/>
      <c r="L1564" s="8"/>
    </row>
    <row r="1565" spans="3:12" x14ac:dyDescent="0.25">
      <c r="C1565" s="7"/>
      <c r="E1565" s="8"/>
      <c r="F1565" s="8"/>
      <c r="G1565" s="8"/>
      <c r="H1565" s="8"/>
      <c r="I1565" s="8"/>
      <c r="J1565" s="8"/>
      <c r="K1565" s="8"/>
      <c r="L1565" s="8"/>
    </row>
    <row r="1566" spans="3:12" x14ac:dyDescent="0.25">
      <c r="C1566" s="7"/>
      <c r="E1566" s="8"/>
      <c r="F1566" s="8"/>
      <c r="G1566" s="8"/>
      <c r="H1566" s="8"/>
      <c r="I1566" s="8"/>
      <c r="J1566" s="8"/>
      <c r="K1566" s="8"/>
      <c r="L1566" s="8"/>
    </row>
    <row r="1567" spans="3:12" x14ac:dyDescent="0.25">
      <c r="C1567" s="7"/>
      <c r="E1567" s="8"/>
      <c r="F1567" s="8"/>
      <c r="G1567" s="8"/>
      <c r="H1567" s="8"/>
      <c r="I1567" s="8"/>
      <c r="J1567" s="8"/>
      <c r="K1567" s="8"/>
      <c r="L1567" s="8"/>
    </row>
    <row r="1568" spans="3:12" x14ac:dyDescent="0.25">
      <c r="C1568" s="7"/>
      <c r="E1568" s="8"/>
      <c r="F1568" s="8"/>
      <c r="G1568" s="8"/>
      <c r="H1568" s="8"/>
      <c r="I1568" s="8"/>
      <c r="J1568" s="8"/>
      <c r="K1568" s="8"/>
      <c r="L1568" s="8"/>
    </row>
    <row r="1569" spans="3:12" x14ac:dyDescent="0.25">
      <c r="C1569" s="7"/>
      <c r="E1569" s="8"/>
      <c r="F1569" s="8"/>
      <c r="G1569" s="8"/>
      <c r="H1569" s="8"/>
      <c r="I1569" s="8"/>
      <c r="J1569" s="8"/>
      <c r="K1569" s="8"/>
      <c r="L1569" s="8"/>
    </row>
    <row r="1570" spans="3:12" x14ac:dyDescent="0.25">
      <c r="C1570" s="7"/>
      <c r="E1570" s="8"/>
      <c r="F1570" s="8"/>
      <c r="G1570" s="8"/>
      <c r="H1570" s="8"/>
      <c r="I1570" s="8"/>
      <c r="J1570" s="8"/>
      <c r="K1570" s="8"/>
      <c r="L1570" s="8"/>
    </row>
    <row r="1571" spans="3:12" x14ac:dyDescent="0.25">
      <c r="C1571" s="7"/>
      <c r="E1571" s="8"/>
      <c r="F1571" s="8"/>
      <c r="G1571" s="8"/>
      <c r="H1571" s="8"/>
      <c r="I1571" s="8"/>
      <c r="J1571" s="8"/>
      <c r="K1571" s="8"/>
      <c r="L1571" s="8"/>
    </row>
    <row r="1572" spans="3:12" x14ac:dyDescent="0.25">
      <c r="C1572" s="7"/>
      <c r="E1572" s="8"/>
      <c r="F1572" s="8"/>
      <c r="G1572" s="8"/>
      <c r="H1572" s="8"/>
      <c r="I1572" s="8"/>
      <c r="J1572" s="8"/>
      <c r="K1572" s="8"/>
      <c r="L1572" s="8"/>
    </row>
    <row r="1573" spans="3:12" x14ac:dyDescent="0.25">
      <c r="C1573" s="7"/>
      <c r="E1573" s="8"/>
      <c r="F1573" s="8"/>
      <c r="G1573" s="8"/>
      <c r="H1573" s="8"/>
      <c r="I1573" s="8"/>
      <c r="J1573" s="8"/>
      <c r="K1573" s="8"/>
      <c r="L1573" s="8"/>
    </row>
    <row r="1574" spans="3:12" x14ac:dyDescent="0.25">
      <c r="C1574" s="7"/>
      <c r="E1574" s="8"/>
      <c r="F1574" s="8"/>
      <c r="G1574" s="8"/>
      <c r="H1574" s="8"/>
      <c r="I1574" s="8"/>
      <c r="J1574" s="8"/>
      <c r="K1574" s="8"/>
      <c r="L1574" s="8"/>
    </row>
    <row r="1575" spans="3:12" x14ac:dyDescent="0.25">
      <c r="C1575" s="7"/>
      <c r="E1575" s="8"/>
      <c r="F1575" s="8"/>
      <c r="G1575" s="8"/>
      <c r="H1575" s="8"/>
      <c r="I1575" s="8"/>
      <c r="J1575" s="8"/>
      <c r="K1575" s="8"/>
      <c r="L1575" s="8"/>
    </row>
    <row r="1576" spans="3:12" x14ac:dyDescent="0.25">
      <c r="C1576" s="7"/>
      <c r="E1576" s="8"/>
      <c r="F1576" s="8"/>
      <c r="G1576" s="8"/>
      <c r="H1576" s="8"/>
      <c r="I1576" s="8"/>
      <c r="J1576" s="8"/>
      <c r="K1576" s="8"/>
      <c r="L1576" s="8"/>
    </row>
    <row r="1577" spans="3:12" x14ac:dyDescent="0.25">
      <c r="C1577" s="7"/>
      <c r="E1577" s="8"/>
      <c r="F1577" s="8"/>
      <c r="G1577" s="8"/>
      <c r="H1577" s="8"/>
      <c r="I1577" s="8"/>
      <c r="J1577" s="8"/>
      <c r="K1577" s="8"/>
      <c r="L1577" s="8"/>
    </row>
    <row r="1578" spans="3:12" x14ac:dyDescent="0.25">
      <c r="C1578" s="7"/>
      <c r="E1578" s="8"/>
      <c r="F1578" s="8"/>
      <c r="G1578" s="8"/>
      <c r="H1578" s="8"/>
      <c r="I1578" s="8"/>
      <c r="J1578" s="8"/>
      <c r="K1578" s="8"/>
      <c r="L1578" s="8"/>
    </row>
    <row r="1579" spans="3:12" x14ac:dyDescent="0.25">
      <c r="C1579" s="7"/>
      <c r="E1579" s="8"/>
      <c r="F1579" s="8"/>
      <c r="G1579" s="8"/>
      <c r="H1579" s="8"/>
      <c r="I1579" s="8"/>
      <c r="J1579" s="8"/>
      <c r="K1579" s="8"/>
      <c r="L1579" s="8"/>
    </row>
    <row r="1580" spans="3:12" x14ac:dyDescent="0.25">
      <c r="C1580" s="7"/>
      <c r="E1580" s="8"/>
      <c r="F1580" s="8"/>
      <c r="G1580" s="8"/>
      <c r="H1580" s="8"/>
      <c r="I1580" s="8"/>
      <c r="J1580" s="8"/>
      <c r="K1580" s="8"/>
      <c r="L1580" s="8"/>
    </row>
    <row r="1581" spans="3:12" x14ac:dyDescent="0.25">
      <c r="C1581" s="7"/>
      <c r="E1581" s="8"/>
      <c r="F1581" s="8"/>
      <c r="G1581" s="8"/>
      <c r="H1581" s="8"/>
      <c r="I1581" s="8"/>
      <c r="J1581" s="8"/>
      <c r="K1581" s="8"/>
      <c r="L1581" s="8"/>
    </row>
    <row r="1582" spans="3:12" x14ac:dyDescent="0.25">
      <c r="C1582" s="7"/>
      <c r="E1582" s="8"/>
      <c r="F1582" s="8"/>
      <c r="G1582" s="8"/>
      <c r="H1582" s="8"/>
      <c r="I1582" s="8"/>
      <c r="J1582" s="8"/>
      <c r="K1582" s="8"/>
      <c r="L1582" s="8"/>
    </row>
    <row r="1583" spans="3:12" x14ac:dyDescent="0.25">
      <c r="C1583" s="7"/>
      <c r="E1583" s="8"/>
      <c r="F1583" s="8"/>
      <c r="G1583" s="8"/>
      <c r="H1583" s="8"/>
      <c r="I1583" s="8"/>
      <c r="J1583" s="8"/>
      <c r="K1583" s="8"/>
      <c r="L1583" s="8"/>
    </row>
    <row r="1584" spans="3:12" x14ac:dyDescent="0.25">
      <c r="C1584" s="7"/>
      <c r="E1584" s="8"/>
      <c r="F1584" s="8"/>
      <c r="G1584" s="8"/>
      <c r="H1584" s="8"/>
      <c r="I1584" s="8"/>
      <c r="J1584" s="8"/>
      <c r="K1584" s="8"/>
      <c r="L1584" s="8"/>
    </row>
    <row r="1585" spans="3:12" x14ac:dyDescent="0.25">
      <c r="C1585" s="7"/>
      <c r="E1585" s="8"/>
      <c r="F1585" s="8"/>
      <c r="G1585" s="8"/>
      <c r="H1585" s="8"/>
      <c r="I1585" s="8"/>
      <c r="J1585" s="8"/>
      <c r="K1585" s="8"/>
      <c r="L1585" s="8"/>
    </row>
    <row r="1586" spans="3:12" x14ac:dyDescent="0.25">
      <c r="C1586" s="7"/>
      <c r="E1586" s="8"/>
      <c r="F1586" s="8"/>
      <c r="G1586" s="8"/>
      <c r="H1586" s="8"/>
      <c r="I1586" s="8"/>
      <c r="J1586" s="8"/>
      <c r="K1586" s="8"/>
      <c r="L1586" s="8"/>
    </row>
    <row r="1587" spans="3:12" x14ac:dyDescent="0.25">
      <c r="C1587" s="7"/>
      <c r="E1587" s="8"/>
      <c r="F1587" s="8"/>
      <c r="G1587" s="8"/>
      <c r="H1587" s="8"/>
      <c r="I1587" s="8"/>
      <c r="J1587" s="8"/>
      <c r="K1587" s="8"/>
      <c r="L1587" s="8"/>
    </row>
    <row r="1588" spans="3:12" x14ac:dyDescent="0.25">
      <c r="C1588" s="7"/>
      <c r="E1588" s="8"/>
      <c r="F1588" s="8"/>
      <c r="G1588" s="8"/>
      <c r="H1588" s="8"/>
      <c r="I1588" s="8"/>
      <c r="J1588" s="8"/>
      <c r="K1588" s="8"/>
      <c r="L1588" s="8"/>
    </row>
    <row r="1589" spans="3:12" x14ac:dyDescent="0.25">
      <c r="C1589" s="7"/>
      <c r="E1589" s="8"/>
      <c r="F1589" s="8"/>
      <c r="G1589" s="8"/>
      <c r="H1589" s="8"/>
      <c r="I1589" s="8"/>
      <c r="J1589" s="8"/>
      <c r="K1589" s="8"/>
      <c r="L1589" s="8"/>
    </row>
    <row r="1590" spans="3:12" x14ac:dyDescent="0.25">
      <c r="C1590" s="7"/>
      <c r="E1590" s="8"/>
      <c r="F1590" s="8"/>
      <c r="G1590" s="8"/>
      <c r="H1590" s="8"/>
      <c r="I1590" s="8"/>
      <c r="J1590" s="8"/>
      <c r="K1590" s="8"/>
      <c r="L1590" s="8"/>
    </row>
    <row r="1591" spans="3:12" x14ac:dyDescent="0.25">
      <c r="C1591" s="7"/>
      <c r="E1591" s="8"/>
      <c r="F1591" s="8"/>
      <c r="G1591" s="8"/>
      <c r="H1591" s="8"/>
      <c r="I1591" s="8"/>
      <c r="J1591" s="8"/>
      <c r="K1591" s="8"/>
      <c r="L1591" s="8"/>
    </row>
    <row r="1592" spans="3:12" x14ac:dyDescent="0.25">
      <c r="C1592" s="7"/>
      <c r="E1592" s="8"/>
      <c r="F1592" s="8"/>
      <c r="G1592" s="8"/>
      <c r="H1592" s="8"/>
      <c r="I1592" s="8"/>
      <c r="J1592" s="8"/>
      <c r="K1592" s="8"/>
      <c r="L1592" s="8"/>
    </row>
    <row r="1593" spans="3:12" x14ac:dyDescent="0.25">
      <c r="C1593" s="7"/>
      <c r="E1593" s="8"/>
      <c r="F1593" s="8"/>
      <c r="G1593" s="8"/>
      <c r="H1593" s="8"/>
      <c r="I1593" s="8"/>
      <c r="J1593" s="8"/>
      <c r="K1593" s="8"/>
      <c r="L1593" s="8"/>
    </row>
    <row r="1594" spans="3:12" x14ac:dyDescent="0.25">
      <c r="C1594" s="7"/>
      <c r="E1594" s="8"/>
      <c r="F1594" s="8"/>
      <c r="G1594" s="8"/>
      <c r="H1594" s="8"/>
      <c r="I1594" s="8"/>
      <c r="J1594" s="8"/>
      <c r="K1594" s="8"/>
      <c r="L1594" s="8"/>
    </row>
    <row r="1595" spans="3:12" x14ac:dyDescent="0.25">
      <c r="C1595" s="7"/>
      <c r="E1595" s="8"/>
      <c r="F1595" s="8"/>
      <c r="G1595" s="8"/>
      <c r="H1595" s="8"/>
      <c r="I1595" s="8"/>
      <c r="J1595" s="8"/>
      <c r="K1595" s="8"/>
      <c r="L1595" s="8"/>
    </row>
    <row r="1596" spans="3:12" x14ac:dyDescent="0.25">
      <c r="C1596" s="7"/>
      <c r="E1596" s="8"/>
      <c r="F1596" s="8"/>
      <c r="G1596" s="8"/>
      <c r="H1596" s="8"/>
      <c r="I1596" s="8"/>
      <c r="J1596" s="8"/>
      <c r="K1596" s="8"/>
      <c r="L1596" s="8"/>
    </row>
    <row r="1597" spans="3:12" x14ac:dyDescent="0.25">
      <c r="C1597" s="7"/>
      <c r="E1597" s="8"/>
      <c r="F1597" s="8"/>
      <c r="G1597" s="8"/>
      <c r="H1597" s="8"/>
      <c r="I1597" s="8"/>
      <c r="J1597" s="8"/>
      <c r="K1597" s="8"/>
      <c r="L1597" s="8"/>
    </row>
    <row r="1598" spans="3:12" x14ac:dyDescent="0.25">
      <c r="C1598" s="7"/>
      <c r="E1598" s="8"/>
      <c r="F1598" s="8"/>
      <c r="G1598" s="8"/>
      <c r="H1598" s="8"/>
      <c r="I1598" s="8"/>
      <c r="J1598" s="8"/>
      <c r="K1598" s="8"/>
      <c r="L1598" s="8"/>
    </row>
    <row r="1599" spans="3:12" x14ac:dyDescent="0.25">
      <c r="C1599" s="7"/>
      <c r="E1599" s="8"/>
      <c r="F1599" s="8"/>
      <c r="G1599" s="8"/>
      <c r="H1599" s="8"/>
      <c r="I1599" s="8"/>
      <c r="J1599" s="8"/>
      <c r="K1599" s="8"/>
      <c r="L1599" s="8"/>
    </row>
    <row r="1600" spans="3:12" x14ac:dyDescent="0.25">
      <c r="C1600" s="7"/>
      <c r="E1600" s="8"/>
      <c r="F1600" s="8"/>
      <c r="G1600" s="8"/>
      <c r="H1600" s="8"/>
      <c r="I1600" s="8"/>
      <c r="J1600" s="8"/>
      <c r="K1600" s="8"/>
      <c r="L1600" s="8"/>
    </row>
    <row r="1601" spans="3:12" x14ac:dyDescent="0.25">
      <c r="C1601" s="7"/>
      <c r="E1601" s="8"/>
      <c r="F1601" s="8"/>
      <c r="G1601" s="8"/>
      <c r="H1601" s="8"/>
      <c r="I1601" s="8"/>
      <c r="J1601" s="8"/>
      <c r="K1601" s="8"/>
      <c r="L1601" s="8"/>
    </row>
    <row r="1602" spans="3:12" x14ac:dyDescent="0.25">
      <c r="C1602" s="7"/>
      <c r="E1602" s="8"/>
      <c r="F1602" s="8"/>
      <c r="G1602" s="8"/>
      <c r="H1602" s="8"/>
      <c r="I1602" s="8"/>
      <c r="J1602" s="8"/>
      <c r="K1602" s="8"/>
      <c r="L1602" s="8"/>
    </row>
    <row r="1603" spans="3:12" x14ac:dyDescent="0.25">
      <c r="C1603" s="7"/>
      <c r="E1603" s="8"/>
      <c r="F1603" s="8"/>
      <c r="G1603" s="8"/>
      <c r="H1603" s="8"/>
      <c r="I1603" s="8"/>
      <c r="J1603" s="8"/>
      <c r="K1603" s="8"/>
      <c r="L1603" s="8"/>
    </row>
    <row r="1604" spans="3:12" x14ac:dyDescent="0.25">
      <c r="C1604" s="7"/>
      <c r="E1604" s="8"/>
      <c r="F1604" s="8"/>
      <c r="G1604" s="8"/>
      <c r="H1604" s="8"/>
      <c r="I1604" s="8"/>
      <c r="J1604" s="8"/>
      <c r="K1604" s="8"/>
      <c r="L1604" s="8"/>
    </row>
    <row r="1605" spans="3:12" x14ac:dyDescent="0.25">
      <c r="C1605" s="7"/>
      <c r="E1605" s="8"/>
      <c r="F1605" s="8"/>
      <c r="G1605" s="8"/>
      <c r="H1605" s="8"/>
      <c r="I1605" s="8"/>
      <c r="J1605" s="8"/>
      <c r="K1605" s="8"/>
      <c r="L1605" s="8"/>
    </row>
    <row r="1606" spans="3:12" x14ac:dyDescent="0.25">
      <c r="C1606" s="7"/>
      <c r="E1606" s="8"/>
      <c r="F1606" s="8"/>
      <c r="G1606" s="8"/>
      <c r="H1606" s="8"/>
      <c r="I1606" s="8"/>
      <c r="J1606" s="8"/>
      <c r="K1606" s="8"/>
      <c r="L1606" s="8"/>
    </row>
    <row r="1607" spans="3:12" x14ac:dyDescent="0.25">
      <c r="C1607" s="7"/>
      <c r="E1607" s="8"/>
      <c r="F1607" s="8"/>
      <c r="G1607" s="8"/>
      <c r="H1607" s="8"/>
      <c r="I1607" s="8"/>
      <c r="J1607" s="8"/>
      <c r="K1607" s="8"/>
      <c r="L1607" s="8"/>
    </row>
    <row r="1608" spans="3:12" x14ac:dyDescent="0.25">
      <c r="C1608" s="7"/>
      <c r="E1608" s="8"/>
      <c r="F1608" s="8"/>
      <c r="G1608" s="8"/>
      <c r="H1608" s="8"/>
      <c r="I1608" s="8"/>
      <c r="J1608" s="8"/>
      <c r="K1608" s="8"/>
      <c r="L1608" s="8"/>
    </row>
    <row r="1609" spans="3:12" x14ac:dyDescent="0.25">
      <c r="C1609" s="7"/>
      <c r="E1609" s="8"/>
      <c r="F1609" s="8"/>
      <c r="G1609" s="8"/>
      <c r="H1609" s="8"/>
      <c r="I1609" s="8"/>
      <c r="J1609" s="8"/>
      <c r="K1609" s="8"/>
      <c r="L1609" s="8"/>
    </row>
    <row r="1610" spans="3:12" x14ac:dyDescent="0.25">
      <c r="C1610" s="7"/>
      <c r="E1610" s="8"/>
      <c r="F1610" s="8"/>
      <c r="G1610" s="8"/>
      <c r="H1610" s="8"/>
      <c r="I1610" s="8"/>
      <c r="J1610" s="8"/>
      <c r="K1610" s="8"/>
      <c r="L1610" s="8"/>
    </row>
    <row r="1611" spans="3:12" x14ac:dyDescent="0.25">
      <c r="C1611" s="7"/>
      <c r="E1611" s="8"/>
      <c r="F1611" s="8"/>
      <c r="G1611" s="8"/>
      <c r="H1611" s="8"/>
      <c r="I1611" s="8"/>
      <c r="J1611" s="8"/>
      <c r="K1611" s="8"/>
      <c r="L1611" s="8"/>
    </row>
    <row r="1612" spans="3:12" x14ac:dyDescent="0.25">
      <c r="C1612" s="7"/>
      <c r="E1612" s="8"/>
      <c r="F1612" s="8"/>
      <c r="G1612" s="8"/>
      <c r="H1612" s="8"/>
      <c r="I1612" s="8"/>
      <c r="J1612" s="8"/>
      <c r="K1612" s="8"/>
      <c r="L1612" s="8"/>
    </row>
    <row r="1613" spans="3:12" x14ac:dyDescent="0.25">
      <c r="C1613" s="7"/>
      <c r="E1613" s="8"/>
      <c r="F1613" s="8"/>
      <c r="G1613" s="8"/>
      <c r="H1613" s="8"/>
      <c r="I1613" s="8"/>
      <c r="J1613" s="8"/>
      <c r="K1613" s="8"/>
      <c r="L1613" s="8"/>
    </row>
    <row r="1614" spans="3:12" x14ac:dyDescent="0.25">
      <c r="C1614" s="7"/>
      <c r="E1614" s="8"/>
      <c r="F1614" s="8"/>
      <c r="G1614" s="8"/>
      <c r="H1614" s="8"/>
      <c r="I1614" s="8"/>
      <c r="J1614" s="8"/>
      <c r="K1614" s="8"/>
      <c r="L1614" s="8"/>
    </row>
    <row r="1615" spans="3:12" x14ac:dyDescent="0.25">
      <c r="C1615" s="7"/>
      <c r="E1615" s="8"/>
      <c r="F1615" s="8"/>
      <c r="G1615" s="8"/>
      <c r="H1615" s="8"/>
      <c r="I1615" s="8"/>
      <c r="J1615" s="8"/>
      <c r="K1615" s="8"/>
      <c r="L1615" s="8"/>
    </row>
    <row r="1616" spans="3:12" x14ac:dyDescent="0.25">
      <c r="C1616" s="7"/>
      <c r="E1616" s="8"/>
      <c r="F1616" s="8"/>
      <c r="G1616" s="8"/>
      <c r="H1616" s="8"/>
      <c r="I1616" s="8"/>
      <c r="J1616" s="8"/>
      <c r="K1616" s="8"/>
      <c r="L1616" s="8"/>
    </row>
    <row r="1617" spans="3:12" x14ac:dyDescent="0.25">
      <c r="C1617" s="7"/>
      <c r="E1617" s="8"/>
      <c r="F1617" s="8"/>
      <c r="G1617" s="8"/>
      <c r="H1617" s="8"/>
      <c r="I1617" s="8"/>
      <c r="J1617" s="8"/>
      <c r="K1617" s="8"/>
      <c r="L1617" s="8"/>
    </row>
    <row r="1618" spans="3:12" x14ac:dyDescent="0.25">
      <c r="C1618" s="7"/>
      <c r="E1618" s="8"/>
      <c r="F1618" s="8"/>
      <c r="G1618" s="8"/>
      <c r="H1618" s="8"/>
      <c r="I1618" s="8"/>
      <c r="J1618" s="8"/>
      <c r="K1618" s="8"/>
      <c r="L1618" s="8"/>
    </row>
    <row r="1619" spans="3:12" x14ac:dyDescent="0.25">
      <c r="C1619" s="7"/>
      <c r="E1619" s="8"/>
      <c r="F1619" s="8"/>
      <c r="G1619" s="8"/>
      <c r="H1619" s="8"/>
      <c r="I1619" s="8"/>
      <c r="J1619" s="8"/>
      <c r="K1619" s="8"/>
      <c r="L1619" s="8"/>
    </row>
    <row r="1620" spans="3:12" x14ac:dyDescent="0.25">
      <c r="C1620" s="7"/>
      <c r="E1620" s="8"/>
      <c r="F1620" s="8"/>
      <c r="G1620" s="8"/>
      <c r="H1620" s="8"/>
      <c r="I1620" s="8"/>
      <c r="J1620" s="8"/>
      <c r="K1620" s="8"/>
      <c r="L1620" s="8"/>
    </row>
    <row r="1621" spans="3:12" x14ac:dyDescent="0.25">
      <c r="C1621" s="7"/>
      <c r="E1621" s="8"/>
      <c r="F1621" s="8"/>
      <c r="G1621" s="8"/>
      <c r="H1621" s="8"/>
      <c r="I1621" s="8"/>
      <c r="J1621" s="8"/>
      <c r="K1621" s="8"/>
      <c r="L1621" s="8"/>
    </row>
    <row r="1622" spans="3:12" x14ac:dyDescent="0.25">
      <c r="C1622" s="7"/>
      <c r="E1622" s="8"/>
      <c r="F1622" s="8"/>
      <c r="G1622" s="8"/>
      <c r="H1622" s="8"/>
      <c r="I1622" s="8"/>
      <c r="J1622" s="8"/>
      <c r="K1622" s="8"/>
      <c r="L1622" s="8"/>
    </row>
    <row r="1623" spans="3:12" x14ac:dyDescent="0.25">
      <c r="C1623" s="7"/>
      <c r="E1623" s="8"/>
      <c r="F1623" s="8"/>
      <c r="G1623" s="8"/>
      <c r="H1623" s="8"/>
      <c r="I1623" s="8"/>
      <c r="J1623" s="8"/>
      <c r="K1623" s="8"/>
      <c r="L1623" s="8"/>
    </row>
    <row r="1624" spans="3:12" x14ac:dyDescent="0.25">
      <c r="C1624" s="7"/>
      <c r="E1624" s="8"/>
      <c r="F1624" s="8"/>
      <c r="G1624" s="8"/>
      <c r="H1624" s="8"/>
      <c r="I1624" s="8"/>
      <c r="J1624" s="8"/>
      <c r="K1624" s="8"/>
      <c r="L1624" s="8"/>
    </row>
    <row r="1625" spans="3:12" x14ac:dyDescent="0.25">
      <c r="C1625" s="7"/>
      <c r="E1625" s="8"/>
      <c r="F1625" s="8"/>
      <c r="G1625" s="8"/>
      <c r="H1625" s="8"/>
      <c r="I1625" s="8"/>
      <c r="J1625" s="8"/>
      <c r="K1625" s="8"/>
      <c r="L1625" s="8"/>
    </row>
    <row r="1626" spans="3:12" x14ac:dyDescent="0.25">
      <c r="C1626" s="7"/>
      <c r="E1626" s="8"/>
      <c r="F1626" s="8"/>
      <c r="G1626" s="8"/>
      <c r="H1626" s="8"/>
      <c r="I1626" s="8"/>
      <c r="J1626" s="8"/>
      <c r="K1626" s="8"/>
      <c r="L1626" s="8"/>
    </row>
    <row r="1627" spans="3:12" x14ac:dyDescent="0.25">
      <c r="C1627" s="7"/>
      <c r="E1627" s="8"/>
      <c r="F1627" s="8"/>
      <c r="G1627" s="8"/>
      <c r="H1627" s="8"/>
      <c r="I1627" s="8"/>
      <c r="J1627" s="8"/>
      <c r="K1627" s="8"/>
      <c r="L1627" s="8"/>
    </row>
    <row r="1628" spans="3:12" x14ac:dyDescent="0.25">
      <c r="C1628" s="7"/>
      <c r="E1628" s="8"/>
      <c r="F1628" s="8"/>
      <c r="G1628" s="8"/>
      <c r="H1628" s="8"/>
      <c r="I1628" s="8"/>
      <c r="J1628" s="8"/>
      <c r="K1628" s="8"/>
      <c r="L1628" s="8"/>
    </row>
    <row r="1629" spans="3:12" x14ac:dyDescent="0.25">
      <c r="C1629" s="7"/>
      <c r="E1629" s="8"/>
      <c r="F1629" s="8"/>
      <c r="G1629" s="8"/>
      <c r="H1629" s="8"/>
      <c r="I1629" s="8"/>
      <c r="J1629" s="8"/>
      <c r="K1629" s="8"/>
      <c r="L1629" s="8"/>
    </row>
    <row r="1630" spans="3:12" x14ac:dyDescent="0.25">
      <c r="C1630" s="7"/>
      <c r="E1630" s="8"/>
      <c r="F1630" s="8"/>
      <c r="G1630" s="8"/>
      <c r="H1630" s="8"/>
      <c r="I1630" s="8"/>
      <c r="J1630" s="8"/>
      <c r="K1630" s="8"/>
      <c r="L1630" s="8"/>
    </row>
    <row r="1631" spans="3:12" x14ac:dyDescent="0.25">
      <c r="C1631" s="7"/>
      <c r="E1631" s="8"/>
      <c r="F1631" s="8"/>
      <c r="G1631" s="8"/>
      <c r="H1631" s="8"/>
      <c r="I1631" s="8"/>
      <c r="J1631" s="8"/>
      <c r="K1631" s="8"/>
      <c r="L1631" s="8"/>
    </row>
    <row r="1632" spans="3:12" x14ac:dyDescent="0.25">
      <c r="C1632" s="7"/>
      <c r="E1632" s="8"/>
      <c r="F1632" s="8"/>
      <c r="G1632" s="8"/>
      <c r="H1632" s="8"/>
      <c r="I1632" s="8"/>
      <c r="J1632" s="8"/>
      <c r="K1632" s="8"/>
      <c r="L1632" s="8"/>
    </row>
    <row r="1633" spans="3:12" x14ac:dyDescent="0.25">
      <c r="C1633" s="7"/>
      <c r="E1633" s="8"/>
      <c r="F1633" s="8"/>
      <c r="G1633" s="8"/>
      <c r="H1633" s="8"/>
      <c r="I1633" s="8"/>
      <c r="J1633" s="8"/>
      <c r="K1633" s="8"/>
      <c r="L1633" s="8"/>
    </row>
    <row r="1634" spans="3:12" x14ac:dyDescent="0.25">
      <c r="C1634" s="7"/>
      <c r="E1634" s="8"/>
      <c r="F1634" s="8"/>
      <c r="G1634" s="8"/>
      <c r="H1634" s="8"/>
      <c r="I1634" s="8"/>
      <c r="J1634" s="8"/>
      <c r="K1634" s="8"/>
      <c r="L1634" s="8"/>
    </row>
    <row r="1635" spans="3:12" x14ac:dyDescent="0.25">
      <c r="C1635" s="7"/>
      <c r="E1635" s="8"/>
      <c r="F1635" s="8"/>
      <c r="G1635" s="8"/>
      <c r="H1635" s="8"/>
      <c r="I1635" s="8"/>
      <c r="J1635" s="8"/>
      <c r="K1635" s="8"/>
      <c r="L1635" s="8"/>
    </row>
    <row r="1636" spans="3:12" x14ac:dyDescent="0.25">
      <c r="C1636" s="7"/>
      <c r="E1636" s="8"/>
      <c r="F1636" s="8"/>
      <c r="G1636" s="8"/>
      <c r="H1636" s="8"/>
      <c r="I1636" s="8"/>
      <c r="J1636" s="8"/>
      <c r="K1636" s="8"/>
      <c r="L1636" s="8"/>
    </row>
    <row r="1637" spans="3:12" x14ac:dyDescent="0.25">
      <c r="C1637" s="7"/>
      <c r="E1637" s="8"/>
      <c r="F1637" s="8"/>
      <c r="G1637" s="8"/>
      <c r="H1637" s="8"/>
      <c r="I1637" s="8"/>
      <c r="J1637" s="8"/>
      <c r="K1637" s="8"/>
      <c r="L1637" s="8"/>
    </row>
    <row r="1638" spans="3:12" x14ac:dyDescent="0.25">
      <c r="C1638" s="7"/>
      <c r="E1638" s="8"/>
      <c r="F1638" s="8"/>
      <c r="G1638" s="8"/>
      <c r="H1638" s="8"/>
      <c r="I1638" s="8"/>
      <c r="J1638" s="8"/>
      <c r="K1638" s="8"/>
      <c r="L1638" s="8"/>
    </row>
    <row r="1639" spans="3:12" x14ac:dyDescent="0.25">
      <c r="C1639" s="7"/>
      <c r="E1639" s="8"/>
      <c r="F1639" s="8"/>
      <c r="G1639" s="8"/>
      <c r="H1639" s="8"/>
      <c r="I1639" s="8"/>
      <c r="J1639" s="8"/>
      <c r="K1639" s="8"/>
      <c r="L1639" s="8"/>
    </row>
    <row r="1640" spans="3:12" x14ac:dyDescent="0.25">
      <c r="C1640" s="7"/>
      <c r="E1640" s="8"/>
      <c r="F1640" s="8"/>
      <c r="G1640" s="8"/>
      <c r="H1640" s="8"/>
      <c r="I1640" s="8"/>
      <c r="J1640" s="8"/>
      <c r="K1640" s="8"/>
      <c r="L1640" s="8"/>
    </row>
    <row r="1641" spans="3:12" x14ac:dyDescent="0.25">
      <c r="C1641" s="7"/>
      <c r="E1641" s="8"/>
      <c r="F1641" s="8"/>
      <c r="G1641" s="8"/>
      <c r="H1641" s="8"/>
      <c r="I1641" s="8"/>
      <c r="J1641" s="8"/>
      <c r="K1641" s="8"/>
      <c r="L1641" s="8"/>
    </row>
    <row r="1642" spans="3:12" x14ac:dyDescent="0.25">
      <c r="C1642" s="7"/>
      <c r="E1642" s="8"/>
      <c r="F1642" s="8"/>
      <c r="G1642" s="8"/>
      <c r="H1642" s="8"/>
      <c r="I1642" s="8"/>
      <c r="J1642" s="8"/>
      <c r="K1642" s="8"/>
      <c r="L1642" s="8"/>
    </row>
    <row r="1643" spans="3:12" x14ac:dyDescent="0.25">
      <c r="C1643" s="7"/>
      <c r="E1643" s="8"/>
      <c r="F1643" s="8"/>
      <c r="G1643" s="8"/>
      <c r="H1643" s="8"/>
      <c r="I1643" s="8"/>
      <c r="J1643" s="8"/>
      <c r="K1643" s="8"/>
      <c r="L1643" s="8"/>
    </row>
    <row r="1644" spans="3:12" x14ac:dyDescent="0.25">
      <c r="C1644" s="7"/>
      <c r="E1644" s="8"/>
      <c r="F1644" s="8"/>
      <c r="G1644" s="8"/>
      <c r="H1644" s="8"/>
      <c r="I1644" s="8"/>
      <c r="J1644" s="8"/>
      <c r="K1644" s="8"/>
      <c r="L1644" s="8"/>
    </row>
    <row r="1645" spans="3:12" x14ac:dyDescent="0.25">
      <c r="C1645" s="7"/>
      <c r="E1645" s="8"/>
      <c r="F1645" s="8"/>
      <c r="G1645" s="8"/>
      <c r="H1645" s="8"/>
      <c r="I1645" s="8"/>
      <c r="J1645" s="8"/>
      <c r="K1645" s="8"/>
      <c r="L1645" s="8"/>
    </row>
    <row r="1646" spans="3:12" x14ac:dyDescent="0.25">
      <c r="C1646" s="7"/>
      <c r="E1646" s="8"/>
      <c r="F1646" s="8"/>
      <c r="G1646" s="8"/>
      <c r="H1646" s="8"/>
      <c r="I1646" s="8"/>
      <c r="J1646" s="8"/>
      <c r="K1646" s="8"/>
      <c r="L1646" s="8"/>
    </row>
    <row r="1647" spans="3:12" x14ac:dyDescent="0.25">
      <c r="C1647" s="7"/>
      <c r="E1647" s="8"/>
      <c r="F1647" s="8"/>
      <c r="G1647" s="8"/>
      <c r="H1647" s="8"/>
      <c r="I1647" s="8"/>
      <c r="J1647" s="8"/>
      <c r="K1647" s="8"/>
      <c r="L1647" s="8"/>
    </row>
    <row r="1648" spans="3:12" x14ac:dyDescent="0.25">
      <c r="C1648" s="7"/>
      <c r="E1648" s="8"/>
      <c r="F1648" s="8"/>
      <c r="G1648" s="8"/>
      <c r="H1648" s="8"/>
      <c r="I1648" s="8"/>
      <c r="J1648" s="8"/>
      <c r="K1648" s="8"/>
      <c r="L1648" s="8"/>
    </row>
    <row r="1649" spans="3:12" x14ac:dyDescent="0.25">
      <c r="C1649" s="7"/>
      <c r="E1649" s="8"/>
      <c r="F1649" s="8"/>
      <c r="G1649" s="8"/>
      <c r="H1649" s="8"/>
      <c r="I1649" s="8"/>
      <c r="J1649" s="8"/>
      <c r="K1649" s="8"/>
      <c r="L1649" s="8"/>
    </row>
    <row r="1650" spans="3:12" x14ac:dyDescent="0.25">
      <c r="C1650" s="7"/>
      <c r="E1650" s="8"/>
      <c r="F1650" s="8"/>
      <c r="G1650" s="8"/>
      <c r="H1650" s="8"/>
      <c r="I1650" s="8"/>
      <c r="J1650" s="8"/>
      <c r="K1650" s="8"/>
      <c r="L1650" s="8"/>
    </row>
    <row r="1651" spans="3:12" x14ac:dyDescent="0.25">
      <c r="C1651" s="7"/>
      <c r="E1651" s="8"/>
      <c r="F1651" s="8"/>
      <c r="G1651" s="8"/>
      <c r="H1651" s="8"/>
      <c r="I1651" s="8"/>
      <c r="J1651" s="8"/>
      <c r="K1651" s="8"/>
      <c r="L1651" s="8"/>
    </row>
    <row r="1652" spans="3:12" x14ac:dyDescent="0.25">
      <c r="C1652" s="7"/>
      <c r="E1652" s="8"/>
      <c r="F1652" s="8"/>
      <c r="G1652" s="8"/>
      <c r="H1652" s="8"/>
      <c r="I1652" s="8"/>
      <c r="J1652" s="8"/>
      <c r="K1652" s="8"/>
      <c r="L1652" s="8"/>
    </row>
    <row r="1653" spans="3:12" x14ac:dyDescent="0.25">
      <c r="C1653" s="7"/>
      <c r="E1653" s="8"/>
      <c r="F1653" s="8"/>
      <c r="G1653" s="8"/>
      <c r="H1653" s="8"/>
      <c r="I1653" s="8"/>
      <c r="J1653" s="8"/>
      <c r="K1653" s="8"/>
      <c r="L1653" s="8"/>
    </row>
    <row r="1654" spans="3:12" x14ac:dyDescent="0.25">
      <c r="C1654" s="7"/>
      <c r="E1654" s="8"/>
      <c r="F1654" s="8"/>
      <c r="G1654" s="8"/>
      <c r="H1654" s="8"/>
      <c r="I1654" s="8"/>
      <c r="J1654" s="8"/>
      <c r="K1654" s="8"/>
      <c r="L1654" s="8"/>
    </row>
    <row r="1655" spans="3:12" x14ac:dyDescent="0.25">
      <c r="C1655" s="7"/>
      <c r="E1655" s="8"/>
      <c r="F1655" s="8"/>
      <c r="G1655" s="8"/>
      <c r="H1655" s="8"/>
      <c r="I1655" s="8"/>
      <c r="J1655" s="8"/>
      <c r="K1655" s="8"/>
      <c r="L1655" s="8"/>
    </row>
    <row r="1656" spans="3:12" x14ac:dyDescent="0.25">
      <c r="C1656" s="7"/>
      <c r="E1656" s="8"/>
      <c r="F1656" s="8"/>
      <c r="G1656" s="8"/>
      <c r="H1656" s="8"/>
      <c r="I1656" s="8"/>
      <c r="J1656" s="8"/>
      <c r="K1656" s="8"/>
      <c r="L1656" s="8"/>
    </row>
    <row r="1657" spans="3:12" x14ac:dyDescent="0.25">
      <c r="C1657" s="7"/>
      <c r="E1657" s="8"/>
      <c r="F1657" s="8"/>
      <c r="G1657" s="8"/>
      <c r="H1657" s="8"/>
      <c r="I1657" s="8"/>
      <c r="J1657" s="8"/>
      <c r="K1657" s="8"/>
      <c r="L1657" s="8"/>
    </row>
    <row r="1658" spans="3:12" x14ac:dyDescent="0.25">
      <c r="C1658" s="7"/>
      <c r="E1658" s="8"/>
      <c r="F1658" s="8"/>
      <c r="G1658" s="8"/>
      <c r="H1658" s="8"/>
      <c r="I1658" s="8"/>
      <c r="J1658" s="8"/>
      <c r="K1658" s="8"/>
      <c r="L1658" s="8"/>
    </row>
    <row r="1659" spans="3:12" x14ac:dyDescent="0.25">
      <c r="C1659" s="7"/>
      <c r="E1659" s="8"/>
      <c r="F1659" s="8"/>
      <c r="G1659" s="8"/>
      <c r="H1659" s="8"/>
      <c r="I1659" s="8"/>
      <c r="J1659" s="8"/>
      <c r="K1659" s="8"/>
      <c r="L1659" s="8"/>
    </row>
    <row r="1660" spans="3:12" x14ac:dyDescent="0.25">
      <c r="C1660" s="7"/>
      <c r="E1660" s="8"/>
      <c r="F1660" s="8"/>
      <c r="G1660" s="8"/>
      <c r="H1660" s="8"/>
      <c r="I1660" s="8"/>
      <c r="J1660" s="8"/>
      <c r="K1660" s="8"/>
      <c r="L1660" s="8"/>
    </row>
    <row r="1661" spans="3:12" x14ac:dyDescent="0.25">
      <c r="C1661" s="7"/>
      <c r="E1661" s="8"/>
      <c r="F1661" s="8"/>
      <c r="G1661" s="8"/>
      <c r="H1661" s="8"/>
      <c r="I1661" s="8"/>
      <c r="J1661" s="8"/>
      <c r="K1661" s="8"/>
      <c r="L1661" s="8"/>
    </row>
    <row r="1662" spans="3:12" x14ac:dyDescent="0.25">
      <c r="C1662" s="7"/>
      <c r="E1662" s="8"/>
      <c r="F1662" s="8"/>
      <c r="G1662" s="8"/>
      <c r="H1662" s="8"/>
      <c r="I1662" s="8"/>
      <c r="J1662" s="8"/>
      <c r="K1662" s="8"/>
      <c r="L1662" s="8"/>
    </row>
    <row r="1663" spans="3:12" x14ac:dyDescent="0.25">
      <c r="C1663" s="7"/>
      <c r="E1663" s="8"/>
      <c r="F1663" s="8"/>
      <c r="G1663" s="8"/>
      <c r="H1663" s="8"/>
      <c r="I1663" s="8"/>
      <c r="J1663" s="8"/>
      <c r="K1663" s="8"/>
      <c r="L1663" s="8"/>
    </row>
    <row r="1664" spans="3:12" x14ac:dyDescent="0.25">
      <c r="C1664" s="7"/>
      <c r="E1664" s="8"/>
      <c r="F1664" s="8"/>
      <c r="G1664" s="8"/>
      <c r="H1664" s="8"/>
      <c r="I1664" s="8"/>
      <c r="J1664" s="8"/>
      <c r="K1664" s="8"/>
      <c r="L1664" s="8"/>
    </row>
    <row r="1665" spans="3:12" x14ac:dyDescent="0.25">
      <c r="C1665" s="7"/>
      <c r="E1665" s="8"/>
      <c r="F1665" s="8"/>
      <c r="G1665" s="8"/>
      <c r="H1665" s="8"/>
      <c r="I1665" s="8"/>
      <c r="J1665" s="8"/>
      <c r="K1665" s="8"/>
      <c r="L1665" s="8"/>
    </row>
    <row r="1666" spans="3:12" x14ac:dyDescent="0.25">
      <c r="C1666" s="7"/>
      <c r="E1666" s="8"/>
      <c r="F1666" s="8"/>
      <c r="G1666" s="8"/>
      <c r="H1666" s="8"/>
      <c r="I1666" s="8"/>
      <c r="J1666" s="8"/>
      <c r="K1666" s="8"/>
      <c r="L1666" s="8"/>
    </row>
    <row r="1667" spans="3:12" x14ac:dyDescent="0.25">
      <c r="C1667" s="7"/>
      <c r="E1667" s="8"/>
      <c r="F1667" s="8"/>
      <c r="G1667" s="8"/>
      <c r="H1667" s="8"/>
      <c r="I1667" s="8"/>
      <c r="J1667" s="8"/>
      <c r="K1667" s="8"/>
      <c r="L1667" s="8"/>
    </row>
    <row r="1668" spans="3:12" x14ac:dyDescent="0.25">
      <c r="C1668" s="7"/>
      <c r="E1668" s="8"/>
      <c r="F1668" s="8"/>
      <c r="G1668" s="8"/>
      <c r="H1668" s="8"/>
      <c r="I1668" s="8"/>
      <c r="J1668" s="8"/>
      <c r="K1668" s="8"/>
      <c r="L1668" s="8"/>
    </row>
    <row r="1669" spans="3:12" x14ac:dyDescent="0.25">
      <c r="C1669" s="7"/>
      <c r="E1669" s="8"/>
      <c r="F1669" s="8"/>
      <c r="G1669" s="8"/>
      <c r="H1669" s="8"/>
      <c r="I1669" s="8"/>
      <c r="J1669" s="8"/>
      <c r="K1669" s="8"/>
      <c r="L1669" s="8"/>
    </row>
    <row r="1670" spans="3:12" x14ac:dyDescent="0.25">
      <c r="C1670" s="7"/>
      <c r="E1670" s="8"/>
      <c r="F1670" s="8"/>
      <c r="G1670" s="8"/>
      <c r="H1670" s="8"/>
      <c r="I1670" s="8"/>
      <c r="J1670" s="8"/>
      <c r="K1670" s="8"/>
      <c r="L1670" s="8"/>
    </row>
    <row r="1671" spans="3:12" x14ac:dyDescent="0.25">
      <c r="C1671" s="7"/>
      <c r="E1671" s="8"/>
      <c r="F1671" s="8"/>
      <c r="G1671" s="8"/>
      <c r="H1671" s="8"/>
      <c r="I1671" s="8"/>
      <c r="J1671" s="8"/>
      <c r="K1671" s="8"/>
      <c r="L1671" s="8"/>
    </row>
    <row r="1672" spans="3:12" x14ac:dyDescent="0.25">
      <c r="C1672" s="7"/>
      <c r="E1672" s="8"/>
      <c r="F1672" s="8"/>
      <c r="G1672" s="8"/>
      <c r="H1672" s="8"/>
      <c r="I1672" s="8"/>
      <c r="J1672" s="8"/>
      <c r="K1672" s="8"/>
      <c r="L1672" s="8"/>
    </row>
    <row r="1673" spans="3:12" x14ac:dyDescent="0.25">
      <c r="C1673" s="7"/>
      <c r="E1673" s="8"/>
      <c r="F1673" s="8"/>
      <c r="G1673" s="8"/>
      <c r="H1673" s="8"/>
      <c r="I1673" s="8"/>
      <c r="J1673" s="8"/>
      <c r="K1673" s="8"/>
      <c r="L1673" s="8"/>
    </row>
    <row r="1674" spans="3:12" x14ac:dyDescent="0.25">
      <c r="C1674" s="7"/>
      <c r="E1674" s="8"/>
      <c r="F1674" s="8"/>
      <c r="G1674" s="8"/>
      <c r="H1674" s="8"/>
      <c r="I1674" s="8"/>
      <c r="J1674" s="8"/>
      <c r="K1674" s="8"/>
      <c r="L1674" s="8"/>
    </row>
    <row r="1675" spans="3:12" x14ac:dyDescent="0.25">
      <c r="C1675" s="7"/>
      <c r="E1675" s="8"/>
      <c r="F1675" s="8"/>
      <c r="G1675" s="8"/>
      <c r="H1675" s="8"/>
      <c r="I1675" s="8"/>
      <c r="J1675" s="8"/>
      <c r="K1675" s="8"/>
      <c r="L1675" s="8"/>
    </row>
    <row r="1676" spans="3:12" x14ac:dyDescent="0.25">
      <c r="C1676" s="7"/>
      <c r="E1676" s="8"/>
      <c r="F1676" s="8"/>
      <c r="G1676" s="8"/>
      <c r="H1676" s="8"/>
      <c r="I1676" s="8"/>
      <c r="J1676" s="8"/>
      <c r="K1676" s="8"/>
      <c r="L1676" s="8"/>
    </row>
    <row r="1677" spans="3:12" x14ac:dyDescent="0.25">
      <c r="C1677" s="7"/>
      <c r="E1677" s="8"/>
      <c r="F1677" s="8"/>
      <c r="G1677" s="8"/>
      <c r="H1677" s="8"/>
      <c r="I1677" s="8"/>
      <c r="J1677" s="8"/>
      <c r="K1677" s="8"/>
      <c r="L1677" s="8"/>
    </row>
    <row r="1678" spans="3:12" x14ac:dyDescent="0.25">
      <c r="C1678" s="7"/>
      <c r="E1678" s="8"/>
      <c r="F1678" s="8"/>
      <c r="G1678" s="8"/>
      <c r="H1678" s="8"/>
      <c r="I1678" s="8"/>
      <c r="J1678" s="8"/>
      <c r="K1678" s="8"/>
      <c r="L1678" s="8"/>
    </row>
    <row r="1679" spans="3:12" x14ac:dyDescent="0.25">
      <c r="C1679" s="7"/>
      <c r="E1679" s="8"/>
      <c r="F1679" s="8"/>
      <c r="G1679" s="8"/>
      <c r="H1679" s="8"/>
      <c r="I1679" s="8"/>
      <c r="J1679" s="8"/>
      <c r="K1679" s="8"/>
      <c r="L1679" s="8"/>
    </row>
    <row r="1680" spans="3:12" x14ac:dyDescent="0.25">
      <c r="C1680" s="7"/>
      <c r="E1680" s="8"/>
      <c r="F1680" s="8"/>
      <c r="G1680" s="8"/>
      <c r="H1680" s="8"/>
      <c r="I1680" s="8"/>
      <c r="J1680" s="8"/>
      <c r="K1680" s="8"/>
      <c r="L1680" s="8"/>
    </row>
    <row r="1681" spans="3:12" x14ac:dyDescent="0.25">
      <c r="C1681" s="7"/>
      <c r="E1681" s="8"/>
      <c r="F1681" s="8"/>
      <c r="G1681" s="8"/>
      <c r="H1681" s="8"/>
      <c r="I1681" s="8"/>
      <c r="J1681" s="8"/>
      <c r="K1681" s="8"/>
      <c r="L1681" s="8"/>
    </row>
    <row r="1682" spans="3:12" x14ac:dyDescent="0.25">
      <c r="C1682" s="7"/>
      <c r="E1682" s="8"/>
      <c r="F1682" s="8"/>
      <c r="G1682" s="8"/>
      <c r="H1682" s="8"/>
      <c r="I1682" s="8"/>
      <c r="J1682" s="8"/>
      <c r="K1682" s="8"/>
      <c r="L1682" s="8"/>
    </row>
    <row r="1683" spans="3:12" x14ac:dyDescent="0.25">
      <c r="C1683" s="7"/>
      <c r="E1683" s="8"/>
      <c r="F1683" s="8"/>
      <c r="G1683" s="8"/>
      <c r="H1683" s="8"/>
      <c r="I1683" s="8"/>
      <c r="J1683" s="8"/>
      <c r="K1683" s="8"/>
      <c r="L1683" s="8"/>
    </row>
    <row r="1684" spans="3:12" x14ac:dyDescent="0.25">
      <c r="C1684" s="7"/>
      <c r="E1684" s="8"/>
      <c r="F1684" s="8"/>
      <c r="G1684" s="8"/>
      <c r="H1684" s="8"/>
      <c r="I1684" s="8"/>
      <c r="J1684" s="8"/>
      <c r="K1684" s="8"/>
      <c r="L1684" s="8"/>
    </row>
    <row r="1685" spans="3:12" x14ac:dyDescent="0.25">
      <c r="C1685" s="7"/>
      <c r="E1685" s="8"/>
      <c r="F1685" s="8"/>
      <c r="G1685" s="8"/>
      <c r="H1685" s="8"/>
      <c r="I1685" s="8"/>
      <c r="J1685" s="8"/>
      <c r="K1685" s="8"/>
      <c r="L1685" s="8"/>
    </row>
    <row r="1686" spans="3:12" x14ac:dyDescent="0.25">
      <c r="C1686" s="7"/>
      <c r="E1686" s="8"/>
      <c r="F1686" s="8"/>
      <c r="G1686" s="8"/>
      <c r="H1686" s="8"/>
      <c r="I1686" s="8"/>
      <c r="J1686" s="8"/>
      <c r="K1686" s="8"/>
      <c r="L1686" s="8"/>
    </row>
    <row r="1687" spans="3:12" x14ac:dyDescent="0.25">
      <c r="C1687" s="7"/>
      <c r="E1687" s="8"/>
      <c r="F1687" s="8"/>
      <c r="G1687" s="8"/>
      <c r="H1687" s="8"/>
      <c r="I1687" s="8"/>
      <c r="J1687" s="8"/>
      <c r="K1687" s="8"/>
      <c r="L1687" s="8"/>
    </row>
    <row r="1688" spans="3:12" x14ac:dyDescent="0.25">
      <c r="C1688" s="7"/>
      <c r="E1688" s="8"/>
      <c r="F1688" s="8"/>
      <c r="G1688" s="8"/>
      <c r="H1688" s="8"/>
      <c r="I1688" s="8"/>
      <c r="J1688" s="8"/>
      <c r="K1688" s="8"/>
      <c r="L1688" s="8"/>
    </row>
    <row r="1689" spans="3:12" x14ac:dyDescent="0.25">
      <c r="C1689" s="7"/>
      <c r="E1689" s="8"/>
      <c r="F1689" s="8"/>
      <c r="G1689" s="8"/>
      <c r="H1689" s="8"/>
      <c r="I1689" s="8"/>
      <c r="J1689" s="8"/>
      <c r="K1689" s="8"/>
      <c r="L1689" s="8"/>
    </row>
    <row r="1690" spans="3:12" x14ac:dyDescent="0.25">
      <c r="C1690" s="7"/>
      <c r="E1690" s="8"/>
      <c r="F1690" s="8"/>
      <c r="G1690" s="8"/>
      <c r="H1690" s="8"/>
      <c r="I1690" s="8"/>
      <c r="J1690" s="8"/>
      <c r="K1690" s="8"/>
      <c r="L1690" s="8"/>
    </row>
    <row r="1691" spans="3:12" x14ac:dyDescent="0.25">
      <c r="C1691" s="7"/>
      <c r="E1691" s="8"/>
      <c r="F1691" s="8"/>
      <c r="G1691" s="8"/>
      <c r="H1691" s="8"/>
      <c r="I1691" s="8"/>
      <c r="J1691" s="8"/>
      <c r="K1691" s="8"/>
      <c r="L1691" s="8"/>
    </row>
    <row r="1692" spans="3:12" x14ac:dyDescent="0.25">
      <c r="C1692" s="7"/>
      <c r="E1692" s="8"/>
      <c r="F1692" s="8"/>
      <c r="G1692" s="8"/>
      <c r="H1692" s="8"/>
      <c r="I1692" s="8"/>
      <c r="J1692" s="8"/>
      <c r="K1692" s="8"/>
      <c r="L1692" s="8"/>
    </row>
    <row r="1693" spans="3:12" x14ac:dyDescent="0.25">
      <c r="C1693" s="7"/>
      <c r="E1693" s="8"/>
      <c r="F1693" s="8"/>
      <c r="G1693" s="8"/>
      <c r="H1693" s="8"/>
      <c r="I1693" s="8"/>
      <c r="J1693" s="8"/>
      <c r="K1693" s="8"/>
      <c r="L1693" s="8"/>
    </row>
    <row r="1694" spans="3:12" x14ac:dyDescent="0.25">
      <c r="C1694" s="7"/>
      <c r="E1694" s="8"/>
      <c r="F1694" s="8"/>
      <c r="G1694" s="8"/>
      <c r="H1694" s="8"/>
      <c r="I1694" s="8"/>
      <c r="J1694" s="8"/>
      <c r="K1694" s="8"/>
      <c r="L1694" s="8"/>
    </row>
    <row r="1695" spans="3:12" x14ac:dyDescent="0.25">
      <c r="C1695" s="7"/>
      <c r="E1695" s="8"/>
      <c r="F1695" s="8"/>
      <c r="G1695" s="8"/>
      <c r="H1695" s="8"/>
      <c r="I1695" s="8"/>
      <c r="J1695" s="8"/>
      <c r="K1695" s="8"/>
      <c r="L1695" s="8"/>
    </row>
    <row r="1696" spans="3:12" x14ac:dyDescent="0.25">
      <c r="C1696" s="7"/>
      <c r="E1696" s="8"/>
      <c r="F1696" s="8"/>
      <c r="G1696" s="8"/>
      <c r="H1696" s="8"/>
      <c r="I1696" s="8"/>
      <c r="J1696" s="8"/>
      <c r="K1696" s="8"/>
      <c r="L1696" s="8"/>
    </row>
    <row r="1697" spans="3:12" x14ac:dyDescent="0.25">
      <c r="C1697" s="7"/>
      <c r="E1697" s="8"/>
      <c r="F1697" s="8"/>
      <c r="G1697" s="8"/>
      <c r="H1697" s="8"/>
      <c r="I1697" s="8"/>
      <c r="J1697" s="8"/>
      <c r="K1697" s="8"/>
      <c r="L1697" s="8"/>
    </row>
    <row r="1698" spans="3:12" x14ac:dyDescent="0.25">
      <c r="C1698" s="7"/>
      <c r="E1698" s="8"/>
      <c r="F1698" s="8"/>
      <c r="G1698" s="8"/>
      <c r="H1698" s="8"/>
      <c r="I1698" s="8"/>
      <c r="J1698" s="8"/>
      <c r="K1698" s="8"/>
      <c r="L1698" s="8"/>
    </row>
    <row r="1699" spans="3:12" x14ac:dyDescent="0.25">
      <c r="C1699" s="7"/>
      <c r="E1699" s="8"/>
      <c r="F1699" s="8"/>
      <c r="G1699" s="8"/>
      <c r="H1699" s="8"/>
      <c r="I1699" s="8"/>
      <c r="J1699" s="8"/>
      <c r="K1699" s="8"/>
      <c r="L1699" s="8"/>
    </row>
    <row r="1700" spans="3:12" x14ac:dyDescent="0.25">
      <c r="C1700" s="7"/>
      <c r="E1700" s="8"/>
      <c r="F1700" s="8"/>
      <c r="G1700" s="8"/>
      <c r="H1700" s="8"/>
      <c r="I1700" s="8"/>
      <c r="J1700" s="8"/>
      <c r="K1700" s="8"/>
      <c r="L1700" s="8"/>
    </row>
    <row r="1701" spans="3:12" x14ac:dyDescent="0.25">
      <c r="C1701" s="7"/>
      <c r="E1701" s="8"/>
      <c r="F1701" s="8"/>
      <c r="G1701" s="8"/>
      <c r="H1701" s="8"/>
      <c r="I1701" s="8"/>
      <c r="J1701" s="8"/>
      <c r="K1701" s="8"/>
      <c r="L1701" s="8"/>
    </row>
    <row r="1702" spans="3:12" x14ac:dyDescent="0.25">
      <c r="C1702" s="7"/>
      <c r="E1702" s="8"/>
      <c r="F1702" s="8"/>
      <c r="G1702" s="8"/>
      <c r="H1702" s="8"/>
      <c r="I1702" s="8"/>
      <c r="J1702" s="8"/>
      <c r="K1702" s="8"/>
      <c r="L1702" s="8"/>
    </row>
    <row r="1703" spans="3:12" x14ac:dyDescent="0.25">
      <c r="C1703" s="7"/>
      <c r="E1703" s="8"/>
      <c r="F1703" s="8"/>
      <c r="G1703" s="8"/>
      <c r="H1703" s="8"/>
      <c r="I1703" s="8"/>
      <c r="J1703" s="8"/>
      <c r="K1703" s="8"/>
      <c r="L1703" s="8"/>
    </row>
    <row r="1704" spans="3:12" x14ac:dyDescent="0.25">
      <c r="C1704" s="7"/>
      <c r="E1704" s="8"/>
      <c r="F1704" s="8"/>
      <c r="G1704" s="8"/>
      <c r="H1704" s="8"/>
      <c r="I1704" s="8"/>
      <c r="J1704" s="8"/>
      <c r="K1704" s="8"/>
      <c r="L1704" s="8"/>
    </row>
    <row r="1705" spans="3:12" x14ac:dyDescent="0.25">
      <c r="C1705" s="7"/>
      <c r="E1705" s="8"/>
      <c r="F1705" s="8"/>
      <c r="G1705" s="8"/>
      <c r="H1705" s="8"/>
      <c r="I1705" s="8"/>
      <c r="J1705" s="8"/>
      <c r="K1705" s="8"/>
      <c r="L1705" s="8"/>
    </row>
    <row r="1706" spans="3:12" x14ac:dyDescent="0.25">
      <c r="C1706" s="7"/>
      <c r="E1706" s="8"/>
      <c r="F1706" s="8"/>
      <c r="G1706" s="8"/>
      <c r="H1706" s="8"/>
      <c r="I1706" s="8"/>
      <c r="J1706" s="8"/>
      <c r="K1706" s="8"/>
      <c r="L1706" s="8"/>
    </row>
    <row r="1707" spans="3:12" x14ac:dyDescent="0.25">
      <c r="C1707" s="7"/>
      <c r="E1707" s="8"/>
      <c r="F1707" s="8"/>
      <c r="G1707" s="8"/>
      <c r="H1707" s="8"/>
      <c r="I1707" s="8"/>
      <c r="J1707" s="8"/>
      <c r="K1707" s="8"/>
      <c r="L1707" s="8"/>
    </row>
    <row r="1708" spans="3:12" x14ac:dyDescent="0.25">
      <c r="C1708" s="7"/>
      <c r="E1708" s="8"/>
      <c r="F1708" s="8"/>
      <c r="G1708" s="8"/>
      <c r="H1708" s="8"/>
      <c r="I1708" s="8"/>
      <c r="J1708" s="8"/>
      <c r="K1708" s="8"/>
      <c r="L1708" s="8"/>
    </row>
    <row r="1709" spans="3:12" x14ac:dyDescent="0.25">
      <c r="C1709" s="7"/>
      <c r="E1709" s="8"/>
      <c r="F1709" s="8"/>
      <c r="G1709" s="8"/>
      <c r="H1709" s="8"/>
      <c r="I1709" s="8"/>
      <c r="J1709" s="8"/>
      <c r="K1709" s="8"/>
      <c r="L1709" s="8"/>
    </row>
    <row r="1710" spans="3:12" x14ac:dyDescent="0.25">
      <c r="C1710" s="7"/>
      <c r="E1710" s="8"/>
      <c r="F1710" s="8"/>
      <c r="G1710" s="8"/>
      <c r="H1710" s="8"/>
      <c r="I1710" s="8"/>
      <c r="J1710" s="8"/>
      <c r="K1710" s="8"/>
      <c r="L1710" s="8"/>
    </row>
    <row r="1711" spans="3:12" x14ac:dyDescent="0.25">
      <c r="C1711" s="7"/>
      <c r="E1711" s="8"/>
      <c r="F1711" s="8"/>
      <c r="G1711" s="8"/>
      <c r="H1711" s="8"/>
      <c r="I1711" s="8"/>
      <c r="J1711" s="8"/>
      <c r="K1711" s="8"/>
      <c r="L1711" s="8"/>
    </row>
    <row r="1712" spans="3:12" x14ac:dyDescent="0.25">
      <c r="C1712" s="7"/>
      <c r="E1712" s="8"/>
      <c r="F1712" s="8"/>
      <c r="G1712" s="8"/>
      <c r="H1712" s="8"/>
      <c r="I1712" s="8"/>
      <c r="J1712" s="8"/>
      <c r="K1712" s="8"/>
      <c r="L1712" s="8"/>
    </row>
    <row r="1713" spans="3:12" x14ac:dyDescent="0.25">
      <c r="C1713" s="7"/>
      <c r="E1713" s="8"/>
      <c r="F1713" s="8"/>
      <c r="G1713" s="8"/>
      <c r="H1713" s="8"/>
      <c r="I1713" s="8"/>
      <c r="J1713" s="8"/>
      <c r="K1713" s="8"/>
      <c r="L1713" s="8"/>
    </row>
    <row r="1714" spans="3:12" x14ac:dyDescent="0.25">
      <c r="C1714" s="7"/>
      <c r="E1714" s="8"/>
      <c r="F1714" s="8"/>
      <c r="G1714" s="8"/>
      <c r="H1714" s="8"/>
      <c r="I1714" s="8"/>
      <c r="J1714" s="8"/>
      <c r="K1714" s="8"/>
      <c r="L1714" s="8"/>
    </row>
    <row r="1715" spans="3:12" x14ac:dyDescent="0.25">
      <c r="C1715" s="7"/>
      <c r="E1715" s="8"/>
      <c r="F1715" s="8"/>
      <c r="G1715" s="8"/>
      <c r="H1715" s="8"/>
      <c r="I1715" s="8"/>
      <c r="J1715" s="8"/>
      <c r="K1715" s="8"/>
      <c r="L1715" s="8"/>
    </row>
    <row r="1716" spans="3:12" x14ac:dyDescent="0.25">
      <c r="C1716" s="7"/>
      <c r="E1716" s="8"/>
      <c r="F1716" s="8"/>
      <c r="G1716" s="8"/>
      <c r="H1716" s="8"/>
      <c r="I1716" s="8"/>
      <c r="J1716" s="8"/>
      <c r="K1716" s="8"/>
      <c r="L1716" s="8"/>
    </row>
    <row r="1717" spans="3:12" x14ac:dyDescent="0.25">
      <c r="C1717" s="7"/>
      <c r="E1717" s="8"/>
      <c r="F1717" s="8"/>
      <c r="G1717" s="8"/>
      <c r="H1717" s="8"/>
      <c r="I1717" s="8"/>
      <c r="J1717" s="8"/>
      <c r="K1717" s="8"/>
      <c r="L1717" s="8"/>
    </row>
    <row r="1718" spans="3:12" x14ac:dyDescent="0.25">
      <c r="C1718" s="7"/>
      <c r="E1718" s="8"/>
      <c r="F1718" s="8"/>
      <c r="G1718" s="8"/>
      <c r="H1718" s="8"/>
      <c r="I1718" s="8"/>
      <c r="J1718" s="8"/>
      <c r="K1718" s="8"/>
      <c r="L1718" s="8"/>
    </row>
    <row r="1719" spans="3:12" x14ac:dyDescent="0.25">
      <c r="C1719" s="7"/>
      <c r="E1719" s="8"/>
      <c r="F1719" s="8"/>
      <c r="G1719" s="8"/>
      <c r="H1719" s="8"/>
      <c r="I1719" s="8"/>
      <c r="J1719" s="8"/>
      <c r="K1719" s="8"/>
      <c r="L1719" s="8"/>
    </row>
    <row r="1720" spans="3:12" x14ac:dyDescent="0.25">
      <c r="C1720" s="7"/>
      <c r="E1720" s="8"/>
      <c r="F1720" s="8"/>
      <c r="G1720" s="8"/>
      <c r="H1720" s="8"/>
      <c r="I1720" s="8"/>
      <c r="J1720" s="8"/>
      <c r="K1720" s="8"/>
      <c r="L1720" s="8"/>
    </row>
    <row r="1721" spans="3:12" x14ac:dyDescent="0.25">
      <c r="C1721" s="7"/>
      <c r="E1721" s="8"/>
      <c r="F1721" s="8"/>
      <c r="G1721" s="8"/>
      <c r="H1721" s="8"/>
      <c r="I1721" s="8"/>
      <c r="J1721" s="8"/>
      <c r="K1721" s="8"/>
      <c r="L1721" s="8"/>
    </row>
    <row r="1722" spans="3:12" x14ac:dyDescent="0.25">
      <c r="C1722" s="7"/>
      <c r="E1722" s="8"/>
      <c r="F1722" s="8"/>
      <c r="G1722" s="8"/>
      <c r="H1722" s="8"/>
      <c r="I1722" s="8"/>
      <c r="J1722" s="8"/>
      <c r="K1722" s="8"/>
      <c r="L1722" s="8"/>
    </row>
    <row r="1723" spans="3:12" x14ac:dyDescent="0.25">
      <c r="C1723" s="7"/>
      <c r="E1723" s="8"/>
      <c r="F1723" s="8"/>
      <c r="G1723" s="8"/>
      <c r="H1723" s="8"/>
      <c r="I1723" s="8"/>
      <c r="J1723" s="8"/>
      <c r="K1723" s="8"/>
      <c r="L1723" s="8"/>
    </row>
    <row r="1724" spans="3:12" x14ac:dyDescent="0.25">
      <c r="C1724" s="7"/>
      <c r="E1724" s="8"/>
      <c r="F1724" s="8"/>
      <c r="G1724" s="8"/>
      <c r="H1724" s="8"/>
      <c r="I1724" s="8"/>
      <c r="J1724" s="8"/>
      <c r="K1724" s="8"/>
      <c r="L1724" s="8"/>
    </row>
    <row r="1725" spans="3:12" x14ac:dyDescent="0.25">
      <c r="C1725" s="7"/>
      <c r="E1725" s="8"/>
      <c r="F1725" s="8"/>
      <c r="G1725" s="8"/>
      <c r="H1725" s="8"/>
      <c r="I1725" s="8"/>
      <c r="J1725" s="8"/>
      <c r="K1725" s="8"/>
      <c r="L1725" s="8"/>
    </row>
    <row r="1726" spans="3:12" x14ac:dyDescent="0.25">
      <c r="C1726" s="7"/>
      <c r="E1726" s="8"/>
      <c r="F1726" s="8"/>
      <c r="G1726" s="8"/>
      <c r="H1726" s="8"/>
      <c r="I1726" s="8"/>
      <c r="J1726" s="8"/>
      <c r="K1726" s="8"/>
      <c r="L1726" s="8"/>
    </row>
    <row r="1727" spans="3:12" x14ac:dyDescent="0.25">
      <c r="C1727" s="7"/>
      <c r="E1727" s="8"/>
      <c r="F1727" s="8"/>
      <c r="G1727" s="8"/>
      <c r="H1727" s="8"/>
      <c r="I1727" s="8"/>
      <c r="J1727" s="8"/>
      <c r="K1727" s="8"/>
      <c r="L1727" s="8"/>
    </row>
    <row r="1728" spans="3:12" x14ac:dyDescent="0.25">
      <c r="C1728" s="7"/>
      <c r="E1728" s="8"/>
      <c r="F1728" s="8"/>
      <c r="G1728" s="8"/>
      <c r="H1728" s="8"/>
      <c r="I1728" s="8"/>
      <c r="J1728" s="8"/>
      <c r="K1728" s="8"/>
      <c r="L1728" s="8"/>
    </row>
    <row r="1729" spans="3:12" x14ac:dyDescent="0.25">
      <c r="C1729" s="7"/>
      <c r="E1729" s="8"/>
      <c r="F1729" s="8"/>
      <c r="G1729" s="8"/>
      <c r="H1729" s="8"/>
      <c r="I1729" s="8"/>
      <c r="J1729" s="8"/>
      <c r="K1729" s="8"/>
      <c r="L1729" s="8"/>
    </row>
    <row r="1730" spans="3:12" x14ac:dyDescent="0.25">
      <c r="C1730" s="7"/>
      <c r="E1730" s="8"/>
      <c r="F1730" s="8"/>
      <c r="G1730" s="8"/>
      <c r="H1730" s="8"/>
      <c r="I1730" s="8"/>
      <c r="J1730" s="8"/>
      <c r="K1730" s="8"/>
      <c r="L1730" s="8"/>
    </row>
    <row r="1731" spans="3:12" x14ac:dyDescent="0.25">
      <c r="C1731" s="7"/>
      <c r="E1731" s="8"/>
      <c r="F1731" s="8"/>
      <c r="G1731" s="8"/>
      <c r="H1731" s="8"/>
      <c r="I1731" s="8"/>
      <c r="J1731" s="8"/>
      <c r="K1731" s="8"/>
      <c r="L1731" s="8"/>
    </row>
    <row r="1732" spans="3:12" x14ac:dyDescent="0.25">
      <c r="C1732" s="7"/>
      <c r="E1732" s="8"/>
      <c r="F1732" s="8"/>
      <c r="G1732" s="8"/>
      <c r="H1732" s="8"/>
      <c r="I1732" s="8"/>
      <c r="J1732" s="8"/>
      <c r="K1732" s="8"/>
      <c r="L1732" s="8"/>
    </row>
    <row r="1733" spans="3:12" x14ac:dyDescent="0.25">
      <c r="C1733" s="7"/>
      <c r="E1733" s="8"/>
      <c r="F1733" s="8"/>
      <c r="G1733" s="8"/>
      <c r="H1733" s="8"/>
      <c r="I1733" s="8"/>
      <c r="J1733" s="8"/>
      <c r="K1733" s="8"/>
      <c r="L1733" s="8"/>
    </row>
    <row r="1734" spans="3:12" x14ac:dyDescent="0.25">
      <c r="C1734" s="7"/>
      <c r="E1734" s="8"/>
      <c r="F1734" s="8"/>
      <c r="G1734" s="8"/>
      <c r="H1734" s="8"/>
      <c r="I1734" s="8"/>
      <c r="J1734" s="8"/>
      <c r="K1734" s="8"/>
      <c r="L1734" s="8"/>
    </row>
    <row r="1735" spans="3:12" x14ac:dyDescent="0.25">
      <c r="C1735" s="7"/>
      <c r="E1735" s="8"/>
      <c r="F1735" s="8"/>
      <c r="G1735" s="8"/>
      <c r="H1735" s="8"/>
      <c r="I1735" s="8"/>
      <c r="J1735" s="8"/>
      <c r="K1735" s="8"/>
      <c r="L1735" s="8"/>
    </row>
    <row r="1736" spans="3:12" x14ac:dyDescent="0.25">
      <c r="C1736" s="7"/>
      <c r="E1736" s="8"/>
      <c r="F1736" s="8"/>
      <c r="G1736" s="8"/>
      <c r="H1736" s="8"/>
      <c r="I1736" s="8"/>
      <c r="J1736" s="8"/>
      <c r="K1736" s="8"/>
      <c r="L1736" s="8"/>
    </row>
    <row r="1737" spans="3:12" x14ac:dyDescent="0.25">
      <c r="C1737" s="7"/>
      <c r="E1737" s="8"/>
      <c r="F1737" s="8"/>
      <c r="G1737" s="8"/>
      <c r="H1737" s="8"/>
      <c r="I1737" s="8"/>
      <c r="J1737" s="8"/>
      <c r="K1737" s="8"/>
      <c r="L1737" s="8"/>
    </row>
    <row r="1738" spans="3:12" x14ac:dyDescent="0.25">
      <c r="C1738" s="7"/>
      <c r="E1738" s="8"/>
      <c r="F1738" s="8"/>
      <c r="G1738" s="8"/>
      <c r="H1738" s="8"/>
      <c r="I1738" s="8"/>
      <c r="J1738" s="8"/>
      <c r="K1738" s="8"/>
      <c r="L1738" s="8"/>
    </row>
    <row r="1739" spans="3:12" x14ac:dyDescent="0.25">
      <c r="C1739" s="7"/>
      <c r="E1739" s="8"/>
      <c r="F1739" s="8"/>
      <c r="G1739" s="8"/>
      <c r="H1739" s="8"/>
      <c r="I1739" s="8"/>
      <c r="J1739" s="8"/>
      <c r="K1739" s="8"/>
      <c r="L1739" s="8"/>
    </row>
    <row r="1740" spans="3:12" x14ac:dyDescent="0.25">
      <c r="C1740" s="7"/>
      <c r="E1740" s="8"/>
      <c r="F1740" s="8"/>
      <c r="G1740" s="8"/>
      <c r="H1740" s="8"/>
      <c r="I1740" s="8"/>
      <c r="J1740" s="8"/>
      <c r="K1740" s="8"/>
      <c r="L1740" s="8"/>
    </row>
    <row r="1741" spans="3:12" x14ac:dyDescent="0.25">
      <c r="C1741" s="7"/>
      <c r="E1741" s="8"/>
      <c r="F1741" s="8"/>
      <c r="G1741" s="8"/>
      <c r="H1741" s="8"/>
      <c r="I1741" s="8"/>
      <c r="J1741" s="8"/>
      <c r="K1741" s="8"/>
      <c r="L1741" s="8"/>
    </row>
    <row r="1742" spans="3:12" x14ac:dyDescent="0.25">
      <c r="C1742" s="7"/>
      <c r="E1742" s="8"/>
      <c r="F1742" s="8"/>
      <c r="G1742" s="8"/>
      <c r="H1742" s="8"/>
      <c r="I1742" s="8"/>
      <c r="J1742" s="8"/>
      <c r="K1742" s="8"/>
      <c r="L1742" s="8"/>
    </row>
    <row r="1743" spans="3:12" x14ac:dyDescent="0.25">
      <c r="C1743" s="7"/>
      <c r="E1743" s="8"/>
      <c r="F1743" s="8"/>
      <c r="G1743" s="8"/>
      <c r="H1743" s="8"/>
      <c r="I1743" s="8"/>
      <c r="J1743" s="8"/>
      <c r="K1743" s="8"/>
      <c r="L1743" s="8"/>
    </row>
    <row r="1744" spans="3:12" x14ac:dyDescent="0.25">
      <c r="C1744" s="7"/>
      <c r="E1744" s="8"/>
      <c r="F1744" s="8"/>
      <c r="G1744" s="8"/>
      <c r="H1744" s="8"/>
      <c r="I1744" s="8"/>
      <c r="J1744" s="8"/>
      <c r="K1744" s="8"/>
      <c r="L1744" s="8"/>
    </row>
    <row r="1745" spans="3:12" x14ac:dyDescent="0.25">
      <c r="C1745" s="7"/>
      <c r="E1745" s="8"/>
      <c r="F1745" s="8"/>
      <c r="G1745" s="8"/>
      <c r="H1745" s="8"/>
      <c r="I1745" s="8"/>
      <c r="J1745" s="8"/>
      <c r="K1745" s="8"/>
      <c r="L1745" s="8"/>
    </row>
    <row r="1746" spans="3:12" x14ac:dyDescent="0.25">
      <c r="C1746" s="7"/>
      <c r="E1746" s="8"/>
      <c r="F1746" s="8"/>
      <c r="G1746" s="8"/>
      <c r="H1746" s="8"/>
      <c r="I1746" s="8"/>
      <c r="J1746" s="8"/>
      <c r="K1746" s="8"/>
      <c r="L1746" s="8"/>
    </row>
    <row r="1747" spans="3:12" x14ac:dyDescent="0.25">
      <c r="C1747" s="7"/>
      <c r="E1747" s="8"/>
      <c r="F1747" s="8"/>
      <c r="G1747" s="8"/>
      <c r="H1747" s="8"/>
      <c r="I1747" s="8"/>
      <c r="J1747" s="8"/>
      <c r="K1747" s="8"/>
      <c r="L1747" s="8"/>
    </row>
    <row r="1748" spans="3:12" x14ac:dyDescent="0.25">
      <c r="C1748" s="7"/>
      <c r="E1748" s="8"/>
      <c r="F1748" s="8"/>
      <c r="G1748" s="8"/>
      <c r="H1748" s="8"/>
      <c r="I1748" s="8"/>
      <c r="J1748" s="8"/>
      <c r="K1748" s="8"/>
      <c r="L1748" s="8"/>
    </row>
    <row r="1749" spans="3:12" x14ac:dyDescent="0.25">
      <c r="C1749" s="7"/>
      <c r="E1749" s="8"/>
      <c r="F1749" s="8"/>
      <c r="G1749" s="8"/>
      <c r="H1749" s="8"/>
      <c r="I1749" s="8"/>
      <c r="J1749" s="8"/>
      <c r="K1749" s="8"/>
      <c r="L1749" s="8"/>
    </row>
    <row r="1750" spans="3:12" x14ac:dyDescent="0.25">
      <c r="C1750" s="7"/>
      <c r="E1750" s="8"/>
      <c r="F1750" s="8"/>
      <c r="G1750" s="8"/>
      <c r="H1750" s="8"/>
      <c r="I1750" s="8"/>
      <c r="J1750" s="8"/>
      <c r="K1750" s="8"/>
      <c r="L1750" s="8"/>
    </row>
    <row r="1751" spans="3:12" x14ac:dyDescent="0.25">
      <c r="C1751" s="7"/>
      <c r="E1751" s="8"/>
      <c r="F1751" s="8"/>
      <c r="G1751" s="8"/>
      <c r="H1751" s="8"/>
      <c r="I1751" s="8"/>
      <c r="J1751" s="8"/>
      <c r="K1751" s="8"/>
      <c r="L1751" s="8"/>
    </row>
    <row r="1752" spans="3:12" x14ac:dyDescent="0.25">
      <c r="C1752" s="7"/>
      <c r="E1752" s="8"/>
      <c r="F1752" s="8"/>
      <c r="G1752" s="8"/>
      <c r="H1752" s="8"/>
      <c r="I1752" s="8"/>
      <c r="J1752" s="8"/>
      <c r="K1752" s="8"/>
      <c r="L1752" s="8"/>
    </row>
    <row r="1753" spans="3:12" x14ac:dyDescent="0.25">
      <c r="C1753" s="7"/>
      <c r="E1753" s="8"/>
      <c r="F1753" s="8"/>
      <c r="G1753" s="8"/>
      <c r="H1753" s="8"/>
      <c r="I1753" s="8"/>
      <c r="J1753" s="8"/>
      <c r="K1753" s="8"/>
      <c r="L1753" s="8"/>
    </row>
    <row r="1754" spans="3:12" x14ac:dyDescent="0.25">
      <c r="C1754" s="7"/>
      <c r="E1754" s="8"/>
      <c r="F1754" s="8"/>
      <c r="G1754" s="8"/>
      <c r="H1754" s="8"/>
      <c r="I1754" s="8"/>
      <c r="J1754" s="8"/>
      <c r="K1754" s="8"/>
      <c r="L1754" s="8"/>
    </row>
    <row r="1755" spans="3:12" x14ac:dyDescent="0.25">
      <c r="C1755" s="7"/>
      <c r="E1755" s="8"/>
      <c r="F1755" s="8"/>
      <c r="G1755" s="8"/>
      <c r="H1755" s="8"/>
      <c r="I1755" s="8"/>
      <c r="J1755" s="8"/>
      <c r="K1755" s="8"/>
      <c r="L1755" s="8"/>
    </row>
    <row r="1756" spans="3:12" x14ac:dyDescent="0.25">
      <c r="C1756" s="7"/>
      <c r="E1756" s="8"/>
      <c r="F1756" s="8"/>
      <c r="G1756" s="8"/>
      <c r="H1756" s="8"/>
      <c r="I1756" s="8"/>
      <c r="J1756" s="8"/>
      <c r="K1756" s="8"/>
      <c r="L1756" s="8"/>
    </row>
    <row r="1757" spans="3:12" x14ac:dyDescent="0.25">
      <c r="C1757" s="7"/>
      <c r="E1757" s="8"/>
      <c r="F1757" s="8"/>
      <c r="G1757" s="8"/>
      <c r="H1757" s="8"/>
      <c r="I1757" s="8"/>
      <c r="J1757" s="8"/>
      <c r="K1757" s="8"/>
      <c r="L1757" s="8"/>
    </row>
    <row r="1758" spans="3:12" x14ac:dyDescent="0.25">
      <c r="C1758" s="7"/>
      <c r="E1758" s="8"/>
      <c r="F1758" s="8"/>
      <c r="G1758" s="8"/>
      <c r="H1758" s="8"/>
      <c r="I1758" s="8"/>
      <c r="J1758" s="8"/>
      <c r="K1758" s="8"/>
      <c r="L1758" s="8"/>
    </row>
    <row r="1759" spans="3:12" x14ac:dyDescent="0.25">
      <c r="C1759" s="7"/>
      <c r="E1759" s="8"/>
      <c r="F1759" s="8"/>
      <c r="G1759" s="8"/>
      <c r="H1759" s="8"/>
      <c r="I1759" s="8"/>
      <c r="J1759" s="8"/>
      <c r="K1759" s="8"/>
      <c r="L1759" s="8"/>
    </row>
    <row r="1760" spans="3:12" x14ac:dyDescent="0.25">
      <c r="C1760" s="7"/>
      <c r="E1760" s="8"/>
      <c r="F1760" s="8"/>
      <c r="G1760" s="8"/>
      <c r="H1760" s="8"/>
      <c r="I1760" s="8"/>
      <c r="J1760" s="8"/>
      <c r="K1760" s="8"/>
      <c r="L1760" s="8"/>
    </row>
    <row r="1761" spans="3:12" x14ac:dyDescent="0.25">
      <c r="C1761" s="7"/>
      <c r="E1761" s="8"/>
      <c r="F1761" s="8"/>
      <c r="G1761" s="8"/>
      <c r="H1761" s="8"/>
      <c r="I1761" s="8"/>
      <c r="J1761" s="8"/>
      <c r="K1761" s="8"/>
      <c r="L1761" s="8"/>
    </row>
    <row r="1762" spans="3:12" x14ac:dyDescent="0.25">
      <c r="C1762" s="7"/>
      <c r="E1762" s="8"/>
      <c r="F1762" s="8"/>
      <c r="G1762" s="8"/>
      <c r="H1762" s="8"/>
      <c r="I1762" s="8"/>
      <c r="J1762" s="8"/>
      <c r="K1762" s="8"/>
      <c r="L1762" s="8"/>
    </row>
    <row r="1763" spans="3:12" x14ac:dyDescent="0.25">
      <c r="C1763" s="7"/>
      <c r="E1763" s="8"/>
      <c r="F1763" s="8"/>
      <c r="G1763" s="8"/>
      <c r="H1763" s="8"/>
      <c r="I1763" s="8"/>
      <c r="J1763" s="8"/>
      <c r="K1763" s="8"/>
      <c r="L1763" s="8"/>
    </row>
    <row r="1764" spans="3:12" x14ac:dyDescent="0.25">
      <c r="C1764" s="7"/>
      <c r="E1764" s="8"/>
      <c r="F1764" s="8"/>
      <c r="G1764" s="8"/>
      <c r="H1764" s="8"/>
      <c r="I1764" s="8"/>
      <c r="J1764" s="8"/>
      <c r="K1764" s="8"/>
      <c r="L1764" s="8"/>
    </row>
    <row r="1765" spans="3:12" x14ac:dyDescent="0.25">
      <c r="C1765" s="7"/>
      <c r="E1765" s="8"/>
      <c r="F1765" s="8"/>
      <c r="G1765" s="8"/>
      <c r="H1765" s="8"/>
      <c r="I1765" s="8"/>
      <c r="J1765" s="8"/>
      <c r="K1765" s="8"/>
      <c r="L1765" s="8"/>
    </row>
    <row r="1766" spans="3:12" x14ac:dyDescent="0.25">
      <c r="C1766" s="7"/>
      <c r="E1766" s="8"/>
      <c r="F1766" s="8"/>
      <c r="G1766" s="8"/>
      <c r="H1766" s="8"/>
      <c r="I1766" s="8"/>
      <c r="J1766" s="8"/>
      <c r="K1766" s="8"/>
      <c r="L1766" s="8"/>
    </row>
    <row r="1767" spans="3:12" x14ac:dyDescent="0.25">
      <c r="C1767" s="7"/>
      <c r="E1767" s="8"/>
      <c r="F1767" s="8"/>
      <c r="G1767" s="8"/>
      <c r="H1767" s="8"/>
      <c r="I1767" s="8"/>
      <c r="J1767" s="8"/>
      <c r="K1767" s="8"/>
      <c r="L1767" s="8"/>
    </row>
    <row r="1768" spans="3:12" x14ac:dyDescent="0.25">
      <c r="C1768" s="7"/>
      <c r="E1768" s="8"/>
      <c r="F1768" s="8"/>
      <c r="G1768" s="8"/>
      <c r="H1768" s="8"/>
      <c r="I1768" s="8"/>
      <c r="J1768" s="8"/>
      <c r="K1768" s="8"/>
      <c r="L1768" s="8"/>
    </row>
    <row r="1769" spans="3:12" x14ac:dyDescent="0.25">
      <c r="C1769" s="7"/>
      <c r="E1769" s="8"/>
      <c r="F1769" s="8"/>
      <c r="G1769" s="8"/>
      <c r="H1769" s="8"/>
      <c r="I1769" s="8"/>
      <c r="J1769" s="8"/>
      <c r="K1769" s="8"/>
      <c r="L1769" s="8"/>
    </row>
    <row r="1770" spans="3:12" x14ac:dyDescent="0.25">
      <c r="C1770" s="7"/>
      <c r="E1770" s="8"/>
      <c r="F1770" s="8"/>
      <c r="G1770" s="8"/>
      <c r="H1770" s="8"/>
      <c r="I1770" s="8"/>
      <c r="J1770" s="8"/>
      <c r="K1770" s="8"/>
      <c r="L1770" s="8"/>
    </row>
    <row r="1771" spans="3:12" x14ac:dyDescent="0.25">
      <c r="C1771" s="7"/>
      <c r="E1771" s="8"/>
      <c r="F1771" s="8"/>
      <c r="G1771" s="8"/>
      <c r="H1771" s="8"/>
      <c r="I1771" s="8"/>
      <c r="J1771" s="8"/>
      <c r="K1771" s="8"/>
      <c r="L1771" s="8"/>
    </row>
    <row r="1772" spans="3:12" x14ac:dyDescent="0.25">
      <c r="C1772" s="7"/>
      <c r="E1772" s="8"/>
      <c r="F1772" s="8"/>
      <c r="G1772" s="8"/>
      <c r="H1772" s="8"/>
      <c r="I1772" s="8"/>
      <c r="J1772" s="8"/>
      <c r="K1772" s="8"/>
      <c r="L1772" s="8"/>
    </row>
    <row r="1773" spans="3:12" x14ac:dyDescent="0.25">
      <c r="C1773" s="7"/>
      <c r="E1773" s="8"/>
      <c r="F1773" s="8"/>
      <c r="G1773" s="8"/>
      <c r="H1773" s="8"/>
      <c r="I1773" s="8"/>
      <c r="J1773" s="8"/>
      <c r="K1773" s="8"/>
      <c r="L1773" s="8"/>
    </row>
    <row r="1774" spans="3:12" x14ac:dyDescent="0.25">
      <c r="C1774" s="7"/>
      <c r="E1774" s="8"/>
      <c r="F1774" s="8"/>
      <c r="G1774" s="8"/>
      <c r="H1774" s="8"/>
      <c r="I1774" s="8"/>
      <c r="J1774" s="8"/>
      <c r="K1774" s="8"/>
      <c r="L1774" s="8"/>
    </row>
    <row r="1775" spans="3:12" x14ac:dyDescent="0.25">
      <c r="C1775" s="7"/>
      <c r="E1775" s="8"/>
      <c r="F1775" s="8"/>
      <c r="G1775" s="8"/>
      <c r="H1775" s="8"/>
      <c r="I1775" s="8"/>
      <c r="J1775" s="8"/>
      <c r="K1775" s="8"/>
      <c r="L1775" s="8"/>
    </row>
    <row r="1776" spans="3:12" x14ac:dyDescent="0.25">
      <c r="C1776" s="7"/>
      <c r="E1776" s="8"/>
      <c r="F1776" s="8"/>
      <c r="G1776" s="8"/>
      <c r="H1776" s="8"/>
      <c r="I1776" s="8"/>
      <c r="J1776" s="8"/>
      <c r="K1776" s="8"/>
      <c r="L1776" s="8"/>
    </row>
    <row r="1777" spans="3:12" x14ac:dyDescent="0.25">
      <c r="C1777" s="7"/>
      <c r="E1777" s="8"/>
      <c r="F1777" s="8"/>
      <c r="G1777" s="8"/>
      <c r="H1777" s="8"/>
      <c r="I1777" s="8"/>
      <c r="J1777" s="8"/>
      <c r="K1777" s="8"/>
      <c r="L1777" s="8"/>
    </row>
    <row r="1778" spans="3:12" x14ac:dyDescent="0.25">
      <c r="C1778" s="7"/>
      <c r="E1778" s="8"/>
      <c r="F1778" s="8"/>
      <c r="G1778" s="8"/>
      <c r="H1778" s="8"/>
      <c r="I1778" s="8"/>
      <c r="J1778" s="8"/>
      <c r="K1778" s="8"/>
      <c r="L1778" s="8"/>
    </row>
    <row r="1779" spans="3:12" x14ac:dyDescent="0.25">
      <c r="C1779" s="7"/>
      <c r="E1779" s="8"/>
      <c r="F1779" s="8"/>
      <c r="G1779" s="8"/>
      <c r="H1779" s="8"/>
      <c r="I1779" s="8"/>
      <c r="J1779" s="8"/>
      <c r="K1779" s="8"/>
      <c r="L1779" s="8"/>
    </row>
    <row r="1780" spans="3:12" x14ac:dyDescent="0.25">
      <c r="C1780" s="7"/>
      <c r="E1780" s="8"/>
      <c r="F1780" s="8"/>
      <c r="G1780" s="8"/>
      <c r="H1780" s="8"/>
      <c r="I1780" s="8"/>
      <c r="J1780" s="8"/>
      <c r="K1780" s="8"/>
      <c r="L1780" s="8"/>
    </row>
    <row r="1781" spans="3:12" x14ac:dyDescent="0.25">
      <c r="C1781" s="7"/>
      <c r="E1781" s="8"/>
      <c r="F1781" s="8"/>
      <c r="G1781" s="8"/>
      <c r="H1781" s="8"/>
      <c r="I1781" s="8"/>
      <c r="J1781" s="8"/>
      <c r="K1781" s="8"/>
      <c r="L1781" s="8"/>
    </row>
    <row r="1782" spans="3:12" x14ac:dyDescent="0.25">
      <c r="C1782" s="7"/>
      <c r="E1782" s="8"/>
      <c r="F1782" s="8"/>
      <c r="G1782" s="8"/>
      <c r="H1782" s="8"/>
      <c r="I1782" s="8"/>
      <c r="J1782" s="8"/>
      <c r="K1782" s="8"/>
      <c r="L1782" s="8"/>
    </row>
    <row r="1783" spans="3:12" x14ac:dyDescent="0.25">
      <c r="C1783" s="7"/>
      <c r="E1783" s="8"/>
      <c r="F1783" s="8"/>
      <c r="G1783" s="8"/>
      <c r="H1783" s="8"/>
      <c r="I1783" s="8"/>
      <c r="J1783" s="8"/>
      <c r="K1783" s="8"/>
      <c r="L1783" s="8"/>
    </row>
    <row r="1784" spans="3:12" x14ac:dyDescent="0.25">
      <c r="C1784" s="7"/>
      <c r="E1784" s="8"/>
      <c r="F1784" s="8"/>
      <c r="G1784" s="8"/>
      <c r="H1784" s="8"/>
      <c r="I1784" s="8"/>
      <c r="J1784" s="8"/>
      <c r="K1784" s="8"/>
      <c r="L1784" s="8"/>
    </row>
    <row r="1785" spans="3:12" x14ac:dyDescent="0.25">
      <c r="C1785" s="7"/>
      <c r="E1785" s="8"/>
      <c r="F1785" s="8"/>
      <c r="G1785" s="8"/>
      <c r="H1785" s="8"/>
      <c r="I1785" s="8"/>
      <c r="J1785" s="8"/>
      <c r="K1785" s="8"/>
      <c r="L1785" s="8"/>
    </row>
    <row r="1786" spans="3:12" x14ac:dyDescent="0.25">
      <c r="C1786" s="7"/>
      <c r="E1786" s="8"/>
      <c r="F1786" s="8"/>
      <c r="G1786" s="8"/>
      <c r="H1786" s="8"/>
      <c r="I1786" s="8"/>
      <c r="J1786" s="8"/>
      <c r="K1786" s="8"/>
      <c r="L1786" s="8"/>
    </row>
    <row r="1787" spans="3:12" x14ac:dyDescent="0.25">
      <c r="C1787" s="7"/>
      <c r="E1787" s="8"/>
      <c r="F1787" s="8"/>
      <c r="G1787" s="8"/>
      <c r="H1787" s="8"/>
      <c r="I1787" s="8"/>
      <c r="J1787" s="8"/>
      <c r="K1787" s="8"/>
      <c r="L1787" s="8"/>
    </row>
    <row r="1788" spans="3:12" x14ac:dyDescent="0.25">
      <c r="C1788" s="7"/>
      <c r="E1788" s="8"/>
      <c r="F1788" s="8"/>
      <c r="G1788" s="8"/>
      <c r="H1788" s="8"/>
      <c r="I1788" s="8"/>
      <c r="J1788" s="8"/>
      <c r="K1788" s="8"/>
      <c r="L1788" s="8"/>
    </row>
    <row r="1789" spans="3:12" x14ac:dyDescent="0.25">
      <c r="C1789" s="7"/>
      <c r="E1789" s="8"/>
      <c r="F1789" s="8"/>
      <c r="G1789" s="8"/>
      <c r="H1789" s="8"/>
      <c r="I1789" s="8"/>
      <c r="J1789" s="8"/>
      <c r="K1789" s="8"/>
      <c r="L1789" s="8"/>
    </row>
    <row r="1790" spans="3:12" x14ac:dyDescent="0.25">
      <c r="C1790" s="7"/>
      <c r="E1790" s="8"/>
      <c r="F1790" s="8"/>
      <c r="G1790" s="8"/>
      <c r="H1790" s="8"/>
      <c r="I1790" s="8"/>
      <c r="J1790" s="8"/>
      <c r="K1790" s="8"/>
      <c r="L1790" s="8"/>
    </row>
    <row r="1791" spans="3:12" x14ac:dyDescent="0.25">
      <c r="C1791" s="7"/>
      <c r="E1791" s="8"/>
      <c r="F1791" s="8"/>
      <c r="G1791" s="8"/>
      <c r="H1791" s="8"/>
      <c r="I1791" s="8"/>
      <c r="J1791" s="8"/>
      <c r="K1791" s="8"/>
      <c r="L1791" s="8"/>
    </row>
    <row r="1792" spans="3:12" x14ac:dyDescent="0.25">
      <c r="C1792" s="7"/>
      <c r="E1792" s="8"/>
      <c r="F1792" s="8"/>
      <c r="G1792" s="8"/>
      <c r="H1792" s="8"/>
      <c r="I1792" s="8"/>
      <c r="J1792" s="8"/>
      <c r="K1792" s="8"/>
      <c r="L1792" s="8"/>
    </row>
    <row r="1793" spans="3:12" x14ac:dyDescent="0.25">
      <c r="C1793" s="7"/>
      <c r="E1793" s="8"/>
      <c r="F1793" s="8"/>
      <c r="G1793" s="8"/>
      <c r="H1793" s="8"/>
      <c r="I1793" s="8"/>
      <c r="J1793" s="8"/>
      <c r="K1793" s="8"/>
      <c r="L1793" s="8"/>
    </row>
    <row r="1794" spans="3:12" x14ac:dyDescent="0.25">
      <c r="C1794" s="7"/>
      <c r="E1794" s="8"/>
      <c r="F1794" s="8"/>
      <c r="G1794" s="8"/>
      <c r="H1794" s="8"/>
      <c r="I1794" s="8"/>
      <c r="J1794" s="8"/>
      <c r="K1794" s="8"/>
      <c r="L1794" s="8"/>
    </row>
    <row r="1795" spans="3:12" x14ac:dyDescent="0.25">
      <c r="C1795" s="7"/>
      <c r="E1795" s="8"/>
      <c r="F1795" s="8"/>
      <c r="G1795" s="8"/>
      <c r="H1795" s="8"/>
      <c r="I1795" s="8"/>
      <c r="J1795" s="8"/>
      <c r="K1795" s="8"/>
      <c r="L1795" s="8"/>
    </row>
    <row r="1796" spans="3:12" x14ac:dyDescent="0.25">
      <c r="C1796" s="7"/>
      <c r="E1796" s="8"/>
      <c r="F1796" s="8"/>
      <c r="G1796" s="8"/>
      <c r="H1796" s="8"/>
      <c r="I1796" s="8"/>
      <c r="J1796" s="8"/>
      <c r="K1796" s="8"/>
      <c r="L1796" s="8"/>
    </row>
    <row r="1797" spans="3:12" x14ac:dyDescent="0.25">
      <c r="C1797" s="7"/>
      <c r="E1797" s="8"/>
      <c r="F1797" s="8"/>
      <c r="G1797" s="8"/>
      <c r="H1797" s="8"/>
      <c r="I1797" s="8"/>
      <c r="J1797" s="8"/>
      <c r="K1797" s="8"/>
      <c r="L1797" s="8"/>
    </row>
    <row r="1798" spans="3:12" x14ac:dyDescent="0.25">
      <c r="C1798" s="7"/>
      <c r="E1798" s="8"/>
      <c r="F1798" s="8"/>
      <c r="G1798" s="8"/>
      <c r="H1798" s="8"/>
      <c r="I1798" s="8"/>
      <c r="J1798" s="8"/>
      <c r="K1798" s="8"/>
      <c r="L1798" s="8"/>
    </row>
    <row r="1799" spans="3:12" x14ac:dyDescent="0.25">
      <c r="C1799" s="7"/>
      <c r="E1799" s="8"/>
      <c r="F1799" s="8"/>
      <c r="G1799" s="8"/>
      <c r="H1799" s="8"/>
      <c r="I1799" s="8"/>
      <c r="J1799" s="8"/>
      <c r="K1799" s="8"/>
      <c r="L1799" s="8"/>
    </row>
    <row r="1800" spans="3:12" x14ac:dyDescent="0.25">
      <c r="C1800" s="7"/>
      <c r="E1800" s="8"/>
      <c r="F1800" s="8"/>
      <c r="G1800" s="8"/>
      <c r="H1800" s="8"/>
      <c r="I1800" s="8"/>
      <c r="J1800" s="8"/>
      <c r="K1800" s="8"/>
      <c r="L1800" s="8"/>
    </row>
    <row r="1801" spans="3:12" x14ac:dyDescent="0.25">
      <c r="C1801" s="7"/>
      <c r="E1801" s="8"/>
      <c r="F1801" s="8"/>
      <c r="G1801" s="8"/>
      <c r="H1801" s="8"/>
      <c r="I1801" s="8"/>
      <c r="J1801" s="8"/>
      <c r="K1801" s="8"/>
      <c r="L1801" s="8"/>
    </row>
    <row r="1802" spans="3:12" x14ac:dyDescent="0.25">
      <c r="C1802" s="7"/>
      <c r="E1802" s="8"/>
      <c r="F1802" s="8"/>
      <c r="G1802" s="8"/>
      <c r="H1802" s="8"/>
      <c r="I1802" s="8"/>
      <c r="J1802" s="8"/>
      <c r="K1802" s="8"/>
      <c r="L1802" s="8"/>
    </row>
    <row r="1803" spans="3:12" x14ac:dyDescent="0.25">
      <c r="C1803" s="7"/>
      <c r="E1803" s="8"/>
      <c r="F1803" s="8"/>
      <c r="G1803" s="8"/>
      <c r="H1803" s="8"/>
      <c r="I1803" s="8"/>
      <c r="J1803" s="8"/>
      <c r="K1803" s="8"/>
      <c r="L1803" s="8"/>
    </row>
    <row r="1804" spans="3:12" x14ac:dyDescent="0.25">
      <c r="C1804" s="7"/>
      <c r="E1804" s="8"/>
      <c r="F1804" s="8"/>
      <c r="G1804" s="8"/>
      <c r="H1804" s="8"/>
      <c r="I1804" s="8"/>
      <c r="J1804" s="8"/>
      <c r="K1804" s="8"/>
      <c r="L1804" s="8"/>
    </row>
    <row r="1805" spans="3:12" x14ac:dyDescent="0.25">
      <c r="C1805" s="7"/>
      <c r="E1805" s="8"/>
      <c r="F1805" s="8"/>
      <c r="G1805" s="8"/>
      <c r="H1805" s="8"/>
      <c r="I1805" s="8"/>
      <c r="J1805" s="8"/>
      <c r="K1805" s="8"/>
      <c r="L1805" s="8"/>
    </row>
    <row r="1806" spans="3:12" x14ac:dyDescent="0.25">
      <c r="C1806" s="7"/>
      <c r="E1806" s="8"/>
      <c r="F1806" s="8"/>
      <c r="G1806" s="8"/>
      <c r="H1806" s="8"/>
      <c r="I1806" s="8"/>
      <c r="J1806" s="8"/>
      <c r="K1806" s="8"/>
      <c r="L1806" s="8"/>
    </row>
    <row r="1807" spans="3:12" x14ac:dyDescent="0.25">
      <c r="C1807" s="7"/>
      <c r="E1807" s="8"/>
      <c r="F1807" s="8"/>
      <c r="G1807" s="8"/>
      <c r="H1807" s="8"/>
      <c r="I1807" s="8"/>
      <c r="J1807" s="8"/>
      <c r="K1807" s="8"/>
      <c r="L1807" s="8"/>
    </row>
    <row r="1808" spans="3:12" x14ac:dyDescent="0.25">
      <c r="C1808" s="7"/>
      <c r="E1808" s="8"/>
      <c r="F1808" s="8"/>
      <c r="G1808" s="8"/>
      <c r="H1808" s="8"/>
      <c r="I1808" s="8"/>
      <c r="J1808" s="8"/>
      <c r="K1808" s="8"/>
      <c r="L1808" s="8"/>
    </row>
    <row r="1809" spans="3:12" x14ac:dyDescent="0.25">
      <c r="C1809" s="7"/>
      <c r="E1809" s="8"/>
      <c r="F1809" s="8"/>
      <c r="G1809" s="8"/>
      <c r="H1809" s="8"/>
      <c r="I1809" s="8"/>
      <c r="J1809" s="8"/>
      <c r="K1809" s="8"/>
      <c r="L1809" s="8"/>
    </row>
    <row r="1810" spans="3:12" x14ac:dyDescent="0.25">
      <c r="C1810" s="7"/>
      <c r="E1810" s="8"/>
      <c r="F1810" s="8"/>
      <c r="G1810" s="8"/>
      <c r="H1810" s="8"/>
      <c r="I1810" s="8"/>
      <c r="J1810" s="8"/>
      <c r="K1810" s="8"/>
      <c r="L1810" s="8"/>
    </row>
    <row r="1811" spans="3:12" x14ac:dyDescent="0.25">
      <c r="C1811" s="7"/>
      <c r="E1811" s="8"/>
      <c r="F1811" s="8"/>
      <c r="G1811" s="8"/>
      <c r="H1811" s="8"/>
      <c r="I1811" s="8"/>
      <c r="J1811" s="8"/>
      <c r="K1811" s="8"/>
      <c r="L1811" s="8"/>
    </row>
    <row r="1812" spans="3:12" x14ac:dyDescent="0.25">
      <c r="C1812" s="7"/>
      <c r="E1812" s="8"/>
      <c r="F1812" s="8"/>
      <c r="G1812" s="8"/>
      <c r="H1812" s="8"/>
      <c r="I1812" s="8"/>
      <c r="J1812" s="8"/>
      <c r="K1812" s="8"/>
      <c r="L1812" s="8"/>
    </row>
    <row r="1813" spans="3:12" x14ac:dyDescent="0.25">
      <c r="C1813" s="7"/>
      <c r="E1813" s="8"/>
      <c r="F1813" s="8"/>
      <c r="G1813" s="8"/>
      <c r="H1813" s="8"/>
      <c r="I1813" s="8"/>
      <c r="J1813" s="8"/>
      <c r="K1813" s="8"/>
      <c r="L1813" s="8"/>
    </row>
    <row r="1814" spans="3:12" x14ac:dyDescent="0.25">
      <c r="C1814" s="7"/>
      <c r="E1814" s="8"/>
      <c r="F1814" s="8"/>
      <c r="G1814" s="8"/>
      <c r="H1814" s="8"/>
      <c r="I1814" s="8"/>
      <c r="J1814" s="8"/>
      <c r="K1814" s="8"/>
      <c r="L1814" s="8"/>
    </row>
    <row r="1815" spans="3:12" x14ac:dyDescent="0.25">
      <c r="C1815" s="7"/>
      <c r="E1815" s="8"/>
      <c r="F1815" s="8"/>
      <c r="G1815" s="8"/>
      <c r="H1815" s="8"/>
      <c r="I1815" s="8"/>
      <c r="J1815" s="8"/>
      <c r="K1815" s="8"/>
      <c r="L1815" s="8"/>
    </row>
    <row r="1816" spans="3:12" x14ac:dyDescent="0.25">
      <c r="C1816" s="7"/>
      <c r="E1816" s="8"/>
      <c r="F1816" s="8"/>
      <c r="G1816" s="8"/>
      <c r="H1816" s="8"/>
      <c r="I1816" s="8"/>
      <c r="J1816" s="8"/>
      <c r="K1816" s="8"/>
      <c r="L1816" s="8"/>
    </row>
    <row r="1817" spans="3:12" x14ac:dyDescent="0.25">
      <c r="C1817" s="7"/>
      <c r="E1817" s="8"/>
      <c r="F1817" s="8"/>
      <c r="G1817" s="8"/>
      <c r="H1817" s="8"/>
      <c r="I1817" s="8"/>
      <c r="J1817" s="8"/>
      <c r="K1817" s="8"/>
      <c r="L1817" s="8"/>
    </row>
    <row r="1818" spans="3:12" x14ac:dyDescent="0.25">
      <c r="C1818" s="7"/>
      <c r="E1818" s="8"/>
      <c r="F1818" s="8"/>
      <c r="G1818" s="8"/>
      <c r="H1818" s="8"/>
      <c r="I1818" s="8"/>
      <c r="J1818" s="8"/>
      <c r="K1818" s="8"/>
      <c r="L1818" s="8"/>
    </row>
    <row r="1819" spans="3:12" x14ac:dyDescent="0.25">
      <c r="C1819" s="7"/>
      <c r="E1819" s="8"/>
      <c r="F1819" s="8"/>
      <c r="G1819" s="8"/>
      <c r="H1819" s="8"/>
      <c r="I1819" s="8"/>
      <c r="J1819" s="8"/>
      <c r="K1819" s="8"/>
      <c r="L1819" s="8"/>
    </row>
    <row r="1820" spans="3:12" x14ac:dyDescent="0.25">
      <c r="C1820" s="7"/>
      <c r="E1820" s="8"/>
      <c r="F1820" s="8"/>
      <c r="G1820" s="8"/>
      <c r="H1820" s="8"/>
      <c r="I1820" s="8"/>
      <c r="J1820" s="8"/>
      <c r="K1820" s="8"/>
      <c r="L1820" s="8"/>
    </row>
    <row r="1821" spans="3:12" x14ac:dyDescent="0.25">
      <c r="C1821" s="7"/>
      <c r="E1821" s="8"/>
      <c r="F1821" s="8"/>
      <c r="G1821" s="8"/>
      <c r="H1821" s="8"/>
      <c r="I1821" s="8"/>
      <c r="J1821" s="8"/>
      <c r="K1821" s="8"/>
      <c r="L1821" s="8"/>
    </row>
    <row r="1822" spans="3:12" x14ac:dyDescent="0.25">
      <c r="C1822" s="7"/>
      <c r="E1822" s="8"/>
      <c r="F1822" s="8"/>
      <c r="G1822" s="8"/>
      <c r="H1822" s="8"/>
      <c r="I1822" s="8"/>
      <c r="J1822" s="8"/>
      <c r="K1822" s="8"/>
      <c r="L1822" s="8"/>
    </row>
    <row r="1823" spans="3:12" x14ac:dyDescent="0.25">
      <c r="C1823" s="7"/>
      <c r="E1823" s="8"/>
      <c r="F1823" s="8"/>
      <c r="G1823" s="8"/>
      <c r="H1823" s="8"/>
      <c r="I1823" s="8"/>
      <c r="J1823" s="8"/>
      <c r="K1823" s="8"/>
      <c r="L1823" s="8"/>
    </row>
    <row r="1824" spans="3:12" x14ac:dyDescent="0.25">
      <c r="C1824" s="7"/>
      <c r="E1824" s="8"/>
      <c r="F1824" s="8"/>
      <c r="G1824" s="8"/>
      <c r="H1824" s="8"/>
      <c r="I1824" s="8"/>
      <c r="J1824" s="8"/>
      <c r="K1824" s="8"/>
      <c r="L1824" s="8"/>
    </row>
    <row r="1825" spans="3:12" x14ac:dyDescent="0.25">
      <c r="C1825" s="7"/>
      <c r="E1825" s="8"/>
      <c r="F1825" s="8"/>
      <c r="G1825" s="8"/>
      <c r="H1825" s="8"/>
      <c r="I1825" s="8"/>
      <c r="J1825" s="8"/>
      <c r="K1825" s="8"/>
      <c r="L1825" s="8"/>
    </row>
    <row r="1826" spans="3:12" x14ac:dyDescent="0.25">
      <c r="C1826" s="7"/>
      <c r="E1826" s="8"/>
      <c r="F1826" s="8"/>
      <c r="G1826" s="8"/>
      <c r="H1826" s="8"/>
      <c r="I1826" s="8"/>
      <c r="J1826" s="8"/>
      <c r="K1826" s="8"/>
      <c r="L1826" s="8"/>
    </row>
    <row r="1827" spans="3:12" x14ac:dyDescent="0.25">
      <c r="C1827" s="7"/>
      <c r="E1827" s="8"/>
      <c r="F1827" s="8"/>
      <c r="G1827" s="8"/>
      <c r="H1827" s="8"/>
      <c r="I1827" s="8"/>
      <c r="J1827" s="8"/>
      <c r="K1827" s="8"/>
      <c r="L1827" s="8"/>
    </row>
    <row r="1828" spans="3:12" x14ac:dyDescent="0.25">
      <c r="C1828" s="7"/>
      <c r="E1828" s="8"/>
      <c r="F1828" s="8"/>
      <c r="G1828" s="8"/>
      <c r="H1828" s="8"/>
      <c r="I1828" s="8"/>
      <c r="J1828" s="8"/>
      <c r="K1828" s="8"/>
      <c r="L1828" s="8"/>
    </row>
    <row r="1829" spans="3:12" x14ac:dyDescent="0.25">
      <c r="C1829" s="7"/>
      <c r="E1829" s="8"/>
      <c r="F1829" s="8"/>
      <c r="G1829" s="8"/>
      <c r="H1829" s="8"/>
      <c r="I1829" s="8"/>
      <c r="J1829" s="8"/>
      <c r="K1829" s="8"/>
      <c r="L1829" s="8"/>
    </row>
    <row r="1830" spans="3:12" x14ac:dyDescent="0.25">
      <c r="C1830" s="7"/>
      <c r="E1830" s="8"/>
      <c r="F1830" s="8"/>
      <c r="G1830" s="8"/>
      <c r="H1830" s="8"/>
      <c r="I1830" s="8"/>
      <c r="J1830" s="8"/>
      <c r="K1830" s="8"/>
      <c r="L1830" s="8"/>
    </row>
    <row r="1831" spans="3:12" x14ac:dyDescent="0.25">
      <c r="C1831" s="7"/>
      <c r="E1831" s="8"/>
      <c r="F1831" s="8"/>
      <c r="G1831" s="8"/>
      <c r="H1831" s="8"/>
      <c r="I1831" s="8"/>
      <c r="J1831" s="8"/>
      <c r="K1831" s="8"/>
      <c r="L1831" s="8"/>
    </row>
    <row r="1832" spans="3:12" x14ac:dyDescent="0.25">
      <c r="C1832" s="7"/>
      <c r="E1832" s="8"/>
      <c r="F1832" s="8"/>
      <c r="G1832" s="8"/>
      <c r="H1832" s="8"/>
      <c r="I1832" s="8"/>
      <c r="J1832" s="8"/>
      <c r="K1832" s="8"/>
      <c r="L1832" s="8"/>
    </row>
    <row r="1833" spans="3:12" x14ac:dyDescent="0.25">
      <c r="C1833" s="7"/>
      <c r="E1833" s="8"/>
      <c r="F1833" s="8"/>
      <c r="G1833" s="8"/>
      <c r="H1833" s="8"/>
      <c r="I1833" s="8"/>
      <c r="J1833" s="8"/>
      <c r="K1833" s="8"/>
      <c r="L1833" s="8"/>
    </row>
    <row r="1834" spans="3:12" x14ac:dyDescent="0.25">
      <c r="C1834" s="7"/>
      <c r="E1834" s="8"/>
      <c r="F1834" s="8"/>
      <c r="G1834" s="8"/>
      <c r="H1834" s="8"/>
      <c r="I1834" s="8"/>
      <c r="J1834" s="8"/>
      <c r="K1834" s="8"/>
      <c r="L1834" s="8"/>
    </row>
    <row r="1835" spans="3:12" x14ac:dyDescent="0.25">
      <c r="C1835" s="7"/>
      <c r="E1835" s="8"/>
      <c r="F1835" s="8"/>
      <c r="G1835" s="8"/>
      <c r="H1835" s="8"/>
      <c r="I1835" s="8"/>
      <c r="J1835" s="8"/>
      <c r="K1835" s="8"/>
      <c r="L1835" s="8"/>
    </row>
    <row r="1836" spans="3:12" x14ac:dyDescent="0.25">
      <c r="C1836" s="7"/>
      <c r="E1836" s="8"/>
      <c r="F1836" s="8"/>
      <c r="G1836" s="8"/>
      <c r="H1836" s="8"/>
      <c r="I1836" s="8"/>
      <c r="J1836" s="8"/>
      <c r="K1836" s="8"/>
      <c r="L1836" s="8"/>
    </row>
    <row r="1837" spans="3:12" x14ac:dyDescent="0.25">
      <c r="C1837" s="7"/>
      <c r="E1837" s="8"/>
      <c r="F1837" s="8"/>
      <c r="G1837" s="8"/>
      <c r="H1837" s="8"/>
      <c r="I1837" s="8"/>
      <c r="J1837" s="8"/>
      <c r="K1837" s="8"/>
      <c r="L1837" s="8"/>
    </row>
    <row r="1838" spans="3:12" x14ac:dyDescent="0.25">
      <c r="C1838" s="7"/>
      <c r="E1838" s="8"/>
      <c r="F1838" s="8"/>
      <c r="G1838" s="8"/>
      <c r="H1838" s="8"/>
      <c r="I1838" s="8"/>
      <c r="J1838" s="8"/>
      <c r="K1838" s="8"/>
      <c r="L1838" s="8"/>
    </row>
    <row r="1839" spans="3:12" x14ac:dyDescent="0.25">
      <c r="C1839" s="7"/>
      <c r="E1839" s="8"/>
      <c r="F1839" s="8"/>
      <c r="G1839" s="8"/>
      <c r="H1839" s="8"/>
      <c r="I1839" s="8"/>
      <c r="J1839" s="8"/>
      <c r="K1839" s="8"/>
      <c r="L1839" s="8"/>
    </row>
    <row r="1840" spans="3:12" x14ac:dyDescent="0.25">
      <c r="C1840" s="7"/>
      <c r="E1840" s="8"/>
      <c r="F1840" s="8"/>
      <c r="G1840" s="8"/>
      <c r="H1840" s="8"/>
      <c r="I1840" s="8"/>
      <c r="J1840" s="8"/>
      <c r="K1840" s="8"/>
      <c r="L1840" s="8"/>
    </row>
    <row r="1841" spans="3:12" x14ac:dyDescent="0.25">
      <c r="C1841" s="7"/>
      <c r="E1841" s="8"/>
      <c r="F1841" s="8"/>
      <c r="G1841" s="8"/>
      <c r="H1841" s="8"/>
      <c r="I1841" s="8"/>
      <c r="J1841" s="8"/>
      <c r="K1841" s="8"/>
      <c r="L1841" s="8"/>
    </row>
    <row r="1842" spans="3:12" x14ac:dyDescent="0.25">
      <c r="C1842" s="7"/>
      <c r="E1842" s="8"/>
      <c r="F1842" s="8"/>
      <c r="G1842" s="8"/>
      <c r="H1842" s="8"/>
      <c r="I1842" s="8"/>
      <c r="J1842" s="8"/>
      <c r="K1842" s="8"/>
      <c r="L1842" s="8"/>
    </row>
    <row r="1843" spans="3:12" x14ac:dyDescent="0.25">
      <c r="C1843" s="7"/>
      <c r="E1843" s="8"/>
      <c r="F1843" s="8"/>
      <c r="G1843" s="8"/>
      <c r="H1843" s="8"/>
      <c r="I1843" s="8"/>
      <c r="J1843" s="8"/>
      <c r="K1843" s="8"/>
      <c r="L1843" s="8"/>
    </row>
    <row r="1844" spans="3:12" x14ac:dyDescent="0.25">
      <c r="C1844" s="7"/>
      <c r="E1844" s="8"/>
      <c r="F1844" s="8"/>
      <c r="G1844" s="8"/>
      <c r="H1844" s="8"/>
      <c r="I1844" s="8"/>
      <c r="J1844" s="8"/>
      <c r="K1844" s="8"/>
      <c r="L1844" s="8"/>
    </row>
    <row r="1845" spans="3:12" x14ac:dyDescent="0.25">
      <c r="C1845" s="7"/>
      <c r="E1845" s="8"/>
      <c r="F1845" s="8"/>
      <c r="G1845" s="8"/>
      <c r="H1845" s="8"/>
      <c r="I1845" s="8"/>
      <c r="J1845" s="8"/>
      <c r="K1845" s="8"/>
      <c r="L1845" s="8"/>
    </row>
    <row r="1846" spans="3:12" x14ac:dyDescent="0.25">
      <c r="C1846" s="7"/>
      <c r="E1846" s="8"/>
      <c r="F1846" s="8"/>
      <c r="G1846" s="8"/>
      <c r="H1846" s="8"/>
      <c r="I1846" s="8"/>
      <c r="J1846" s="8"/>
      <c r="K1846" s="8"/>
      <c r="L1846" s="8"/>
    </row>
    <row r="1847" spans="3:12" x14ac:dyDescent="0.25">
      <c r="C1847" s="7"/>
      <c r="E1847" s="8"/>
      <c r="F1847" s="8"/>
      <c r="G1847" s="8"/>
      <c r="H1847" s="8"/>
      <c r="I1847" s="8"/>
      <c r="J1847" s="8"/>
      <c r="K1847" s="8"/>
      <c r="L1847" s="8"/>
    </row>
    <row r="1848" spans="3:12" x14ac:dyDescent="0.25">
      <c r="C1848" s="7"/>
      <c r="E1848" s="8"/>
      <c r="F1848" s="8"/>
      <c r="G1848" s="8"/>
      <c r="H1848" s="8"/>
      <c r="I1848" s="8"/>
      <c r="J1848" s="8"/>
      <c r="K1848" s="8"/>
      <c r="L1848" s="8"/>
    </row>
    <row r="1849" spans="3:12" x14ac:dyDescent="0.25">
      <c r="C1849" s="7"/>
      <c r="E1849" s="8"/>
      <c r="F1849" s="8"/>
      <c r="G1849" s="8"/>
      <c r="H1849" s="8"/>
      <c r="I1849" s="8"/>
      <c r="J1849" s="8"/>
      <c r="K1849" s="8"/>
      <c r="L1849" s="8"/>
    </row>
    <row r="1850" spans="3:12" x14ac:dyDescent="0.25">
      <c r="C1850" s="7"/>
      <c r="E1850" s="8"/>
      <c r="F1850" s="8"/>
      <c r="G1850" s="8"/>
      <c r="H1850" s="8"/>
      <c r="I1850" s="8"/>
      <c r="J1850" s="8"/>
      <c r="K1850" s="8"/>
      <c r="L1850" s="8"/>
    </row>
    <row r="1851" spans="3:12" x14ac:dyDescent="0.25">
      <c r="C1851" s="7"/>
      <c r="E1851" s="8"/>
      <c r="F1851" s="8"/>
      <c r="G1851" s="8"/>
      <c r="H1851" s="8"/>
      <c r="I1851" s="8"/>
      <c r="J1851" s="8"/>
      <c r="K1851" s="8"/>
      <c r="L1851" s="8"/>
    </row>
    <row r="1852" spans="3:12" x14ac:dyDescent="0.25">
      <c r="C1852" s="7"/>
      <c r="E1852" s="8"/>
      <c r="F1852" s="8"/>
      <c r="G1852" s="8"/>
      <c r="H1852" s="8"/>
      <c r="I1852" s="8"/>
      <c r="J1852" s="8"/>
      <c r="K1852" s="8"/>
      <c r="L1852" s="8"/>
    </row>
    <row r="1853" spans="3:12" x14ac:dyDescent="0.25">
      <c r="C1853" s="7"/>
      <c r="E1853" s="8"/>
      <c r="F1853" s="8"/>
      <c r="G1853" s="8"/>
      <c r="H1853" s="8"/>
      <c r="I1853" s="8"/>
      <c r="J1853" s="8"/>
      <c r="K1853" s="8"/>
      <c r="L1853" s="8"/>
    </row>
    <row r="1854" spans="3:12" x14ac:dyDescent="0.25">
      <c r="C1854" s="7"/>
      <c r="E1854" s="8"/>
      <c r="F1854" s="8"/>
      <c r="G1854" s="8"/>
      <c r="H1854" s="8"/>
      <c r="I1854" s="8"/>
      <c r="J1854" s="8"/>
      <c r="K1854" s="8"/>
      <c r="L1854" s="8"/>
    </row>
    <row r="1855" spans="3:12" x14ac:dyDescent="0.25">
      <c r="C1855" s="7"/>
      <c r="E1855" s="8"/>
      <c r="F1855" s="8"/>
      <c r="G1855" s="8"/>
      <c r="H1855" s="8"/>
      <c r="I1855" s="8"/>
      <c r="J1855" s="8"/>
      <c r="K1855" s="8"/>
      <c r="L1855" s="8"/>
    </row>
    <row r="1856" spans="3:12" x14ac:dyDescent="0.25">
      <c r="C1856" s="7"/>
      <c r="E1856" s="8"/>
      <c r="F1856" s="8"/>
      <c r="G1856" s="8"/>
      <c r="H1856" s="8"/>
      <c r="I1856" s="8"/>
      <c r="J1856" s="8"/>
      <c r="K1856" s="8"/>
      <c r="L1856" s="8"/>
    </row>
    <row r="1857" spans="3:12" x14ac:dyDescent="0.25">
      <c r="C1857" s="7"/>
      <c r="E1857" s="8"/>
      <c r="F1857" s="8"/>
      <c r="G1857" s="8"/>
      <c r="H1857" s="8"/>
      <c r="I1857" s="8"/>
      <c r="J1857" s="8"/>
      <c r="K1857" s="8"/>
      <c r="L1857" s="8"/>
    </row>
    <row r="1858" spans="3:12" x14ac:dyDescent="0.25">
      <c r="C1858" s="7"/>
      <c r="E1858" s="8"/>
      <c r="F1858" s="8"/>
      <c r="G1858" s="8"/>
      <c r="H1858" s="8"/>
      <c r="I1858" s="8"/>
      <c r="J1858" s="8"/>
      <c r="K1858" s="8"/>
      <c r="L1858" s="8"/>
    </row>
    <row r="1859" spans="3:12" x14ac:dyDescent="0.25">
      <c r="C1859" s="7"/>
      <c r="E1859" s="8"/>
      <c r="F1859" s="8"/>
      <c r="G1859" s="8"/>
      <c r="H1859" s="8"/>
      <c r="I1859" s="8"/>
      <c r="J1859" s="8"/>
      <c r="K1859" s="8"/>
      <c r="L1859" s="8"/>
    </row>
    <row r="1860" spans="3:12" x14ac:dyDescent="0.25">
      <c r="C1860" s="7"/>
      <c r="E1860" s="8"/>
      <c r="F1860" s="8"/>
      <c r="G1860" s="8"/>
      <c r="H1860" s="8"/>
      <c r="I1860" s="8"/>
      <c r="J1860" s="8"/>
      <c r="K1860" s="8"/>
      <c r="L1860" s="8"/>
    </row>
    <row r="1861" spans="3:12" x14ac:dyDescent="0.25">
      <c r="C1861" s="7"/>
      <c r="E1861" s="8"/>
      <c r="F1861" s="8"/>
      <c r="G1861" s="8"/>
      <c r="H1861" s="8"/>
      <c r="I1861" s="8"/>
      <c r="J1861" s="8"/>
      <c r="K1861" s="8"/>
      <c r="L1861" s="8"/>
    </row>
    <row r="1862" spans="3:12" x14ac:dyDescent="0.25">
      <c r="C1862" s="7"/>
      <c r="E1862" s="8"/>
      <c r="F1862" s="8"/>
      <c r="G1862" s="8"/>
      <c r="H1862" s="8"/>
      <c r="I1862" s="8"/>
      <c r="J1862" s="8"/>
      <c r="K1862" s="8"/>
      <c r="L1862" s="8"/>
    </row>
    <row r="1863" spans="3:12" x14ac:dyDescent="0.25">
      <c r="C1863" s="7"/>
      <c r="E1863" s="8"/>
      <c r="F1863" s="8"/>
      <c r="G1863" s="8"/>
      <c r="H1863" s="8"/>
      <c r="I1863" s="8"/>
      <c r="J1863" s="8"/>
      <c r="K1863" s="8"/>
      <c r="L1863" s="8"/>
    </row>
    <row r="1864" spans="3:12" x14ac:dyDescent="0.25">
      <c r="C1864" s="7"/>
      <c r="E1864" s="8"/>
      <c r="F1864" s="8"/>
      <c r="G1864" s="8"/>
      <c r="H1864" s="8"/>
      <c r="I1864" s="8"/>
      <c r="J1864" s="8"/>
      <c r="K1864" s="8"/>
      <c r="L1864" s="8"/>
    </row>
    <row r="1865" spans="3:12" x14ac:dyDescent="0.25">
      <c r="C1865" s="7"/>
      <c r="E1865" s="8"/>
      <c r="F1865" s="8"/>
      <c r="G1865" s="8"/>
      <c r="H1865" s="8"/>
      <c r="I1865" s="8"/>
      <c r="J1865" s="8"/>
      <c r="K1865" s="8"/>
      <c r="L1865" s="8"/>
    </row>
    <row r="1866" spans="3:12" x14ac:dyDescent="0.25">
      <c r="C1866" s="7"/>
      <c r="E1866" s="8"/>
      <c r="F1866" s="8"/>
      <c r="G1866" s="8"/>
      <c r="H1866" s="8"/>
      <c r="I1866" s="8"/>
      <c r="J1866" s="8"/>
      <c r="K1866" s="8"/>
      <c r="L1866" s="8"/>
    </row>
    <row r="1867" spans="3:12" x14ac:dyDescent="0.25">
      <c r="C1867" s="7"/>
      <c r="E1867" s="8"/>
      <c r="F1867" s="8"/>
      <c r="G1867" s="8"/>
      <c r="H1867" s="8"/>
      <c r="I1867" s="8"/>
      <c r="J1867" s="8"/>
      <c r="K1867" s="8"/>
      <c r="L1867" s="8"/>
    </row>
    <row r="1868" spans="3:12" x14ac:dyDescent="0.25">
      <c r="C1868" s="7"/>
      <c r="E1868" s="8"/>
      <c r="F1868" s="8"/>
      <c r="G1868" s="8"/>
      <c r="H1868" s="8"/>
      <c r="I1868" s="8"/>
      <c r="J1868" s="8"/>
      <c r="K1868" s="8"/>
      <c r="L1868" s="8"/>
    </row>
    <row r="1869" spans="3:12" x14ac:dyDescent="0.25">
      <c r="C1869" s="7"/>
      <c r="E1869" s="8"/>
      <c r="F1869" s="8"/>
      <c r="G1869" s="8"/>
      <c r="H1869" s="8"/>
      <c r="I1869" s="8"/>
      <c r="J1869" s="8"/>
      <c r="K1869" s="8"/>
      <c r="L1869" s="8"/>
    </row>
    <row r="1870" spans="3:12" x14ac:dyDescent="0.25">
      <c r="C1870" s="7"/>
      <c r="E1870" s="8"/>
      <c r="F1870" s="8"/>
      <c r="G1870" s="8"/>
      <c r="H1870" s="8"/>
      <c r="I1870" s="8"/>
      <c r="J1870" s="8"/>
      <c r="K1870" s="8"/>
      <c r="L1870" s="8"/>
    </row>
    <row r="1871" spans="3:12" x14ac:dyDescent="0.25">
      <c r="C1871" s="7"/>
      <c r="E1871" s="8"/>
      <c r="F1871" s="8"/>
      <c r="G1871" s="8"/>
      <c r="H1871" s="8"/>
      <c r="I1871" s="8"/>
      <c r="J1871" s="8"/>
      <c r="K1871" s="8"/>
      <c r="L1871" s="8"/>
    </row>
    <row r="1872" spans="3:12" x14ac:dyDescent="0.25">
      <c r="C1872" s="7"/>
      <c r="E1872" s="8"/>
      <c r="F1872" s="8"/>
      <c r="G1872" s="8"/>
      <c r="H1872" s="8"/>
      <c r="I1872" s="8"/>
      <c r="J1872" s="8"/>
      <c r="K1872" s="8"/>
      <c r="L1872" s="8"/>
    </row>
    <row r="1873" spans="3:12" x14ac:dyDescent="0.25">
      <c r="C1873" s="7"/>
      <c r="E1873" s="8"/>
      <c r="F1873" s="8"/>
      <c r="G1873" s="8"/>
      <c r="H1873" s="8"/>
      <c r="I1873" s="8"/>
      <c r="J1873" s="8"/>
      <c r="K1873" s="8"/>
      <c r="L1873" s="8"/>
    </row>
    <row r="1874" spans="3:12" x14ac:dyDescent="0.25">
      <c r="C1874" s="7"/>
      <c r="E1874" s="8"/>
      <c r="F1874" s="8"/>
      <c r="G1874" s="8"/>
      <c r="H1874" s="8"/>
      <c r="I1874" s="8"/>
      <c r="J1874" s="8"/>
      <c r="K1874" s="8"/>
      <c r="L1874" s="8"/>
    </row>
    <row r="1875" spans="3:12" x14ac:dyDescent="0.25">
      <c r="C1875" s="7"/>
      <c r="E1875" s="8"/>
      <c r="F1875" s="8"/>
      <c r="G1875" s="8"/>
      <c r="H1875" s="8"/>
      <c r="I1875" s="8"/>
      <c r="J1875" s="8"/>
      <c r="K1875" s="8"/>
      <c r="L1875" s="8"/>
    </row>
    <row r="1876" spans="3:12" x14ac:dyDescent="0.25">
      <c r="C1876" s="7"/>
      <c r="E1876" s="8"/>
      <c r="F1876" s="8"/>
      <c r="G1876" s="8"/>
      <c r="H1876" s="8"/>
      <c r="I1876" s="8"/>
      <c r="J1876" s="8"/>
      <c r="K1876" s="8"/>
      <c r="L1876" s="8"/>
    </row>
    <row r="1877" spans="3:12" x14ac:dyDescent="0.25">
      <c r="C1877" s="7"/>
      <c r="E1877" s="8"/>
      <c r="F1877" s="8"/>
      <c r="G1877" s="8"/>
      <c r="H1877" s="8"/>
      <c r="I1877" s="8"/>
      <c r="J1877" s="8"/>
      <c r="K1877" s="8"/>
      <c r="L1877" s="8"/>
    </row>
    <row r="1878" spans="3:12" x14ac:dyDescent="0.25">
      <c r="C1878" s="7"/>
      <c r="E1878" s="8"/>
      <c r="F1878" s="8"/>
      <c r="G1878" s="8"/>
      <c r="H1878" s="8"/>
      <c r="I1878" s="8"/>
      <c r="J1878" s="8"/>
      <c r="K1878" s="8"/>
      <c r="L1878" s="8"/>
    </row>
    <row r="1879" spans="3:12" x14ac:dyDescent="0.25">
      <c r="C1879" s="7"/>
      <c r="E1879" s="8"/>
      <c r="F1879" s="8"/>
      <c r="G1879" s="8"/>
      <c r="H1879" s="8"/>
      <c r="I1879" s="8"/>
      <c r="J1879" s="8"/>
      <c r="K1879" s="8"/>
      <c r="L1879" s="8"/>
    </row>
    <row r="1880" spans="3:12" x14ac:dyDescent="0.25">
      <c r="C1880" s="7"/>
      <c r="E1880" s="8"/>
      <c r="F1880" s="8"/>
      <c r="G1880" s="8"/>
      <c r="H1880" s="8"/>
      <c r="I1880" s="8"/>
      <c r="J1880" s="8"/>
      <c r="K1880" s="8"/>
      <c r="L1880" s="8"/>
    </row>
    <row r="1881" spans="3:12" x14ac:dyDescent="0.25">
      <c r="C1881" s="7"/>
      <c r="E1881" s="8"/>
      <c r="F1881" s="8"/>
      <c r="G1881" s="8"/>
      <c r="H1881" s="8"/>
      <c r="I1881" s="8"/>
      <c r="J1881" s="8"/>
      <c r="K1881" s="8"/>
      <c r="L1881" s="8"/>
    </row>
    <row r="1882" spans="3:12" x14ac:dyDescent="0.25">
      <c r="C1882" s="7"/>
      <c r="E1882" s="8"/>
      <c r="F1882" s="8"/>
      <c r="G1882" s="8"/>
      <c r="H1882" s="8"/>
      <c r="I1882" s="8"/>
      <c r="J1882" s="8"/>
      <c r="K1882" s="8"/>
      <c r="L1882" s="8"/>
    </row>
    <row r="1883" spans="3:12" x14ac:dyDescent="0.25">
      <c r="C1883" s="7"/>
      <c r="E1883" s="8"/>
      <c r="F1883" s="8"/>
      <c r="G1883" s="8"/>
      <c r="H1883" s="8"/>
      <c r="I1883" s="8"/>
      <c r="J1883" s="8"/>
      <c r="K1883" s="8"/>
      <c r="L1883" s="8"/>
    </row>
    <row r="1884" spans="3:12" x14ac:dyDescent="0.25">
      <c r="C1884" s="7"/>
      <c r="E1884" s="8"/>
      <c r="F1884" s="8"/>
      <c r="G1884" s="8"/>
      <c r="H1884" s="8"/>
      <c r="I1884" s="8"/>
      <c r="J1884" s="8"/>
      <c r="K1884" s="8"/>
      <c r="L1884" s="8"/>
    </row>
    <row r="1885" spans="3:12" x14ac:dyDescent="0.25">
      <c r="C1885" s="7"/>
      <c r="E1885" s="8"/>
      <c r="F1885" s="8"/>
      <c r="G1885" s="8"/>
      <c r="H1885" s="8"/>
      <c r="I1885" s="8"/>
      <c r="J1885" s="8"/>
      <c r="K1885" s="8"/>
      <c r="L1885" s="8"/>
    </row>
    <row r="1886" spans="3:12" x14ac:dyDescent="0.25">
      <c r="C1886" s="7"/>
      <c r="E1886" s="8"/>
      <c r="F1886" s="8"/>
      <c r="G1886" s="8"/>
      <c r="H1886" s="8"/>
      <c r="I1886" s="8"/>
      <c r="J1886" s="8"/>
      <c r="K1886" s="8"/>
      <c r="L1886" s="8"/>
    </row>
    <row r="1887" spans="3:12" x14ac:dyDescent="0.25">
      <c r="C1887" s="7"/>
      <c r="E1887" s="8"/>
      <c r="F1887" s="8"/>
      <c r="G1887" s="8"/>
      <c r="H1887" s="8"/>
      <c r="I1887" s="8"/>
      <c r="J1887" s="8"/>
      <c r="K1887" s="8"/>
      <c r="L1887" s="8"/>
    </row>
    <row r="1888" spans="3:12" x14ac:dyDescent="0.25">
      <c r="C1888" s="7"/>
      <c r="E1888" s="8"/>
      <c r="F1888" s="8"/>
      <c r="G1888" s="8"/>
      <c r="H1888" s="8"/>
      <c r="I1888" s="8"/>
      <c r="J1888" s="8"/>
      <c r="K1888" s="8"/>
      <c r="L1888" s="8"/>
    </row>
    <row r="1889" spans="3:12" x14ac:dyDescent="0.25">
      <c r="C1889" s="7"/>
      <c r="E1889" s="8"/>
      <c r="F1889" s="8"/>
      <c r="G1889" s="8"/>
      <c r="H1889" s="8"/>
      <c r="I1889" s="8"/>
      <c r="J1889" s="8"/>
      <c r="K1889" s="8"/>
      <c r="L1889" s="8"/>
    </row>
    <row r="1890" spans="3:12" x14ac:dyDescent="0.25">
      <c r="C1890" s="7"/>
      <c r="E1890" s="8"/>
      <c r="F1890" s="8"/>
      <c r="G1890" s="8"/>
      <c r="H1890" s="8"/>
      <c r="I1890" s="8"/>
      <c r="J1890" s="8"/>
      <c r="K1890" s="8"/>
      <c r="L1890" s="8"/>
    </row>
    <row r="1891" spans="3:12" x14ac:dyDescent="0.25">
      <c r="C1891" s="7"/>
      <c r="E1891" s="8"/>
      <c r="F1891" s="8"/>
      <c r="G1891" s="8"/>
      <c r="H1891" s="8"/>
      <c r="I1891" s="8"/>
      <c r="J1891" s="8"/>
      <c r="K1891" s="8"/>
      <c r="L1891" s="8"/>
    </row>
    <row r="1892" spans="3:12" x14ac:dyDescent="0.25">
      <c r="C1892" s="7"/>
      <c r="E1892" s="8"/>
      <c r="F1892" s="8"/>
      <c r="G1892" s="8"/>
      <c r="H1892" s="8"/>
      <c r="I1892" s="8"/>
      <c r="J1892" s="8"/>
      <c r="K1892" s="8"/>
      <c r="L1892" s="8"/>
    </row>
    <row r="1893" spans="3:12" x14ac:dyDescent="0.25">
      <c r="C1893" s="7"/>
      <c r="E1893" s="8"/>
      <c r="F1893" s="8"/>
      <c r="G1893" s="8"/>
      <c r="H1893" s="8"/>
      <c r="I1893" s="8"/>
      <c r="J1893" s="8"/>
      <c r="K1893" s="8"/>
      <c r="L1893" s="8"/>
    </row>
    <row r="1894" spans="3:12" x14ac:dyDescent="0.25">
      <c r="C1894" s="7"/>
      <c r="E1894" s="8"/>
      <c r="F1894" s="8"/>
      <c r="G1894" s="8"/>
      <c r="H1894" s="8"/>
      <c r="I1894" s="8"/>
      <c r="J1894" s="8"/>
      <c r="K1894" s="8"/>
      <c r="L1894" s="8"/>
    </row>
    <row r="1895" spans="3:12" x14ac:dyDescent="0.25">
      <c r="C1895" s="7"/>
      <c r="E1895" s="8"/>
      <c r="F1895" s="8"/>
      <c r="G1895" s="8"/>
      <c r="H1895" s="8"/>
      <c r="I1895" s="8"/>
      <c r="J1895" s="8"/>
      <c r="K1895" s="8"/>
      <c r="L1895" s="8"/>
    </row>
    <row r="1896" spans="3:12" x14ac:dyDescent="0.25">
      <c r="C1896" s="7"/>
      <c r="E1896" s="8"/>
      <c r="F1896" s="8"/>
      <c r="G1896" s="8"/>
      <c r="H1896" s="8"/>
      <c r="I1896" s="8"/>
      <c r="J1896" s="8"/>
      <c r="K1896" s="8"/>
      <c r="L1896" s="8"/>
    </row>
    <row r="1897" spans="3:12" x14ac:dyDescent="0.25">
      <c r="C1897" s="7"/>
      <c r="E1897" s="8"/>
      <c r="F1897" s="8"/>
      <c r="G1897" s="8"/>
      <c r="H1897" s="8"/>
      <c r="I1897" s="8"/>
      <c r="J1897" s="8"/>
      <c r="K1897" s="8"/>
      <c r="L1897" s="8"/>
    </row>
    <row r="1898" spans="3:12" x14ac:dyDescent="0.25">
      <c r="C1898" s="7"/>
      <c r="E1898" s="8"/>
      <c r="F1898" s="8"/>
      <c r="G1898" s="8"/>
      <c r="H1898" s="8"/>
      <c r="I1898" s="8"/>
      <c r="J1898" s="8"/>
      <c r="K1898" s="8"/>
      <c r="L1898" s="8"/>
    </row>
    <row r="1899" spans="3:12" x14ac:dyDescent="0.25">
      <c r="C1899" s="7"/>
      <c r="E1899" s="8"/>
      <c r="F1899" s="8"/>
      <c r="G1899" s="8"/>
      <c r="H1899" s="8"/>
      <c r="I1899" s="8"/>
      <c r="J1899" s="8"/>
      <c r="K1899" s="8"/>
      <c r="L1899" s="8"/>
    </row>
    <row r="1900" spans="3:12" x14ac:dyDescent="0.25">
      <c r="C1900" s="7"/>
      <c r="E1900" s="8"/>
      <c r="F1900" s="8"/>
      <c r="G1900" s="8"/>
      <c r="H1900" s="8"/>
      <c r="I1900" s="8"/>
      <c r="J1900" s="8"/>
      <c r="K1900" s="8"/>
      <c r="L1900" s="8"/>
    </row>
    <row r="1901" spans="3:12" x14ac:dyDescent="0.25">
      <c r="C1901" s="7"/>
      <c r="E1901" s="8"/>
      <c r="F1901" s="8"/>
      <c r="G1901" s="8"/>
      <c r="H1901" s="8"/>
      <c r="I1901" s="8"/>
      <c r="J1901" s="8"/>
      <c r="K1901" s="8"/>
      <c r="L1901" s="8"/>
    </row>
    <row r="1902" spans="3:12" x14ac:dyDescent="0.25">
      <c r="C1902" s="7"/>
      <c r="E1902" s="8"/>
      <c r="F1902" s="8"/>
      <c r="G1902" s="8"/>
      <c r="H1902" s="8"/>
      <c r="I1902" s="8"/>
      <c r="J1902" s="8"/>
      <c r="K1902" s="8"/>
      <c r="L1902" s="8"/>
    </row>
    <row r="1903" spans="3:12" x14ac:dyDescent="0.25">
      <c r="C1903" s="7"/>
      <c r="E1903" s="8"/>
      <c r="F1903" s="8"/>
      <c r="G1903" s="8"/>
      <c r="H1903" s="8"/>
      <c r="I1903" s="8"/>
      <c r="J1903" s="8"/>
      <c r="K1903" s="8"/>
      <c r="L1903" s="8"/>
    </row>
    <row r="1904" spans="3:12" x14ac:dyDescent="0.25">
      <c r="C1904" s="7"/>
      <c r="E1904" s="8"/>
      <c r="F1904" s="8"/>
      <c r="G1904" s="8"/>
      <c r="H1904" s="8"/>
      <c r="I1904" s="8"/>
      <c r="J1904" s="8"/>
      <c r="K1904" s="8"/>
      <c r="L1904" s="8"/>
    </row>
    <row r="1905" spans="3:12" x14ac:dyDescent="0.25">
      <c r="C1905" s="7"/>
      <c r="E1905" s="8"/>
      <c r="F1905" s="8"/>
      <c r="G1905" s="8"/>
      <c r="H1905" s="8"/>
      <c r="I1905" s="8"/>
      <c r="J1905" s="8"/>
      <c r="K1905" s="8"/>
      <c r="L1905" s="8"/>
    </row>
    <row r="1906" spans="3:12" x14ac:dyDescent="0.25">
      <c r="C1906" s="7"/>
      <c r="E1906" s="8"/>
      <c r="F1906" s="8"/>
      <c r="G1906" s="8"/>
      <c r="H1906" s="8"/>
      <c r="I1906" s="8"/>
      <c r="J1906" s="8"/>
      <c r="K1906" s="8"/>
      <c r="L1906" s="8"/>
    </row>
    <row r="1907" spans="3:12" x14ac:dyDescent="0.25">
      <c r="C1907" s="7"/>
      <c r="E1907" s="8"/>
      <c r="F1907" s="8"/>
      <c r="G1907" s="8"/>
      <c r="H1907" s="8"/>
      <c r="I1907" s="8"/>
      <c r="J1907" s="8"/>
      <c r="K1907" s="8"/>
      <c r="L1907" s="8"/>
    </row>
    <row r="1908" spans="3:12" x14ac:dyDescent="0.25">
      <c r="C1908" s="7"/>
      <c r="E1908" s="8"/>
      <c r="F1908" s="8"/>
      <c r="G1908" s="8"/>
      <c r="H1908" s="8"/>
      <c r="I1908" s="8"/>
      <c r="J1908" s="8"/>
      <c r="K1908" s="8"/>
      <c r="L1908" s="8"/>
    </row>
    <row r="1909" spans="3:12" x14ac:dyDescent="0.25">
      <c r="C1909" s="7"/>
      <c r="E1909" s="8"/>
      <c r="F1909" s="8"/>
      <c r="G1909" s="8"/>
      <c r="H1909" s="8"/>
      <c r="I1909" s="8"/>
      <c r="J1909" s="8"/>
      <c r="K1909" s="8"/>
      <c r="L1909" s="8"/>
    </row>
    <row r="1910" spans="3:12" x14ac:dyDescent="0.25">
      <c r="C1910" s="7"/>
      <c r="E1910" s="8"/>
      <c r="F1910" s="8"/>
      <c r="G1910" s="8"/>
      <c r="H1910" s="8"/>
      <c r="I1910" s="8"/>
      <c r="J1910" s="8"/>
      <c r="K1910" s="8"/>
      <c r="L1910" s="8"/>
    </row>
    <row r="1911" spans="3:12" x14ac:dyDescent="0.25">
      <c r="C1911" s="7"/>
      <c r="E1911" s="8"/>
      <c r="F1911" s="8"/>
      <c r="G1911" s="8"/>
      <c r="H1911" s="8"/>
      <c r="I1911" s="8"/>
      <c r="J1911" s="8"/>
      <c r="K1911" s="8"/>
      <c r="L1911" s="8"/>
    </row>
    <row r="1912" spans="3:12" x14ac:dyDescent="0.25">
      <c r="C1912" s="7"/>
      <c r="E1912" s="8"/>
      <c r="F1912" s="8"/>
      <c r="G1912" s="8"/>
      <c r="H1912" s="8"/>
      <c r="I1912" s="8"/>
      <c r="J1912" s="8"/>
      <c r="K1912" s="8"/>
      <c r="L1912" s="8"/>
    </row>
    <row r="1913" spans="3:12" x14ac:dyDescent="0.25">
      <c r="C1913" s="7"/>
      <c r="E1913" s="8"/>
      <c r="F1913" s="8"/>
      <c r="G1913" s="8"/>
      <c r="H1913" s="8"/>
      <c r="I1913" s="8"/>
      <c r="J1913" s="8"/>
      <c r="K1913" s="8"/>
      <c r="L1913" s="8"/>
    </row>
    <row r="1914" spans="3:12" x14ac:dyDescent="0.25">
      <c r="C1914" s="7"/>
      <c r="E1914" s="8"/>
      <c r="F1914" s="8"/>
      <c r="G1914" s="8"/>
      <c r="H1914" s="8"/>
      <c r="I1914" s="8"/>
      <c r="J1914" s="8"/>
      <c r="K1914" s="8"/>
      <c r="L1914" s="8"/>
    </row>
    <row r="1915" spans="3:12" x14ac:dyDescent="0.25">
      <c r="C1915" s="7"/>
      <c r="E1915" s="8"/>
      <c r="F1915" s="8"/>
      <c r="G1915" s="8"/>
      <c r="H1915" s="8"/>
      <c r="I1915" s="8"/>
      <c r="J1915" s="8"/>
      <c r="K1915" s="8"/>
      <c r="L1915" s="8"/>
    </row>
    <row r="1916" spans="3:12" x14ac:dyDescent="0.25">
      <c r="C1916" s="7"/>
      <c r="E1916" s="8"/>
      <c r="F1916" s="8"/>
      <c r="G1916" s="8"/>
      <c r="H1916" s="8"/>
      <c r="I1916" s="8"/>
      <c r="J1916" s="8"/>
      <c r="K1916" s="8"/>
      <c r="L1916" s="8"/>
    </row>
    <row r="1917" spans="3:12" x14ac:dyDescent="0.25">
      <c r="C1917" s="7"/>
      <c r="E1917" s="8"/>
      <c r="F1917" s="8"/>
      <c r="G1917" s="8"/>
      <c r="H1917" s="8"/>
      <c r="I1917" s="8"/>
      <c r="J1917" s="8"/>
      <c r="K1917" s="8"/>
      <c r="L1917" s="8"/>
    </row>
    <row r="1918" spans="3:12" x14ac:dyDescent="0.25">
      <c r="C1918" s="7"/>
      <c r="E1918" s="8"/>
      <c r="F1918" s="8"/>
      <c r="G1918" s="8"/>
      <c r="H1918" s="8"/>
      <c r="I1918" s="8"/>
      <c r="J1918" s="8"/>
      <c r="K1918" s="8"/>
      <c r="L1918" s="8"/>
    </row>
    <row r="1919" spans="3:12" x14ac:dyDescent="0.25">
      <c r="C1919" s="7"/>
      <c r="E1919" s="8"/>
      <c r="F1919" s="8"/>
      <c r="G1919" s="8"/>
      <c r="H1919" s="8"/>
      <c r="I1919" s="8"/>
      <c r="J1919" s="8"/>
      <c r="K1919" s="8"/>
      <c r="L1919" s="8"/>
    </row>
    <row r="1920" spans="3:12" x14ac:dyDescent="0.25">
      <c r="C1920" s="7"/>
      <c r="E1920" s="8"/>
      <c r="F1920" s="8"/>
      <c r="G1920" s="8"/>
      <c r="H1920" s="8"/>
      <c r="I1920" s="8"/>
      <c r="J1920" s="8"/>
      <c r="K1920" s="8"/>
      <c r="L1920" s="8"/>
    </row>
    <row r="1921" spans="3:12" x14ac:dyDescent="0.25">
      <c r="C1921" s="7"/>
      <c r="E1921" s="8"/>
      <c r="F1921" s="8"/>
      <c r="G1921" s="8"/>
      <c r="H1921" s="8"/>
      <c r="I1921" s="8"/>
      <c r="J1921" s="8"/>
      <c r="K1921" s="8"/>
      <c r="L1921" s="8"/>
    </row>
    <row r="1922" spans="3:12" x14ac:dyDescent="0.25">
      <c r="C1922" s="7"/>
      <c r="E1922" s="8"/>
      <c r="F1922" s="8"/>
      <c r="G1922" s="8"/>
      <c r="H1922" s="8"/>
      <c r="I1922" s="8"/>
      <c r="J1922" s="8"/>
      <c r="K1922" s="8"/>
      <c r="L1922" s="8"/>
    </row>
    <row r="1923" spans="3:12" x14ac:dyDescent="0.25">
      <c r="C1923" s="7"/>
      <c r="E1923" s="8"/>
      <c r="F1923" s="8"/>
      <c r="G1923" s="8"/>
      <c r="H1923" s="8"/>
      <c r="I1923" s="8"/>
      <c r="J1923" s="8"/>
      <c r="K1923" s="8"/>
      <c r="L1923" s="8"/>
    </row>
    <row r="1924" spans="3:12" x14ac:dyDescent="0.25">
      <c r="C1924" s="7"/>
      <c r="E1924" s="8"/>
      <c r="F1924" s="8"/>
      <c r="G1924" s="8"/>
      <c r="H1924" s="8"/>
      <c r="I1924" s="8"/>
      <c r="J1924" s="8"/>
      <c r="K1924" s="8"/>
      <c r="L1924" s="8"/>
    </row>
    <row r="1925" spans="3:12" x14ac:dyDescent="0.25">
      <c r="C1925" s="7"/>
      <c r="E1925" s="8"/>
      <c r="F1925" s="8"/>
      <c r="G1925" s="8"/>
      <c r="H1925" s="8"/>
      <c r="I1925" s="8"/>
      <c r="J1925" s="8"/>
      <c r="K1925" s="8"/>
      <c r="L1925" s="8"/>
    </row>
    <row r="1926" spans="3:12" x14ac:dyDescent="0.25">
      <c r="C1926" s="7"/>
      <c r="E1926" s="8"/>
      <c r="F1926" s="8"/>
      <c r="G1926" s="8"/>
      <c r="H1926" s="8"/>
      <c r="I1926" s="8"/>
      <c r="J1926" s="8"/>
      <c r="K1926" s="8"/>
      <c r="L1926" s="8"/>
    </row>
    <row r="1927" spans="3:12" x14ac:dyDescent="0.25">
      <c r="C1927" s="7"/>
      <c r="E1927" s="8"/>
      <c r="F1927" s="8"/>
      <c r="G1927" s="8"/>
      <c r="H1927" s="8"/>
      <c r="I1927" s="8"/>
      <c r="J1927" s="8"/>
      <c r="K1927" s="8"/>
      <c r="L1927" s="8"/>
    </row>
    <row r="1928" spans="3:12" x14ac:dyDescent="0.25">
      <c r="C1928" s="7"/>
      <c r="E1928" s="8"/>
      <c r="F1928" s="8"/>
      <c r="G1928" s="8"/>
      <c r="H1928" s="8"/>
      <c r="I1928" s="8"/>
      <c r="J1928" s="8"/>
      <c r="K1928" s="8"/>
      <c r="L1928" s="8"/>
    </row>
    <row r="1929" spans="3:12" x14ac:dyDescent="0.25">
      <c r="C1929" s="7"/>
      <c r="E1929" s="8"/>
      <c r="F1929" s="8"/>
      <c r="G1929" s="8"/>
      <c r="H1929" s="8"/>
      <c r="I1929" s="8"/>
      <c r="J1929" s="8"/>
      <c r="K1929" s="8"/>
      <c r="L1929" s="8"/>
    </row>
    <row r="1930" spans="3:12" x14ac:dyDescent="0.25">
      <c r="C1930" s="7"/>
      <c r="E1930" s="8"/>
      <c r="F1930" s="8"/>
      <c r="G1930" s="8"/>
      <c r="H1930" s="8"/>
      <c r="I1930" s="8"/>
      <c r="J1930" s="8"/>
      <c r="K1930" s="8"/>
      <c r="L1930" s="8"/>
    </row>
    <row r="1931" spans="3:12" x14ac:dyDescent="0.25">
      <c r="C1931" s="7"/>
      <c r="E1931" s="8"/>
      <c r="F1931" s="8"/>
      <c r="G1931" s="8"/>
      <c r="H1931" s="8"/>
      <c r="I1931" s="8"/>
      <c r="J1931" s="8"/>
      <c r="K1931" s="8"/>
      <c r="L1931" s="8"/>
    </row>
    <row r="1932" spans="3:12" x14ac:dyDescent="0.25">
      <c r="C1932" s="7"/>
      <c r="E1932" s="8"/>
      <c r="F1932" s="8"/>
      <c r="G1932" s="8"/>
      <c r="H1932" s="8"/>
      <c r="I1932" s="8"/>
      <c r="J1932" s="8"/>
      <c r="K1932" s="8"/>
      <c r="L1932" s="8"/>
    </row>
    <row r="1933" spans="3:12" x14ac:dyDescent="0.25">
      <c r="C1933" s="7"/>
      <c r="E1933" s="8"/>
      <c r="F1933" s="8"/>
      <c r="G1933" s="8"/>
      <c r="H1933" s="8"/>
      <c r="I1933" s="8"/>
      <c r="J1933" s="8"/>
      <c r="K1933" s="8"/>
      <c r="L1933" s="8"/>
    </row>
    <row r="1934" spans="3:12" x14ac:dyDescent="0.25">
      <c r="C1934" s="7"/>
      <c r="E1934" s="8"/>
      <c r="F1934" s="8"/>
      <c r="G1934" s="8"/>
      <c r="H1934" s="8"/>
      <c r="I1934" s="8"/>
      <c r="J1934" s="8"/>
      <c r="K1934" s="8"/>
      <c r="L1934" s="8"/>
    </row>
    <row r="1935" spans="3:12" x14ac:dyDescent="0.25">
      <c r="C1935" s="7"/>
      <c r="E1935" s="8"/>
      <c r="F1935" s="8"/>
      <c r="G1935" s="8"/>
      <c r="H1935" s="8"/>
      <c r="I1935" s="8"/>
      <c r="J1935" s="8"/>
      <c r="K1935" s="8"/>
      <c r="L1935" s="8"/>
    </row>
    <row r="1936" spans="3:12" x14ac:dyDescent="0.25">
      <c r="C1936" s="7"/>
      <c r="E1936" s="8"/>
      <c r="F1936" s="8"/>
      <c r="G1936" s="8"/>
      <c r="H1936" s="8"/>
      <c r="I1936" s="8"/>
      <c r="J1936" s="8"/>
      <c r="K1936" s="8"/>
      <c r="L1936" s="8"/>
    </row>
    <row r="1937" spans="3:12" x14ac:dyDescent="0.25">
      <c r="C1937" s="7"/>
      <c r="E1937" s="8"/>
      <c r="F1937" s="8"/>
      <c r="G1937" s="8"/>
      <c r="H1937" s="8"/>
      <c r="I1937" s="8"/>
      <c r="J1937" s="8"/>
      <c r="K1937" s="8"/>
      <c r="L1937" s="8"/>
    </row>
    <row r="1938" spans="3:12" x14ac:dyDescent="0.25">
      <c r="C1938" s="7"/>
      <c r="E1938" s="8"/>
      <c r="F1938" s="8"/>
      <c r="G1938" s="8"/>
      <c r="H1938" s="8"/>
      <c r="I1938" s="8"/>
      <c r="J1938" s="8"/>
      <c r="K1938" s="8"/>
      <c r="L1938" s="8"/>
    </row>
    <row r="1939" spans="3:12" x14ac:dyDescent="0.25">
      <c r="C1939" s="7"/>
      <c r="E1939" s="8"/>
      <c r="F1939" s="8"/>
      <c r="G1939" s="8"/>
      <c r="H1939" s="8"/>
      <c r="I1939" s="8"/>
      <c r="J1939" s="8"/>
      <c r="K1939" s="8"/>
      <c r="L1939" s="8"/>
    </row>
    <row r="1940" spans="3:12" x14ac:dyDescent="0.25">
      <c r="C1940" s="7"/>
      <c r="E1940" s="8"/>
      <c r="F1940" s="8"/>
      <c r="G1940" s="8"/>
      <c r="H1940" s="8"/>
      <c r="I1940" s="8"/>
      <c r="J1940" s="8"/>
      <c r="K1940" s="8"/>
      <c r="L1940" s="8"/>
    </row>
    <row r="1941" spans="3:12" x14ac:dyDescent="0.25">
      <c r="C1941" s="7"/>
      <c r="E1941" s="8"/>
      <c r="F1941" s="8"/>
      <c r="G1941" s="8"/>
      <c r="H1941" s="8"/>
      <c r="I1941" s="8"/>
      <c r="J1941" s="8"/>
      <c r="K1941" s="8"/>
      <c r="L1941" s="8"/>
    </row>
    <row r="1942" spans="3:12" x14ac:dyDescent="0.25">
      <c r="C1942" s="7"/>
      <c r="E1942" s="8"/>
      <c r="F1942" s="8"/>
      <c r="G1942" s="8"/>
      <c r="H1942" s="8"/>
      <c r="I1942" s="8"/>
      <c r="J1942" s="8"/>
      <c r="K1942" s="8"/>
      <c r="L1942" s="8"/>
    </row>
    <row r="1943" spans="3:12" x14ac:dyDescent="0.25">
      <c r="C1943" s="7"/>
      <c r="E1943" s="8"/>
      <c r="F1943" s="8"/>
      <c r="G1943" s="8"/>
      <c r="H1943" s="8"/>
      <c r="I1943" s="8"/>
      <c r="J1943" s="8"/>
      <c r="K1943" s="8"/>
      <c r="L1943" s="8"/>
    </row>
    <row r="1944" spans="3:12" x14ac:dyDescent="0.25">
      <c r="C1944" s="7"/>
      <c r="E1944" s="8"/>
      <c r="F1944" s="8"/>
      <c r="G1944" s="8"/>
      <c r="H1944" s="8"/>
      <c r="I1944" s="8"/>
      <c r="J1944" s="8"/>
      <c r="K1944" s="8"/>
      <c r="L1944" s="8"/>
    </row>
    <row r="1945" spans="3:12" x14ac:dyDescent="0.25">
      <c r="C1945" s="7"/>
      <c r="E1945" s="8"/>
      <c r="F1945" s="8"/>
      <c r="G1945" s="8"/>
      <c r="H1945" s="8"/>
      <c r="I1945" s="8"/>
      <c r="J1945" s="8"/>
      <c r="K1945" s="8"/>
      <c r="L1945" s="8"/>
    </row>
    <row r="1946" spans="3:12" x14ac:dyDescent="0.25">
      <c r="C1946" s="7"/>
      <c r="E1946" s="8"/>
      <c r="F1946" s="8"/>
      <c r="G1946" s="8"/>
      <c r="H1946" s="8"/>
      <c r="I1946" s="8"/>
      <c r="J1946" s="8"/>
      <c r="K1946" s="8"/>
      <c r="L1946" s="8"/>
    </row>
    <row r="1947" spans="3:12" x14ac:dyDescent="0.25">
      <c r="C1947" s="7"/>
      <c r="E1947" s="8"/>
      <c r="F1947" s="8"/>
      <c r="G1947" s="8"/>
      <c r="H1947" s="8"/>
      <c r="I1947" s="8"/>
      <c r="J1947" s="8"/>
      <c r="K1947" s="8"/>
      <c r="L1947" s="8"/>
    </row>
    <row r="1948" spans="3:12" x14ac:dyDescent="0.25">
      <c r="C1948" s="7"/>
      <c r="E1948" s="8"/>
      <c r="F1948" s="8"/>
      <c r="G1948" s="8"/>
      <c r="H1948" s="8"/>
      <c r="I1948" s="8"/>
      <c r="J1948" s="8"/>
      <c r="K1948" s="8"/>
      <c r="L1948" s="8"/>
    </row>
    <row r="1949" spans="3:12" x14ac:dyDescent="0.25">
      <c r="C1949" s="7"/>
      <c r="E1949" s="8"/>
      <c r="F1949" s="8"/>
      <c r="G1949" s="8"/>
      <c r="H1949" s="8"/>
      <c r="I1949" s="8"/>
      <c r="J1949" s="8"/>
      <c r="K1949" s="8"/>
      <c r="L1949" s="8"/>
    </row>
    <row r="1950" spans="3:12" x14ac:dyDescent="0.25">
      <c r="C1950" s="7"/>
      <c r="E1950" s="8"/>
      <c r="F1950" s="8"/>
      <c r="G1950" s="8"/>
      <c r="H1950" s="8"/>
      <c r="I1950" s="8"/>
      <c r="J1950" s="8"/>
      <c r="K1950" s="8"/>
      <c r="L1950" s="8"/>
    </row>
    <row r="1951" spans="3:12" x14ac:dyDescent="0.25">
      <c r="C1951" s="7"/>
      <c r="E1951" s="8"/>
      <c r="F1951" s="8"/>
      <c r="G1951" s="8"/>
      <c r="H1951" s="8"/>
      <c r="I1951" s="8"/>
      <c r="J1951" s="8"/>
      <c r="K1951" s="8"/>
      <c r="L1951" s="8"/>
    </row>
    <row r="1952" spans="3:12" x14ac:dyDescent="0.25">
      <c r="C1952" s="7"/>
      <c r="E1952" s="8"/>
      <c r="F1952" s="8"/>
      <c r="G1952" s="8"/>
      <c r="H1952" s="8"/>
      <c r="I1952" s="8"/>
      <c r="J1952" s="8"/>
      <c r="K1952" s="8"/>
      <c r="L1952" s="8"/>
    </row>
    <row r="1953" spans="3:12" x14ac:dyDescent="0.25">
      <c r="C1953" s="7"/>
      <c r="E1953" s="8"/>
      <c r="F1953" s="8"/>
      <c r="G1953" s="8"/>
      <c r="H1953" s="8"/>
      <c r="I1953" s="8"/>
      <c r="J1953" s="8"/>
      <c r="K1953" s="8"/>
      <c r="L1953" s="8"/>
    </row>
    <row r="1954" spans="3:12" x14ac:dyDescent="0.25">
      <c r="C1954" s="7"/>
      <c r="E1954" s="8"/>
      <c r="F1954" s="8"/>
      <c r="G1954" s="8"/>
      <c r="H1954" s="8"/>
      <c r="I1954" s="8"/>
      <c r="J1954" s="8"/>
      <c r="K1954" s="8"/>
      <c r="L1954" s="8"/>
    </row>
    <row r="1955" spans="3:12" x14ac:dyDescent="0.25">
      <c r="C1955" s="7"/>
      <c r="E1955" s="8"/>
      <c r="F1955" s="8"/>
      <c r="G1955" s="8"/>
      <c r="H1955" s="8"/>
      <c r="I1955" s="8"/>
      <c r="J1955" s="8"/>
      <c r="K1955" s="8"/>
      <c r="L1955" s="8"/>
    </row>
    <row r="1956" spans="3:12" x14ac:dyDescent="0.25">
      <c r="C1956" s="7"/>
      <c r="E1956" s="8"/>
      <c r="F1956" s="8"/>
      <c r="G1956" s="8"/>
      <c r="H1956" s="8"/>
      <c r="I1956" s="8"/>
      <c r="J1956" s="8"/>
      <c r="K1956" s="8"/>
      <c r="L1956" s="8"/>
    </row>
    <row r="1957" spans="3:12" x14ac:dyDescent="0.25">
      <c r="C1957" s="7"/>
      <c r="E1957" s="8"/>
      <c r="F1957" s="8"/>
      <c r="G1957" s="8"/>
      <c r="H1957" s="8"/>
      <c r="I1957" s="8"/>
      <c r="J1957" s="8"/>
      <c r="K1957" s="8"/>
      <c r="L1957" s="8"/>
    </row>
    <row r="1958" spans="3:12" x14ac:dyDescent="0.25">
      <c r="C1958" s="7"/>
      <c r="E1958" s="8"/>
      <c r="F1958" s="8"/>
      <c r="G1958" s="8"/>
      <c r="H1958" s="8"/>
      <c r="I1958" s="8"/>
      <c r="J1958" s="8"/>
      <c r="K1958" s="8"/>
      <c r="L1958" s="8"/>
    </row>
    <row r="1959" spans="3:12" x14ac:dyDescent="0.25">
      <c r="C1959" s="7"/>
      <c r="E1959" s="8"/>
      <c r="F1959" s="8"/>
      <c r="G1959" s="8"/>
      <c r="H1959" s="8"/>
      <c r="I1959" s="8"/>
      <c r="J1959" s="8"/>
      <c r="K1959" s="8"/>
      <c r="L1959" s="8"/>
    </row>
    <row r="1960" spans="3:12" x14ac:dyDescent="0.25">
      <c r="C1960" s="7"/>
      <c r="E1960" s="8"/>
      <c r="F1960" s="8"/>
      <c r="G1960" s="8"/>
      <c r="H1960" s="8"/>
      <c r="I1960" s="8"/>
      <c r="J1960" s="8"/>
      <c r="K1960" s="8"/>
      <c r="L1960" s="8"/>
    </row>
    <row r="1961" spans="3:12" x14ac:dyDescent="0.25">
      <c r="C1961" s="7"/>
      <c r="E1961" s="8"/>
      <c r="F1961" s="8"/>
      <c r="G1961" s="8"/>
      <c r="H1961" s="8"/>
      <c r="I1961" s="8"/>
      <c r="J1961" s="8"/>
      <c r="K1961" s="8"/>
      <c r="L1961" s="8"/>
    </row>
    <row r="1962" spans="3:12" x14ac:dyDescent="0.25">
      <c r="C1962" s="7"/>
      <c r="E1962" s="8"/>
      <c r="F1962" s="8"/>
      <c r="G1962" s="8"/>
      <c r="H1962" s="8"/>
      <c r="I1962" s="8"/>
      <c r="J1962" s="8"/>
      <c r="K1962" s="8"/>
      <c r="L1962" s="8"/>
    </row>
    <row r="1963" spans="3:12" x14ac:dyDescent="0.25">
      <c r="C1963" s="7"/>
      <c r="E1963" s="8"/>
      <c r="F1963" s="8"/>
      <c r="G1963" s="8"/>
      <c r="H1963" s="8"/>
      <c r="I1963" s="8"/>
      <c r="J1963" s="8"/>
      <c r="K1963" s="8"/>
      <c r="L1963" s="8"/>
    </row>
    <row r="1964" spans="3:12" x14ac:dyDescent="0.25">
      <c r="C1964" s="7"/>
      <c r="E1964" s="8"/>
      <c r="F1964" s="8"/>
      <c r="G1964" s="8"/>
      <c r="H1964" s="8"/>
      <c r="I1964" s="8"/>
      <c r="J1964" s="8"/>
      <c r="K1964" s="8"/>
      <c r="L1964" s="8"/>
    </row>
    <row r="1965" spans="3:12" x14ac:dyDescent="0.25">
      <c r="C1965" s="7"/>
      <c r="E1965" s="8"/>
      <c r="F1965" s="8"/>
      <c r="G1965" s="8"/>
      <c r="H1965" s="8"/>
      <c r="I1965" s="8"/>
      <c r="J1965" s="8"/>
      <c r="K1965" s="8"/>
      <c r="L1965" s="8"/>
    </row>
    <row r="1966" spans="3:12" x14ac:dyDescent="0.25">
      <c r="C1966" s="7"/>
      <c r="E1966" s="8"/>
      <c r="F1966" s="8"/>
      <c r="G1966" s="8"/>
      <c r="H1966" s="8"/>
      <c r="I1966" s="8"/>
      <c r="J1966" s="8"/>
      <c r="K1966" s="8"/>
      <c r="L1966" s="8"/>
    </row>
    <row r="1967" spans="3:12" x14ac:dyDescent="0.25">
      <c r="C1967" s="7"/>
      <c r="E1967" s="8"/>
      <c r="F1967" s="8"/>
      <c r="G1967" s="8"/>
      <c r="H1967" s="8"/>
      <c r="I1967" s="8"/>
      <c r="J1967" s="8"/>
      <c r="K1967" s="8"/>
      <c r="L1967" s="8"/>
    </row>
    <row r="1968" spans="3:12" x14ac:dyDescent="0.25">
      <c r="C1968" s="7"/>
      <c r="E1968" s="8"/>
      <c r="F1968" s="8"/>
      <c r="G1968" s="8"/>
      <c r="H1968" s="8"/>
      <c r="I1968" s="8"/>
      <c r="J1968" s="8"/>
      <c r="K1968" s="8"/>
      <c r="L1968" s="8"/>
    </row>
    <row r="1969" spans="3:12" x14ac:dyDescent="0.25">
      <c r="C1969" s="7"/>
      <c r="E1969" s="8"/>
      <c r="F1969" s="8"/>
      <c r="G1969" s="8"/>
      <c r="H1969" s="8"/>
      <c r="I1969" s="8"/>
      <c r="J1969" s="8"/>
      <c r="K1969" s="8"/>
      <c r="L1969" s="8"/>
    </row>
    <row r="1970" spans="3:12" x14ac:dyDescent="0.25">
      <c r="C1970" s="7"/>
      <c r="E1970" s="8"/>
      <c r="F1970" s="8"/>
      <c r="G1970" s="8"/>
      <c r="H1970" s="8"/>
      <c r="I1970" s="8"/>
      <c r="J1970" s="8"/>
      <c r="K1970" s="8"/>
      <c r="L1970" s="8"/>
    </row>
    <row r="1971" spans="3:12" x14ac:dyDescent="0.25">
      <c r="C1971" s="7"/>
      <c r="E1971" s="8"/>
      <c r="F1971" s="8"/>
      <c r="G1971" s="8"/>
      <c r="H1971" s="8"/>
      <c r="I1971" s="8"/>
      <c r="J1971" s="8"/>
      <c r="K1971" s="8"/>
      <c r="L1971" s="8"/>
    </row>
    <row r="1972" spans="3:12" x14ac:dyDescent="0.25">
      <c r="C1972" s="7"/>
      <c r="E1972" s="8"/>
      <c r="F1972" s="8"/>
      <c r="G1972" s="8"/>
      <c r="H1972" s="8"/>
      <c r="I1972" s="8"/>
      <c r="J1972" s="8"/>
      <c r="K1972" s="8"/>
      <c r="L1972" s="8"/>
    </row>
    <row r="1973" spans="3:12" x14ac:dyDescent="0.25">
      <c r="C1973" s="7"/>
      <c r="E1973" s="8"/>
      <c r="F1973" s="8"/>
      <c r="G1973" s="8"/>
      <c r="H1973" s="8"/>
      <c r="I1973" s="8"/>
      <c r="J1973" s="8"/>
      <c r="K1973" s="8"/>
      <c r="L1973" s="8"/>
    </row>
    <row r="1974" spans="3:12" x14ac:dyDescent="0.25">
      <c r="C1974" s="7"/>
      <c r="E1974" s="8"/>
      <c r="F1974" s="8"/>
      <c r="G1974" s="8"/>
      <c r="H1974" s="8"/>
      <c r="I1974" s="8"/>
      <c r="J1974" s="8"/>
      <c r="K1974" s="8"/>
      <c r="L1974" s="8"/>
    </row>
    <row r="1975" spans="3:12" x14ac:dyDescent="0.25">
      <c r="C1975" s="7"/>
      <c r="E1975" s="8"/>
      <c r="F1975" s="8"/>
      <c r="G1975" s="8"/>
      <c r="H1975" s="8"/>
      <c r="I1975" s="8"/>
      <c r="J1975" s="8"/>
      <c r="K1975" s="8"/>
      <c r="L1975" s="8"/>
    </row>
    <row r="1976" spans="3:12" x14ac:dyDescent="0.25">
      <c r="C1976" s="7"/>
      <c r="E1976" s="8"/>
      <c r="F1976" s="8"/>
      <c r="G1976" s="8"/>
      <c r="H1976" s="8"/>
      <c r="I1976" s="8"/>
      <c r="J1976" s="8"/>
      <c r="K1976" s="8"/>
      <c r="L1976" s="8"/>
    </row>
    <row r="1977" spans="3:12" x14ac:dyDescent="0.25">
      <c r="C1977" s="7"/>
      <c r="E1977" s="8"/>
      <c r="F1977" s="8"/>
      <c r="G1977" s="8"/>
      <c r="H1977" s="8"/>
      <c r="I1977" s="8"/>
      <c r="J1977" s="8"/>
      <c r="K1977" s="8"/>
      <c r="L1977" s="8"/>
    </row>
    <row r="1978" spans="3:12" x14ac:dyDescent="0.25">
      <c r="C1978" s="7"/>
      <c r="E1978" s="8"/>
      <c r="F1978" s="8"/>
      <c r="G1978" s="8"/>
      <c r="H1978" s="8"/>
      <c r="I1978" s="8"/>
      <c r="J1978" s="8"/>
      <c r="K1978" s="8"/>
      <c r="L1978" s="8"/>
    </row>
    <row r="1979" spans="3:12" x14ac:dyDescent="0.25">
      <c r="C1979" s="7"/>
      <c r="E1979" s="8"/>
      <c r="F1979" s="8"/>
      <c r="G1979" s="8"/>
      <c r="H1979" s="8"/>
      <c r="I1979" s="8"/>
      <c r="J1979" s="8"/>
      <c r="K1979" s="8"/>
      <c r="L1979" s="8"/>
    </row>
    <row r="1980" spans="3:12" x14ac:dyDescent="0.25">
      <c r="C1980" s="7"/>
      <c r="E1980" s="8"/>
      <c r="F1980" s="8"/>
      <c r="G1980" s="8"/>
      <c r="H1980" s="8"/>
      <c r="I1980" s="8"/>
      <c r="J1980" s="8"/>
      <c r="K1980" s="8"/>
      <c r="L1980" s="8"/>
    </row>
    <row r="1981" spans="3:12" x14ac:dyDescent="0.25">
      <c r="C1981" s="7"/>
      <c r="E1981" s="8"/>
      <c r="F1981" s="8"/>
      <c r="G1981" s="8"/>
      <c r="H1981" s="8"/>
      <c r="I1981" s="8"/>
      <c r="J1981" s="8"/>
      <c r="K1981" s="8"/>
      <c r="L1981" s="8"/>
    </row>
    <row r="1982" spans="3:12" x14ac:dyDescent="0.25">
      <c r="C1982" s="7"/>
      <c r="E1982" s="8"/>
      <c r="F1982" s="8"/>
      <c r="G1982" s="8"/>
      <c r="H1982" s="8"/>
      <c r="I1982" s="8"/>
      <c r="J1982" s="8"/>
      <c r="K1982" s="8"/>
      <c r="L1982" s="8"/>
    </row>
    <row r="1983" spans="3:12" x14ac:dyDescent="0.25">
      <c r="C1983" s="7"/>
      <c r="E1983" s="8"/>
      <c r="F1983" s="8"/>
      <c r="G1983" s="8"/>
      <c r="H1983" s="8"/>
      <c r="I1983" s="8"/>
      <c r="J1983" s="8"/>
      <c r="K1983" s="8"/>
      <c r="L1983" s="8"/>
    </row>
    <row r="1984" spans="3:12" x14ac:dyDescent="0.25">
      <c r="C1984" s="7"/>
      <c r="E1984" s="8"/>
      <c r="F1984" s="8"/>
      <c r="G1984" s="8"/>
      <c r="H1984" s="8"/>
      <c r="I1984" s="8"/>
      <c r="J1984" s="8"/>
      <c r="K1984" s="8"/>
      <c r="L1984" s="8"/>
    </row>
    <row r="1985" spans="3:12" x14ac:dyDescent="0.25">
      <c r="C1985" s="7"/>
      <c r="E1985" s="8"/>
      <c r="F1985" s="8"/>
      <c r="G1985" s="8"/>
      <c r="H1985" s="8"/>
      <c r="I1985" s="8"/>
      <c r="J1985" s="8"/>
      <c r="K1985" s="8"/>
      <c r="L1985" s="8"/>
    </row>
    <row r="1986" spans="3:12" x14ac:dyDescent="0.25">
      <c r="C1986" s="7"/>
      <c r="E1986" s="8"/>
      <c r="F1986" s="8"/>
      <c r="G1986" s="8"/>
      <c r="H1986" s="8"/>
      <c r="I1986" s="8"/>
      <c r="J1986" s="8"/>
      <c r="K1986" s="8"/>
      <c r="L1986" s="8"/>
    </row>
    <row r="1987" spans="3:12" x14ac:dyDescent="0.25">
      <c r="C1987" s="7"/>
      <c r="E1987" s="8"/>
      <c r="F1987" s="8"/>
      <c r="G1987" s="8"/>
      <c r="H1987" s="8"/>
      <c r="I1987" s="8"/>
      <c r="J1987" s="8"/>
      <c r="K1987" s="8"/>
      <c r="L1987" s="8"/>
    </row>
    <row r="1988" spans="3:12" x14ac:dyDescent="0.25">
      <c r="C1988" s="7"/>
      <c r="E1988" s="8"/>
      <c r="F1988" s="8"/>
      <c r="G1988" s="8"/>
      <c r="H1988" s="8"/>
      <c r="I1988" s="8"/>
      <c r="J1988" s="8"/>
      <c r="K1988" s="8"/>
      <c r="L1988" s="8"/>
    </row>
    <row r="1989" spans="3:12" x14ac:dyDescent="0.25">
      <c r="C1989" s="7"/>
      <c r="E1989" s="8"/>
      <c r="F1989" s="8"/>
      <c r="G1989" s="8"/>
      <c r="H1989" s="8"/>
      <c r="I1989" s="8"/>
      <c r="J1989" s="8"/>
      <c r="K1989" s="8"/>
      <c r="L1989" s="8"/>
    </row>
    <row r="1990" spans="3:12" x14ac:dyDescent="0.25">
      <c r="C1990" s="7"/>
      <c r="E1990" s="8"/>
      <c r="F1990" s="8"/>
      <c r="G1990" s="8"/>
      <c r="H1990" s="8"/>
      <c r="I1990" s="8"/>
      <c r="J1990" s="8"/>
      <c r="K1990" s="8"/>
      <c r="L1990" s="8"/>
    </row>
    <row r="1991" spans="3:12" x14ac:dyDescent="0.25">
      <c r="C1991" s="7"/>
      <c r="E1991" s="8"/>
      <c r="F1991" s="8"/>
      <c r="G1991" s="8"/>
      <c r="H1991" s="8"/>
      <c r="I1991" s="8"/>
      <c r="J1991" s="8"/>
      <c r="K1991" s="8"/>
      <c r="L1991" s="8"/>
    </row>
    <row r="1992" spans="3:12" x14ac:dyDescent="0.25">
      <c r="C1992" s="7"/>
      <c r="E1992" s="8"/>
      <c r="F1992" s="8"/>
      <c r="G1992" s="8"/>
      <c r="H1992" s="8"/>
      <c r="I1992" s="8"/>
      <c r="J1992" s="8"/>
      <c r="K1992" s="8"/>
      <c r="L1992" s="8"/>
    </row>
    <row r="1993" spans="3:12" x14ac:dyDescent="0.25">
      <c r="C1993" s="7"/>
      <c r="E1993" s="8"/>
      <c r="F1993" s="8"/>
      <c r="G1993" s="8"/>
      <c r="H1993" s="8"/>
      <c r="I1993" s="8"/>
      <c r="J1993" s="8"/>
      <c r="K1993" s="8"/>
      <c r="L1993" s="8"/>
    </row>
    <row r="1994" spans="3:12" x14ac:dyDescent="0.25">
      <c r="C1994" s="7"/>
      <c r="E1994" s="8"/>
      <c r="F1994" s="8"/>
      <c r="G1994" s="8"/>
      <c r="H1994" s="8"/>
      <c r="I1994" s="8"/>
      <c r="J1994" s="8"/>
      <c r="K1994" s="8"/>
      <c r="L1994" s="8"/>
    </row>
    <row r="1995" spans="3:12" x14ac:dyDescent="0.25">
      <c r="C1995" s="7"/>
      <c r="E1995" s="8"/>
      <c r="F1995" s="8"/>
      <c r="G1995" s="8"/>
      <c r="H1995" s="8"/>
      <c r="I1995" s="8"/>
      <c r="J1995" s="8"/>
      <c r="K1995" s="8"/>
      <c r="L1995" s="8"/>
    </row>
    <row r="1996" spans="3:12" x14ac:dyDescent="0.25">
      <c r="C1996" s="7"/>
      <c r="E1996" s="8"/>
      <c r="F1996" s="8"/>
      <c r="G1996" s="8"/>
      <c r="H1996" s="8"/>
      <c r="I1996" s="8"/>
      <c r="J1996" s="8"/>
      <c r="K1996" s="8"/>
      <c r="L1996" s="8"/>
    </row>
    <row r="1997" spans="3:12" x14ac:dyDescent="0.25">
      <c r="C1997" s="7"/>
      <c r="E1997" s="8"/>
      <c r="F1997" s="8"/>
      <c r="G1997" s="8"/>
      <c r="H1997" s="8"/>
      <c r="I1997" s="8"/>
      <c r="J1997" s="8"/>
      <c r="K1997" s="8"/>
      <c r="L1997" s="8"/>
    </row>
    <row r="1998" spans="3:12" x14ac:dyDescent="0.25">
      <c r="C1998" s="7"/>
      <c r="E1998" s="8"/>
      <c r="F1998" s="8"/>
      <c r="G1998" s="8"/>
      <c r="H1998" s="8"/>
      <c r="I1998" s="8"/>
      <c r="J1998" s="8"/>
      <c r="K1998" s="8"/>
      <c r="L1998" s="8"/>
    </row>
    <row r="1999" spans="3:12" x14ac:dyDescent="0.25">
      <c r="C1999" s="7"/>
      <c r="E1999" s="8"/>
      <c r="F1999" s="8"/>
      <c r="G1999" s="8"/>
      <c r="H1999" s="8"/>
      <c r="I1999" s="8"/>
      <c r="J1999" s="8"/>
      <c r="K1999" s="8"/>
      <c r="L1999" s="8"/>
    </row>
    <row r="2000" spans="3:12" x14ac:dyDescent="0.25">
      <c r="C2000" s="7"/>
      <c r="E2000" s="8"/>
      <c r="F2000" s="8"/>
      <c r="G2000" s="8"/>
      <c r="H2000" s="8"/>
      <c r="I2000" s="8"/>
      <c r="J2000" s="8"/>
      <c r="K2000" s="8"/>
      <c r="L2000" s="8"/>
    </row>
    <row r="2001" spans="3:12" x14ac:dyDescent="0.25">
      <c r="C2001" s="7"/>
      <c r="E2001" s="8"/>
      <c r="F2001" s="8"/>
      <c r="G2001" s="8"/>
      <c r="H2001" s="8"/>
      <c r="I2001" s="8"/>
      <c r="J2001" s="8"/>
      <c r="K2001" s="8"/>
      <c r="L2001" s="8"/>
    </row>
    <row r="2002" spans="3:12" x14ac:dyDescent="0.25">
      <c r="C2002" s="7"/>
      <c r="E2002" s="8"/>
      <c r="F2002" s="8"/>
      <c r="G2002" s="8"/>
      <c r="H2002" s="8"/>
      <c r="I2002" s="8"/>
      <c r="J2002" s="8"/>
      <c r="K2002" s="8"/>
      <c r="L2002" s="8"/>
    </row>
    <row r="2003" spans="3:12" x14ac:dyDescent="0.25">
      <c r="C2003" s="7"/>
      <c r="E2003" s="8"/>
      <c r="F2003" s="8"/>
      <c r="G2003" s="8"/>
      <c r="H2003" s="8"/>
      <c r="I2003" s="8"/>
      <c r="J2003" s="8"/>
      <c r="K2003" s="8"/>
      <c r="L2003" s="8"/>
    </row>
    <row r="2004" spans="3:12" x14ac:dyDescent="0.25">
      <c r="C2004" s="7"/>
      <c r="E2004" s="8"/>
      <c r="F2004" s="8"/>
      <c r="G2004" s="8"/>
      <c r="H2004" s="8"/>
      <c r="I2004" s="8"/>
      <c r="J2004" s="8"/>
      <c r="K2004" s="8"/>
      <c r="L2004" s="8"/>
    </row>
    <row r="2005" spans="3:12" x14ac:dyDescent="0.25">
      <c r="C2005" s="7"/>
      <c r="E2005" s="8"/>
      <c r="F2005" s="8"/>
      <c r="G2005" s="8"/>
      <c r="H2005" s="8"/>
      <c r="I2005" s="8"/>
      <c r="J2005" s="8"/>
      <c r="K2005" s="8"/>
      <c r="L2005" s="8"/>
    </row>
    <row r="2006" spans="3:12" x14ac:dyDescent="0.25">
      <c r="C2006" s="7"/>
      <c r="E2006" s="8"/>
      <c r="F2006" s="8"/>
      <c r="G2006" s="8"/>
      <c r="H2006" s="8"/>
      <c r="I2006" s="8"/>
      <c r="J2006" s="8"/>
      <c r="K2006" s="8"/>
      <c r="L2006" s="8"/>
    </row>
    <row r="2007" spans="3:12" x14ac:dyDescent="0.25">
      <c r="C2007" s="7"/>
      <c r="E2007" s="8"/>
      <c r="F2007" s="8"/>
      <c r="G2007" s="8"/>
      <c r="H2007" s="8"/>
      <c r="I2007" s="8"/>
      <c r="J2007" s="8"/>
      <c r="K2007" s="8"/>
      <c r="L2007" s="8"/>
    </row>
    <row r="2008" spans="3:12" x14ac:dyDescent="0.25">
      <c r="C2008" s="7"/>
      <c r="E2008" s="8"/>
      <c r="F2008" s="8"/>
      <c r="G2008" s="8"/>
      <c r="H2008" s="8"/>
      <c r="I2008" s="8"/>
      <c r="J2008" s="8"/>
      <c r="K2008" s="8"/>
      <c r="L2008" s="8"/>
    </row>
    <row r="2009" spans="3:12" x14ac:dyDescent="0.25">
      <c r="C2009" s="7"/>
      <c r="E2009" s="8"/>
      <c r="F2009" s="8"/>
      <c r="G2009" s="8"/>
      <c r="H2009" s="8"/>
      <c r="I2009" s="8"/>
      <c r="J2009" s="8"/>
      <c r="K2009" s="8"/>
      <c r="L2009" s="8"/>
    </row>
    <row r="2010" spans="3:12" x14ac:dyDescent="0.25">
      <c r="C2010" s="7"/>
      <c r="E2010" s="8"/>
      <c r="F2010" s="8"/>
      <c r="G2010" s="8"/>
      <c r="H2010" s="8"/>
      <c r="I2010" s="8"/>
      <c r="J2010" s="8"/>
      <c r="K2010" s="8"/>
      <c r="L2010" s="8"/>
    </row>
    <row r="2011" spans="3:12" x14ac:dyDescent="0.25">
      <c r="C2011" s="7"/>
      <c r="E2011" s="8"/>
      <c r="F2011" s="8"/>
      <c r="G2011" s="8"/>
      <c r="H2011" s="8"/>
      <c r="I2011" s="8"/>
      <c r="J2011" s="8"/>
      <c r="K2011" s="8"/>
      <c r="L2011" s="8"/>
    </row>
    <row r="2012" spans="3:12" x14ac:dyDescent="0.25">
      <c r="C2012" s="7"/>
      <c r="E2012" s="8"/>
      <c r="F2012" s="8"/>
      <c r="G2012" s="8"/>
      <c r="H2012" s="8"/>
      <c r="I2012" s="8"/>
      <c r="J2012" s="8"/>
      <c r="K2012" s="8"/>
      <c r="L2012" s="8"/>
    </row>
    <row r="2013" spans="3:12" x14ac:dyDescent="0.25">
      <c r="C2013" s="7"/>
      <c r="E2013" s="8"/>
      <c r="F2013" s="8"/>
      <c r="G2013" s="8"/>
      <c r="H2013" s="8"/>
      <c r="I2013" s="8"/>
      <c r="J2013" s="8"/>
      <c r="K2013" s="8"/>
      <c r="L2013" s="8"/>
    </row>
    <row r="2014" spans="3:12" x14ac:dyDescent="0.25">
      <c r="C2014" s="7"/>
      <c r="E2014" s="8"/>
      <c r="F2014" s="8"/>
      <c r="G2014" s="8"/>
      <c r="H2014" s="8"/>
      <c r="I2014" s="8"/>
      <c r="J2014" s="8"/>
      <c r="K2014" s="8"/>
      <c r="L2014" s="8"/>
    </row>
    <row r="2015" spans="3:12" x14ac:dyDescent="0.25">
      <c r="C2015" s="7"/>
      <c r="E2015" s="8"/>
      <c r="F2015" s="8"/>
      <c r="G2015" s="8"/>
      <c r="H2015" s="8"/>
      <c r="I2015" s="8"/>
      <c r="J2015" s="8"/>
      <c r="K2015" s="8"/>
      <c r="L2015" s="8"/>
    </row>
    <row r="2016" spans="3:12" x14ac:dyDescent="0.25">
      <c r="C2016" s="7"/>
      <c r="E2016" s="8"/>
      <c r="F2016" s="8"/>
      <c r="G2016" s="8"/>
      <c r="H2016" s="8"/>
      <c r="I2016" s="8"/>
      <c r="J2016" s="8"/>
      <c r="K2016" s="8"/>
      <c r="L2016" s="8"/>
    </row>
    <row r="2017" spans="3:12" x14ac:dyDescent="0.25">
      <c r="C2017" s="7"/>
      <c r="E2017" s="8"/>
      <c r="F2017" s="8"/>
      <c r="G2017" s="8"/>
      <c r="H2017" s="8"/>
      <c r="I2017" s="8"/>
      <c r="J2017" s="8"/>
      <c r="K2017" s="8"/>
      <c r="L2017" s="8"/>
    </row>
    <row r="2018" spans="3:12" x14ac:dyDescent="0.25">
      <c r="C2018" s="7"/>
      <c r="E2018" s="8"/>
      <c r="F2018" s="8"/>
      <c r="G2018" s="8"/>
      <c r="H2018" s="8"/>
      <c r="I2018" s="8"/>
      <c r="J2018" s="8"/>
      <c r="K2018" s="8"/>
      <c r="L2018" s="8"/>
    </row>
    <row r="2019" spans="3:12" x14ac:dyDescent="0.25">
      <c r="C2019" s="7"/>
      <c r="E2019" s="8"/>
      <c r="F2019" s="8"/>
      <c r="G2019" s="8"/>
      <c r="H2019" s="8"/>
      <c r="I2019" s="8"/>
      <c r="J2019" s="8"/>
      <c r="K2019" s="8"/>
      <c r="L2019" s="8"/>
    </row>
    <row r="2020" spans="3:12" x14ac:dyDescent="0.25">
      <c r="C2020" s="7"/>
      <c r="E2020" s="8"/>
      <c r="F2020" s="8"/>
      <c r="G2020" s="8"/>
      <c r="H2020" s="8"/>
      <c r="I2020" s="8"/>
      <c r="J2020" s="8"/>
      <c r="K2020" s="8"/>
      <c r="L2020" s="8"/>
    </row>
    <row r="2021" spans="3:12" x14ac:dyDescent="0.25">
      <c r="C2021" s="7"/>
      <c r="E2021" s="8"/>
      <c r="F2021" s="8"/>
      <c r="G2021" s="8"/>
      <c r="H2021" s="8"/>
      <c r="I2021" s="8"/>
      <c r="J2021" s="8"/>
      <c r="K2021" s="8"/>
      <c r="L2021" s="8"/>
    </row>
    <row r="2022" spans="3:12" x14ac:dyDescent="0.25">
      <c r="C2022" s="7"/>
      <c r="E2022" s="8"/>
      <c r="F2022" s="8"/>
      <c r="G2022" s="8"/>
      <c r="H2022" s="8"/>
      <c r="I2022" s="8"/>
      <c r="J2022" s="8"/>
      <c r="K2022" s="8"/>
      <c r="L2022" s="8"/>
    </row>
    <row r="2023" spans="3:12" x14ac:dyDescent="0.25">
      <c r="C2023" s="7"/>
      <c r="E2023" s="8"/>
      <c r="F2023" s="8"/>
      <c r="G2023" s="8"/>
      <c r="H2023" s="8"/>
      <c r="I2023" s="8"/>
      <c r="J2023" s="8"/>
      <c r="K2023" s="8"/>
      <c r="L2023" s="8"/>
    </row>
    <row r="2024" spans="3:12" x14ac:dyDescent="0.25">
      <c r="C2024" s="7"/>
      <c r="E2024" s="8"/>
      <c r="F2024" s="8"/>
      <c r="G2024" s="8"/>
      <c r="H2024" s="8"/>
      <c r="I2024" s="8"/>
      <c r="J2024" s="8"/>
      <c r="K2024" s="8"/>
      <c r="L2024" s="8"/>
    </row>
    <row r="2025" spans="3:12" x14ac:dyDescent="0.25">
      <c r="C2025" s="7"/>
      <c r="E2025" s="8"/>
      <c r="F2025" s="8"/>
      <c r="G2025" s="8"/>
      <c r="H2025" s="8"/>
      <c r="I2025" s="8"/>
      <c r="J2025" s="8"/>
      <c r="K2025" s="8"/>
      <c r="L2025" s="8"/>
    </row>
    <row r="2026" spans="3:12" x14ac:dyDescent="0.25">
      <c r="C2026" s="7"/>
      <c r="E2026" s="8"/>
      <c r="F2026" s="8"/>
      <c r="G2026" s="8"/>
      <c r="H2026" s="8"/>
      <c r="I2026" s="8"/>
      <c r="J2026" s="8"/>
      <c r="K2026" s="8"/>
      <c r="L2026" s="8"/>
    </row>
    <row r="2027" spans="3:12" x14ac:dyDescent="0.25">
      <c r="C2027" s="7"/>
      <c r="E2027" s="8"/>
      <c r="F2027" s="8"/>
      <c r="G2027" s="8"/>
      <c r="H2027" s="8"/>
      <c r="I2027" s="8"/>
      <c r="J2027" s="8"/>
      <c r="K2027" s="8"/>
      <c r="L2027" s="8"/>
    </row>
    <row r="2028" spans="3:12" x14ac:dyDescent="0.25">
      <c r="C2028" s="7"/>
      <c r="E2028" s="8"/>
      <c r="F2028" s="8"/>
      <c r="G2028" s="8"/>
      <c r="H2028" s="8"/>
      <c r="I2028" s="8"/>
      <c r="J2028" s="8"/>
      <c r="K2028" s="8"/>
      <c r="L2028" s="8"/>
    </row>
    <row r="2029" spans="3:12" x14ac:dyDescent="0.25">
      <c r="C2029" s="7"/>
      <c r="E2029" s="8"/>
      <c r="F2029" s="8"/>
      <c r="G2029" s="8"/>
      <c r="H2029" s="8"/>
      <c r="I2029" s="8"/>
      <c r="J2029" s="8"/>
      <c r="K2029" s="8"/>
      <c r="L2029" s="8"/>
    </row>
    <row r="2030" spans="3:12" x14ac:dyDescent="0.25">
      <c r="C2030" s="7"/>
      <c r="E2030" s="8"/>
      <c r="F2030" s="8"/>
      <c r="G2030" s="8"/>
      <c r="H2030" s="8"/>
      <c r="I2030" s="8"/>
      <c r="J2030" s="8"/>
      <c r="K2030" s="8"/>
      <c r="L2030" s="8"/>
    </row>
    <row r="2031" spans="3:12" x14ac:dyDescent="0.25">
      <c r="C2031" s="7"/>
      <c r="E2031" s="8"/>
      <c r="F2031" s="8"/>
      <c r="G2031" s="8"/>
      <c r="H2031" s="8"/>
      <c r="I2031" s="8"/>
      <c r="J2031" s="8"/>
      <c r="K2031" s="8"/>
      <c r="L2031" s="8"/>
    </row>
    <row r="2032" spans="3:12" x14ac:dyDescent="0.25">
      <c r="C2032" s="7"/>
      <c r="E2032" s="8"/>
      <c r="F2032" s="8"/>
      <c r="G2032" s="8"/>
      <c r="H2032" s="8"/>
      <c r="I2032" s="8"/>
      <c r="J2032" s="8"/>
      <c r="K2032" s="8"/>
      <c r="L2032" s="8"/>
    </row>
    <row r="2033" spans="3:12" x14ac:dyDescent="0.25">
      <c r="C2033" s="7"/>
      <c r="E2033" s="8"/>
      <c r="F2033" s="8"/>
      <c r="G2033" s="8"/>
      <c r="H2033" s="8"/>
      <c r="I2033" s="8"/>
      <c r="J2033" s="8"/>
      <c r="K2033" s="8"/>
      <c r="L2033" s="8"/>
    </row>
    <row r="2034" spans="3:12" x14ac:dyDescent="0.25">
      <c r="C2034" s="7"/>
      <c r="E2034" s="8"/>
      <c r="F2034" s="8"/>
      <c r="G2034" s="8"/>
      <c r="H2034" s="8"/>
      <c r="I2034" s="8"/>
      <c r="J2034" s="8"/>
      <c r="K2034" s="8"/>
      <c r="L2034" s="8"/>
    </row>
    <row r="2035" spans="3:12" x14ac:dyDescent="0.25">
      <c r="C2035" s="7"/>
      <c r="E2035" s="8"/>
      <c r="F2035" s="8"/>
      <c r="G2035" s="8"/>
      <c r="H2035" s="8"/>
      <c r="I2035" s="8"/>
      <c r="J2035" s="8"/>
      <c r="K2035" s="8"/>
      <c r="L2035" s="8"/>
    </row>
    <row r="2036" spans="3:12" x14ac:dyDescent="0.25">
      <c r="C2036" s="7"/>
      <c r="E2036" s="8"/>
      <c r="F2036" s="8"/>
      <c r="G2036" s="8"/>
      <c r="H2036" s="8"/>
      <c r="I2036" s="8"/>
      <c r="J2036" s="8"/>
      <c r="K2036" s="8"/>
      <c r="L2036" s="8"/>
    </row>
    <row r="2037" spans="3:12" x14ac:dyDescent="0.25">
      <c r="C2037" s="7"/>
      <c r="E2037" s="8"/>
      <c r="F2037" s="8"/>
      <c r="G2037" s="8"/>
      <c r="H2037" s="8"/>
      <c r="I2037" s="8"/>
      <c r="J2037" s="8"/>
      <c r="K2037" s="8"/>
      <c r="L2037" s="8"/>
    </row>
    <row r="2038" spans="3:12" x14ac:dyDescent="0.25">
      <c r="C2038" s="7"/>
      <c r="E2038" s="8"/>
      <c r="F2038" s="8"/>
      <c r="G2038" s="8"/>
      <c r="H2038" s="8"/>
      <c r="I2038" s="8"/>
      <c r="J2038" s="8"/>
      <c r="K2038" s="8"/>
      <c r="L2038" s="8"/>
    </row>
    <row r="2039" spans="3:12" x14ac:dyDescent="0.25">
      <c r="C2039" s="7"/>
      <c r="E2039" s="8"/>
      <c r="F2039" s="8"/>
      <c r="G2039" s="8"/>
      <c r="H2039" s="8"/>
      <c r="I2039" s="8"/>
      <c r="J2039" s="8"/>
      <c r="K2039" s="8"/>
      <c r="L2039" s="8"/>
    </row>
    <row r="2040" spans="3:12" x14ac:dyDescent="0.25">
      <c r="C2040" s="7"/>
      <c r="E2040" s="8"/>
      <c r="F2040" s="8"/>
      <c r="G2040" s="8"/>
      <c r="H2040" s="8"/>
      <c r="I2040" s="8"/>
      <c r="J2040" s="8"/>
      <c r="K2040" s="8"/>
      <c r="L2040" s="8"/>
    </row>
    <row r="2041" spans="3:12" x14ac:dyDescent="0.25">
      <c r="C2041" s="7"/>
      <c r="E2041" s="8"/>
      <c r="F2041" s="8"/>
      <c r="G2041" s="8"/>
      <c r="H2041" s="8"/>
      <c r="I2041" s="8"/>
      <c r="J2041" s="8"/>
      <c r="K2041" s="8"/>
      <c r="L2041" s="8"/>
    </row>
    <row r="2042" spans="3:12" x14ac:dyDescent="0.25">
      <c r="C2042" s="7"/>
      <c r="E2042" s="8"/>
      <c r="F2042" s="8"/>
      <c r="G2042" s="8"/>
      <c r="H2042" s="8"/>
      <c r="I2042" s="8"/>
      <c r="J2042" s="8"/>
      <c r="K2042" s="8"/>
      <c r="L2042" s="8"/>
    </row>
    <row r="2043" spans="3:12" x14ac:dyDescent="0.25">
      <c r="C2043" s="7"/>
      <c r="E2043" s="8"/>
      <c r="F2043" s="8"/>
      <c r="G2043" s="8"/>
      <c r="H2043" s="8"/>
      <c r="I2043" s="8"/>
      <c r="J2043" s="8"/>
      <c r="K2043" s="8"/>
      <c r="L2043" s="8"/>
    </row>
    <row r="2044" spans="3:12" x14ac:dyDescent="0.25">
      <c r="C2044" s="7"/>
      <c r="E2044" s="8"/>
      <c r="F2044" s="8"/>
      <c r="G2044" s="8"/>
      <c r="H2044" s="8"/>
      <c r="I2044" s="8"/>
      <c r="J2044" s="8"/>
      <c r="K2044" s="8"/>
      <c r="L2044" s="8"/>
    </row>
    <row r="2045" spans="3:12" x14ac:dyDescent="0.25">
      <c r="C2045" s="7"/>
      <c r="E2045" s="8"/>
      <c r="F2045" s="8"/>
      <c r="G2045" s="8"/>
      <c r="H2045" s="8"/>
      <c r="I2045" s="8"/>
      <c r="J2045" s="8"/>
      <c r="K2045" s="8"/>
      <c r="L2045" s="8"/>
    </row>
    <row r="2046" spans="3:12" x14ac:dyDescent="0.25">
      <c r="C2046" s="7"/>
      <c r="E2046" s="8"/>
      <c r="F2046" s="8"/>
      <c r="G2046" s="8"/>
      <c r="H2046" s="8"/>
      <c r="I2046" s="8"/>
      <c r="J2046" s="8"/>
      <c r="K2046" s="8"/>
      <c r="L2046" s="8"/>
    </row>
    <row r="2047" spans="3:12" x14ac:dyDescent="0.25">
      <c r="C2047" s="7"/>
      <c r="E2047" s="8"/>
      <c r="F2047" s="8"/>
      <c r="G2047" s="8"/>
      <c r="H2047" s="8"/>
      <c r="I2047" s="8"/>
      <c r="J2047" s="8"/>
      <c r="K2047" s="8"/>
      <c r="L2047" s="8"/>
    </row>
    <row r="2048" spans="3:12" x14ac:dyDescent="0.25">
      <c r="C2048" s="7"/>
      <c r="E2048" s="8"/>
      <c r="F2048" s="8"/>
      <c r="G2048" s="8"/>
      <c r="H2048" s="8"/>
      <c r="I2048" s="8"/>
      <c r="J2048" s="8"/>
      <c r="K2048" s="8"/>
      <c r="L2048" s="8"/>
    </row>
    <row r="2049" spans="3:12" x14ac:dyDescent="0.25">
      <c r="C2049" s="7"/>
      <c r="E2049" s="8"/>
      <c r="F2049" s="8"/>
      <c r="G2049" s="8"/>
      <c r="H2049" s="8"/>
      <c r="I2049" s="8"/>
      <c r="J2049" s="8"/>
      <c r="K2049" s="8"/>
      <c r="L2049" s="8"/>
    </row>
    <row r="2050" spans="3:12" x14ac:dyDescent="0.25">
      <c r="C2050" s="7"/>
      <c r="E2050" s="8"/>
      <c r="F2050" s="8"/>
      <c r="G2050" s="8"/>
      <c r="H2050" s="8"/>
      <c r="I2050" s="8"/>
      <c r="J2050" s="8"/>
      <c r="K2050" s="8"/>
      <c r="L2050" s="8"/>
    </row>
    <row r="2051" spans="3:12" x14ac:dyDescent="0.25">
      <c r="C2051" s="7"/>
      <c r="E2051" s="8"/>
      <c r="F2051" s="8"/>
      <c r="G2051" s="8"/>
      <c r="H2051" s="8"/>
      <c r="I2051" s="8"/>
      <c r="J2051" s="8"/>
      <c r="K2051" s="8"/>
      <c r="L2051" s="8"/>
    </row>
    <row r="2052" spans="3:12" x14ac:dyDescent="0.25">
      <c r="C2052" s="7"/>
      <c r="E2052" s="8"/>
      <c r="F2052" s="8"/>
      <c r="G2052" s="8"/>
      <c r="H2052" s="8"/>
      <c r="I2052" s="8"/>
      <c r="J2052" s="8"/>
      <c r="K2052" s="8"/>
      <c r="L2052" s="8"/>
    </row>
    <row r="2053" spans="3:12" x14ac:dyDescent="0.25">
      <c r="C2053" s="7"/>
      <c r="E2053" s="8"/>
      <c r="F2053" s="8"/>
      <c r="G2053" s="8"/>
      <c r="H2053" s="8"/>
      <c r="I2053" s="8"/>
      <c r="J2053" s="8"/>
      <c r="K2053" s="8"/>
      <c r="L2053" s="8"/>
    </row>
    <row r="2054" spans="3:12" x14ac:dyDescent="0.25">
      <c r="C2054" s="7"/>
      <c r="E2054" s="8"/>
      <c r="F2054" s="8"/>
      <c r="G2054" s="8"/>
      <c r="H2054" s="8"/>
      <c r="I2054" s="8"/>
      <c r="J2054" s="8"/>
      <c r="K2054" s="8"/>
      <c r="L2054" s="8"/>
    </row>
    <row r="2055" spans="3:12" x14ac:dyDescent="0.25">
      <c r="C2055" s="7"/>
      <c r="E2055" s="8"/>
      <c r="F2055" s="8"/>
      <c r="G2055" s="8"/>
      <c r="H2055" s="8"/>
      <c r="I2055" s="8"/>
      <c r="J2055" s="8"/>
      <c r="K2055" s="8"/>
      <c r="L2055" s="8"/>
    </row>
    <row r="2056" spans="3:12" x14ac:dyDescent="0.25">
      <c r="C2056" s="7"/>
      <c r="E2056" s="8"/>
      <c r="F2056" s="8"/>
      <c r="G2056" s="8"/>
      <c r="H2056" s="8"/>
      <c r="I2056" s="8"/>
      <c r="J2056" s="8"/>
      <c r="K2056" s="8"/>
      <c r="L2056" s="8"/>
    </row>
    <row r="2057" spans="3:12" x14ac:dyDescent="0.25">
      <c r="C2057" s="7"/>
      <c r="E2057" s="8"/>
      <c r="F2057" s="8"/>
      <c r="G2057" s="8"/>
      <c r="H2057" s="8"/>
      <c r="I2057" s="8"/>
      <c r="J2057" s="8"/>
      <c r="K2057" s="8"/>
      <c r="L2057" s="8"/>
    </row>
    <row r="2058" spans="3:12" x14ac:dyDescent="0.25">
      <c r="C2058" s="7"/>
      <c r="E2058" s="8"/>
      <c r="F2058" s="8"/>
      <c r="G2058" s="8"/>
      <c r="H2058" s="8"/>
      <c r="I2058" s="8"/>
      <c r="J2058" s="8"/>
      <c r="K2058" s="8"/>
      <c r="L2058" s="8"/>
    </row>
    <row r="2059" spans="3:12" x14ac:dyDescent="0.25">
      <c r="C2059" s="7"/>
      <c r="E2059" s="8"/>
      <c r="F2059" s="8"/>
      <c r="G2059" s="8"/>
      <c r="H2059" s="8"/>
      <c r="I2059" s="8"/>
      <c r="J2059" s="8"/>
      <c r="K2059" s="8"/>
      <c r="L2059" s="8"/>
    </row>
    <row r="2060" spans="3:12" x14ac:dyDescent="0.25">
      <c r="C2060" s="7"/>
      <c r="E2060" s="8"/>
      <c r="F2060" s="8"/>
      <c r="G2060" s="8"/>
      <c r="H2060" s="8"/>
      <c r="I2060" s="8"/>
      <c r="J2060" s="8"/>
      <c r="K2060" s="8"/>
      <c r="L2060" s="8"/>
    </row>
    <row r="2061" spans="3:12" x14ac:dyDescent="0.25">
      <c r="C2061" s="7"/>
      <c r="E2061" s="8"/>
      <c r="F2061" s="8"/>
      <c r="G2061" s="8"/>
      <c r="H2061" s="8"/>
      <c r="I2061" s="8"/>
      <c r="J2061" s="8"/>
      <c r="K2061" s="8"/>
      <c r="L2061" s="8"/>
    </row>
    <row r="2062" spans="3:12" x14ac:dyDescent="0.25">
      <c r="C2062" s="7"/>
      <c r="E2062" s="8"/>
      <c r="F2062" s="8"/>
      <c r="G2062" s="8"/>
      <c r="H2062" s="8"/>
      <c r="I2062" s="8"/>
      <c r="J2062" s="8"/>
      <c r="K2062" s="8"/>
      <c r="L2062" s="8"/>
    </row>
    <row r="2063" spans="3:12" x14ac:dyDescent="0.25">
      <c r="C2063" s="7"/>
      <c r="E2063" s="8"/>
      <c r="F2063" s="8"/>
      <c r="G2063" s="8"/>
      <c r="H2063" s="8"/>
      <c r="I2063" s="8"/>
      <c r="J2063" s="8"/>
      <c r="K2063" s="8"/>
      <c r="L2063" s="8"/>
    </row>
    <row r="2064" spans="3:12" x14ac:dyDescent="0.25">
      <c r="C2064" s="7"/>
      <c r="E2064" s="8"/>
      <c r="F2064" s="8"/>
      <c r="G2064" s="8"/>
      <c r="H2064" s="8"/>
      <c r="I2064" s="8"/>
      <c r="J2064" s="8"/>
      <c r="K2064" s="8"/>
      <c r="L2064" s="8"/>
    </row>
    <row r="2065" spans="3:12" x14ac:dyDescent="0.25">
      <c r="C2065" s="7"/>
      <c r="E2065" s="8"/>
      <c r="F2065" s="8"/>
      <c r="G2065" s="8"/>
      <c r="H2065" s="8"/>
      <c r="I2065" s="8"/>
      <c r="J2065" s="8"/>
      <c r="K2065" s="8"/>
      <c r="L2065" s="8"/>
    </row>
    <row r="2066" spans="3:12" x14ac:dyDescent="0.25">
      <c r="C2066" s="7"/>
      <c r="E2066" s="8"/>
      <c r="F2066" s="8"/>
      <c r="G2066" s="8"/>
      <c r="H2066" s="8"/>
      <c r="I2066" s="8"/>
      <c r="J2066" s="8"/>
      <c r="K2066" s="8"/>
      <c r="L2066" s="8"/>
    </row>
    <row r="2067" spans="3:12" x14ac:dyDescent="0.25">
      <c r="C2067" s="7"/>
      <c r="E2067" s="8"/>
      <c r="F2067" s="8"/>
      <c r="G2067" s="8"/>
      <c r="H2067" s="8"/>
      <c r="I2067" s="8"/>
      <c r="J2067" s="8"/>
      <c r="K2067" s="8"/>
      <c r="L2067" s="8"/>
    </row>
    <row r="2068" spans="3:12" x14ac:dyDescent="0.25">
      <c r="C2068" s="7"/>
      <c r="E2068" s="8"/>
      <c r="F2068" s="8"/>
      <c r="G2068" s="8"/>
      <c r="H2068" s="8"/>
      <c r="I2068" s="8"/>
      <c r="J2068" s="8"/>
      <c r="K2068" s="8"/>
      <c r="L2068" s="8"/>
    </row>
    <row r="2069" spans="3:12" x14ac:dyDescent="0.25">
      <c r="C2069" s="7"/>
      <c r="E2069" s="8"/>
      <c r="F2069" s="8"/>
      <c r="G2069" s="8"/>
      <c r="H2069" s="8"/>
      <c r="I2069" s="8"/>
      <c r="J2069" s="8"/>
      <c r="K2069" s="8"/>
      <c r="L2069" s="8"/>
    </row>
    <row r="2070" spans="3:12" x14ac:dyDescent="0.25">
      <c r="C2070" s="7"/>
      <c r="E2070" s="8"/>
      <c r="F2070" s="8"/>
      <c r="G2070" s="8"/>
      <c r="H2070" s="8"/>
      <c r="I2070" s="8"/>
      <c r="J2070" s="8"/>
      <c r="K2070" s="8"/>
      <c r="L2070" s="8"/>
    </row>
    <row r="2071" spans="3:12" x14ac:dyDescent="0.25">
      <c r="C2071" s="7"/>
      <c r="E2071" s="8"/>
      <c r="F2071" s="8"/>
      <c r="G2071" s="8"/>
      <c r="H2071" s="8"/>
      <c r="I2071" s="8"/>
      <c r="J2071" s="8"/>
      <c r="K2071" s="8"/>
      <c r="L2071" s="8"/>
    </row>
    <row r="2072" spans="3:12" x14ac:dyDescent="0.25">
      <c r="C2072" s="7"/>
      <c r="E2072" s="8"/>
      <c r="F2072" s="8"/>
      <c r="G2072" s="8"/>
      <c r="H2072" s="8"/>
      <c r="I2072" s="8"/>
      <c r="J2072" s="8"/>
      <c r="K2072" s="8"/>
      <c r="L2072" s="8"/>
    </row>
    <row r="2073" spans="3:12" x14ac:dyDescent="0.25">
      <c r="C2073" s="7"/>
      <c r="E2073" s="8"/>
      <c r="F2073" s="8"/>
      <c r="G2073" s="8"/>
      <c r="H2073" s="8"/>
      <c r="I2073" s="8"/>
      <c r="J2073" s="8"/>
      <c r="K2073" s="8"/>
      <c r="L2073" s="8"/>
    </row>
    <row r="2074" spans="3:12" x14ac:dyDescent="0.25">
      <c r="C2074" s="7"/>
      <c r="E2074" s="8"/>
      <c r="F2074" s="8"/>
      <c r="G2074" s="8"/>
      <c r="H2074" s="8"/>
      <c r="I2074" s="8"/>
      <c r="J2074" s="8"/>
      <c r="K2074" s="8"/>
      <c r="L2074" s="8"/>
    </row>
    <row r="2075" spans="3:12" x14ac:dyDescent="0.25">
      <c r="C2075" s="7"/>
      <c r="E2075" s="8"/>
      <c r="F2075" s="8"/>
      <c r="G2075" s="8"/>
      <c r="H2075" s="8"/>
      <c r="I2075" s="8"/>
      <c r="J2075" s="8"/>
      <c r="K2075" s="8"/>
      <c r="L2075" s="8"/>
    </row>
    <row r="2076" spans="3:12" x14ac:dyDescent="0.25">
      <c r="C2076" s="7"/>
      <c r="E2076" s="8"/>
      <c r="F2076" s="8"/>
      <c r="G2076" s="8"/>
      <c r="H2076" s="8"/>
      <c r="I2076" s="8"/>
      <c r="J2076" s="8"/>
      <c r="K2076" s="8"/>
      <c r="L2076" s="8"/>
    </row>
    <row r="2077" spans="3:12" x14ac:dyDescent="0.25">
      <c r="C2077" s="7"/>
      <c r="E2077" s="8"/>
      <c r="F2077" s="8"/>
      <c r="G2077" s="8"/>
      <c r="H2077" s="8"/>
      <c r="I2077" s="8"/>
      <c r="J2077" s="8"/>
      <c r="K2077" s="8"/>
      <c r="L2077" s="8"/>
    </row>
    <row r="2078" spans="3:12" x14ac:dyDescent="0.25">
      <c r="C2078" s="7"/>
      <c r="E2078" s="8"/>
      <c r="F2078" s="8"/>
      <c r="G2078" s="8"/>
      <c r="H2078" s="8"/>
      <c r="I2078" s="8"/>
      <c r="J2078" s="8"/>
      <c r="K2078" s="8"/>
      <c r="L2078" s="8"/>
    </row>
    <row r="2079" spans="3:12" x14ac:dyDescent="0.25">
      <c r="C2079" s="7"/>
      <c r="E2079" s="8"/>
      <c r="F2079" s="8"/>
      <c r="G2079" s="8"/>
      <c r="H2079" s="8"/>
      <c r="I2079" s="8"/>
      <c r="J2079" s="8"/>
      <c r="K2079" s="8"/>
      <c r="L2079" s="8"/>
    </row>
    <row r="2080" spans="3:12" x14ac:dyDescent="0.25">
      <c r="C2080" s="7"/>
      <c r="E2080" s="8"/>
      <c r="F2080" s="8"/>
      <c r="G2080" s="8"/>
      <c r="H2080" s="8"/>
      <c r="I2080" s="8"/>
      <c r="J2080" s="8"/>
      <c r="K2080" s="8"/>
      <c r="L2080" s="8"/>
    </row>
    <row r="2081" spans="3:12" x14ac:dyDescent="0.25">
      <c r="C2081" s="7"/>
      <c r="E2081" s="8"/>
      <c r="F2081" s="8"/>
      <c r="G2081" s="8"/>
      <c r="H2081" s="8"/>
      <c r="I2081" s="8"/>
      <c r="J2081" s="8"/>
      <c r="K2081" s="8"/>
      <c r="L2081" s="8"/>
    </row>
    <row r="2082" spans="3:12" x14ac:dyDescent="0.25">
      <c r="C2082" s="7"/>
      <c r="E2082" s="8"/>
      <c r="F2082" s="8"/>
      <c r="G2082" s="8"/>
      <c r="H2082" s="8"/>
      <c r="I2082" s="8"/>
      <c r="J2082" s="8"/>
      <c r="K2082" s="8"/>
      <c r="L2082" s="8"/>
    </row>
    <row r="2083" spans="3:12" x14ac:dyDescent="0.25">
      <c r="C2083" s="7"/>
      <c r="E2083" s="8"/>
      <c r="F2083" s="8"/>
      <c r="G2083" s="8"/>
      <c r="H2083" s="8"/>
      <c r="I2083" s="8"/>
      <c r="J2083" s="8"/>
      <c r="K2083" s="8"/>
      <c r="L2083" s="8"/>
    </row>
    <row r="2084" spans="3:12" x14ac:dyDescent="0.25">
      <c r="C2084" s="7"/>
      <c r="E2084" s="8"/>
      <c r="F2084" s="8"/>
      <c r="G2084" s="8"/>
      <c r="H2084" s="8"/>
      <c r="I2084" s="8"/>
      <c r="J2084" s="8"/>
      <c r="K2084" s="8"/>
      <c r="L2084" s="8"/>
    </row>
    <row r="2085" spans="3:12" x14ac:dyDescent="0.25">
      <c r="C2085" s="7"/>
      <c r="E2085" s="8"/>
      <c r="F2085" s="8"/>
      <c r="G2085" s="8"/>
      <c r="H2085" s="8"/>
      <c r="I2085" s="8"/>
      <c r="J2085" s="8"/>
      <c r="K2085" s="8"/>
      <c r="L2085" s="8"/>
    </row>
    <row r="2086" spans="3:12" x14ac:dyDescent="0.25">
      <c r="C2086" s="7"/>
      <c r="E2086" s="8"/>
      <c r="F2086" s="8"/>
      <c r="G2086" s="8"/>
      <c r="H2086" s="8"/>
      <c r="I2086" s="8"/>
      <c r="J2086" s="8"/>
      <c r="K2086" s="8"/>
      <c r="L2086" s="8"/>
    </row>
    <row r="2087" spans="3:12" x14ac:dyDescent="0.25">
      <c r="C2087" s="7"/>
      <c r="E2087" s="8"/>
      <c r="F2087" s="8"/>
      <c r="G2087" s="8"/>
      <c r="H2087" s="8"/>
      <c r="I2087" s="8"/>
      <c r="J2087" s="8"/>
      <c r="K2087" s="8"/>
      <c r="L2087" s="8"/>
    </row>
    <row r="2088" spans="3:12" x14ac:dyDescent="0.25">
      <c r="C2088" s="7"/>
      <c r="E2088" s="8"/>
      <c r="F2088" s="8"/>
      <c r="G2088" s="8"/>
      <c r="H2088" s="8"/>
      <c r="I2088" s="8"/>
      <c r="J2088" s="8"/>
      <c r="K2088" s="8"/>
      <c r="L2088" s="8"/>
    </row>
    <row r="2089" spans="3:12" x14ac:dyDescent="0.25">
      <c r="C2089" s="7"/>
      <c r="E2089" s="8"/>
      <c r="F2089" s="8"/>
      <c r="G2089" s="8"/>
      <c r="H2089" s="8"/>
      <c r="I2089" s="8"/>
      <c r="J2089" s="8"/>
      <c r="K2089" s="8"/>
      <c r="L2089" s="8"/>
    </row>
    <row r="2090" spans="3:12" x14ac:dyDescent="0.25">
      <c r="C2090" s="7"/>
      <c r="E2090" s="8"/>
      <c r="F2090" s="8"/>
      <c r="G2090" s="8"/>
      <c r="H2090" s="8"/>
      <c r="I2090" s="8"/>
      <c r="J2090" s="8"/>
      <c r="K2090" s="8"/>
      <c r="L2090" s="8"/>
    </row>
    <row r="2091" spans="3:12" x14ac:dyDescent="0.25">
      <c r="C2091" s="7"/>
      <c r="E2091" s="8"/>
      <c r="F2091" s="8"/>
      <c r="G2091" s="8"/>
      <c r="H2091" s="8"/>
      <c r="I2091" s="8"/>
      <c r="J2091" s="8"/>
      <c r="K2091" s="8"/>
      <c r="L2091" s="8"/>
    </row>
    <row r="2092" spans="3:12" x14ac:dyDescent="0.25">
      <c r="C2092" s="7"/>
      <c r="E2092" s="8"/>
      <c r="F2092" s="8"/>
      <c r="G2092" s="8"/>
      <c r="H2092" s="8"/>
      <c r="I2092" s="8"/>
      <c r="J2092" s="8"/>
      <c r="K2092" s="8"/>
      <c r="L2092" s="8"/>
    </row>
    <row r="2093" spans="3:12" x14ac:dyDescent="0.25">
      <c r="C2093" s="7"/>
      <c r="E2093" s="8"/>
      <c r="F2093" s="8"/>
      <c r="G2093" s="8"/>
      <c r="H2093" s="8"/>
      <c r="I2093" s="8"/>
      <c r="J2093" s="8"/>
      <c r="K2093" s="8"/>
      <c r="L2093" s="8"/>
    </row>
    <row r="2094" spans="3:12" x14ac:dyDescent="0.25">
      <c r="C2094" s="7"/>
      <c r="E2094" s="8"/>
      <c r="F2094" s="8"/>
      <c r="G2094" s="8"/>
      <c r="H2094" s="8"/>
      <c r="I2094" s="8"/>
      <c r="J2094" s="8"/>
      <c r="K2094" s="8"/>
      <c r="L2094" s="8"/>
    </row>
    <row r="2095" spans="3:12" x14ac:dyDescent="0.25">
      <c r="C2095" s="7"/>
      <c r="E2095" s="8"/>
      <c r="F2095" s="8"/>
      <c r="G2095" s="8"/>
      <c r="H2095" s="8"/>
      <c r="I2095" s="8"/>
      <c r="J2095" s="8"/>
      <c r="K2095" s="8"/>
      <c r="L2095" s="8"/>
    </row>
    <row r="2096" spans="3:12" x14ac:dyDescent="0.25">
      <c r="C2096" s="7"/>
      <c r="E2096" s="8"/>
      <c r="F2096" s="8"/>
      <c r="G2096" s="8"/>
      <c r="H2096" s="8"/>
      <c r="I2096" s="8"/>
      <c r="J2096" s="8"/>
      <c r="K2096" s="8"/>
      <c r="L2096" s="8"/>
    </row>
    <row r="2097" spans="3:12" x14ac:dyDescent="0.25">
      <c r="C2097" s="7"/>
      <c r="E2097" s="8"/>
      <c r="F2097" s="8"/>
      <c r="G2097" s="8"/>
      <c r="H2097" s="8"/>
      <c r="I2097" s="8"/>
      <c r="J2097" s="8"/>
      <c r="K2097" s="8"/>
      <c r="L2097" s="8"/>
    </row>
    <row r="2098" spans="3:12" x14ac:dyDescent="0.25">
      <c r="C2098" s="7"/>
      <c r="E2098" s="8"/>
      <c r="F2098" s="8"/>
      <c r="G2098" s="8"/>
      <c r="H2098" s="8"/>
      <c r="I2098" s="8"/>
      <c r="J2098" s="8"/>
      <c r="K2098" s="8"/>
      <c r="L2098" s="8"/>
    </row>
    <row r="2099" spans="3:12" x14ac:dyDescent="0.25">
      <c r="C2099" s="7"/>
      <c r="E2099" s="8"/>
      <c r="F2099" s="8"/>
      <c r="G2099" s="8"/>
      <c r="H2099" s="8"/>
      <c r="I2099" s="8"/>
      <c r="J2099" s="8"/>
      <c r="K2099" s="8"/>
      <c r="L2099" s="8"/>
    </row>
    <row r="2100" spans="3:12" x14ac:dyDescent="0.25">
      <c r="C2100" s="7"/>
      <c r="E2100" s="8"/>
      <c r="F2100" s="8"/>
      <c r="G2100" s="8"/>
      <c r="H2100" s="8"/>
      <c r="I2100" s="8"/>
      <c r="J2100" s="8"/>
      <c r="K2100" s="8"/>
      <c r="L2100" s="8"/>
    </row>
    <row r="2101" spans="3:12" x14ac:dyDescent="0.25">
      <c r="C2101" s="7"/>
      <c r="E2101" s="8"/>
      <c r="F2101" s="8"/>
      <c r="G2101" s="8"/>
      <c r="H2101" s="8"/>
      <c r="I2101" s="8"/>
      <c r="J2101" s="8"/>
      <c r="K2101" s="8"/>
      <c r="L2101" s="8"/>
    </row>
    <row r="2102" spans="3:12" x14ac:dyDescent="0.25">
      <c r="C2102" s="7"/>
      <c r="E2102" s="8"/>
      <c r="F2102" s="8"/>
      <c r="G2102" s="8"/>
      <c r="H2102" s="8"/>
      <c r="I2102" s="8"/>
      <c r="J2102" s="8"/>
      <c r="K2102" s="8"/>
      <c r="L2102" s="8"/>
    </row>
    <row r="2103" spans="3:12" x14ac:dyDescent="0.25">
      <c r="C2103" s="7"/>
      <c r="E2103" s="8"/>
      <c r="F2103" s="8"/>
      <c r="G2103" s="8"/>
      <c r="H2103" s="8"/>
      <c r="I2103" s="8"/>
      <c r="J2103" s="8"/>
      <c r="K2103" s="8"/>
      <c r="L2103" s="8"/>
    </row>
    <row r="2104" spans="3:12" x14ac:dyDescent="0.25">
      <c r="C2104" s="7"/>
      <c r="E2104" s="8"/>
      <c r="F2104" s="8"/>
      <c r="G2104" s="8"/>
      <c r="H2104" s="8"/>
      <c r="I2104" s="8"/>
      <c r="J2104" s="8"/>
      <c r="K2104" s="8"/>
      <c r="L2104" s="8"/>
    </row>
    <row r="2105" spans="3:12" x14ac:dyDescent="0.25">
      <c r="C2105" s="7"/>
      <c r="E2105" s="8"/>
      <c r="F2105" s="8"/>
      <c r="G2105" s="8"/>
      <c r="H2105" s="8"/>
      <c r="I2105" s="8"/>
      <c r="J2105" s="8"/>
      <c r="K2105" s="8"/>
      <c r="L2105" s="8"/>
    </row>
    <row r="2106" spans="3:12" x14ac:dyDescent="0.25">
      <c r="C2106" s="7"/>
      <c r="E2106" s="8"/>
      <c r="F2106" s="8"/>
      <c r="G2106" s="8"/>
      <c r="H2106" s="8"/>
      <c r="I2106" s="8"/>
      <c r="J2106" s="8"/>
      <c r="K2106" s="8"/>
      <c r="L2106" s="8"/>
    </row>
    <row r="2107" spans="3:12" x14ac:dyDescent="0.25">
      <c r="C2107" s="7"/>
      <c r="E2107" s="8"/>
      <c r="F2107" s="8"/>
      <c r="G2107" s="8"/>
      <c r="H2107" s="8"/>
      <c r="I2107" s="8"/>
      <c r="J2107" s="8"/>
      <c r="K2107" s="8"/>
      <c r="L2107" s="8"/>
    </row>
    <row r="2108" spans="3:12" x14ac:dyDescent="0.25">
      <c r="C2108" s="7"/>
      <c r="E2108" s="8"/>
      <c r="F2108" s="8"/>
      <c r="G2108" s="8"/>
      <c r="H2108" s="8"/>
      <c r="I2108" s="8"/>
      <c r="J2108" s="8"/>
      <c r="K2108" s="8"/>
      <c r="L2108" s="8"/>
    </row>
    <row r="2109" spans="3:12" x14ac:dyDescent="0.25">
      <c r="C2109" s="7"/>
      <c r="E2109" s="8"/>
      <c r="F2109" s="8"/>
      <c r="G2109" s="8"/>
      <c r="H2109" s="8"/>
      <c r="I2109" s="8"/>
      <c r="J2109" s="8"/>
      <c r="K2109" s="8"/>
      <c r="L2109" s="8"/>
    </row>
    <row r="2110" spans="3:12" x14ac:dyDescent="0.25">
      <c r="C2110" s="7"/>
      <c r="E2110" s="8"/>
      <c r="F2110" s="8"/>
      <c r="G2110" s="8"/>
      <c r="H2110" s="8"/>
      <c r="I2110" s="8"/>
      <c r="J2110" s="8"/>
      <c r="K2110" s="8"/>
      <c r="L2110" s="8"/>
    </row>
    <row r="2111" spans="3:12" x14ac:dyDescent="0.25">
      <c r="C2111" s="7"/>
      <c r="E2111" s="8"/>
      <c r="F2111" s="8"/>
      <c r="G2111" s="8"/>
      <c r="H2111" s="8"/>
      <c r="I2111" s="8"/>
      <c r="J2111" s="8"/>
      <c r="K2111" s="8"/>
      <c r="L2111" s="8"/>
    </row>
    <row r="2112" spans="3:12" x14ac:dyDescent="0.25">
      <c r="C2112" s="7"/>
      <c r="E2112" s="8"/>
      <c r="F2112" s="8"/>
      <c r="G2112" s="8"/>
      <c r="H2112" s="8"/>
      <c r="I2112" s="8"/>
      <c r="J2112" s="8"/>
      <c r="K2112" s="8"/>
      <c r="L2112" s="8"/>
    </row>
    <row r="2113" spans="3:12" x14ac:dyDescent="0.25">
      <c r="C2113" s="7"/>
      <c r="E2113" s="8"/>
      <c r="F2113" s="8"/>
      <c r="G2113" s="8"/>
      <c r="H2113" s="8"/>
      <c r="I2113" s="8"/>
      <c r="J2113" s="8"/>
      <c r="K2113" s="8"/>
      <c r="L2113" s="8"/>
    </row>
    <row r="2114" spans="3:12" x14ac:dyDescent="0.25">
      <c r="C2114" s="7"/>
      <c r="E2114" s="8"/>
      <c r="F2114" s="8"/>
      <c r="G2114" s="8"/>
      <c r="H2114" s="8"/>
      <c r="I2114" s="8"/>
      <c r="J2114" s="8"/>
      <c r="K2114" s="8"/>
      <c r="L2114" s="8"/>
    </row>
    <row r="2115" spans="3:12" x14ac:dyDescent="0.25">
      <c r="C2115" s="7"/>
      <c r="E2115" s="8"/>
      <c r="F2115" s="8"/>
      <c r="G2115" s="8"/>
      <c r="H2115" s="8"/>
      <c r="I2115" s="8"/>
      <c r="J2115" s="8"/>
      <c r="K2115" s="8"/>
      <c r="L2115" s="8"/>
    </row>
    <row r="2116" spans="3:12" x14ac:dyDescent="0.25">
      <c r="C2116" s="7"/>
      <c r="E2116" s="8"/>
      <c r="F2116" s="8"/>
      <c r="G2116" s="8"/>
      <c r="H2116" s="8"/>
      <c r="I2116" s="8"/>
      <c r="J2116" s="8"/>
      <c r="K2116" s="8"/>
      <c r="L2116" s="8"/>
    </row>
    <row r="2117" spans="3:12" x14ac:dyDescent="0.25">
      <c r="C2117" s="7"/>
      <c r="E2117" s="8"/>
      <c r="F2117" s="8"/>
      <c r="G2117" s="8"/>
      <c r="H2117" s="8"/>
      <c r="I2117" s="8"/>
      <c r="J2117" s="8"/>
      <c r="K2117" s="8"/>
      <c r="L2117" s="8"/>
    </row>
    <row r="2118" spans="3:12" x14ac:dyDescent="0.25">
      <c r="C2118" s="7"/>
      <c r="E2118" s="8"/>
      <c r="F2118" s="8"/>
      <c r="G2118" s="8"/>
      <c r="H2118" s="8"/>
      <c r="I2118" s="8"/>
      <c r="J2118" s="8"/>
      <c r="K2118" s="8"/>
      <c r="L2118" s="8"/>
    </row>
    <row r="2119" spans="3:12" x14ac:dyDescent="0.25">
      <c r="C2119" s="7"/>
      <c r="E2119" s="8"/>
      <c r="F2119" s="8"/>
      <c r="G2119" s="8"/>
      <c r="H2119" s="8"/>
      <c r="I2119" s="8"/>
      <c r="J2119" s="8"/>
      <c r="K2119" s="8"/>
      <c r="L2119" s="8"/>
    </row>
    <row r="2120" spans="3:12" x14ac:dyDescent="0.25">
      <c r="C2120" s="7"/>
      <c r="E2120" s="8"/>
      <c r="F2120" s="8"/>
      <c r="G2120" s="8"/>
      <c r="H2120" s="8"/>
      <c r="I2120" s="8"/>
      <c r="J2120" s="8"/>
      <c r="K2120" s="8"/>
      <c r="L2120" s="8"/>
    </row>
    <row r="2121" spans="3:12" x14ac:dyDescent="0.25">
      <c r="C2121" s="7"/>
      <c r="E2121" s="8"/>
      <c r="F2121" s="8"/>
      <c r="G2121" s="8"/>
      <c r="H2121" s="8"/>
      <c r="I2121" s="8"/>
      <c r="J2121" s="8"/>
      <c r="K2121" s="8"/>
      <c r="L2121" s="8"/>
    </row>
    <row r="2122" spans="3:12" x14ac:dyDescent="0.25">
      <c r="C2122" s="7"/>
      <c r="E2122" s="8"/>
      <c r="F2122" s="8"/>
      <c r="G2122" s="8"/>
      <c r="H2122" s="8"/>
      <c r="I2122" s="8"/>
      <c r="J2122" s="8"/>
      <c r="K2122" s="8"/>
      <c r="L2122" s="8"/>
    </row>
    <row r="2123" spans="3:12" x14ac:dyDescent="0.25">
      <c r="C2123" s="7"/>
      <c r="E2123" s="8"/>
      <c r="F2123" s="8"/>
      <c r="G2123" s="8"/>
      <c r="H2123" s="8"/>
      <c r="I2123" s="8"/>
      <c r="J2123" s="8"/>
      <c r="K2123" s="8"/>
      <c r="L2123" s="8"/>
    </row>
    <row r="2124" spans="3:12" x14ac:dyDescent="0.25">
      <c r="C2124" s="7"/>
      <c r="E2124" s="8"/>
      <c r="F2124" s="8"/>
      <c r="G2124" s="8"/>
      <c r="H2124" s="8"/>
      <c r="I2124" s="8"/>
      <c r="J2124" s="8"/>
      <c r="K2124" s="8"/>
      <c r="L2124" s="8"/>
    </row>
    <row r="2125" spans="3:12" x14ac:dyDescent="0.25">
      <c r="C2125" s="7"/>
      <c r="E2125" s="8"/>
      <c r="F2125" s="8"/>
      <c r="G2125" s="8"/>
      <c r="H2125" s="8"/>
      <c r="I2125" s="8"/>
      <c r="J2125" s="8"/>
      <c r="K2125" s="8"/>
      <c r="L2125" s="8"/>
    </row>
    <row r="2126" spans="3:12" x14ac:dyDescent="0.25">
      <c r="C2126" s="7"/>
      <c r="E2126" s="8"/>
      <c r="F2126" s="8"/>
      <c r="G2126" s="8"/>
      <c r="H2126" s="8"/>
      <c r="I2126" s="8"/>
      <c r="J2126" s="8"/>
      <c r="K2126" s="8"/>
      <c r="L2126" s="8"/>
    </row>
    <row r="2127" spans="3:12" x14ac:dyDescent="0.25">
      <c r="C2127" s="7"/>
      <c r="E2127" s="8"/>
      <c r="F2127" s="8"/>
      <c r="G2127" s="8"/>
      <c r="H2127" s="8"/>
      <c r="I2127" s="8"/>
      <c r="J2127" s="8"/>
      <c r="K2127" s="8"/>
      <c r="L2127" s="8"/>
    </row>
    <row r="2128" spans="3:12" x14ac:dyDescent="0.25">
      <c r="C2128" s="7"/>
      <c r="E2128" s="8"/>
      <c r="F2128" s="8"/>
      <c r="G2128" s="8"/>
      <c r="H2128" s="8"/>
      <c r="I2128" s="8"/>
      <c r="J2128" s="8"/>
      <c r="K2128" s="8"/>
      <c r="L2128" s="8"/>
    </row>
    <row r="2129" spans="3:12" x14ac:dyDescent="0.25">
      <c r="C2129" s="7"/>
      <c r="E2129" s="8"/>
      <c r="F2129" s="8"/>
      <c r="G2129" s="8"/>
      <c r="H2129" s="8"/>
      <c r="I2129" s="8"/>
      <c r="J2129" s="8"/>
      <c r="K2129" s="8"/>
      <c r="L2129" s="8"/>
    </row>
    <row r="2130" spans="3:12" x14ac:dyDescent="0.25">
      <c r="C2130" s="7"/>
      <c r="E2130" s="8"/>
      <c r="F2130" s="8"/>
      <c r="G2130" s="8"/>
      <c r="H2130" s="8"/>
      <c r="I2130" s="8"/>
      <c r="J2130" s="8"/>
      <c r="K2130" s="8"/>
      <c r="L2130" s="8"/>
    </row>
    <row r="2131" spans="3:12" x14ac:dyDescent="0.25">
      <c r="C2131" s="7"/>
      <c r="E2131" s="8"/>
      <c r="F2131" s="8"/>
      <c r="G2131" s="8"/>
      <c r="H2131" s="8"/>
      <c r="I2131" s="8"/>
      <c r="J2131" s="8"/>
      <c r="K2131" s="8"/>
      <c r="L2131" s="8"/>
    </row>
    <row r="2132" spans="3:12" x14ac:dyDescent="0.25">
      <c r="C2132" s="7"/>
      <c r="E2132" s="8"/>
      <c r="F2132" s="8"/>
      <c r="G2132" s="8"/>
      <c r="H2132" s="8"/>
      <c r="I2132" s="8"/>
      <c r="J2132" s="8"/>
      <c r="K2132" s="8"/>
      <c r="L2132" s="8"/>
    </row>
    <row r="2133" spans="3:12" x14ac:dyDescent="0.25">
      <c r="C2133" s="7"/>
      <c r="E2133" s="8"/>
      <c r="F2133" s="8"/>
      <c r="G2133" s="8"/>
      <c r="H2133" s="8"/>
      <c r="I2133" s="8"/>
      <c r="J2133" s="8"/>
      <c r="K2133" s="8"/>
      <c r="L2133" s="8"/>
    </row>
    <row r="2134" spans="3:12" x14ac:dyDescent="0.25">
      <c r="C2134" s="7"/>
      <c r="E2134" s="8"/>
      <c r="F2134" s="8"/>
      <c r="G2134" s="8"/>
      <c r="H2134" s="8"/>
      <c r="I2134" s="8"/>
      <c r="J2134" s="8"/>
      <c r="K2134" s="8"/>
      <c r="L2134" s="8"/>
    </row>
    <row r="2135" spans="3:12" x14ac:dyDescent="0.25">
      <c r="C2135" s="7"/>
      <c r="E2135" s="8"/>
      <c r="F2135" s="8"/>
      <c r="G2135" s="8"/>
      <c r="H2135" s="8"/>
      <c r="I2135" s="8"/>
      <c r="J2135" s="8"/>
      <c r="K2135" s="8"/>
      <c r="L2135" s="8"/>
    </row>
    <row r="2136" spans="3:12" x14ac:dyDescent="0.25">
      <c r="C2136" s="7"/>
      <c r="E2136" s="8"/>
      <c r="F2136" s="8"/>
      <c r="G2136" s="8"/>
      <c r="H2136" s="8"/>
      <c r="I2136" s="8"/>
      <c r="J2136" s="8"/>
      <c r="K2136" s="8"/>
      <c r="L2136" s="8"/>
    </row>
    <row r="2137" spans="3:12" x14ac:dyDescent="0.25">
      <c r="C2137" s="7"/>
      <c r="E2137" s="8"/>
      <c r="F2137" s="8"/>
      <c r="G2137" s="8"/>
      <c r="H2137" s="8"/>
      <c r="I2137" s="8"/>
      <c r="J2137" s="8"/>
      <c r="K2137" s="8"/>
      <c r="L2137" s="8"/>
    </row>
    <row r="2138" spans="3:12" x14ac:dyDescent="0.25">
      <c r="C2138" s="7"/>
      <c r="E2138" s="8"/>
      <c r="F2138" s="8"/>
      <c r="G2138" s="8"/>
      <c r="H2138" s="8"/>
      <c r="I2138" s="8"/>
      <c r="J2138" s="8"/>
      <c r="K2138" s="8"/>
      <c r="L2138" s="8"/>
    </row>
    <row r="2139" spans="3:12" x14ac:dyDescent="0.25">
      <c r="C2139" s="7"/>
      <c r="E2139" s="8"/>
      <c r="F2139" s="8"/>
      <c r="G2139" s="8"/>
      <c r="H2139" s="8"/>
      <c r="I2139" s="8"/>
      <c r="J2139" s="8"/>
      <c r="K2139" s="8"/>
      <c r="L2139" s="8"/>
    </row>
    <row r="2140" spans="3:12" x14ac:dyDescent="0.25">
      <c r="C2140" s="7"/>
      <c r="E2140" s="8"/>
      <c r="F2140" s="8"/>
      <c r="G2140" s="8"/>
      <c r="H2140" s="8"/>
      <c r="I2140" s="8"/>
      <c r="J2140" s="8"/>
      <c r="K2140" s="8"/>
      <c r="L2140" s="8"/>
    </row>
    <row r="2141" spans="3:12" x14ac:dyDescent="0.25">
      <c r="C2141" s="7"/>
      <c r="E2141" s="8"/>
      <c r="F2141" s="8"/>
      <c r="G2141" s="8"/>
      <c r="H2141" s="8"/>
      <c r="I2141" s="8"/>
      <c r="J2141" s="8"/>
      <c r="K2141" s="8"/>
      <c r="L2141" s="8"/>
    </row>
    <row r="2142" spans="3:12" x14ac:dyDescent="0.25">
      <c r="C2142" s="7"/>
      <c r="E2142" s="8"/>
      <c r="F2142" s="8"/>
      <c r="G2142" s="8"/>
      <c r="H2142" s="8"/>
      <c r="I2142" s="8"/>
      <c r="J2142" s="8"/>
      <c r="K2142" s="8"/>
      <c r="L2142" s="8"/>
    </row>
    <row r="2143" spans="3:12" x14ac:dyDescent="0.25">
      <c r="C2143" s="7"/>
      <c r="E2143" s="8"/>
      <c r="F2143" s="8"/>
      <c r="G2143" s="8"/>
      <c r="H2143" s="8"/>
      <c r="I2143" s="8"/>
      <c r="J2143" s="8"/>
      <c r="K2143" s="8"/>
      <c r="L2143" s="8"/>
    </row>
    <row r="2144" spans="3:12" x14ac:dyDescent="0.25">
      <c r="C2144" s="7"/>
      <c r="E2144" s="8"/>
      <c r="F2144" s="8"/>
      <c r="G2144" s="8"/>
      <c r="H2144" s="8"/>
      <c r="I2144" s="8"/>
      <c r="J2144" s="8"/>
      <c r="K2144" s="8"/>
      <c r="L2144" s="8"/>
    </row>
    <row r="2145" spans="3:12" x14ac:dyDescent="0.25">
      <c r="C2145" s="7"/>
      <c r="E2145" s="8"/>
      <c r="F2145" s="8"/>
      <c r="G2145" s="8"/>
      <c r="H2145" s="8"/>
      <c r="I2145" s="8"/>
      <c r="J2145" s="8"/>
      <c r="K2145" s="8"/>
      <c r="L2145" s="8"/>
    </row>
    <row r="2146" spans="3:12" x14ac:dyDescent="0.25">
      <c r="C2146" s="7"/>
      <c r="E2146" s="8"/>
      <c r="F2146" s="8"/>
      <c r="G2146" s="8"/>
      <c r="H2146" s="8"/>
      <c r="I2146" s="8"/>
      <c r="J2146" s="8"/>
      <c r="K2146" s="8"/>
      <c r="L2146" s="8"/>
    </row>
    <row r="2147" spans="3:12" x14ac:dyDescent="0.25">
      <c r="C2147" s="7"/>
      <c r="E2147" s="8"/>
      <c r="F2147" s="8"/>
      <c r="G2147" s="8"/>
      <c r="H2147" s="8"/>
      <c r="I2147" s="8"/>
      <c r="J2147" s="8"/>
      <c r="K2147" s="8"/>
      <c r="L2147" s="8"/>
    </row>
    <row r="2148" spans="3:12" x14ac:dyDescent="0.25">
      <c r="C2148" s="7"/>
      <c r="E2148" s="8"/>
      <c r="F2148" s="8"/>
      <c r="G2148" s="8"/>
      <c r="H2148" s="8"/>
      <c r="I2148" s="8"/>
      <c r="J2148" s="8"/>
      <c r="K2148" s="8"/>
      <c r="L2148" s="8"/>
    </row>
    <row r="2149" spans="3:12" x14ac:dyDescent="0.25">
      <c r="C2149" s="7"/>
      <c r="E2149" s="8"/>
      <c r="F2149" s="8"/>
      <c r="G2149" s="8"/>
      <c r="H2149" s="8"/>
      <c r="I2149" s="8"/>
      <c r="J2149" s="8"/>
      <c r="K2149" s="8"/>
      <c r="L2149" s="8"/>
    </row>
    <row r="2150" spans="3:12" x14ac:dyDescent="0.25">
      <c r="C2150" s="7"/>
      <c r="E2150" s="8"/>
      <c r="F2150" s="8"/>
      <c r="G2150" s="8"/>
      <c r="H2150" s="8"/>
      <c r="I2150" s="8"/>
      <c r="J2150" s="8"/>
      <c r="K2150" s="8"/>
      <c r="L2150" s="8"/>
    </row>
    <row r="2151" spans="3:12" x14ac:dyDescent="0.25">
      <c r="C2151" s="7"/>
      <c r="E2151" s="8"/>
      <c r="F2151" s="8"/>
      <c r="G2151" s="8"/>
      <c r="H2151" s="8"/>
      <c r="I2151" s="8"/>
      <c r="J2151" s="8"/>
      <c r="K2151" s="8"/>
      <c r="L2151" s="8"/>
    </row>
    <row r="2152" spans="3:12" x14ac:dyDescent="0.25">
      <c r="C2152" s="7"/>
      <c r="E2152" s="8"/>
      <c r="F2152" s="8"/>
      <c r="G2152" s="8"/>
      <c r="H2152" s="8"/>
      <c r="I2152" s="8"/>
      <c r="J2152" s="8"/>
      <c r="K2152" s="8"/>
      <c r="L2152" s="8"/>
    </row>
    <row r="2153" spans="3:12" x14ac:dyDescent="0.25">
      <c r="C2153" s="7"/>
      <c r="E2153" s="8"/>
      <c r="F2153" s="8"/>
      <c r="G2153" s="8"/>
      <c r="H2153" s="8"/>
      <c r="I2153" s="8"/>
      <c r="J2153" s="8"/>
      <c r="K2153" s="8"/>
      <c r="L2153" s="8"/>
    </row>
    <row r="2154" spans="3:12" x14ac:dyDescent="0.25">
      <c r="C2154" s="7"/>
      <c r="E2154" s="8"/>
      <c r="F2154" s="8"/>
      <c r="G2154" s="8"/>
      <c r="H2154" s="8"/>
      <c r="I2154" s="8"/>
      <c r="J2154" s="8"/>
      <c r="K2154" s="8"/>
      <c r="L2154" s="8"/>
    </row>
    <row r="2155" spans="3:12" x14ac:dyDescent="0.25">
      <c r="C2155" s="7"/>
      <c r="E2155" s="8"/>
      <c r="F2155" s="8"/>
      <c r="G2155" s="8"/>
      <c r="H2155" s="8"/>
      <c r="I2155" s="8"/>
      <c r="J2155" s="8"/>
      <c r="K2155" s="8"/>
      <c r="L2155" s="8"/>
    </row>
    <row r="2156" spans="3:12" x14ac:dyDescent="0.25">
      <c r="C2156" s="7"/>
      <c r="E2156" s="8"/>
      <c r="F2156" s="8"/>
      <c r="G2156" s="8"/>
      <c r="H2156" s="8"/>
      <c r="I2156" s="8"/>
      <c r="J2156" s="8"/>
      <c r="K2156" s="8"/>
      <c r="L2156" s="8"/>
    </row>
    <row r="2157" spans="3:12" x14ac:dyDescent="0.25">
      <c r="C2157" s="7"/>
      <c r="E2157" s="8"/>
      <c r="F2157" s="8"/>
      <c r="G2157" s="8"/>
      <c r="H2157" s="8"/>
      <c r="I2157" s="8"/>
      <c r="J2157" s="8"/>
      <c r="K2157" s="8"/>
      <c r="L2157" s="8"/>
    </row>
    <row r="2158" spans="3:12" x14ac:dyDescent="0.25">
      <c r="C2158" s="7"/>
      <c r="E2158" s="8"/>
      <c r="F2158" s="8"/>
      <c r="G2158" s="8"/>
      <c r="H2158" s="8"/>
      <c r="I2158" s="8"/>
      <c r="J2158" s="8"/>
      <c r="K2158" s="8"/>
      <c r="L2158" s="8"/>
    </row>
    <row r="2159" spans="3:12" x14ac:dyDescent="0.25">
      <c r="C2159" s="7"/>
      <c r="E2159" s="8"/>
      <c r="F2159" s="8"/>
      <c r="G2159" s="8"/>
      <c r="H2159" s="8"/>
      <c r="I2159" s="8"/>
      <c r="J2159" s="8"/>
      <c r="K2159" s="8"/>
      <c r="L2159" s="8"/>
    </row>
    <row r="2160" spans="3:12" x14ac:dyDescent="0.25">
      <c r="C2160" s="7"/>
      <c r="E2160" s="8"/>
      <c r="F2160" s="8"/>
      <c r="G2160" s="8"/>
      <c r="H2160" s="8"/>
      <c r="I2160" s="8"/>
      <c r="J2160" s="8"/>
      <c r="K2160" s="8"/>
      <c r="L2160" s="8"/>
    </row>
    <row r="2161" spans="3:12" x14ac:dyDescent="0.25">
      <c r="C2161" s="7"/>
      <c r="E2161" s="8"/>
      <c r="F2161" s="8"/>
      <c r="G2161" s="8"/>
      <c r="H2161" s="8"/>
      <c r="I2161" s="8"/>
      <c r="J2161" s="8"/>
      <c r="K2161" s="8"/>
      <c r="L2161" s="8"/>
    </row>
    <row r="2162" spans="3:12" x14ac:dyDescent="0.25">
      <c r="C2162" s="7"/>
      <c r="E2162" s="8"/>
      <c r="F2162" s="8"/>
      <c r="G2162" s="8"/>
      <c r="H2162" s="8"/>
      <c r="I2162" s="8"/>
      <c r="J2162" s="8"/>
      <c r="K2162" s="8"/>
      <c r="L2162" s="8"/>
    </row>
    <row r="2163" spans="3:12" x14ac:dyDescent="0.25">
      <c r="C2163" s="7"/>
      <c r="E2163" s="8"/>
      <c r="F2163" s="8"/>
      <c r="G2163" s="8"/>
      <c r="H2163" s="8"/>
      <c r="I2163" s="8"/>
      <c r="J2163" s="8"/>
      <c r="K2163" s="8"/>
      <c r="L2163" s="8"/>
    </row>
    <row r="2164" spans="3:12" x14ac:dyDescent="0.25">
      <c r="C2164" s="7"/>
      <c r="E2164" s="8"/>
      <c r="F2164" s="8"/>
      <c r="G2164" s="8"/>
      <c r="H2164" s="8"/>
      <c r="I2164" s="8"/>
      <c r="J2164" s="8"/>
      <c r="K2164" s="8"/>
      <c r="L2164" s="8"/>
    </row>
    <row r="2165" spans="3:12" x14ac:dyDescent="0.25">
      <c r="C2165" s="7"/>
      <c r="E2165" s="8"/>
      <c r="F2165" s="8"/>
      <c r="G2165" s="8"/>
      <c r="H2165" s="8"/>
      <c r="I2165" s="8"/>
      <c r="J2165" s="8"/>
      <c r="K2165" s="8"/>
      <c r="L2165" s="8"/>
    </row>
    <row r="2166" spans="3:12" x14ac:dyDescent="0.25">
      <c r="C2166" s="7"/>
      <c r="E2166" s="8"/>
      <c r="F2166" s="8"/>
      <c r="G2166" s="8"/>
      <c r="H2166" s="8"/>
      <c r="I2166" s="8"/>
      <c r="J2166" s="8"/>
      <c r="K2166" s="8"/>
      <c r="L2166" s="8"/>
    </row>
    <row r="2167" spans="3:12" x14ac:dyDescent="0.25">
      <c r="C2167" s="7"/>
      <c r="E2167" s="8"/>
      <c r="F2167" s="8"/>
      <c r="G2167" s="8"/>
      <c r="H2167" s="8"/>
      <c r="I2167" s="8"/>
      <c r="J2167" s="8"/>
      <c r="K2167" s="8"/>
      <c r="L2167" s="8"/>
    </row>
    <row r="2168" spans="3:12" x14ac:dyDescent="0.25">
      <c r="C2168" s="7"/>
      <c r="E2168" s="8"/>
      <c r="F2168" s="8"/>
      <c r="G2168" s="8"/>
      <c r="H2168" s="8"/>
      <c r="I2168" s="8"/>
      <c r="J2168" s="8"/>
      <c r="K2168" s="8"/>
      <c r="L2168" s="8"/>
    </row>
    <row r="2169" spans="3:12" x14ac:dyDescent="0.25">
      <c r="C2169" s="7"/>
      <c r="E2169" s="8"/>
      <c r="F2169" s="8"/>
      <c r="G2169" s="8"/>
      <c r="H2169" s="8"/>
      <c r="I2169" s="8"/>
      <c r="J2169" s="8"/>
      <c r="K2169" s="8"/>
      <c r="L2169" s="8"/>
    </row>
    <row r="2170" spans="3:12" x14ac:dyDescent="0.25">
      <c r="C2170" s="7"/>
      <c r="E2170" s="8"/>
      <c r="F2170" s="8"/>
      <c r="G2170" s="8"/>
      <c r="H2170" s="8"/>
      <c r="I2170" s="8"/>
      <c r="J2170" s="8"/>
      <c r="K2170" s="8"/>
      <c r="L2170" s="8"/>
    </row>
    <row r="2171" spans="3:12" x14ac:dyDescent="0.25">
      <c r="C2171" s="7"/>
      <c r="E2171" s="8"/>
      <c r="F2171" s="8"/>
      <c r="G2171" s="8"/>
      <c r="H2171" s="8"/>
      <c r="I2171" s="8"/>
      <c r="J2171" s="8"/>
      <c r="K2171" s="8"/>
      <c r="L2171" s="8"/>
    </row>
    <row r="2172" spans="3:12" x14ac:dyDescent="0.25">
      <c r="C2172" s="7"/>
      <c r="E2172" s="8"/>
      <c r="F2172" s="8"/>
      <c r="G2172" s="8"/>
      <c r="H2172" s="8"/>
      <c r="I2172" s="8"/>
      <c r="J2172" s="8"/>
      <c r="K2172" s="8"/>
      <c r="L2172" s="8"/>
    </row>
    <row r="2173" spans="3:12" x14ac:dyDescent="0.25">
      <c r="C2173" s="7"/>
      <c r="E2173" s="8"/>
      <c r="F2173" s="8"/>
      <c r="G2173" s="8"/>
      <c r="H2173" s="8"/>
      <c r="I2173" s="8"/>
      <c r="J2173" s="8"/>
      <c r="K2173" s="8"/>
      <c r="L2173" s="8"/>
    </row>
    <row r="2174" spans="3:12" x14ac:dyDescent="0.25">
      <c r="C2174" s="7"/>
      <c r="E2174" s="8"/>
      <c r="F2174" s="8"/>
      <c r="G2174" s="8"/>
      <c r="H2174" s="8"/>
      <c r="I2174" s="8"/>
      <c r="J2174" s="8"/>
      <c r="K2174" s="8"/>
      <c r="L2174" s="8"/>
    </row>
    <row r="2175" spans="3:12" x14ac:dyDescent="0.25">
      <c r="C2175" s="7"/>
      <c r="E2175" s="8"/>
      <c r="F2175" s="8"/>
      <c r="G2175" s="8"/>
      <c r="H2175" s="8"/>
      <c r="I2175" s="8"/>
      <c r="J2175" s="8"/>
      <c r="K2175" s="8"/>
      <c r="L2175" s="8"/>
    </row>
    <row r="2176" spans="3:12" x14ac:dyDescent="0.25">
      <c r="C2176" s="7"/>
      <c r="E2176" s="8"/>
      <c r="F2176" s="8"/>
      <c r="G2176" s="8"/>
      <c r="H2176" s="8"/>
      <c r="I2176" s="8"/>
      <c r="J2176" s="8"/>
      <c r="K2176" s="8"/>
      <c r="L2176" s="8"/>
    </row>
    <row r="2177" spans="3:12" x14ac:dyDescent="0.25">
      <c r="C2177" s="7"/>
      <c r="E2177" s="8"/>
      <c r="F2177" s="8"/>
      <c r="G2177" s="8"/>
      <c r="H2177" s="8"/>
      <c r="I2177" s="8"/>
      <c r="J2177" s="8"/>
      <c r="K2177" s="8"/>
      <c r="L2177" s="8"/>
    </row>
    <row r="2178" spans="3:12" x14ac:dyDescent="0.25">
      <c r="C2178" s="7"/>
      <c r="E2178" s="8"/>
      <c r="F2178" s="8"/>
      <c r="G2178" s="8"/>
      <c r="H2178" s="8"/>
      <c r="I2178" s="8"/>
      <c r="J2178" s="8"/>
      <c r="K2178" s="8"/>
      <c r="L2178" s="8"/>
    </row>
    <row r="2179" spans="3:12" x14ac:dyDescent="0.25">
      <c r="C2179" s="7"/>
      <c r="E2179" s="8"/>
      <c r="F2179" s="8"/>
      <c r="G2179" s="8"/>
      <c r="H2179" s="8"/>
      <c r="I2179" s="8"/>
      <c r="J2179" s="8"/>
      <c r="K2179" s="8"/>
      <c r="L2179" s="8"/>
    </row>
    <row r="2180" spans="3:12" x14ac:dyDescent="0.25">
      <c r="C2180" s="7"/>
      <c r="E2180" s="8"/>
      <c r="F2180" s="8"/>
      <c r="G2180" s="8"/>
      <c r="H2180" s="8"/>
      <c r="I2180" s="8"/>
      <c r="J2180" s="8"/>
      <c r="K2180" s="8"/>
      <c r="L2180" s="8"/>
    </row>
    <row r="2181" spans="3:12" x14ac:dyDescent="0.25">
      <c r="C2181" s="7"/>
      <c r="E2181" s="8"/>
      <c r="F2181" s="8"/>
      <c r="G2181" s="8"/>
      <c r="H2181" s="8"/>
      <c r="I2181" s="8"/>
      <c r="J2181" s="8"/>
      <c r="K2181" s="8"/>
      <c r="L2181" s="8"/>
    </row>
    <row r="2182" spans="3:12" x14ac:dyDescent="0.25">
      <c r="C2182" s="7"/>
      <c r="E2182" s="8"/>
      <c r="F2182" s="8"/>
      <c r="G2182" s="8"/>
      <c r="H2182" s="8"/>
      <c r="I2182" s="8"/>
      <c r="J2182" s="8"/>
      <c r="K2182" s="8"/>
      <c r="L2182" s="8"/>
    </row>
    <row r="2183" spans="3:12" x14ac:dyDescent="0.25">
      <c r="C2183" s="7"/>
      <c r="E2183" s="8"/>
      <c r="F2183" s="8"/>
      <c r="G2183" s="8"/>
      <c r="H2183" s="8"/>
      <c r="I2183" s="8"/>
      <c r="J2183" s="8"/>
      <c r="K2183" s="8"/>
      <c r="L2183" s="8"/>
    </row>
    <row r="2184" spans="3:12" x14ac:dyDescent="0.25">
      <c r="C2184" s="7"/>
      <c r="E2184" s="8"/>
      <c r="F2184" s="8"/>
      <c r="G2184" s="8"/>
      <c r="H2184" s="8"/>
      <c r="I2184" s="8"/>
      <c r="J2184" s="8"/>
      <c r="K2184" s="8"/>
      <c r="L2184" s="8"/>
    </row>
    <row r="2185" spans="3:12" x14ac:dyDescent="0.25">
      <c r="C2185" s="7"/>
      <c r="E2185" s="8"/>
      <c r="F2185" s="8"/>
      <c r="G2185" s="8"/>
      <c r="H2185" s="8"/>
      <c r="I2185" s="8"/>
      <c r="J2185" s="8"/>
      <c r="K2185" s="8"/>
      <c r="L2185" s="8"/>
    </row>
    <row r="2186" spans="3:12" x14ac:dyDescent="0.25">
      <c r="C2186" s="7"/>
      <c r="E2186" s="8"/>
      <c r="F2186" s="8"/>
      <c r="G2186" s="8"/>
      <c r="H2186" s="8"/>
      <c r="I2186" s="8"/>
      <c r="J2186" s="8"/>
      <c r="K2186" s="8"/>
      <c r="L2186" s="8"/>
    </row>
    <row r="2187" spans="3:12" x14ac:dyDescent="0.25">
      <c r="C2187" s="7"/>
      <c r="E2187" s="8"/>
      <c r="F2187" s="8"/>
      <c r="G2187" s="8"/>
      <c r="H2187" s="8"/>
      <c r="I2187" s="8"/>
      <c r="J2187" s="8"/>
      <c r="K2187" s="8"/>
      <c r="L2187" s="8"/>
    </row>
    <row r="2188" spans="3:12" x14ac:dyDescent="0.25">
      <c r="C2188" s="7"/>
      <c r="E2188" s="8"/>
      <c r="F2188" s="8"/>
      <c r="G2188" s="8"/>
      <c r="H2188" s="8"/>
      <c r="I2188" s="8"/>
      <c r="J2188" s="8"/>
      <c r="K2188" s="8"/>
      <c r="L2188" s="8"/>
    </row>
    <row r="2189" spans="3:12" x14ac:dyDescent="0.25">
      <c r="C2189" s="7"/>
      <c r="E2189" s="8"/>
      <c r="F2189" s="8"/>
      <c r="G2189" s="8"/>
      <c r="H2189" s="8"/>
      <c r="I2189" s="8"/>
      <c r="J2189" s="8"/>
      <c r="K2189" s="8"/>
      <c r="L2189" s="8"/>
    </row>
    <row r="2190" spans="3:12" x14ac:dyDescent="0.25">
      <c r="C2190" s="7"/>
      <c r="E2190" s="8"/>
      <c r="F2190" s="8"/>
      <c r="G2190" s="8"/>
      <c r="H2190" s="8"/>
      <c r="I2190" s="8"/>
      <c r="J2190" s="8"/>
      <c r="K2190" s="8"/>
      <c r="L2190" s="8"/>
    </row>
    <row r="2191" spans="3:12" x14ac:dyDescent="0.25">
      <c r="C2191" s="7"/>
      <c r="E2191" s="8"/>
      <c r="F2191" s="8"/>
      <c r="G2191" s="8"/>
      <c r="H2191" s="8"/>
      <c r="I2191" s="8"/>
      <c r="J2191" s="8"/>
      <c r="K2191" s="8"/>
      <c r="L2191" s="8"/>
    </row>
    <row r="2192" spans="3:12" x14ac:dyDescent="0.25">
      <c r="C2192" s="7"/>
      <c r="E2192" s="8"/>
      <c r="F2192" s="8"/>
      <c r="G2192" s="8"/>
      <c r="H2192" s="8"/>
      <c r="I2192" s="8"/>
      <c r="J2192" s="8"/>
      <c r="K2192" s="8"/>
      <c r="L2192" s="8"/>
    </row>
    <row r="2193" spans="3:12" x14ac:dyDescent="0.25">
      <c r="C2193" s="7"/>
      <c r="E2193" s="8"/>
      <c r="F2193" s="8"/>
      <c r="G2193" s="8"/>
      <c r="H2193" s="8"/>
      <c r="I2193" s="8"/>
      <c r="J2193" s="8"/>
      <c r="K2193" s="8"/>
      <c r="L2193" s="8"/>
    </row>
    <row r="2194" spans="3:12" x14ac:dyDescent="0.25">
      <c r="C2194" s="7"/>
      <c r="E2194" s="8"/>
      <c r="F2194" s="8"/>
      <c r="G2194" s="8"/>
      <c r="H2194" s="8"/>
      <c r="I2194" s="8"/>
      <c r="J2194" s="8"/>
      <c r="K2194" s="8"/>
      <c r="L2194" s="8"/>
    </row>
    <row r="2195" spans="3:12" x14ac:dyDescent="0.25">
      <c r="C2195" s="7"/>
      <c r="E2195" s="8"/>
      <c r="F2195" s="8"/>
      <c r="G2195" s="8"/>
      <c r="H2195" s="8"/>
      <c r="I2195" s="8"/>
      <c r="J2195" s="8"/>
      <c r="K2195" s="8"/>
      <c r="L2195" s="8"/>
    </row>
    <row r="2196" spans="3:12" x14ac:dyDescent="0.25">
      <c r="C2196" s="7"/>
      <c r="E2196" s="8"/>
      <c r="F2196" s="8"/>
      <c r="G2196" s="8"/>
      <c r="H2196" s="8"/>
      <c r="I2196" s="8"/>
      <c r="J2196" s="8"/>
      <c r="K2196" s="8"/>
      <c r="L2196" s="8"/>
    </row>
    <row r="2197" spans="3:12" x14ac:dyDescent="0.25">
      <c r="C2197" s="7"/>
      <c r="E2197" s="8"/>
      <c r="F2197" s="8"/>
      <c r="G2197" s="8"/>
      <c r="H2197" s="8"/>
      <c r="I2197" s="8"/>
      <c r="J2197" s="8"/>
      <c r="K2197" s="8"/>
      <c r="L2197" s="8"/>
    </row>
    <row r="2198" spans="3:12" x14ac:dyDescent="0.25">
      <c r="C2198" s="7"/>
      <c r="E2198" s="8"/>
      <c r="F2198" s="8"/>
      <c r="G2198" s="8"/>
      <c r="H2198" s="8"/>
      <c r="I2198" s="8"/>
      <c r="J2198" s="8"/>
      <c r="K2198" s="8"/>
      <c r="L2198" s="8"/>
    </row>
    <row r="2199" spans="3:12" x14ac:dyDescent="0.25">
      <c r="C2199" s="7"/>
      <c r="E2199" s="8"/>
      <c r="F2199" s="8"/>
      <c r="G2199" s="8"/>
      <c r="H2199" s="8"/>
      <c r="I2199" s="8"/>
      <c r="J2199" s="8"/>
      <c r="K2199" s="8"/>
      <c r="L2199" s="8"/>
    </row>
    <row r="2200" spans="3:12" x14ac:dyDescent="0.25">
      <c r="C2200" s="7"/>
      <c r="E2200" s="8"/>
      <c r="F2200" s="8"/>
      <c r="G2200" s="8"/>
      <c r="H2200" s="8"/>
      <c r="I2200" s="8"/>
      <c r="J2200" s="8"/>
      <c r="K2200" s="8"/>
      <c r="L2200" s="8"/>
    </row>
    <row r="2201" spans="3:12" x14ac:dyDescent="0.25">
      <c r="C2201" s="7"/>
      <c r="E2201" s="8"/>
      <c r="F2201" s="8"/>
      <c r="G2201" s="8"/>
      <c r="H2201" s="8"/>
      <c r="I2201" s="8"/>
      <c r="J2201" s="8"/>
      <c r="K2201" s="8"/>
      <c r="L2201" s="8"/>
    </row>
    <row r="2202" spans="3:12" x14ac:dyDescent="0.25">
      <c r="C2202" s="7"/>
      <c r="E2202" s="8"/>
      <c r="F2202" s="8"/>
      <c r="G2202" s="8"/>
      <c r="H2202" s="8"/>
      <c r="I2202" s="8"/>
      <c r="J2202" s="8"/>
      <c r="K2202" s="8"/>
      <c r="L2202" s="8"/>
    </row>
    <row r="2203" spans="3:12" x14ac:dyDescent="0.25">
      <c r="C2203" s="7"/>
      <c r="E2203" s="8"/>
      <c r="F2203" s="8"/>
      <c r="G2203" s="8"/>
      <c r="H2203" s="8"/>
      <c r="I2203" s="8"/>
      <c r="J2203" s="8"/>
      <c r="K2203" s="8"/>
      <c r="L2203" s="8"/>
    </row>
    <row r="2204" spans="3:12" x14ac:dyDescent="0.25">
      <c r="C2204" s="7"/>
      <c r="E2204" s="8"/>
      <c r="F2204" s="8"/>
      <c r="G2204" s="8"/>
      <c r="H2204" s="8"/>
      <c r="I2204" s="8"/>
      <c r="J2204" s="8"/>
      <c r="K2204" s="8"/>
      <c r="L2204" s="8"/>
    </row>
    <row r="2205" spans="3:12" x14ac:dyDescent="0.25">
      <c r="C2205" s="7"/>
      <c r="E2205" s="8"/>
      <c r="F2205" s="8"/>
      <c r="G2205" s="8"/>
      <c r="H2205" s="8"/>
      <c r="I2205" s="8"/>
      <c r="J2205" s="8"/>
      <c r="K2205" s="8"/>
      <c r="L2205" s="8"/>
    </row>
    <row r="2206" spans="3:12" x14ac:dyDescent="0.25">
      <c r="C2206" s="7"/>
      <c r="E2206" s="8"/>
      <c r="F2206" s="8"/>
      <c r="G2206" s="8"/>
      <c r="H2206" s="8"/>
      <c r="I2206" s="8"/>
      <c r="J2206" s="8"/>
      <c r="K2206" s="8"/>
      <c r="L2206" s="8"/>
    </row>
    <row r="2207" spans="3:12" x14ac:dyDescent="0.25">
      <c r="C2207" s="7"/>
      <c r="E2207" s="8"/>
      <c r="F2207" s="8"/>
      <c r="G2207" s="8"/>
      <c r="H2207" s="8"/>
      <c r="I2207" s="8"/>
      <c r="J2207" s="8"/>
      <c r="K2207" s="8"/>
      <c r="L2207" s="8"/>
    </row>
    <row r="2208" spans="3:12" x14ac:dyDescent="0.25">
      <c r="C2208" s="7"/>
      <c r="E2208" s="8"/>
      <c r="F2208" s="8"/>
      <c r="G2208" s="8"/>
      <c r="H2208" s="8"/>
      <c r="I2208" s="8"/>
      <c r="J2208" s="8"/>
      <c r="K2208" s="8"/>
      <c r="L2208" s="8"/>
    </row>
    <row r="2209" spans="3:12" x14ac:dyDescent="0.25">
      <c r="C2209" s="7"/>
      <c r="E2209" s="8"/>
      <c r="F2209" s="8"/>
      <c r="G2209" s="8"/>
      <c r="H2209" s="8"/>
      <c r="I2209" s="8"/>
      <c r="J2209" s="8"/>
      <c r="K2209" s="8"/>
      <c r="L2209" s="8"/>
    </row>
    <row r="2210" spans="3:12" x14ac:dyDescent="0.25">
      <c r="C2210" s="7"/>
      <c r="E2210" s="8"/>
      <c r="F2210" s="8"/>
      <c r="G2210" s="8"/>
      <c r="H2210" s="8"/>
      <c r="I2210" s="8"/>
      <c r="J2210" s="8"/>
      <c r="K2210" s="8"/>
      <c r="L2210" s="8"/>
    </row>
    <row r="2211" spans="3:12" x14ac:dyDescent="0.25">
      <c r="C2211" s="7"/>
      <c r="E2211" s="8"/>
      <c r="F2211" s="8"/>
      <c r="G2211" s="8"/>
      <c r="H2211" s="8"/>
      <c r="I2211" s="8"/>
      <c r="J2211" s="8"/>
      <c r="K2211" s="8"/>
      <c r="L2211" s="8"/>
    </row>
    <row r="2212" spans="3:12" x14ac:dyDescent="0.25">
      <c r="C2212" s="7"/>
      <c r="E2212" s="8"/>
      <c r="F2212" s="8"/>
      <c r="G2212" s="8"/>
      <c r="H2212" s="8"/>
      <c r="I2212" s="8"/>
      <c r="J2212" s="8"/>
      <c r="K2212" s="8"/>
      <c r="L2212" s="8"/>
    </row>
    <row r="2213" spans="3:12" x14ac:dyDescent="0.25">
      <c r="C2213" s="7"/>
      <c r="E2213" s="8"/>
      <c r="F2213" s="8"/>
      <c r="G2213" s="8"/>
      <c r="H2213" s="8"/>
      <c r="I2213" s="8"/>
      <c r="J2213" s="8"/>
      <c r="K2213" s="8"/>
      <c r="L2213" s="8"/>
    </row>
    <row r="2214" spans="3:12" x14ac:dyDescent="0.25">
      <c r="C2214" s="7"/>
      <c r="E2214" s="8"/>
      <c r="F2214" s="8"/>
      <c r="G2214" s="8"/>
      <c r="H2214" s="8"/>
      <c r="I2214" s="8"/>
      <c r="J2214" s="8"/>
      <c r="K2214" s="8"/>
      <c r="L2214" s="8"/>
    </row>
    <row r="2215" spans="3:12" x14ac:dyDescent="0.25">
      <c r="C2215" s="7"/>
      <c r="E2215" s="8"/>
      <c r="F2215" s="8"/>
      <c r="G2215" s="8"/>
      <c r="H2215" s="8"/>
      <c r="I2215" s="8"/>
      <c r="J2215" s="8"/>
      <c r="K2215" s="8"/>
      <c r="L2215" s="8"/>
    </row>
    <row r="2216" spans="3:12" x14ac:dyDescent="0.25">
      <c r="C2216" s="7"/>
      <c r="E2216" s="8"/>
      <c r="F2216" s="8"/>
      <c r="G2216" s="8"/>
      <c r="H2216" s="8"/>
      <c r="I2216" s="8"/>
      <c r="J2216" s="8"/>
      <c r="K2216" s="8"/>
      <c r="L2216" s="8"/>
    </row>
    <row r="2217" spans="3:12" x14ac:dyDescent="0.25">
      <c r="C2217" s="7"/>
      <c r="E2217" s="8"/>
      <c r="F2217" s="8"/>
      <c r="G2217" s="8"/>
      <c r="H2217" s="8"/>
      <c r="I2217" s="8"/>
      <c r="J2217" s="8"/>
      <c r="K2217" s="8"/>
      <c r="L2217" s="8"/>
    </row>
    <row r="2218" spans="3:12" x14ac:dyDescent="0.25">
      <c r="C2218" s="7"/>
      <c r="E2218" s="8"/>
      <c r="F2218" s="8"/>
      <c r="G2218" s="8"/>
      <c r="H2218" s="8"/>
      <c r="I2218" s="8"/>
      <c r="J2218" s="8"/>
      <c r="K2218" s="8"/>
      <c r="L2218" s="8"/>
    </row>
    <row r="2219" spans="3:12" x14ac:dyDescent="0.25">
      <c r="C2219" s="7"/>
      <c r="E2219" s="8"/>
      <c r="F2219" s="8"/>
      <c r="G2219" s="8"/>
      <c r="H2219" s="8"/>
      <c r="I2219" s="8"/>
      <c r="J2219" s="8"/>
      <c r="K2219" s="8"/>
      <c r="L2219" s="8"/>
    </row>
    <row r="2220" spans="3:12" x14ac:dyDescent="0.25">
      <c r="C2220" s="7"/>
      <c r="E2220" s="8"/>
      <c r="F2220" s="8"/>
      <c r="G2220" s="8"/>
      <c r="H2220" s="8"/>
      <c r="I2220" s="8"/>
      <c r="J2220" s="8"/>
      <c r="K2220" s="8"/>
      <c r="L2220" s="8"/>
    </row>
    <row r="2221" spans="3:12" x14ac:dyDescent="0.25">
      <c r="C2221" s="7"/>
      <c r="E2221" s="8"/>
      <c r="F2221" s="8"/>
      <c r="G2221" s="8"/>
      <c r="H2221" s="8"/>
      <c r="I2221" s="8"/>
      <c r="J2221" s="8"/>
      <c r="K2221" s="8"/>
      <c r="L2221" s="8"/>
    </row>
    <row r="2222" spans="3:12" x14ac:dyDescent="0.25">
      <c r="C2222" s="7"/>
      <c r="E2222" s="8"/>
      <c r="F2222" s="8"/>
      <c r="G2222" s="8"/>
      <c r="H2222" s="8"/>
      <c r="I2222" s="8"/>
      <c r="J2222" s="8"/>
      <c r="K2222" s="8"/>
      <c r="L2222" s="8"/>
    </row>
    <row r="2223" spans="3:12" x14ac:dyDescent="0.25">
      <c r="C2223" s="7"/>
      <c r="E2223" s="8"/>
      <c r="F2223" s="8"/>
      <c r="G2223" s="8"/>
      <c r="H2223" s="8"/>
      <c r="I2223" s="8"/>
      <c r="J2223" s="8"/>
      <c r="K2223" s="8"/>
      <c r="L2223" s="8"/>
    </row>
    <row r="2224" spans="3:12" x14ac:dyDescent="0.25">
      <c r="C2224" s="7"/>
      <c r="E2224" s="8"/>
      <c r="F2224" s="8"/>
      <c r="G2224" s="8"/>
      <c r="H2224" s="8"/>
      <c r="I2224" s="8"/>
      <c r="J2224" s="8"/>
      <c r="K2224" s="8"/>
      <c r="L2224" s="8"/>
    </row>
    <row r="2225" spans="3:12" x14ac:dyDescent="0.25">
      <c r="C2225" s="7"/>
      <c r="E2225" s="8"/>
      <c r="F2225" s="8"/>
      <c r="G2225" s="8"/>
      <c r="H2225" s="8"/>
      <c r="I2225" s="8"/>
      <c r="J2225" s="8"/>
      <c r="K2225" s="8"/>
      <c r="L2225" s="8"/>
    </row>
    <row r="2226" spans="3:12" x14ac:dyDescent="0.25">
      <c r="C2226" s="7"/>
      <c r="E2226" s="8"/>
      <c r="F2226" s="8"/>
      <c r="G2226" s="8"/>
      <c r="H2226" s="8"/>
      <c r="I2226" s="8"/>
      <c r="J2226" s="8"/>
      <c r="K2226" s="8"/>
      <c r="L2226" s="8"/>
    </row>
    <row r="2227" spans="3:12" x14ac:dyDescent="0.25">
      <c r="C2227" s="7"/>
      <c r="E2227" s="8"/>
      <c r="F2227" s="8"/>
      <c r="G2227" s="8"/>
      <c r="H2227" s="8"/>
      <c r="I2227" s="8"/>
      <c r="J2227" s="8"/>
      <c r="K2227" s="8"/>
      <c r="L2227" s="8"/>
    </row>
    <row r="2228" spans="3:12" x14ac:dyDescent="0.25">
      <c r="C2228" s="7"/>
      <c r="E2228" s="8"/>
      <c r="F2228" s="8"/>
      <c r="G2228" s="8"/>
      <c r="H2228" s="8"/>
      <c r="I2228" s="8"/>
      <c r="J2228" s="8"/>
      <c r="K2228" s="8"/>
      <c r="L2228" s="8"/>
    </row>
    <row r="2229" spans="3:12" x14ac:dyDescent="0.25">
      <c r="C2229" s="7"/>
      <c r="E2229" s="8"/>
      <c r="F2229" s="8"/>
      <c r="G2229" s="8"/>
      <c r="H2229" s="8"/>
      <c r="I2229" s="8"/>
      <c r="J2229" s="8"/>
      <c r="K2229" s="8"/>
      <c r="L2229" s="8"/>
    </row>
    <row r="2230" spans="3:12" x14ac:dyDescent="0.25">
      <c r="C2230" s="7"/>
      <c r="E2230" s="8"/>
      <c r="F2230" s="8"/>
      <c r="G2230" s="8"/>
      <c r="H2230" s="8"/>
      <c r="I2230" s="8"/>
      <c r="J2230" s="8"/>
      <c r="K2230" s="8"/>
      <c r="L2230" s="8"/>
    </row>
    <row r="2231" spans="3:12" x14ac:dyDescent="0.25">
      <c r="C2231" s="7"/>
      <c r="E2231" s="8"/>
      <c r="F2231" s="8"/>
      <c r="G2231" s="8"/>
      <c r="H2231" s="8"/>
      <c r="I2231" s="8"/>
      <c r="J2231" s="8"/>
      <c r="K2231" s="8"/>
      <c r="L2231" s="8"/>
    </row>
    <row r="2232" spans="3:12" x14ac:dyDescent="0.25">
      <c r="C2232" s="7"/>
      <c r="E2232" s="8"/>
      <c r="F2232" s="8"/>
      <c r="G2232" s="8"/>
      <c r="H2232" s="8"/>
      <c r="I2232" s="8"/>
      <c r="J2232" s="8"/>
      <c r="K2232" s="8"/>
      <c r="L2232" s="8"/>
    </row>
    <row r="2233" spans="3:12" x14ac:dyDescent="0.25">
      <c r="C2233" s="7"/>
      <c r="E2233" s="8"/>
      <c r="F2233" s="8"/>
      <c r="G2233" s="8"/>
      <c r="H2233" s="8"/>
      <c r="I2233" s="8"/>
      <c r="J2233" s="8"/>
      <c r="K2233" s="8"/>
      <c r="L2233" s="8"/>
    </row>
    <row r="2234" spans="3:12" x14ac:dyDescent="0.25">
      <c r="C2234" s="7"/>
      <c r="E2234" s="8"/>
      <c r="F2234" s="8"/>
      <c r="G2234" s="8"/>
      <c r="H2234" s="8"/>
      <c r="I2234" s="8"/>
      <c r="J2234" s="8"/>
      <c r="K2234" s="8"/>
      <c r="L2234" s="8"/>
    </row>
    <row r="2235" spans="3:12" x14ac:dyDescent="0.25">
      <c r="C2235" s="7"/>
      <c r="E2235" s="8"/>
      <c r="F2235" s="8"/>
      <c r="G2235" s="8"/>
      <c r="H2235" s="8"/>
      <c r="I2235" s="8"/>
      <c r="J2235" s="8"/>
      <c r="K2235" s="8"/>
      <c r="L2235" s="8"/>
    </row>
    <row r="2236" spans="3:12" x14ac:dyDescent="0.25">
      <c r="C2236" s="7"/>
      <c r="E2236" s="8"/>
      <c r="F2236" s="8"/>
      <c r="G2236" s="8"/>
      <c r="H2236" s="8"/>
      <c r="I2236" s="8"/>
      <c r="J2236" s="8"/>
      <c r="K2236" s="8"/>
      <c r="L2236" s="8"/>
    </row>
    <row r="2237" spans="3:12" x14ac:dyDescent="0.25">
      <c r="C2237" s="7"/>
      <c r="E2237" s="8"/>
      <c r="F2237" s="8"/>
      <c r="G2237" s="8"/>
      <c r="H2237" s="8"/>
      <c r="I2237" s="8"/>
      <c r="J2237" s="8"/>
      <c r="K2237" s="8"/>
      <c r="L2237" s="8"/>
    </row>
    <row r="2238" spans="3:12" x14ac:dyDescent="0.25">
      <c r="C2238" s="7"/>
      <c r="E2238" s="8"/>
      <c r="F2238" s="8"/>
      <c r="G2238" s="8"/>
      <c r="H2238" s="8"/>
      <c r="I2238" s="8"/>
      <c r="J2238" s="8"/>
      <c r="K2238" s="8"/>
      <c r="L2238" s="8"/>
    </row>
    <row r="2239" spans="3:12" x14ac:dyDescent="0.25">
      <c r="C2239" s="7"/>
      <c r="E2239" s="8"/>
      <c r="F2239" s="8"/>
      <c r="G2239" s="8"/>
      <c r="H2239" s="8"/>
      <c r="I2239" s="8"/>
      <c r="J2239" s="8"/>
      <c r="K2239" s="8"/>
      <c r="L2239" s="8"/>
    </row>
    <row r="2240" spans="3:12" x14ac:dyDescent="0.25">
      <c r="C2240" s="7"/>
      <c r="E2240" s="8"/>
      <c r="F2240" s="8"/>
      <c r="G2240" s="8"/>
      <c r="H2240" s="8"/>
      <c r="I2240" s="8"/>
      <c r="J2240" s="8"/>
      <c r="K2240" s="8"/>
      <c r="L2240" s="8"/>
    </row>
    <row r="2241" spans="3:12" x14ac:dyDescent="0.25">
      <c r="C2241" s="7"/>
      <c r="E2241" s="8"/>
      <c r="F2241" s="8"/>
      <c r="G2241" s="8"/>
      <c r="H2241" s="8"/>
      <c r="I2241" s="8"/>
      <c r="J2241" s="8"/>
      <c r="K2241" s="8"/>
      <c r="L2241" s="8"/>
    </row>
    <row r="2242" spans="3:12" x14ac:dyDescent="0.25">
      <c r="C2242" s="7"/>
      <c r="E2242" s="8"/>
      <c r="F2242" s="8"/>
      <c r="G2242" s="8"/>
      <c r="H2242" s="8"/>
      <c r="I2242" s="8"/>
      <c r="J2242" s="8"/>
      <c r="K2242" s="8"/>
      <c r="L2242" s="8"/>
    </row>
    <row r="2243" spans="3:12" x14ac:dyDescent="0.25">
      <c r="C2243" s="7"/>
      <c r="E2243" s="8"/>
      <c r="F2243" s="8"/>
      <c r="G2243" s="8"/>
      <c r="H2243" s="8"/>
      <c r="I2243" s="8"/>
      <c r="J2243" s="8"/>
      <c r="K2243" s="8"/>
      <c r="L2243" s="8"/>
    </row>
    <row r="2244" spans="3:12" x14ac:dyDescent="0.25">
      <c r="C2244" s="7"/>
      <c r="E2244" s="8"/>
      <c r="F2244" s="8"/>
      <c r="G2244" s="8"/>
      <c r="H2244" s="8"/>
      <c r="I2244" s="8"/>
      <c r="J2244" s="8"/>
      <c r="K2244" s="8"/>
      <c r="L2244" s="8"/>
    </row>
    <row r="2245" spans="3:12" x14ac:dyDescent="0.25">
      <c r="C2245" s="7"/>
      <c r="E2245" s="8"/>
      <c r="F2245" s="8"/>
      <c r="G2245" s="8"/>
      <c r="H2245" s="8"/>
      <c r="I2245" s="8"/>
      <c r="J2245" s="8"/>
      <c r="K2245" s="8"/>
      <c r="L2245" s="8"/>
    </row>
    <row r="2246" spans="3:12" x14ac:dyDescent="0.25">
      <c r="C2246" s="7"/>
      <c r="E2246" s="8"/>
      <c r="F2246" s="8"/>
      <c r="G2246" s="8"/>
      <c r="H2246" s="8"/>
      <c r="I2246" s="8"/>
      <c r="J2246" s="8"/>
      <c r="K2246" s="8"/>
      <c r="L2246" s="8"/>
    </row>
    <row r="2247" spans="3:12" x14ac:dyDescent="0.25">
      <c r="C2247" s="7"/>
      <c r="E2247" s="8"/>
      <c r="F2247" s="8"/>
      <c r="G2247" s="8"/>
      <c r="H2247" s="8"/>
      <c r="I2247" s="8"/>
      <c r="J2247" s="8"/>
      <c r="K2247" s="8"/>
      <c r="L2247" s="8"/>
    </row>
    <row r="2248" spans="3:12" x14ac:dyDescent="0.25">
      <c r="C2248" s="7"/>
      <c r="E2248" s="8"/>
      <c r="F2248" s="8"/>
      <c r="G2248" s="8"/>
      <c r="H2248" s="8"/>
      <c r="I2248" s="8"/>
      <c r="J2248" s="8"/>
      <c r="K2248" s="8"/>
      <c r="L2248" s="8"/>
    </row>
    <row r="2249" spans="3:12" x14ac:dyDescent="0.25">
      <c r="C2249" s="7"/>
      <c r="E2249" s="8"/>
      <c r="F2249" s="8"/>
      <c r="G2249" s="8"/>
      <c r="H2249" s="8"/>
      <c r="I2249" s="8"/>
      <c r="J2249" s="8"/>
      <c r="K2249" s="8"/>
      <c r="L2249" s="8"/>
    </row>
    <row r="2250" spans="3:12" x14ac:dyDescent="0.25">
      <c r="C2250" s="7"/>
      <c r="E2250" s="8"/>
      <c r="F2250" s="8"/>
      <c r="G2250" s="8"/>
      <c r="H2250" s="8"/>
      <c r="I2250" s="8"/>
      <c r="J2250" s="8"/>
      <c r="K2250" s="8"/>
      <c r="L2250" s="8"/>
    </row>
    <row r="2251" spans="3:12" x14ac:dyDescent="0.25">
      <c r="C2251" s="7"/>
      <c r="E2251" s="8"/>
      <c r="F2251" s="8"/>
      <c r="G2251" s="8"/>
      <c r="H2251" s="8"/>
      <c r="I2251" s="8"/>
      <c r="J2251" s="8"/>
      <c r="K2251" s="8"/>
      <c r="L2251" s="8"/>
    </row>
    <row r="2252" spans="3:12" x14ac:dyDescent="0.25">
      <c r="C2252" s="7"/>
      <c r="E2252" s="8"/>
      <c r="F2252" s="8"/>
      <c r="G2252" s="8"/>
      <c r="H2252" s="8"/>
      <c r="I2252" s="8"/>
      <c r="J2252" s="8"/>
      <c r="K2252" s="8"/>
      <c r="L2252" s="8"/>
    </row>
    <row r="2253" spans="3:12" x14ac:dyDescent="0.25">
      <c r="C2253" s="7"/>
      <c r="E2253" s="8"/>
      <c r="F2253" s="8"/>
      <c r="G2253" s="8"/>
      <c r="H2253" s="8"/>
      <c r="I2253" s="8"/>
      <c r="J2253" s="8"/>
      <c r="K2253" s="8"/>
      <c r="L2253" s="8"/>
    </row>
    <row r="2254" spans="3:12" x14ac:dyDescent="0.25">
      <c r="C2254" s="7"/>
      <c r="E2254" s="8"/>
      <c r="F2254" s="8"/>
      <c r="G2254" s="8"/>
      <c r="H2254" s="8"/>
      <c r="I2254" s="8"/>
      <c r="J2254" s="8"/>
      <c r="K2254" s="8"/>
      <c r="L2254" s="8"/>
    </row>
    <row r="2255" spans="3:12" x14ac:dyDescent="0.25">
      <c r="C2255" s="7"/>
      <c r="E2255" s="8"/>
      <c r="F2255" s="8"/>
      <c r="G2255" s="8"/>
      <c r="H2255" s="8"/>
      <c r="I2255" s="8"/>
      <c r="J2255" s="8"/>
      <c r="K2255" s="8"/>
      <c r="L2255" s="8"/>
    </row>
    <row r="2256" spans="3:12" x14ac:dyDescent="0.25">
      <c r="C2256" s="7"/>
      <c r="E2256" s="8"/>
      <c r="F2256" s="8"/>
      <c r="G2256" s="8"/>
      <c r="H2256" s="8"/>
      <c r="I2256" s="8"/>
      <c r="J2256" s="8"/>
      <c r="K2256" s="8"/>
      <c r="L2256" s="8"/>
    </row>
    <row r="2257" spans="3:12" x14ac:dyDescent="0.25">
      <c r="C2257" s="7"/>
      <c r="E2257" s="8"/>
      <c r="F2257" s="8"/>
      <c r="G2257" s="8"/>
      <c r="H2257" s="8"/>
      <c r="I2257" s="8"/>
      <c r="J2257" s="8"/>
      <c r="K2257" s="8"/>
      <c r="L2257" s="8"/>
    </row>
    <row r="2258" spans="3:12" x14ac:dyDescent="0.25">
      <c r="C2258" s="7"/>
      <c r="E2258" s="8"/>
      <c r="F2258" s="8"/>
      <c r="G2258" s="8"/>
      <c r="H2258" s="8"/>
      <c r="I2258" s="8"/>
      <c r="J2258" s="8"/>
      <c r="K2258" s="8"/>
      <c r="L2258" s="8"/>
    </row>
    <row r="2259" spans="3:12" x14ac:dyDescent="0.25">
      <c r="C2259" s="7"/>
      <c r="E2259" s="8"/>
      <c r="F2259" s="8"/>
      <c r="G2259" s="8"/>
      <c r="H2259" s="8"/>
      <c r="I2259" s="8"/>
      <c r="J2259" s="8"/>
      <c r="K2259" s="8"/>
      <c r="L2259" s="8"/>
    </row>
    <row r="2260" spans="3:12" x14ac:dyDescent="0.25">
      <c r="C2260" s="7"/>
      <c r="E2260" s="8"/>
      <c r="F2260" s="8"/>
      <c r="G2260" s="8"/>
      <c r="H2260" s="8"/>
      <c r="I2260" s="8"/>
      <c r="J2260" s="8"/>
      <c r="K2260" s="8"/>
      <c r="L2260" s="8"/>
    </row>
    <row r="2261" spans="3:12" x14ac:dyDescent="0.25">
      <c r="C2261" s="7"/>
      <c r="E2261" s="8"/>
      <c r="F2261" s="8"/>
      <c r="G2261" s="8"/>
      <c r="H2261" s="8"/>
      <c r="I2261" s="8"/>
      <c r="J2261" s="8"/>
      <c r="K2261" s="8"/>
      <c r="L2261" s="8"/>
    </row>
    <row r="2262" spans="3:12" x14ac:dyDescent="0.25">
      <c r="C2262" s="7"/>
      <c r="E2262" s="8"/>
      <c r="F2262" s="8"/>
      <c r="G2262" s="8"/>
      <c r="H2262" s="8"/>
      <c r="I2262" s="8"/>
      <c r="J2262" s="8"/>
      <c r="K2262" s="8"/>
      <c r="L2262" s="8"/>
    </row>
    <row r="2263" spans="3:12" x14ac:dyDescent="0.25">
      <c r="C2263" s="7"/>
      <c r="E2263" s="8"/>
      <c r="F2263" s="8"/>
      <c r="G2263" s="8"/>
      <c r="H2263" s="8"/>
      <c r="I2263" s="8"/>
      <c r="J2263" s="8"/>
      <c r="K2263" s="8"/>
      <c r="L2263" s="8"/>
    </row>
    <row r="2264" spans="3:12" x14ac:dyDescent="0.25">
      <c r="C2264" s="7"/>
      <c r="E2264" s="8"/>
      <c r="F2264" s="8"/>
      <c r="G2264" s="8"/>
      <c r="H2264" s="8"/>
      <c r="I2264" s="8"/>
      <c r="J2264" s="8"/>
      <c r="K2264" s="8"/>
      <c r="L2264" s="8"/>
    </row>
    <row r="2265" spans="3:12" x14ac:dyDescent="0.25">
      <c r="C2265" s="7"/>
      <c r="E2265" s="8"/>
      <c r="F2265" s="8"/>
      <c r="G2265" s="8"/>
      <c r="H2265" s="8"/>
      <c r="I2265" s="8"/>
      <c r="J2265" s="8"/>
      <c r="K2265" s="8"/>
      <c r="L2265" s="8"/>
    </row>
    <row r="2266" spans="3:12" x14ac:dyDescent="0.25">
      <c r="C2266" s="7"/>
      <c r="E2266" s="8"/>
      <c r="F2266" s="8"/>
      <c r="G2266" s="8"/>
      <c r="H2266" s="8"/>
      <c r="I2266" s="8"/>
      <c r="J2266" s="8"/>
      <c r="K2266" s="8"/>
      <c r="L2266" s="8"/>
    </row>
    <row r="2267" spans="3:12" x14ac:dyDescent="0.25">
      <c r="C2267" s="7"/>
      <c r="E2267" s="8"/>
      <c r="F2267" s="8"/>
      <c r="G2267" s="8"/>
      <c r="H2267" s="8"/>
      <c r="I2267" s="8"/>
      <c r="J2267" s="8"/>
      <c r="K2267" s="8"/>
      <c r="L2267" s="8"/>
    </row>
    <row r="2268" spans="3:12" x14ac:dyDescent="0.25">
      <c r="C2268" s="7"/>
      <c r="E2268" s="8"/>
      <c r="F2268" s="8"/>
      <c r="G2268" s="8"/>
      <c r="H2268" s="8"/>
      <c r="I2268" s="8"/>
      <c r="J2268" s="8"/>
      <c r="K2268" s="8"/>
      <c r="L2268" s="8"/>
    </row>
    <row r="2269" spans="3:12" x14ac:dyDescent="0.25">
      <c r="C2269" s="7"/>
      <c r="E2269" s="8"/>
      <c r="F2269" s="8"/>
      <c r="G2269" s="8"/>
      <c r="H2269" s="8"/>
      <c r="I2269" s="8"/>
      <c r="J2269" s="8"/>
      <c r="K2269" s="8"/>
      <c r="L2269" s="8"/>
    </row>
    <row r="2270" spans="3:12" x14ac:dyDescent="0.25">
      <c r="C2270" s="7"/>
      <c r="E2270" s="8"/>
      <c r="F2270" s="8"/>
      <c r="G2270" s="8"/>
      <c r="H2270" s="8"/>
      <c r="I2270" s="8"/>
      <c r="J2270" s="8"/>
      <c r="K2270" s="8"/>
      <c r="L2270" s="8"/>
    </row>
    <row r="2271" spans="3:12" x14ac:dyDescent="0.25">
      <c r="C2271" s="7"/>
      <c r="E2271" s="8"/>
      <c r="F2271" s="8"/>
      <c r="G2271" s="8"/>
      <c r="H2271" s="8"/>
      <c r="I2271" s="8"/>
      <c r="J2271" s="8"/>
      <c r="K2271" s="8"/>
      <c r="L2271" s="8"/>
    </row>
    <row r="2272" spans="3:12" x14ac:dyDescent="0.25">
      <c r="C2272" s="7"/>
      <c r="E2272" s="8"/>
      <c r="F2272" s="8"/>
      <c r="G2272" s="8"/>
      <c r="H2272" s="8"/>
      <c r="I2272" s="8"/>
      <c r="J2272" s="8"/>
      <c r="K2272" s="8"/>
      <c r="L2272" s="8"/>
    </row>
    <row r="2273" spans="3:12" x14ac:dyDescent="0.25">
      <c r="C2273" s="7"/>
      <c r="E2273" s="8"/>
      <c r="F2273" s="8"/>
      <c r="G2273" s="8"/>
      <c r="H2273" s="8"/>
      <c r="I2273" s="8"/>
      <c r="J2273" s="8"/>
      <c r="K2273" s="8"/>
      <c r="L2273" s="8"/>
    </row>
    <row r="2274" spans="3:12" x14ac:dyDescent="0.25">
      <c r="C2274" s="7"/>
      <c r="E2274" s="8"/>
      <c r="F2274" s="8"/>
      <c r="G2274" s="8"/>
      <c r="H2274" s="8"/>
      <c r="I2274" s="8"/>
      <c r="J2274" s="8"/>
      <c r="K2274" s="8"/>
      <c r="L2274" s="8"/>
    </row>
    <row r="2275" spans="3:12" x14ac:dyDescent="0.25">
      <c r="C2275" s="7"/>
      <c r="E2275" s="8"/>
      <c r="F2275" s="8"/>
      <c r="G2275" s="8"/>
      <c r="H2275" s="8"/>
      <c r="I2275" s="8"/>
      <c r="J2275" s="8"/>
      <c r="K2275" s="8"/>
      <c r="L2275" s="8"/>
    </row>
    <row r="2276" spans="3:12" x14ac:dyDescent="0.25">
      <c r="C2276" s="7"/>
      <c r="E2276" s="8"/>
      <c r="F2276" s="8"/>
      <c r="G2276" s="8"/>
      <c r="H2276" s="8"/>
      <c r="I2276" s="8"/>
      <c r="J2276" s="8"/>
      <c r="K2276" s="8"/>
      <c r="L2276" s="8"/>
    </row>
    <row r="2277" spans="3:12" x14ac:dyDescent="0.25">
      <c r="C2277" s="7"/>
      <c r="E2277" s="8"/>
      <c r="F2277" s="8"/>
      <c r="G2277" s="8"/>
      <c r="H2277" s="8"/>
      <c r="I2277" s="8"/>
      <c r="J2277" s="8"/>
      <c r="K2277" s="8"/>
      <c r="L2277" s="8"/>
    </row>
    <row r="2278" spans="3:12" x14ac:dyDescent="0.25">
      <c r="C2278" s="7"/>
      <c r="E2278" s="8"/>
      <c r="F2278" s="8"/>
      <c r="G2278" s="8"/>
      <c r="H2278" s="8"/>
      <c r="I2278" s="8"/>
      <c r="J2278" s="8"/>
      <c r="K2278" s="8"/>
      <c r="L2278" s="8"/>
    </row>
    <row r="2279" spans="3:12" x14ac:dyDescent="0.25">
      <c r="C2279" s="7"/>
      <c r="E2279" s="8"/>
      <c r="F2279" s="8"/>
      <c r="G2279" s="8"/>
      <c r="H2279" s="8"/>
      <c r="I2279" s="8"/>
      <c r="J2279" s="8"/>
      <c r="K2279" s="8"/>
      <c r="L2279" s="8"/>
    </row>
    <row r="2280" spans="3:12" x14ac:dyDescent="0.25">
      <c r="C2280" s="7"/>
      <c r="E2280" s="8"/>
      <c r="F2280" s="8"/>
      <c r="G2280" s="8"/>
      <c r="H2280" s="8"/>
      <c r="I2280" s="8"/>
      <c r="J2280" s="8"/>
      <c r="K2280" s="8"/>
      <c r="L2280" s="8"/>
    </row>
    <row r="2281" spans="3:12" x14ac:dyDescent="0.25">
      <c r="C2281" s="7"/>
      <c r="E2281" s="8"/>
      <c r="F2281" s="8"/>
      <c r="G2281" s="8"/>
      <c r="H2281" s="8"/>
      <c r="I2281" s="8"/>
      <c r="J2281" s="8"/>
      <c r="K2281" s="8"/>
      <c r="L2281" s="8"/>
    </row>
    <row r="2282" spans="3:12" x14ac:dyDescent="0.25">
      <c r="C2282" s="7"/>
      <c r="E2282" s="8"/>
      <c r="F2282" s="8"/>
      <c r="G2282" s="8"/>
      <c r="H2282" s="8"/>
      <c r="I2282" s="8"/>
      <c r="J2282" s="8"/>
      <c r="K2282" s="8"/>
      <c r="L2282" s="8"/>
    </row>
    <row r="2283" spans="3:12" x14ac:dyDescent="0.25">
      <c r="C2283" s="7"/>
      <c r="E2283" s="8"/>
      <c r="F2283" s="8"/>
      <c r="G2283" s="8"/>
      <c r="H2283" s="8"/>
      <c r="I2283" s="8"/>
      <c r="J2283" s="8"/>
      <c r="K2283" s="8"/>
      <c r="L2283" s="8"/>
    </row>
    <row r="2284" spans="3:12" x14ac:dyDescent="0.25">
      <c r="C2284" s="7"/>
      <c r="E2284" s="8"/>
      <c r="F2284" s="8"/>
      <c r="G2284" s="8"/>
      <c r="H2284" s="8"/>
      <c r="I2284" s="8"/>
      <c r="J2284" s="8"/>
      <c r="K2284" s="8"/>
      <c r="L2284" s="8"/>
    </row>
    <row r="2285" spans="3:12" x14ac:dyDescent="0.25">
      <c r="C2285" s="7"/>
      <c r="E2285" s="8"/>
      <c r="F2285" s="8"/>
      <c r="G2285" s="8"/>
      <c r="H2285" s="8"/>
      <c r="I2285" s="8"/>
      <c r="J2285" s="8"/>
      <c r="K2285" s="8"/>
      <c r="L2285" s="8"/>
    </row>
    <row r="2286" spans="3:12" x14ac:dyDescent="0.25">
      <c r="C2286" s="7"/>
      <c r="E2286" s="8"/>
      <c r="F2286" s="8"/>
      <c r="G2286" s="8"/>
      <c r="H2286" s="8"/>
      <c r="I2286" s="8"/>
      <c r="J2286" s="8"/>
      <c r="K2286" s="8"/>
      <c r="L2286" s="8"/>
    </row>
    <row r="2287" spans="3:12" x14ac:dyDescent="0.25">
      <c r="C2287" s="7"/>
      <c r="E2287" s="8"/>
      <c r="F2287" s="8"/>
      <c r="G2287" s="8"/>
      <c r="H2287" s="8"/>
      <c r="I2287" s="8"/>
      <c r="J2287" s="8"/>
      <c r="K2287" s="8"/>
      <c r="L2287" s="8"/>
    </row>
    <row r="2288" spans="3:12" x14ac:dyDescent="0.25">
      <c r="C2288" s="7"/>
      <c r="E2288" s="8"/>
      <c r="F2288" s="8"/>
      <c r="G2288" s="8"/>
      <c r="H2288" s="8"/>
      <c r="I2288" s="8"/>
      <c r="J2288" s="8"/>
      <c r="K2288" s="8"/>
      <c r="L2288" s="8"/>
    </row>
    <row r="2289" spans="3:12" x14ac:dyDescent="0.25">
      <c r="C2289" s="7"/>
      <c r="E2289" s="8"/>
      <c r="F2289" s="8"/>
      <c r="G2289" s="8"/>
      <c r="H2289" s="8"/>
      <c r="I2289" s="8"/>
      <c r="J2289" s="8"/>
      <c r="K2289" s="8"/>
      <c r="L2289" s="8"/>
    </row>
    <row r="2290" spans="3:12" x14ac:dyDescent="0.25">
      <c r="C2290" s="7"/>
      <c r="E2290" s="8"/>
      <c r="F2290" s="8"/>
      <c r="G2290" s="8"/>
      <c r="H2290" s="8"/>
      <c r="I2290" s="8"/>
      <c r="J2290" s="8"/>
      <c r="K2290" s="8"/>
      <c r="L2290" s="8"/>
    </row>
    <row r="2291" spans="3:12" x14ac:dyDescent="0.25">
      <c r="C2291" s="7"/>
      <c r="E2291" s="8"/>
      <c r="F2291" s="8"/>
      <c r="G2291" s="8"/>
      <c r="H2291" s="8"/>
      <c r="I2291" s="8"/>
      <c r="J2291" s="8"/>
      <c r="K2291" s="8"/>
      <c r="L2291" s="8"/>
    </row>
    <row r="2292" spans="3:12" x14ac:dyDescent="0.25">
      <c r="C2292" s="7"/>
      <c r="E2292" s="8"/>
      <c r="F2292" s="8"/>
      <c r="G2292" s="8"/>
      <c r="H2292" s="8"/>
      <c r="I2292" s="8"/>
      <c r="J2292" s="8"/>
      <c r="K2292" s="8"/>
      <c r="L2292" s="8"/>
    </row>
    <row r="2293" spans="3:12" x14ac:dyDescent="0.25">
      <c r="C2293" s="7"/>
      <c r="E2293" s="8"/>
      <c r="F2293" s="8"/>
      <c r="G2293" s="8"/>
      <c r="H2293" s="8"/>
      <c r="I2293" s="8"/>
      <c r="J2293" s="8"/>
      <c r="K2293" s="8"/>
      <c r="L2293" s="8"/>
    </row>
    <row r="2294" spans="3:12" x14ac:dyDescent="0.25">
      <c r="C2294" s="7"/>
      <c r="E2294" s="8"/>
      <c r="F2294" s="8"/>
      <c r="G2294" s="8"/>
      <c r="H2294" s="8"/>
      <c r="I2294" s="8"/>
      <c r="J2294" s="8"/>
      <c r="K2294" s="8"/>
      <c r="L2294" s="8"/>
    </row>
    <row r="2295" spans="3:12" x14ac:dyDescent="0.25">
      <c r="C2295" s="7"/>
      <c r="E2295" s="8"/>
      <c r="F2295" s="8"/>
      <c r="G2295" s="8"/>
      <c r="H2295" s="8"/>
      <c r="I2295" s="8"/>
      <c r="J2295" s="8"/>
      <c r="K2295" s="8"/>
      <c r="L2295" s="8"/>
    </row>
    <row r="2296" spans="3:12" x14ac:dyDescent="0.25">
      <c r="C2296" s="7"/>
      <c r="E2296" s="8"/>
      <c r="F2296" s="8"/>
      <c r="G2296" s="8"/>
      <c r="H2296" s="8"/>
      <c r="I2296" s="8"/>
      <c r="J2296" s="8"/>
      <c r="K2296" s="8"/>
      <c r="L2296" s="8"/>
    </row>
    <row r="2297" spans="3:12" x14ac:dyDescent="0.25">
      <c r="C2297" s="7"/>
      <c r="E2297" s="8"/>
      <c r="F2297" s="8"/>
      <c r="G2297" s="8"/>
      <c r="H2297" s="8"/>
      <c r="I2297" s="8"/>
      <c r="J2297" s="8"/>
      <c r="K2297" s="8"/>
      <c r="L2297" s="8"/>
    </row>
    <row r="2298" spans="3:12" x14ac:dyDescent="0.25">
      <c r="C2298" s="7"/>
      <c r="E2298" s="8"/>
      <c r="F2298" s="8"/>
      <c r="G2298" s="8"/>
      <c r="H2298" s="8"/>
      <c r="I2298" s="8"/>
      <c r="J2298" s="8"/>
      <c r="K2298" s="8"/>
      <c r="L2298" s="8"/>
    </row>
    <row r="2299" spans="3:12" x14ac:dyDescent="0.25">
      <c r="C2299" s="7"/>
      <c r="E2299" s="8"/>
      <c r="F2299" s="8"/>
      <c r="G2299" s="8"/>
      <c r="H2299" s="8"/>
      <c r="I2299" s="8"/>
      <c r="J2299" s="8"/>
      <c r="K2299" s="8"/>
      <c r="L2299" s="8"/>
    </row>
    <row r="2300" spans="3:12" x14ac:dyDescent="0.25">
      <c r="C2300" s="7"/>
      <c r="E2300" s="8"/>
      <c r="F2300" s="8"/>
      <c r="G2300" s="8"/>
      <c r="H2300" s="8"/>
      <c r="I2300" s="8"/>
      <c r="J2300" s="8"/>
      <c r="K2300" s="8"/>
      <c r="L2300" s="8"/>
    </row>
    <row r="2301" spans="3:12" x14ac:dyDescent="0.25">
      <c r="C2301" s="7"/>
      <c r="E2301" s="8"/>
      <c r="F2301" s="8"/>
      <c r="G2301" s="8"/>
      <c r="H2301" s="8"/>
      <c r="I2301" s="8"/>
      <c r="J2301" s="8"/>
      <c r="K2301" s="8"/>
      <c r="L2301" s="8"/>
    </row>
    <row r="2302" spans="3:12" x14ac:dyDescent="0.25">
      <c r="C2302" s="7"/>
      <c r="E2302" s="8"/>
      <c r="F2302" s="8"/>
      <c r="G2302" s="8"/>
      <c r="H2302" s="8"/>
      <c r="I2302" s="8"/>
      <c r="J2302" s="8"/>
      <c r="K2302" s="8"/>
      <c r="L2302" s="8"/>
    </row>
    <row r="2303" spans="3:12" x14ac:dyDescent="0.25">
      <c r="C2303" s="7"/>
      <c r="E2303" s="8"/>
      <c r="F2303" s="8"/>
      <c r="G2303" s="8"/>
      <c r="H2303" s="8"/>
      <c r="I2303" s="8"/>
      <c r="J2303" s="8"/>
      <c r="K2303" s="8"/>
      <c r="L2303" s="8"/>
    </row>
    <row r="2304" spans="3:12" x14ac:dyDescent="0.25">
      <c r="C2304" s="7"/>
      <c r="E2304" s="8"/>
      <c r="F2304" s="8"/>
      <c r="G2304" s="8"/>
      <c r="H2304" s="8"/>
      <c r="I2304" s="8"/>
      <c r="J2304" s="8"/>
      <c r="K2304" s="8"/>
      <c r="L2304" s="8"/>
    </row>
    <row r="2305" spans="3:12" x14ac:dyDescent="0.25">
      <c r="C2305" s="7"/>
      <c r="E2305" s="8"/>
      <c r="F2305" s="8"/>
      <c r="G2305" s="8"/>
      <c r="H2305" s="8"/>
      <c r="I2305" s="8"/>
      <c r="J2305" s="8"/>
      <c r="K2305" s="8"/>
      <c r="L2305" s="8"/>
    </row>
    <row r="2306" spans="3:12" x14ac:dyDescent="0.25">
      <c r="C2306" s="7"/>
      <c r="E2306" s="8"/>
      <c r="F2306" s="8"/>
      <c r="G2306" s="8"/>
      <c r="H2306" s="8"/>
      <c r="I2306" s="8"/>
      <c r="J2306" s="8"/>
      <c r="K2306" s="8"/>
      <c r="L2306" s="8"/>
    </row>
    <row r="2307" spans="3:12" x14ac:dyDescent="0.25">
      <c r="C2307" s="7"/>
      <c r="E2307" s="8"/>
      <c r="F2307" s="8"/>
      <c r="G2307" s="8"/>
      <c r="H2307" s="8"/>
      <c r="I2307" s="8"/>
      <c r="J2307" s="8"/>
      <c r="K2307" s="8"/>
      <c r="L2307" s="8"/>
    </row>
    <row r="2308" spans="3:12" x14ac:dyDescent="0.25">
      <c r="C2308" s="7"/>
      <c r="E2308" s="8"/>
      <c r="F2308" s="8"/>
      <c r="G2308" s="8"/>
      <c r="H2308" s="8"/>
      <c r="I2308" s="8"/>
      <c r="J2308" s="8"/>
      <c r="K2308" s="8"/>
      <c r="L2308" s="8"/>
    </row>
    <row r="2309" spans="3:12" x14ac:dyDescent="0.25">
      <c r="C2309" s="7"/>
      <c r="E2309" s="8"/>
      <c r="F2309" s="8"/>
      <c r="G2309" s="8"/>
      <c r="H2309" s="8"/>
      <c r="I2309" s="8"/>
      <c r="J2309" s="8"/>
      <c r="K2309" s="8"/>
      <c r="L2309" s="8"/>
    </row>
    <row r="2310" spans="3:12" x14ac:dyDescent="0.25">
      <c r="C2310" s="7"/>
      <c r="E2310" s="8"/>
      <c r="F2310" s="8"/>
      <c r="G2310" s="8"/>
      <c r="H2310" s="8"/>
      <c r="I2310" s="8"/>
      <c r="J2310" s="8"/>
      <c r="K2310" s="8"/>
      <c r="L2310" s="8"/>
    </row>
    <row r="2311" spans="3:12" x14ac:dyDescent="0.25">
      <c r="C2311" s="7"/>
      <c r="E2311" s="8"/>
      <c r="F2311" s="8"/>
      <c r="G2311" s="8"/>
      <c r="H2311" s="8"/>
      <c r="I2311" s="8"/>
      <c r="J2311" s="8"/>
      <c r="K2311" s="8"/>
      <c r="L2311" s="8"/>
    </row>
    <row r="2312" spans="3:12" x14ac:dyDescent="0.25">
      <c r="C2312" s="7"/>
      <c r="E2312" s="8"/>
      <c r="F2312" s="8"/>
      <c r="G2312" s="8"/>
      <c r="H2312" s="8"/>
      <c r="I2312" s="8"/>
      <c r="J2312" s="8"/>
      <c r="K2312" s="8"/>
      <c r="L2312" s="8"/>
    </row>
    <row r="2313" spans="3:12" x14ac:dyDescent="0.25">
      <c r="C2313" s="7"/>
      <c r="E2313" s="8"/>
      <c r="F2313" s="8"/>
      <c r="G2313" s="8"/>
      <c r="H2313" s="8"/>
      <c r="I2313" s="8"/>
      <c r="J2313" s="8"/>
      <c r="K2313" s="8"/>
      <c r="L2313" s="8"/>
    </row>
    <row r="2314" spans="3:12" x14ac:dyDescent="0.25">
      <c r="C2314" s="7"/>
      <c r="E2314" s="8"/>
      <c r="F2314" s="8"/>
      <c r="G2314" s="8"/>
      <c r="H2314" s="8"/>
      <c r="I2314" s="8"/>
      <c r="J2314" s="8"/>
      <c r="K2314" s="8"/>
      <c r="L2314" s="8"/>
    </row>
    <row r="2315" spans="3:12" x14ac:dyDescent="0.25">
      <c r="C2315" s="7"/>
      <c r="E2315" s="8"/>
      <c r="F2315" s="8"/>
      <c r="G2315" s="8"/>
      <c r="H2315" s="8"/>
      <c r="I2315" s="8"/>
      <c r="J2315" s="8"/>
      <c r="K2315" s="8"/>
      <c r="L2315" s="8"/>
    </row>
    <row r="2316" spans="3:12" x14ac:dyDescent="0.25">
      <c r="C2316" s="7"/>
      <c r="E2316" s="8"/>
      <c r="F2316" s="8"/>
      <c r="G2316" s="8"/>
      <c r="H2316" s="8"/>
      <c r="I2316" s="8"/>
      <c r="J2316" s="8"/>
      <c r="K2316" s="8"/>
      <c r="L2316" s="8"/>
    </row>
    <row r="2317" spans="3:12" x14ac:dyDescent="0.25">
      <c r="C2317" s="7"/>
      <c r="E2317" s="8"/>
      <c r="F2317" s="8"/>
      <c r="G2317" s="8"/>
      <c r="H2317" s="8"/>
      <c r="I2317" s="8"/>
      <c r="J2317" s="8"/>
      <c r="K2317" s="8"/>
      <c r="L2317" s="8"/>
    </row>
    <row r="2318" spans="3:12" x14ac:dyDescent="0.25">
      <c r="C2318" s="7"/>
      <c r="E2318" s="8"/>
      <c r="F2318" s="8"/>
      <c r="G2318" s="8"/>
      <c r="H2318" s="8"/>
      <c r="I2318" s="8"/>
      <c r="J2318" s="8"/>
      <c r="K2318" s="8"/>
      <c r="L2318" s="8"/>
    </row>
    <row r="2319" spans="3:12" x14ac:dyDescent="0.25">
      <c r="C2319" s="7"/>
      <c r="E2319" s="8"/>
      <c r="F2319" s="8"/>
      <c r="G2319" s="8"/>
      <c r="H2319" s="8"/>
      <c r="I2319" s="8"/>
      <c r="J2319" s="8"/>
      <c r="K2319" s="8"/>
      <c r="L2319" s="8"/>
    </row>
    <row r="2320" spans="3:12" x14ac:dyDescent="0.25">
      <c r="C2320" s="7"/>
      <c r="E2320" s="8"/>
      <c r="F2320" s="8"/>
      <c r="G2320" s="8"/>
      <c r="H2320" s="8"/>
      <c r="I2320" s="8"/>
      <c r="J2320" s="8"/>
      <c r="K2320" s="8"/>
      <c r="L2320" s="8"/>
    </row>
    <row r="2321" spans="3:12" x14ac:dyDescent="0.25">
      <c r="C2321" s="7"/>
      <c r="E2321" s="8"/>
      <c r="F2321" s="8"/>
      <c r="G2321" s="8"/>
      <c r="H2321" s="8"/>
      <c r="I2321" s="8"/>
      <c r="J2321" s="8"/>
      <c r="K2321" s="8"/>
      <c r="L2321" s="8"/>
    </row>
    <row r="2322" spans="3:12" x14ac:dyDescent="0.25">
      <c r="C2322" s="7"/>
      <c r="E2322" s="8"/>
      <c r="F2322" s="8"/>
      <c r="G2322" s="8"/>
      <c r="H2322" s="8"/>
      <c r="I2322" s="8"/>
      <c r="J2322" s="8"/>
      <c r="K2322" s="8"/>
      <c r="L2322" s="8"/>
    </row>
    <row r="2323" spans="3:12" x14ac:dyDescent="0.25">
      <c r="C2323" s="7"/>
      <c r="E2323" s="8"/>
      <c r="F2323" s="8"/>
      <c r="G2323" s="8"/>
      <c r="H2323" s="8"/>
      <c r="I2323" s="8"/>
      <c r="J2323" s="8"/>
      <c r="K2323" s="8"/>
      <c r="L2323" s="8"/>
    </row>
    <row r="2324" spans="3:12" x14ac:dyDescent="0.25">
      <c r="C2324" s="7"/>
      <c r="E2324" s="8"/>
      <c r="F2324" s="8"/>
      <c r="G2324" s="8"/>
      <c r="H2324" s="8"/>
      <c r="I2324" s="8"/>
      <c r="J2324" s="8"/>
      <c r="K2324" s="8"/>
      <c r="L2324" s="8"/>
    </row>
    <row r="2325" spans="3:12" x14ac:dyDescent="0.25">
      <c r="C2325" s="7"/>
      <c r="E2325" s="8"/>
      <c r="F2325" s="8"/>
      <c r="G2325" s="8"/>
      <c r="H2325" s="8"/>
      <c r="I2325" s="8"/>
      <c r="J2325" s="8"/>
      <c r="K2325" s="8"/>
      <c r="L2325" s="8"/>
    </row>
    <row r="2326" spans="3:12" x14ac:dyDescent="0.25">
      <c r="C2326" s="7"/>
      <c r="E2326" s="8"/>
      <c r="F2326" s="8"/>
      <c r="G2326" s="8"/>
      <c r="H2326" s="8"/>
      <c r="I2326" s="8"/>
      <c r="J2326" s="8"/>
      <c r="K2326" s="8"/>
      <c r="L2326" s="8"/>
    </row>
    <row r="2327" spans="3:12" x14ac:dyDescent="0.25">
      <c r="C2327" s="7"/>
      <c r="E2327" s="8"/>
      <c r="F2327" s="8"/>
      <c r="G2327" s="8"/>
      <c r="H2327" s="8"/>
      <c r="I2327" s="8"/>
      <c r="J2327" s="8"/>
      <c r="K2327" s="8"/>
      <c r="L2327" s="8"/>
    </row>
    <row r="2328" spans="3:12" x14ac:dyDescent="0.25">
      <c r="C2328" s="7"/>
      <c r="E2328" s="8"/>
      <c r="F2328" s="8"/>
      <c r="G2328" s="8"/>
      <c r="H2328" s="8"/>
      <c r="I2328" s="8"/>
      <c r="J2328" s="8"/>
      <c r="K2328" s="8"/>
      <c r="L2328" s="8"/>
    </row>
    <row r="2329" spans="3:12" x14ac:dyDescent="0.25">
      <c r="C2329" s="7"/>
      <c r="E2329" s="8"/>
      <c r="F2329" s="8"/>
      <c r="G2329" s="8"/>
      <c r="H2329" s="8"/>
      <c r="I2329" s="8"/>
      <c r="J2329" s="8"/>
      <c r="K2329" s="8"/>
      <c r="L2329" s="8"/>
    </row>
    <row r="2330" spans="3:12" x14ac:dyDescent="0.25">
      <c r="C2330" s="7"/>
      <c r="E2330" s="8"/>
      <c r="F2330" s="8"/>
      <c r="G2330" s="8"/>
      <c r="H2330" s="8"/>
      <c r="I2330" s="8"/>
      <c r="J2330" s="8"/>
      <c r="K2330" s="8"/>
      <c r="L2330" s="8"/>
    </row>
    <row r="2331" spans="3:12" x14ac:dyDescent="0.25">
      <c r="C2331" s="7"/>
      <c r="E2331" s="8"/>
      <c r="F2331" s="8"/>
      <c r="G2331" s="8"/>
      <c r="H2331" s="8"/>
      <c r="I2331" s="8"/>
      <c r="J2331" s="8"/>
      <c r="K2331" s="8"/>
      <c r="L2331" s="8"/>
    </row>
    <row r="2332" spans="3:12" x14ac:dyDescent="0.25">
      <c r="C2332" s="7"/>
      <c r="E2332" s="8"/>
      <c r="F2332" s="8"/>
      <c r="G2332" s="8"/>
      <c r="H2332" s="8"/>
      <c r="I2332" s="8"/>
      <c r="J2332" s="8"/>
      <c r="K2332" s="8"/>
      <c r="L2332" s="8"/>
    </row>
    <row r="2333" spans="3:12" x14ac:dyDescent="0.25">
      <c r="C2333" s="7"/>
      <c r="E2333" s="8"/>
      <c r="F2333" s="8"/>
      <c r="G2333" s="8"/>
      <c r="H2333" s="8"/>
      <c r="I2333" s="8"/>
      <c r="J2333" s="8"/>
      <c r="K2333" s="8"/>
      <c r="L2333" s="8"/>
    </row>
    <row r="2334" spans="3:12" x14ac:dyDescent="0.25">
      <c r="C2334" s="7"/>
      <c r="E2334" s="8"/>
      <c r="F2334" s="8"/>
      <c r="G2334" s="8"/>
      <c r="H2334" s="8"/>
      <c r="I2334" s="8"/>
      <c r="J2334" s="8"/>
      <c r="K2334" s="8"/>
      <c r="L2334" s="8"/>
    </row>
    <row r="2335" spans="3:12" x14ac:dyDescent="0.25">
      <c r="C2335" s="7"/>
      <c r="E2335" s="8"/>
      <c r="F2335" s="8"/>
      <c r="G2335" s="8"/>
      <c r="H2335" s="8"/>
      <c r="I2335" s="8"/>
      <c r="J2335" s="8"/>
      <c r="K2335" s="8"/>
      <c r="L2335" s="8"/>
    </row>
    <row r="2336" spans="3:12" x14ac:dyDescent="0.25">
      <c r="C2336" s="7"/>
      <c r="E2336" s="8"/>
      <c r="F2336" s="8"/>
      <c r="G2336" s="8"/>
      <c r="H2336" s="8"/>
      <c r="I2336" s="8"/>
      <c r="J2336" s="8"/>
      <c r="K2336" s="8"/>
      <c r="L2336" s="8"/>
    </row>
    <row r="2337" spans="3:12" x14ac:dyDescent="0.25">
      <c r="C2337" s="7"/>
      <c r="E2337" s="8"/>
      <c r="F2337" s="8"/>
      <c r="G2337" s="8"/>
      <c r="H2337" s="8"/>
      <c r="I2337" s="8"/>
      <c r="J2337" s="8"/>
      <c r="K2337" s="8"/>
      <c r="L2337" s="8"/>
    </row>
    <row r="2338" spans="3:12" x14ac:dyDescent="0.25">
      <c r="C2338" s="7"/>
      <c r="E2338" s="8"/>
      <c r="F2338" s="8"/>
      <c r="G2338" s="8"/>
      <c r="H2338" s="8"/>
      <c r="I2338" s="8"/>
      <c r="J2338" s="8"/>
      <c r="K2338" s="8"/>
      <c r="L2338" s="8"/>
    </row>
    <row r="2339" spans="3:12" x14ac:dyDescent="0.25">
      <c r="C2339" s="7"/>
      <c r="E2339" s="8"/>
      <c r="F2339" s="8"/>
      <c r="G2339" s="8"/>
      <c r="H2339" s="8"/>
      <c r="I2339" s="8"/>
      <c r="J2339" s="8"/>
      <c r="K2339" s="8"/>
      <c r="L2339" s="8"/>
    </row>
    <row r="2340" spans="3:12" x14ac:dyDescent="0.25">
      <c r="C2340" s="7"/>
      <c r="E2340" s="8"/>
      <c r="F2340" s="8"/>
      <c r="G2340" s="8"/>
      <c r="H2340" s="8"/>
      <c r="I2340" s="8"/>
      <c r="J2340" s="8"/>
      <c r="K2340" s="8"/>
      <c r="L2340" s="8"/>
    </row>
    <row r="2341" spans="3:12" x14ac:dyDescent="0.25">
      <c r="C2341" s="7"/>
      <c r="E2341" s="8"/>
      <c r="F2341" s="8"/>
      <c r="G2341" s="8"/>
      <c r="H2341" s="8"/>
      <c r="I2341" s="8"/>
      <c r="J2341" s="8"/>
      <c r="K2341" s="8"/>
      <c r="L2341" s="8"/>
    </row>
    <row r="2342" spans="3:12" x14ac:dyDescent="0.25">
      <c r="C2342" s="7"/>
      <c r="E2342" s="8"/>
      <c r="F2342" s="8"/>
      <c r="G2342" s="8"/>
      <c r="H2342" s="8"/>
      <c r="I2342" s="8"/>
      <c r="J2342" s="8"/>
      <c r="K2342" s="8"/>
      <c r="L2342" s="8"/>
    </row>
    <row r="2343" spans="3:12" x14ac:dyDescent="0.25">
      <c r="C2343" s="7"/>
      <c r="E2343" s="8"/>
      <c r="F2343" s="8"/>
      <c r="G2343" s="8"/>
      <c r="H2343" s="8"/>
      <c r="I2343" s="8"/>
      <c r="J2343" s="8"/>
      <c r="K2343" s="8"/>
      <c r="L2343" s="8"/>
    </row>
    <row r="2344" spans="3:12" x14ac:dyDescent="0.25">
      <c r="C2344" s="7"/>
      <c r="E2344" s="8"/>
      <c r="F2344" s="8"/>
      <c r="G2344" s="8"/>
      <c r="H2344" s="8"/>
      <c r="I2344" s="8"/>
      <c r="J2344" s="8"/>
      <c r="K2344" s="8"/>
      <c r="L2344" s="8"/>
    </row>
    <row r="2345" spans="3:12" x14ac:dyDescent="0.25">
      <c r="C2345" s="7"/>
      <c r="E2345" s="8"/>
      <c r="F2345" s="8"/>
      <c r="G2345" s="8"/>
      <c r="H2345" s="8"/>
      <c r="I2345" s="8"/>
      <c r="J2345" s="8"/>
      <c r="K2345" s="8"/>
      <c r="L2345" s="8"/>
    </row>
    <row r="2346" spans="3:12" x14ac:dyDescent="0.25">
      <c r="C2346" s="7"/>
      <c r="E2346" s="8"/>
      <c r="F2346" s="8"/>
      <c r="G2346" s="8"/>
      <c r="H2346" s="8"/>
      <c r="I2346" s="8"/>
      <c r="J2346" s="8"/>
      <c r="K2346" s="8"/>
      <c r="L2346" s="8"/>
    </row>
    <row r="2347" spans="3:12" x14ac:dyDescent="0.25">
      <c r="C2347" s="7"/>
      <c r="E2347" s="8"/>
      <c r="F2347" s="8"/>
      <c r="G2347" s="8"/>
      <c r="H2347" s="8"/>
      <c r="I2347" s="8"/>
      <c r="J2347" s="8"/>
      <c r="K2347" s="8"/>
      <c r="L2347" s="8"/>
    </row>
    <row r="2348" spans="3:12" x14ac:dyDescent="0.25">
      <c r="C2348" s="7"/>
      <c r="E2348" s="8"/>
      <c r="F2348" s="8"/>
      <c r="G2348" s="8"/>
      <c r="H2348" s="8"/>
      <c r="I2348" s="8"/>
      <c r="J2348" s="8"/>
      <c r="K2348" s="8"/>
      <c r="L2348" s="8"/>
    </row>
    <row r="2349" spans="3:12" x14ac:dyDescent="0.25">
      <c r="C2349" s="7"/>
      <c r="E2349" s="8"/>
      <c r="F2349" s="8"/>
      <c r="G2349" s="8"/>
      <c r="H2349" s="8"/>
      <c r="I2349" s="8"/>
      <c r="J2349" s="8"/>
      <c r="K2349" s="8"/>
      <c r="L2349" s="8"/>
    </row>
    <row r="2350" spans="3:12" x14ac:dyDescent="0.25">
      <c r="C2350" s="7"/>
      <c r="E2350" s="8"/>
      <c r="F2350" s="8"/>
      <c r="G2350" s="8"/>
      <c r="H2350" s="8"/>
      <c r="I2350" s="8"/>
      <c r="J2350" s="8"/>
      <c r="K2350" s="8"/>
      <c r="L2350" s="8"/>
    </row>
    <row r="2351" spans="3:12" x14ac:dyDescent="0.25">
      <c r="C2351" s="7"/>
      <c r="E2351" s="8"/>
      <c r="F2351" s="8"/>
      <c r="G2351" s="8"/>
      <c r="H2351" s="8"/>
      <c r="I2351" s="8"/>
      <c r="J2351" s="8"/>
      <c r="K2351" s="8"/>
      <c r="L2351" s="8"/>
    </row>
    <row r="2352" spans="3:12" x14ac:dyDescent="0.25">
      <c r="C2352" s="7"/>
      <c r="E2352" s="8"/>
      <c r="F2352" s="8"/>
      <c r="G2352" s="8"/>
      <c r="H2352" s="8"/>
      <c r="I2352" s="8"/>
      <c r="J2352" s="8"/>
      <c r="K2352" s="8"/>
      <c r="L2352" s="8"/>
    </row>
    <row r="2353" spans="3:12" x14ac:dyDescent="0.25">
      <c r="C2353" s="7"/>
      <c r="E2353" s="8"/>
      <c r="F2353" s="8"/>
      <c r="G2353" s="8"/>
      <c r="H2353" s="8"/>
      <c r="I2353" s="8"/>
      <c r="J2353" s="8"/>
      <c r="K2353" s="8"/>
      <c r="L2353" s="8"/>
    </row>
    <row r="2354" spans="3:12" x14ac:dyDescent="0.25">
      <c r="C2354" s="7"/>
      <c r="E2354" s="8"/>
      <c r="F2354" s="8"/>
      <c r="G2354" s="8"/>
      <c r="H2354" s="8"/>
      <c r="I2354" s="8"/>
      <c r="J2354" s="8"/>
      <c r="K2354" s="8"/>
      <c r="L2354" s="8"/>
    </row>
    <row r="2355" spans="3:12" x14ac:dyDescent="0.25">
      <c r="C2355" s="7"/>
      <c r="E2355" s="8"/>
      <c r="F2355" s="8"/>
      <c r="G2355" s="8"/>
      <c r="H2355" s="8"/>
      <c r="I2355" s="8"/>
      <c r="J2355" s="8"/>
      <c r="K2355" s="8"/>
      <c r="L2355" s="8"/>
    </row>
    <row r="2356" spans="3:12" x14ac:dyDescent="0.25">
      <c r="C2356" s="7"/>
      <c r="E2356" s="8"/>
      <c r="F2356" s="8"/>
      <c r="G2356" s="8"/>
      <c r="H2356" s="8"/>
      <c r="I2356" s="8"/>
      <c r="J2356" s="8"/>
      <c r="K2356" s="8"/>
      <c r="L2356" s="8"/>
    </row>
    <row r="2357" spans="3:12" x14ac:dyDescent="0.25">
      <c r="C2357" s="7"/>
      <c r="E2357" s="8"/>
      <c r="F2357" s="8"/>
      <c r="G2357" s="8"/>
      <c r="H2357" s="8"/>
      <c r="I2357" s="8"/>
      <c r="J2357" s="8"/>
      <c r="K2357" s="8"/>
      <c r="L2357" s="8"/>
    </row>
    <row r="2358" spans="3:12" x14ac:dyDescent="0.25">
      <c r="C2358" s="7"/>
      <c r="E2358" s="8"/>
      <c r="F2358" s="8"/>
      <c r="G2358" s="8"/>
      <c r="H2358" s="8"/>
      <c r="I2358" s="8"/>
      <c r="J2358" s="8"/>
      <c r="K2358" s="8"/>
      <c r="L2358" s="8"/>
    </row>
    <row r="2359" spans="3:12" x14ac:dyDescent="0.25">
      <c r="C2359" s="7"/>
      <c r="E2359" s="8"/>
      <c r="F2359" s="8"/>
      <c r="G2359" s="8"/>
      <c r="H2359" s="8"/>
      <c r="I2359" s="8"/>
      <c r="J2359" s="8"/>
      <c r="K2359" s="8"/>
      <c r="L2359" s="8"/>
    </row>
    <row r="2360" spans="3:12" x14ac:dyDescent="0.25">
      <c r="C2360" s="7"/>
      <c r="E2360" s="8"/>
      <c r="F2360" s="8"/>
      <c r="G2360" s="8"/>
      <c r="H2360" s="8"/>
      <c r="I2360" s="8"/>
      <c r="J2360" s="8"/>
      <c r="K2360" s="8"/>
      <c r="L2360" s="8"/>
    </row>
    <row r="2361" spans="3:12" x14ac:dyDescent="0.25">
      <c r="C2361" s="7"/>
      <c r="E2361" s="8"/>
      <c r="F2361" s="8"/>
      <c r="G2361" s="8"/>
      <c r="H2361" s="8"/>
      <c r="I2361" s="8"/>
      <c r="J2361" s="8"/>
      <c r="K2361" s="8"/>
      <c r="L2361" s="8"/>
    </row>
    <row r="2362" spans="3:12" x14ac:dyDescent="0.25">
      <c r="C2362" s="7"/>
      <c r="E2362" s="8"/>
      <c r="F2362" s="8"/>
      <c r="G2362" s="8"/>
      <c r="H2362" s="8"/>
      <c r="I2362" s="8"/>
      <c r="J2362" s="8"/>
      <c r="K2362" s="8"/>
      <c r="L2362" s="8"/>
    </row>
    <row r="2363" spans="3:12" x14ac:dyDescent="0.25">
      <c r="C2363" s="7"/>
      <c r="E2363" s="8"/>
      <c r="F2363" s="8"/>
      <c r="G2363" s="8"/>
      <c r="H2363" s="8"/>
      <c r="I2363" s="8"/>
      <c r="J2363" s="8"/>
      <c r="K2363" s="8"/>
      <c r="L2363" s="8"/>
    </row>
    <row r="2364" spans="3:12" x14ac:dyDescent="0.25">
      <c r="C2364" s="7"/>
      <c r="E2364" s="8"/>
      <c r="F2364" s="8"/>
      <c r="G2364" s="8"/>
      <c r="H2364" s="8"/>
      <c r="I2364" s="8"/>
      <c r="J2364" s="8"/>
      <c r="K2364" s="8"/>
      <c r="L2364" s="8"/>
    </row>
    <row r="2365" spans="3:12" x14ac:dyDescent="0.25">
      <c r="C2365" s="7"/>
      <c r="E2365" s="8"/>
      <c r="F2365" s="8"/>
      <c r="G2365" s="8"/>
      <c r="H2365" s="8"/>
      <c r="I2365" s="8"/>
      <c r="J2365" s="8"/>
      <c r="K2365" s="8"/>
      <c r="L2365" s="8"/>
    </row>
    <row r="2366" spans="3:12" x14ac:dyDescent="0.25">
      <c r="C2366" s="7"/>
      <c r="E2366" s="8"/>
      <c r="F2366" s="8"/>
      <c r="G2366" s="8"/>
      <c r="H2366" s="8"/>
      <c r="I2366" s="8"/>
      <c r="J2366" s="8"/>
      <c r="K2366" s="8"/>
      <c r="L2366" s="8"/>
    </row>
    <row r="2367" spans="3:12" x14ac:dyDescent="0.25">
      <c r="C2367" s="7"/>
      <c r="E2367" s="8"/>
      <c r="F2367" s="8"/>
      <c r="G2367" s="8"/>
      <c r="H2367" s="8"/>
      <c r="I2367" s="8"/>
      <c r="J2367" s="8"/>
      <c r="K2367" s="8"/>
      <c r="L2367" s="8"/>
    </row>
    <row r="2368" spans="3:12" x14ac:dyDescent="0.25">
      <c r="C2368" s="7"/>
      <c r="E2368" s="8"/>
      <c r="F2368" s="8"/>
      <c r="G2368" s="8"/>
      <c r="H2368" s="8"/>
      <c r="I2368" s="8"/>
      <c r="J2368" s="8"/>
      <c r="K2368" s="8"/>
      <c r="L2368" s="8"/>
    </row>
    <row r="2369" spans="3:12" x14ac:dyDescent="0.25">
      <c r="C2369" s="7"/>
      <c r="E2369" s="8"/>
      <c r="F2369" s="8"/>
      <c r="G2369" s="8"/>
      <c r="H2369" s="8"/>
      <c r="I2369" s="8"/>
      <c r="J2369" s="8"/>
      <c r="K2369" s="8"/>
      <c r="L2369" s="8"/>
    </row>
    <row r="2370" spans="3:12" x14ac:dyDescent="0.25">
      <c r="C2370" s="7"/>
      <c r="E2370" s="8"/>
      <c r="F2370" s="8"/>
      <c r="G2370" s="8"/>
      <c r="H2370" s="8"/>
      <c r="I2370" s="8"/>
      <c r="J2370" s="8"/>
      <c r="K2370" s="8"/>
      <c r="L2370" s="8"/>
    </row>
    <row r="2371" spans="3:12" x14ac:dyDescent="0.25">
      <c r="C2371" s="7"/>
      <c r="E2371" s="8"/>
      <c r="F2371" s="8"/>
      <c r="G2371" s="8"/>
      <c r="H2371" s="8"/>
      <c r="I2371" s="8"/>
      <c r="J2371" s="8"/>
      <c r="K2371" s="8"/>
      <c r="L2371" s="8"/>
    </row>
    <row r="2372" spans="3:12" x14ac:dyDescent="0.25">
      <c r="C2372" s="7"/>
      <c r="E2372" s="8"/>
      <c r="F2372" s="8"/>
      <c r="G2372" s="8"/>
      <c r="H2372" s="8"/>
      <c r="I2372" s="8"/>
      <c r="J2372" s="8"/>
      <c r="K2372" s="8"/>
      <c r="L2372" s="8"/>
    </row>
    <row r="2373" spans="3:12" x14ac:dyDescent="0.25">
      <c r="C2373" s="7"/>
      <c r="E2373" s="8"/>
      <c r="F2373" s="8"/>
      <c r="G2373" s="8"/>
      <c r="H2373" s="8"/>
      <c r="I2373" s="8"/>
      <c r="J2373" s="8"/>
      <c r="K2373" s="8"/>
      <c r="L2373" s="8"/>
    </row>
    <row r="2374" spans="3:12" x14ac:dyDescent="0.25">
      <c r="C2374" s="7"/>
      <c r="E2374" s="8"/>
      <c r="F2374" s="8"/>
      <c r="G2374" s="8"/>
      <c r="H2374" s="8"/>
      <c r="I2374" s="8"/>
      <c r="J2374" s="8"/>
      <c r="K2374" s="8"/>
      <c r="L2374" s="8"/>
    </row>
    <row r="2375" spans="3:12" x14ac:dyDescent="0.25">
      <c r="C2375" s="7"/>
      <c r="E2375" s="8"/>
      <c r="F2375" s="8"/>
      <c r="G2375" s="8"/>
      <c r="H2375" s="8"/>
      <c r="I2375" s="8"/>
      <c r="J2375" s="8"/>
      <c r="K2375" s="8"/>
      <c r="L2375" s="8"/>
    </row>
    <row r="2376" spans="3:12" x14ac:dyDescent="0.25">
      <c r="C2376" s="7"/>
      <c r="E2376" s="8"/>
      <c r="F2376" s="8"/>
      <c r="G2376" s="8"/>
      <c r="H2376" s="8"/>
      <c r="I2376" s="8"/>
      <c r="J2376" s="8"/>
      <c r="K2376" s="8"/>
      <c r="L2376" s="8"/>
    </row>
    <row r="2377" spans="3:12" x14ac:dyDescent="0.25">
      <c r="C2377" s="7"/>
      <c r="E2377" s="8"/>
      <c r="F2377" s="8"/>
      <c r="G2377" s="8"/>
      <c r="H2377" s="8"/>
      <c r="I2377" s="8"/>
      <c r="J2377" s="8"/>
      <c r="K2377" s="8"/>
      <c r="L2377" s="8"/>
    </row>
    <row r="2378" spans="3:12" x14ac:dyDescent="0.25">
      <c r="C2378" s="7"/>
      <c r="E2378" s="8"/>
      <c r="F2378" s="8"/>
      <c r="G2378" s="8"/>
      <c r="H2378" s="8"/>
      <c r="I2378" s="8"/>
      <c r="J2378" s="8"/>
      <c r="K2378" s="8"/>
      <c r="L2378" s="8"/>
    </row>
    <row r="2379" spans="3:12" x14ac:dyDescent="0.25">
      <c r="C2379" s="7"/>
      <c r="E2379" s="8"/>
      <c r="F2379" s="8"/>
      <c r="G2379" s="8"/>
      <c r="H2379" s="8"/>
      <c r="I2379" s="8"/>
      <c r="J2379" s="8"/>
      <c r="K2379" s="8"/>
      <c r="L2379" s="8"/>
    </row>
    <row r="2380" spans="3:12" x14ac:dyDescent="0.25">
      <c r="C2380" s="7"/>
      <c r="E2380" s="8"/>
      <c r="F2380" s="8"/>
      <c r="G2380" s="8"/>
      <c r="H2380" s="8"/>
      <c r="I2380" s="8"/>
      <c r="J2380" s="8"/>
      <c r="K2380" s="8"/>
      <c r="L2380" s="8"/>
    </row>
    <row r="2381" spans="3:12" x14ac:dyDescent="0.25">
      <c r="C2381" s="7"/>
      <c r="E2381" s="8"/>
      <c r="F2381" s="8"/>
      <c r="G2381" s="8"/>
      <c r="H2381" s="8"/>
      <c r="I2381" s="8"/>
      <c r="J2381" s="8"/>
      <c r="K2381" s="8"/>
      <c r="L2381" s="8"/>
    </row>
    <row r="2382" spans="3:12" x14ac:dyDescent="0.25">
      <c r="C2382" s="7"/>
      <c r="E2382" s="8"/>
      <c r="F2382" s="8"/>
      <c r="G2382" s="8"/>
      <c r="H2382" s="8"/>
      <c r="I2382" s="8"/>
      <c r="J2382" s="8"/>
      <c r="K2382" s="8"/>
      <c r="L2382" s="8"/>
    </row>
    <row r="2383" spans="3:12" x14ac:dyDescent="0.25">
      <c r="C2383" s="7"/>
      <c r="E2383" s="8"/>
      <c r="F2383" s="8"/>
      <c r="G2383" s="8"/>
      <c r="H2383" s="8"/>
      <c r="I2383" s="8"/>
      <c r="J2383" s="8"/>
      <c r="K2383" s="8"/>
      <c r="L2383" s="8"/>
    </row>
    <row r="2384" spans="3:12" x14ac:dyDescent="0.25">
      <c r="C2384" s="7"/>
      <c r="E2384" s="8"/>
      <c r="F2384" s="8"/>
      <c r="G2384" s="8"/>
      <c r="H2384" s="8"/>
      <c r="I2384" s="8"/>
      <c r="J2384" s="8"/>
      <c r="K2384" s="8"/>
      <c r="L2384" s="8"/>
    </row>
    <row r="2385" spans="3:12" x14ac:dyDescent="0.25">
      <c r="C2385" s="7"/>
      <c r="E2385" s="8"/>
      <c r="F2385" s="8"/>
      <c r="G2385" s="8"/>
      <c r="H2385" s="8"/>
      <c r="I2385" s="8"/>
      <c r="J2385" s="8"/>
      <c r="K2385" s="8"/>
      <c r="L2385" s="8"/>
    </row>
    <row r="2386" spans="3:12" x14ac:dyDescent="0.25">
      <c r="C2386" s="7"/>
      <c r="E2386" s="8"/>
      <c r="F2386" s="8"/>
      <c r="G2386" s="8"/>
      <c r="H2386" s="8"/>
      <c r="I2386" s="8"/>
      <c r="J2386" s="8"/>
      <c r="K2386" s="8"/>
      <c r="L2386" s="8"/>
    </row>
    <row r="2387" spans="3:12" x14ac:dyDescent="0.25">
      <c r="C2387" s="7"/>
      <c r="E2387" s="8"/>
      <c r="F2387" s="8"/>
      <c r="G2387" s="8"/>
      <c r="H2387" s="8"/>
      <c r="I2387" s="8"/>
      <c r="J2387" s="8"/>
      <c r="K2387" s="8"/>
      <c r="L2387" s="8"/>
    </row>
    <row r="2388" spans="3:12" x14ac:dyDescent="0.25">
      <c r="C2388" s="7"/>
      <c r="E2388" s="8"/>
      <c r="F2388" s="8"/>
      <c r="G2388" s="8"/>
      <c r="H2388" s="8"/>
      <c r="I2388" s="8"/>
      <c r="J2388" s="8"/>
      <c r="K2388" s="8"/>
      <c r="L2388" s="8"/>
    </row>
    <row r="2389" spans="3:12" x14ac:dyDescent="0.25">
      <c r="C2389" s="7"/>
      <c r="E2389" s="8"/>
      <c r="F2389" s="8"/>
      <c r="G2389" s="8"/>
      <c r="H2389" s="8"/>
      <c r="I2389" s="8"/>
      <c r="J2389" s="8"/>
      <c r="K2389" s="8"/>
      <c r="L2389" s="8"/>
    </row>
    <row r="2390" spans="3:12" x14ac:dyDescent="0.25">
      <c r="C2390" s="7"/>
      <c r="E2390" s="8"/>
      <c r="F2390" s="8"/>
      <c r="G2390" s="8"/>
      <c r="H2390" s="8"/>
      <c r="I2390" s="8"/>
      <c r="J2390" s="8"/>
      <c r="K2390" s="8"/>
      <c r="L2390" s="8"/>
    </row>
    <row r="2391" spans="3:12" x14ac:dyDescent="0.25">
      <c r="C2391" s="7"/>
      <c r="E2391" s="8"/>
      <c r="F2391" s="8"/>
      <c r="G2391" s="8"/>
      <c r="H2391" s="8"/>
      <c r="I2391" s="8"/>
      <c r="J2391" s="8"/>
      <c r="K2391" s="8"/>
      <c r="L2391" s="8"/>
    </row>
    <row r="2392" spans="3:12" x14ac:dyDescent="0.25">
      <c r="C2392" s="7"/>
      <c r="E2392" s="8"/>
      <c r="F2392" s="8"/>
      <c r="G2392" s="8"/>
      <c r="H2392" s="8"/>
      <c r="I2392" s="8"/>
      <c r="J2392" s="8"/>
      <c r="K2392" s="8"/>
      <c r="L2392" s="8"/>
    </row>
    <row r="2393" spans="3:12" x14ac:dyDescent="0.25">
      <c r="C2393" s="7"/>
      <c r="E2393" s="8"/>
      <c r="F2393" s="8"/>
      <c r="G2393" s="8"/>
      <c r="H2393" s="8"/>
      <c r="I2393" s="8"/>
      <c r="J2393" s="8"/>
      <c r="K2393" s="8"/>
      <c r="L2393" s="8"/>
    </row>
    <row r="2394" spans="3:12" x14ac:dyDescent="0.25">
      <c r="C2394" s="7"/>
      <c r="E2394" s="8"/>
      <c r="F2394" s="8"/>
      <c r="G2394" s="8"/>
      <c r="H2394" s="8"/>
      <c r="I2394" s="8"/>
      <c r="J2394" s="8"/>
      <c r="K2394" s="8"/>
      <c r="L2394" s="8"/>
    </row>
    <row r="2395" spans="3:12" x14ac:dyDescent="0.25">
      <c r="C2395" s="7"/>
      <c r="E2395" s="8"/>
      <c r="F2395" s="8"/>
      <c r="G2395" s="8"/>
      <c r="H2395" s="8"/>
      <c r="I2395" s="8"/>
      <c r="J2395" s="8"/>
      <c r="K2395" s="8"/>
      <c r="L2395" s="8"/>
    </row>
    <row r="2396" spans="3:12" x14ac:dyDescent="0.25">
      <c r="C2396" s="7"/>
      <c r="E2396" s="8"/>
      <c r="F2396" s="8"/>
      <c r="G2396" s="8"/>
      <c r="H2396" s="8"/>
      <c r="I2396" s="8"/>
      <c r="J2396" s="8"/>
      <c r="K2396" s="8"/>
      <c r="L2396" s="8"/>
    </row>
    <row r="2397" spans="3:12" x14ac:dyDescent="0.25">
      <c r="C2397" s="7"/>
      <c r="E2397" s="8"/>
      <c r="F2397" s="8"/>
      <c r="G2397" s="8"/>
      <c r="H2397" s="8"/>
      <c r="I2397" s="8"/>
      <c r="J2397" s="8"/>
      <c r="K2397" s="8"/>
      <c r="L2397" s="8"/>
    </row>
    <row r="2398" spans="3:12" x14ac:dyDescent="0.25">
      <c r="C2398" s="7"/>
      <c r="E2398" s="8"/>
      <c r="F2398" s="8"/>
      <c r="G2398" s="8"/>
      <c r="H2398" s="8"/>
      <c r="I2398" s="8"/>
      <c r="J2398" s="8"/>
      <c r="K2398" s="8"/>
      <c r="L2398" s="8"/>
    </row>
    <row r="2399" spans="3:12" x14ac:dyDescent="0.25">
      <c r="C2399" s="7"/>
      <c r="E2399" s="8"/>
      <c r="F2399" s="8"/>
      <c r="G2399" s="8"/>
      <c r="H2399" s="8"/>
      <c r="I2399" s="8"/>
      <c r="J2399" s="8"/>
      <c r="K2399" s="8"/>
      <c r="L2399" s="8"/>
    </row>
    <row r="2400" spans="3:12" x14ac:dyDescent="0.25">
      <c r="C2400" s="7"/>
      <c r="E2400" s="8"/>
      <c r="F2400" s="8"/>
      <c r="G2400" s="8"/>
      <c r="H2400" s="8"/>
      <c r="I2400" s="8"/>
      <c r="J2400" s="8"/>
      <c r="K2400" s="8"/>
      <c r="L2400" s="8"/>
    </row>
    <row r="2401" spans="3:12" x14ac:dyDescent="0.25">
      <c r="C2401" s="7"/>
      <c r="E2401" s="8"/>
      <c r="F2401" s="8"/>
      <c r="G2401" s="8"/>
      <c r="H2401" s="8"/>
      <c r="I2401" s="8"/>
      <c r="J2401" s="8"/>
      <c r="K2401" s="8"/>
      <c r="L2401" s="8"/>
    </row>
    <row r="2402" spans="3:12" x14ac:dyDescent="0.25">
      <c r="C2402" s="7"/>
      <c r="E2402" s="8"/>
      <c r="F2402" s="8"/>
      <c r="G2402" s="8"/>
      <c r="H2402" s="8"/>
      <c r="I2402" s="8"/>
      <c r="J2402" s="8"/>
      <c r="K2402" s="8"/>
      <c r="L2402" s="8"/>
    </row>
    <row r="2403" spans="3:12" x14ac:dyDescent="0.25">
      <c r="C2403" s="7"/>
      <c r="E2403" s="8"/>
      <c r="F2403" s="8"/>
      <c r="G2403" s="8"/>
      <c r="H2403" s="8"/>
      <c r="I2403" s="8"/>
      <c r="J2403" s="8"/>
      <c r="K2403" s="8"/>
      <c r="L2403" s="8"/>
    </row>
    <row r="2404" spans="3:12" x14ac:dyDescent="0.25">
      <c r="C2404" s="7"/>
      <c r="E2404" s="8"/>
      <c r="F2404" s="8"/>
      <c r="G2404" s="8"/>
      <c r="H2404" s="8"/>
      <c r="I2404" s="8"/>
      <c r="J2404" s="8"/>
      <c r="K2404" s="8"/>
      <c r="L2404" s="8"/>
    </row>
    <row r="2405" spans="3:12" x14ac:dyDescent="0.25">
      <c r="C2405" s="7"/>
      <c r="E2405" s="8"/>
      <c r="F2405" s="8"/>
      <c r="G2405" s="8"/>
      <c r="H2405" s="8"/>
      <c r="I2405" s="8"/>
      <c r="J2405" s="8"/>
      <c r="K2405" s="8"/>
      <c r="L2405" s="8"/>
    </row>
    <row r="2406" spans="3:12" x14ac:dyDescent="0.25">
      <c r="C2406" s="7"/>
      <c r="E2406" s="8"/>
      <c r="F2406" s="8"/>
      <c r="G2406" s="8"/>
      <c r="H2406" s="8"/>
      <c r="I2406" s="8"/>
      <c r="J2406" s="8"/>
      <c r="K2406" s="8"/>
      <c r="L2406" s="8"/>
    </row>
    <row r="2407" spans="3:12" x14ac:dyDescent="0.25">
      <c r="C2407" s="7"/>
      <c r="E2407" s="8"/>
      <c r="F2407" s="8"/>
      <c r="G2407" s="8"/>
      <c r="H2407" s="8"/>
      <c r="I2407" s="8"/>
      <c r="J2407" s="8"/>
      <c r="K2407" s="8"/>
      <c r="L2407" s="8"/>
    </row>
    <row r="2408" spans="3:12" x14ac:dyDescent="0.25">
      <c r="C2408" s="7"/>
      <c r="E2408" s="8"/>
      <c r="F2408" s="8"/>
      <c r="G2408" s="8"/>
      <c r="H2408" s="8"/>
      <c r="I2408" s="8"/>
      <c r="J2408" s="8"/>
      <c r="K2408" s="8"/>
      <c r="L2408" s="8"/>
    </row>
    <row r="2409" spans="3:12" x14ac:dyDescent="0.25">
      <c r="C2409" s="7"/>
      <c r="E2409" s="8"/>
      <c r="F2409" s="8"/>
      <c r="G2409" s="8"/>
      <c r="H2409" s="8"/>
      <c r="I2409" s="8"/>
      <c r="J2409" s="8"/>
      <c r="K2409" s="8"/>
      <c r="L2409" s="8"/>
    </row>
    <row r="2410" spans="3:12" x14ac:dyDescent="0.25">
      <c r="C2410" s="7"/>
      <c r="E2410" s="8"/>
      <c r="F2410" s="8"/>
      <c r="G2410" s="8"/>
      <c r="H2410" s="8"/>
      <c r="I2410" s="8"/>
      <c r="J2410" s="8"/>
      <c r="K2410" s="8"/>
      <c r="L2410" s="8"/>
    </row>
    <row r="2411" spans="3:12" x14ac:dyDescent="0.25">
      <c r="C2411" s="7"/>
      <c r="E2411" s="8"/>
      <c r="F2411" s="8"/>
      <c r="G2411" s="8"/>
      <c r="H2411" s="8"/>
      <c r="I2411" s="8"/>
      <c r="J2411" s="8"/>
      <c r="K2411" s="8"/>
      <c r="L2411" s="8"/>
    </row>
    <row r="2412" spans="3:12" x14ac:dyDescent="0.25">
      <c r="C2412" s="7"/>
      <c r="E2412" s="8"/>
      <c r="F2412" s="8"/>
      <c r="G2412" s="8"/>
      <c r="H2412" s="8"/>
      <c r="I2412" s="8"/>
      <c r="J2412" s="8"/>
      <c r="K2412" s="8"/>
      <c r="L2412" s="8"/>
    </row>
    <row r="2413" spans="3:12" x14ac:dyDescent="0.25">
      <c r="C2413" s="7"/>
      <c r="E2413" s="8"/>
      <c r="F2413" s="8"/>
      <c r="G2413" s="8"/>
      <c r="H2413" s="8"/>
      <c r="I2413" s="8"/>
      <c r="J2413" s="8"/>
      <c r="K2413" s="8"/>
      <c r="L2413" s="8"/>
    </row>
    <row r="2414" spans="3:12" x14ac:dyDescent="0.25">
      <c r="C2414" s="7"/>
      <c r="E2414" s="8"/>
      <c r="F2414" s="8"/>
      <c r="G2414" s="8"/>
      <c r="H2414" s="8"/>
      <c r="I2414" s="8"/>
      <c r="J2414" s="8"/>
      <c r="K2414" s="8"/>
      <c r="L2414" s="8"/>
    </row>
    <row r="2415" spans="3:12" x14ac:dyDescent="0.25">
      <c r="C2415" s="7"/>
      <c r="E2415" s="8"/>
      <c r="F2415" s="8"/>
      <c r="G2415" s="8"/>
      <c r="H2415" s="8"/>
      <c r="I2415" s="8"/>
      <c r="J2415" s="8"/>
      <c r="K2415" s="8"/>
      <c r="L2415" s="8"/>
    </row>
    <row r="2416" spans="3:12" x14ac:dyDescent="0.25">
      <c r="C2416" s="7"/>
      <c r="E2416" s="8"/>
      <c r="F2416" s="8"/>
      <c r="G2416" s="8"/>
      <c r="H2416" s="8"/>
      <c r="I2416" s="8"/>
      <c r="J2416" s="8"/>
      <c r="K2416" s="8"/>
      <c r="L2416" s="8"/>
    </row>
    <row r="2417" spans="3:12" x14ac:dyDescent="0.25">
      <c r="C2417" s="7"/>
      <c r="E2417" s="8"/>
      <c r="F2417" s="8"/>
      <c r="G2417" s="8"/>
      <c r="H2417" s="8"/>
      <c r="I2417" s="8"/>
      <c r="J2417" s="8"/>
      <c r="K2417" s="8"/>
      <c r="L2417" s="8"/>
    </row>
    <row r="2418" spans="3:12" x14ac:dyDescent="0.25">
      <c r="C2418" s="7"/>
      <c r="E2418" s="8"/>
      <c r="F2418" s="8"/>
      <c r="G2418" s="8"/>
      <c r="H2418" s="8"/>
      <c r="I2418" s="8"/>
      <c r="J2418" s="8"/>
      <c r="K2418" s="8"/>
      <c r="L2418" s="8"/>
    </row>
    <row r="2419" spans="3:12" x14ac:dyDescent="0.25">
      <c r="C2419" s="7"/>
      <c r="E2419" s="8"/>
      <c r="F2419" s="8"/>
      <c r="G2419" s="8"/>
      <c r="H2419" s="8"/>
      <c r="I2419" s="8"/>
      <c r="J2419" s="8"/>
      <c r="K2419" s="8"/>
      <c r="L2419" s="8"/>
    </row>
    <row r="2420" spans="3:12" x14ac:dyDescent="0.25">
      <c r="C2420" s="7"/>
      <c r="E2420" s="8"/>
      <c r="F2420" s="8"/>
      <c r="G2420" s="8"/>
      <c r="H2420" s="8"/>
      <c r="I2420" s="8"/>
      <c r="J2420" s="8"/>
      <c r="K2420" s="8"/>
      <c r="L2420" s="8"/>
    </row>
    <row r="2421" spans="3:12" x14ac:dyDescent="0.25">
      <c r="C2421" s="7"/>
      <c r="E2421" s="8"/>
      <c r="F2421" s="8"/>
      <c r="G2421" s="8"/>
      <c r="H2421" s="8"/>
      <c r="I2421" s="8"/>
      <c r="J2421" s="8"/>
      <c r="K2421" s="8"/>
      <c r="L2421" s="8"/>
    </row>
    <row r="2422" spans="3:12" x14ac:dyDescent="0.25">
      <c r="C2422" s="7"/>
      <c r="E2422" s="8"/>
      <c r="F2422" s="8"/>
      <c r="G2422" s="8"/>
      <c r="H2422" s="8"/>
      <c r="I2422" s="8"/>
      <c r="J2422" s="8"/>
      <c r="K2422" s="8"/>
      <c r="L2422" s="8"/>
    </row>
    <row r="2423" spans="3:12" x14ac:dyDescent="0.25">
      <c r="C2423" s="7"/>
      <c r="E2423" s="8"/>
      <c r="F2423" s="8"/>
      <c r="G2423" s="8"/>
      <c r="H2423" s="8"/>
      <c r="I2423" s="8"/>
      <c r="J2423" s="8"/>
      <c r="K2423" s="8"/>
      <c r="L2423" s="8"/>
    </row>
    <row r="2424" spans="3:12" x14ac:dyDescent="0.25">
      <c r="C2424" s="7"/>
      <c r="E2424" s="8"/>
      <c r="F2424" s="8"/>
      <c r="G2424" s="8"/>
      <c r="H2424" s="8"/>
      <c r="I2424" s="8"/>
      <c r="J2424" s="8"/>
      <c r="K2424" s="8"/>
      <c r="L2424" s="8"/>
    </row>
    <row r="2425" spans="3:12" x14ac:dyDescent="0.25">
      <c r="C2425" s="7"/>
      <c r="E2425" s="8"/>
      <c r="F2425" s="8"/>
      <c r="G2425" s="8"/>
      <c r="H2425" s="8"/>
      <c r="I2425" s="8"/>
      <c r="J2425" s="8"/>
      <c r="K2425" s="8"/>
      <c r="L2425" s="8"/>
    </row>
    <row r="2426" spans="3:12" x14ac:dyDescent="0.25">
      <c r="C2426" s="7"/>
      <c r="E2426" s="8"/>
      <c r="F2426" s="8"/>
      <c r="G2426" s="8"/>
      <c r="H2426" s="8"/>
      <c r="I2426" s="8"/>
      <c r="J2426" s="8"/>
      <c r="K2426" s="8"/>
      <c r="L2426" s="8"/>
    </row>
    <row r="2427" spans="3:12" x14ac:dyDescent="0.25">
      <c r="C2427" s="7"/>
      <c r="E2427" s="8"/>
      <c r="F2427" s="8"/>
      <c r="G2427" s="8"/>
      <c r="H2427" s="8"/>
      <c r="I2427" s="8"/>
      <c r="J2427" s="8"/>
      <c r="K2427" s="8"/>
      <c r="L2427" s="8"/>
    </row>
    <row r="2428" spans="3:12" x14ac:dyDescent="0.25">
      <c r="C2428" s="7"/>
      <c r="E2428" s="8"/>
      <c r="F2428" s="8"/>
      <c r="G2428" s="8"/>
      <c r="H2428" s="8"/>
      <c r="I2428" s="8"/>
      <c r="J2428" s="8"/>
      <c r="K2428" s="8"/>
      <c r="L2428" s="8"/>
    </row>
    <row r="2429" spans="3:12" x14ac:dyDescent="0.25">
      <c r="C2429" s="7"/>
      <c r="E2429" s="8"/>
      <c r="F2429" s="8"/>
      <c r="G2429" s="8"/>
      <c r="H2429" s="8"/>
      <c r="I2429" s="8"/>
      <c r="J2429" s="8"/>
      <c r="K2429" s="8"/>
      <c r="L2429" s="8"/>
    </row>
    <row r="2430" spans="3:12" x14ac:dyDescent="0.25">
      <c r="C2430" s="7"/>
      <c r="E2430" s="8"/>
      <c r="F2430" s="8"/>
      <c r="G2430" s="8"/>
      <c r="H2430" s="8"/>
      <c r="I2430" s="8"/>
      <c r="J2430" s="8"/>
      <c r="K2430" s="8"/>
      <c r="L2430" s="8"/>
    </row>
    <row r="2431" spans="3:12" x14ac:dyDescent="0.25">
      <c r="C2431" s="7"/>
      <c r="E2431" s="8"/>
      <c r="F2431" s="8"/>
      <c r="G2431" s="8"/>
      <c r="H2431" s="8"/>
      <c r="I2431" s="8"/>
      <c r="J2431" s="8"/>
      <c r="K2431" s="8"/>
      <c r="L2431" s="8"/>
    </row>
    <row r="2432" spans="3:12" x14ac:dyDescent="0.25">
      <c r="C2432" s="7"/>
      <c r="E2432" s="8"/>
      <c r="F2432" s="8"/>
      <c r="G2432" s="8"/>
      <c r="H2432" s="8"/>
      <c r="I2432" s="8"/>
      <c r="J2432" s="8"/>
      <c r="K2432" s="8"/>
      <c r="L2432" s="8"/>
    </row>
    <row r="2433" spans="3:12" x14ac:dyDescent="0.25">
      <c r="C2433" s="7"/>
      <c r="E2433" s="8"/>
      <c r="F2433" s="8"/>
      <c r="G2433" s="8"/>
      <c r="H2433" s="8"/>
      <c r="I2433" s="8"/>
      <c r="J2433" s="8"/>
      <c r="K2433" s="8"/>
      <c r="L2433" s="8"/>
    </row>
    <row r="2434" spans="3:12" x14ac:dyDescent="0.25">
      <c r="C2434" s="7"/>
      <c r="E2434" s="8"/>
      <c r="F2434" s="8"/>
      <c r="G2434" s="8"/>
      <c r="H2434" s="8"/>
      <c r="I2434" s="8"/>
      <c r="J2434" s="8"/>
      <c r="K2434" s="8"/>
      <c r="L2434" s="8"/>
    </row>
    <row r="2435" spans="3:12" x14ac:dyDescent="0.25">
      <c r="C2435" s="7"/>
      <c r="E2435" s="8"/>
      <c r="F2435" s="8"/>
      <c r="G2435" s="8"/>
      <c r="H2435" s="8"/>
      <c r="I2435" s="8"/>
      <c r="J2435" s="8"/>
      <c r="K2435" s="8"/>
      <c r="L2435" s="8"/>
    </row>
    <row r="2436" spans="3:12" x14ac:dyDescent="0.25">
      <c r="C2436" s="7"/>
      <c r="E2436" s="8"/>
      <c r="F2436" s="8"/>
      <c r="G2436" s="8"/>
      <c r="H2436" s="8"/>
      <c r="I2436" s="8"/>
      <c r="J2436" s="8"/>
      <c r="K2436" s="8"/>
      <c r="L2436" s="8"/>
    </row>
    <row r="2437" spans="3:12" x14ac:dyDescent="0.25">
      <c r="C2437" s="7"/>
      <c r="E2437" s="8"/>
      <c r="F2437" s="8"/>
      <c r="G2437" s="8"/>
      <c r="H2437" s="8"/>
      <c r="I2437" s="8"/>
      <c r="J2437" s="8"/>
      <c r="K2437" s="8"/>
      <c r="L2437" s="8"/>
    </row>
    <row r="2438" spans="3:12" x14ac:dyDescent="0.25">
      <c r="C2438" s="7"/>
      <c r="E2438" s="8"/>
      <c r="F2438" s="8"/>
      <c r="G2438" s="8"/>
      <c r="H2438" s="8"/>
      <c r="I2438" s="8"/>
      <c r="J2438" s="8"/>
      <c r="K2438" s="8"/>
      <c r="L2438" s="8"/>
    </row>
    <row r="2439" spans="3:12" x14ac:dyDescent="0.25">
      <c r="C2439" s="7"/>
      <c r="E2439" s="8"/>
      <c r="F2439" s="8"/>
      <c r="G2439" s="8"/>
      <c r="H2439" s="8"/>
      <c r="I2439" s="8"/>
      <c r="J2439" s="8"/>
      <c r="K2439" s="8"/>
      <c r="L2439" s="8"/>
    </row>
    <row r="2440" spans="3:12" x14ac:dyDescent="0.25">
      <c r="C2440" s="7"/>
      <c r="E2440" s="8"/>
      <c r="F2440" s="8"/>
      <c r="G2440" s="8"/>
      <c r="H2440" s="8"/>
      <c r="I2440" s="8"/>
      <c r="J2440" s="8"/>
      <c r="K2440" s="8"/>
      <c r="L2440" s="8"/>
    </row>
    <row r="2441" spans="3:12" x14ac:dyDescent="0.25">
      <c r="C2441" s="7"/>
      <c r="E2441" s="8"/>
      <c r="F2441" s="8"/>
      <c r="G2441" s="8"/>
      <c r="H2441" s="8"/>
      <c r="I2441" s="8"/>
      <c r="J2441" s="8"/>
      <c r="K2441" s="8"/>
      <c r="L2441" s="8"/>
    </row>
    <row r="2442" spans="3:12" x14ac:dyDescent="0.25">
      <c r="C2442" s="7"/>
      <c r="E2442" s="8"/>
      <c r="F2442" s="8"/>
      <c r="G2442" s="8"/>
      <c r="H2442" s="8"/>
      <c r="I2442" s="8"/>
      <c r="J2442" s="8"/>
      <c r="K2442" s="8"/>
      <c r="L2442" s="8"/>
    </row>
    <row r="2443" spans="3:12" x14ac:dyDescent="0.25">
      <c r="C2443" s="7"/>
      <c r="E2443" s="8"/>
      <c r="F2443" s="8"/>
      <c r="G2443" s="8"/>
      <c r="H2443" s="8"/>
      <c r="I2443" s="8"/>
      <c r="J2443" s="8"/>
      <c r="K2443" s="8"/>
      <c r="L2443" s="8"/>
    </row>
    <row r="2444" spans="3:12" x14ac:dyDescent="0.25">
      <c r="C2444" s="7"/>
      <c r="E2444" s="8"/>
      <c r="F2444" s="8"/>
      <c r="G2444" s="8"/>
      <c r="H2444" s="8"/>
      <c r="I2444" s="8"/>
      <c r="J2444" s="8"/>
      <c r="K2444" s="8"/>
      <c r="L2444" s="8"/>
    </row>
    <row r="2445" spans="3:12" x14ac:dyDescent="0.25">
      <c r="C2445" s="7"/>
      <c r="E2445" s="8"/>
      <c r="F2445" s="8"/>
      <c r="G2445" s="8"/>
      <c r="H2445" s="8"/>
      <c r="I2445" s="8"/>
      <c r="J2445" s="8"/>
      <c r="K2445" s="8"/>
      <c r="L2445" s="8"/>
    </row>
    <row r="2446" spans="3:12" x14ac:dyDescent="0.25">
      <c r="C2446" s="7"/>
      <c r="E2446" s="8"/>
      <c r="F2446" s="8"/>
      <c r="G2446" s="8"/>
      <c r="H2446" s="8"/>
      <c r="I2446" s="8"/>
      <c r="J2446" s="8"/>
      <c r="K2446" s="8"/>
      <c r="L2446" s="8"/>
    </row>
    <row r="2447" spans="3:12" x14ac:dyDescent="0.25">
      <c r="C2447" s="7"/>
      <c r="E2447" s="8"/>
      <c r="F2447" s="8"/>
      <c r="G2447" s="8"/>
      <c r="H2447" s="8"/>
      <c r="I2447" s="8"/>
      <c r="J2447" s="8"/>
      <c r="K2447" s="8"/>
      <c r="L2447" s="8"/>
    </row>
    <row r="2448" spans="3:12" x14ac:dyDescent="0.25">
      <c r="C2448" s="7"/>
      <c r="E2448" s="8"/>
      <c r="F2448" s="8"/>
      <c r="G2448" s="8"/>
      <c r="H2448" s="8"/>
      <c r="I2448" s="8"/>
      <c r="J2448" s="8"/>
      <c r="K2448" s="8"/>
      <c r="L2448" s="8"/>
    </row>
    <row r="2449" spans="3:12" x14ac:dyDescent="0.25">
      <c r="C2449" s="7"/>
      <c r="E2449" s="8"/>
      <c r="F2449" s="8"/>
      <c r="G2449" s="8"/>
      <c r="H2449" s="8"/>
      <c r="I2449" s="8"/>
      <c r="J2449" s="8"/>
      <c r="K2449" s="8"/>
      <c r="L2449" s="8"/>
    </row>
    <row r="2450" spans="3:12" x14ac:dyDescent="0.25">
      <c r="C2450" s="7"/>
      <c r="E2450" s="8"/>
      <c r="F2450" s="8"/>
      <c r="G2450" s="8"/>
      <c r="H2450" s="8"/>
      <c r="I2450" s="8"/>
      <c r="J2450" s="8"/>
      <c r="K2450" s="8"/>
      <c r="L2450" s="8"/>
    </row>
    <row r="2451" spans="3:12" x14ac:dyDescent="0.25">
      <c r="C2451" s="7"/>
      <c r="E2451" s="8"/>
      <c r="F2451" s="8"/>
      <c r="G2451" s="8"/>
      <c r="H2451" s="8"/>
      <c r="I2451" s="8"/>
      <c r="J2451" s="8"/>
      <c r="K2451" s="8"/>
      <c r="L2451" s="8"/>
    </row>
    <row r="2452" spans="3:12" x14ac:dyDescent="0.25">
      <c r="C2452" s="7"/>
      <c r="E2452" s="8"/>
      <c r="F2452" s="8"/>
      <c r="G2452" s="8"/>
      <c r="H2452" s="8"/>
      <c r="I2452" s="8"/>
      <c r="J2452" s="8"/>
      <c r="K2452" s="8"/>
      <c r="L2452" s="8"/>
    </row>
    <row r="2453" spans="3:12" x14ac:dyDescent="0.25">
      <c r="C2453" s="7"/>
      <c r="E2453" s="8"/>
      <c r="F2453" s="8"/>
      <c r="G2453" s="8"/>
      <c r="H2453" s="8"/>
      <c r="I2453" s="8"/>
      <c r="J2453" s="8"/>
      <c r="K2453" s="8"/>
      <c r="L2453" s="8"/>
    </row>
    <row r="2454" spans="3:12" x14ac:dyDescent="0.25">
      <c r="C2454" s="7"/>
      <c r="E2454" s="8"/>
      <c r="F2454" s="8"/>
      <c r="G2454" s="8"/>
      <c r="H2454" s="8"/>
      <c r="I2454" s="8"/>
      <c r="J2454" s="8"/>
      <c r="K2454" s="8"/>
      <c r="L2454" s="8"/>
    </row>
    <row r="2455" spans="3:12" x14ac:dyDescent="0.25">
      <c r="C2455" s="7"/>
      <c r="E2455" s="8"/>
      <c r="F2455" s="8"/>
      <c r="G2455" s="8"/>
      <c r="H2455" s="8"/>
      <c r="I2455" s="8"/>
      <c r="J2455" s="8"/>
      <c r="K2455" s="8"/>
      <c r="L2455" s="8"/>
    </row>
    <row r="2456" spans="3:12" x14ac:dyDescent="0.25">
      <c r="C2456" s="7"/>
      <c r="E2456" s="8"/>
      <c r="F2456" s="8"/>
      <c r="G2456" s="8"/>
      <c r="H2456" s="8"/>
      <c r="I2456" s="8"/>
      <c r="J2456" s="8"/>
      <c r="K2456" s="8"/>
      <c r="L2456" s="8"/>
    </row>
    <row r="2457" spans="3:12" x14ac:dyDescent="0.25">
      <c r="C2457" s="7"/>
      <c r="E2457" s="8"/>
      <c r="F2457" s="8"/>
      <c r="G2457" s="8"/>
      <c r="H2457" s="8"/>
      <c r="I2457" s="8"/>
      <c r="J2457" s="8"/>
      <c r="K2457" s="8"/>
      <c r="L2457" s="8"/>
    </row>
    <row r="2458" spans="3:12" x14ac:dyDescent="0.25">
      <c r="C2458" s="7"/>
      <c r="E2458" s="8"/>
      <c r="F2458" s="8"/>
      <c r="G2458" s="8"/>
      <c r="H2458" s="8"/>
      <c r="I2458" s="8"/>
      <c r="J2458" s="8"/>
      <c r="K2458" s="8"/>
      <c r="L2458" s="8"/>
    </row>
    <row r="2459" spans="3:12" x14ac:dyDescent="0.25">
      <c r="C2459" s="7"/>
      <c r="E2459" s="8"/>
      <c r="F2459" s="8"/>
      <c r="G2459" s="8"/>
      <c r="H2459" s="8"/>
      <c r="I2459" s="8"/>
      <c r="J2459" s="8"/>
      <c r="K2459" s="8"/>
      <c r="L2459" s="8"/>
    </row>
    <row r="2460" spans="3:12" x14ac:dyDescent="0.25">
      <c r="C2460" s="7"/>
      <c r="E2460" s="8"/>
      <c r="F2460" s="8"/>
      <c r="G2460" s="8"/>
      <c r="H2460" s="8"/>
      <c r="I2460" s="8"/>
      <c r="J2460" s="8"/>
      <c r="K2460" s="8"/>
      <c r="L2460" s="8"/>
    </row>
    <row r="2461" spans="3:12" x14ac:dyDescent="0.25">
      <c r="C2461" s="7"/>
      <c r="E2461" s="8"/>
      <c r="F2461" s="8"/>
      <c r="G2461" s="8"/>
      <c r="H2461" s="8"/>
      <c r="I2461" s="8"/>
      <c r="J2461" s="8"/>
      <c r="K2461" s="8"/>
      <c r="L2461" s="8"/>
    </row>
    <row r="2462" spans="3:12" x14ac:dyDescent="0.25">
      <c r="C2462" s="7"/>
      <c r="E2462" s="8"/>
      <c r="F2462" s="8"/>
      <c r="G2462" s="8"/>
      <c r="H2462" s="8"/>
      <c r="I2462" s="8"/>
      <c r="J2462" s="8"/>
      <c r="K2462" s="8"/>
      <c r="L2462" s="8"/>
    </row>
    <row r="2463" spans="3:12" x14ac:dyDescent="0.25">
      <c r="C2463" s="7"/>
      <c r="E2463" s="8"/>
      <c r="F2463" s="8"/>
      <c r="G2463" s="8"/>
      <c r="H2463" s="8"/>
      <c r="I2463" s="8"/>
      <c r="J2463" s="8"/>
      <c r="K2463" s="8"/>
      <c r="L2463" s="8"/>
    </row>
    <row r="2464" spans="3:12" x14ac:dyDescent="0.25">
      <c r="C2464" s="7"/>
      <c r="E2464" s="8"/>
      <c r="F2464" s="8"/>
      <c r="G2464" s="8"/>
      <c r="H2464" s="8"/>
      <c r="I2464" s="8"/>
      <c r="J2464" s="8"/>
      <c r="K2464" s="8"/>
      <c r="L2464" s="8"/>
    </row>
    <row r="2465" spans="3:12" x14ac:dyDescent="0.25">
      <c r="C2465" s="7"/>
      <c r="E2465" s="8"/>
      <c r="F2465" s="8"/>
      <c r="G2465" s="8"/>
      <c r="H2465" s="8"/>
      <c r="I2465" s="8"/>
      <c r="J2465" s="8"/>
      <c r="K2465" s="8"/>
      <c r="L2465" s="8"/>
    </row>
    <row r="2466" spans="3:12" x14ac:dyDescent="0.25">
      <c r="C2466" s="7"/>
      <c r="E2466" s="8"/>
      <c r="F2466" s="8"/>
      <c r="G2466" s="8"/>
      <c r="H2466" s="8"/>
      <c r="I2466" s="8"/>
      <c r="J2466" s="8"/>
      <c r="K2466" s="8"/>
      <c r="L2466" s="8"/>
    </row>
    <row r="2467" spans="3:12" x14ac:dyDescent="0.25">
      <c r="C2467" s="7"/>
      <c r="E2467" s="8"/>
      <c r="F2467" s="8"/>
      <c r="G2467" s="8"/>
      <c r="H2467" s="8"/>
      <c r="I2467" s="8"/>
      <c r="J2467" s="8"/>
      <c r="K2467" s="8"/>
      <c r="L2467" s="8"/>
    </row>
    <row r="2468" spans="3:12" x14ac:dyDescent="0.25">
      <c r="C2468" s="7"/>
      <c r="E2468" s="8"/>
      <c r="F2468" s="8"/>
      <c r="G2468" s="8"/>
      <c r="H2468" s="8"/>
      <c r="I2468" s="8"/>
      <c r="J2468" s="8"/>
      <c r="K2468" s="8"/>
      <c r="L2468" s="8"/>
    </row>
    <row r="2469" spans="3:12" x14ac:dyDescent="0.25">
      <c r="C2469" s="7"/>
      <c r="E2469" s="8"/>
      <c r="F2469" s="8"/>
      <c r="G2469" s="8"/>
      <c r="H2469" s="8"/>
      <c r="I2469" s="8"/>
      <c r="J2469" s="8"/>
      <c r="K2469" s="8"/>
      <c r="L2469" s="8"/>
    </row>
    <row r="2470" spans="3:12" x14ac:dyDescent="0.25">
      <c r="C2470" s="7"/>
      <c r="E2470" s="8"/>
      <c r="F2470" s="8"/>
      <c r="G2470" s="8"/>
      <c r="H2470" s="8"/>
      <c r="I2470" s="8"/>
      <c r="J2470" s="8"/>
      <c r="K2470" s="8"/>
      <c r="L2470" s="8"/>
    </row>
    <row r="2471" spans="3:12" x14ac:dyDescent="0.25">
      <c r="C2471" s="7"/>
      <c r="E2471" s="8"/>
      <c r="F2471" s="8"/>
      <c r="G2471" s="8"/>
      <c r="H2471" s="8"/>
      <c r="I2471" s="8"/>
      <c r="J2471" s="8"/>
      <c r="K2471" s="8"/>
      <c r="L2471" s="8"/>
    </row>
    <row r="2472" spans="3:12" x14ac:dyDescent="0.25">
      <c r="C2472" s="7"/>
      <c r="E2472" s="8"/>
      <c r="F2472" s="8"/>
      <c r="G2472" s="8"/>
      <c r="H2472" s="8"/>
      <c r="I2472" s="8"/>
      <c r="J2472" s="8"/>
      <c r="K2472" s="8"/>
      <c r="L2472" s="8"/>
    </row>
    <row r="2473" spans="3:12" x14ac:dyDescent="0.25">
      <c r="C2473" s="7"/>
      <c r="E2473" s="8"/>
      <c r="F2473" s="8"/>
      <c r="G2473" s="8"/>
      <c r="H2473" s="8"/>
      <c r="I2473" s="8"/>
      <c r="J2473" s="8"/>
      <c r="K2473" s="8"/>
      <c r="L2473" s="8"/>
    </row>
    <row r="2474" spans="3:12" x14ac:dyDescent="0.25">
      <c r="C2474" s="7"/>
      <c r="E2474" s="8"/>
      <c r="F2474" s="8"/>
      <c r="G2474" s="8"/>
      <c r="H2474" s="8"/>
      <c r="I2474" s="8"/>
      <c r="J2474" s="8"/>
      <c r="K2474" s="8"/>
      <c r="L2474" s="8"/>
    </row>
    <row r="2475" spans="3:12" x14ac:dyDescent="0.25">
      <c r="C2475" s="7"/>
      <c r="E2475" s="8"/>
      <c r="F2475" s="8"/>
      <c r="G2475" s="8"/>
      <c r="H2475" s="8"/>
      <c r="I2475" s="8"/>
      <c r="J2475" s="8"/>
      <c r="K2475" s="8"/>
      <c r="L2475" s="8"/>
    </row>
    <row r="2476" spans="3:12" x14ac:dyDescent="0.25">
      <c r="C2476" s="7"/>
      <c r="E2476" s="8"/>
      <c r="F2476" s="8"/>
      <c r="G2476" s="8"/>
      <c r="H2476" s="8"/>
      <c r="I2476" s="8"/>
      <c r="J2476" s="8"/>
      <c r="K2476" s="8"/>
      <c r="L2476" s="8"/>
    </row>
    <row r="2477" spans="3:12" x14ac:dyDescent="0.25">
      <c r="C2477" s="7"/>
      <c r="E2477" s="8"/>
      <c r="F2477" s="8"/>
      <c r="G2477" s="8"/>
      <c r="H2477" s="8"/>
      <c r="I2477" s="8"/>
      <c r="J2477" s="8"/>
      <c r="K2477" s="8"/>
      <c r="L2477" s="8"/>
    </row>
    <row r="2478" spans="3:12" x14ac:dyDescent="0.25">
      <c r="C2478" s="7"/>
      <c r="E2478" s="8"/>
      <c r="F2478" s="8"/>
      <c r="G2478" s="8"/>
      <c r="H2478" s="8"/>
      <c r="I2478" s="8"/>
      <c r="J2478" s="8"/>
      <c r="K2478" s="8"/>
      <c r="L2478" s="8"/>
    </row>
    <row r="2479" spans="3:12" x14ac:dyDescent="0.25">
      <c r="C2479" s="7"/>
      <c r="E2479" s="8"/>
      <c r="F2479" s="8"/>
      <c r="G2479" s="8"/>
      <c r="H2479" s="8"/>
      <c r="I2479" s="8"/>
      <c r="J2479" s="8"/>
      <c r="K2479" s="8"/>
      <c r="L2479" s="8"/>
    </row>
    <row r="2480" spans="3:12" x14ac:dyDescent="0.25">
      <c r="C2480" s="7"/>
      <c r="E2480" s="8"/>
      <c r="F2480" s="8"/>
      <c r="G2480" s="8"/>
      <c r="H2480" s="8"/>
      <c r="I2480" s="8"/>
      <c r="J2480" s="8"/>
      <c r="K2480" s="8"/>
      <c r="L2480" s="8"/>
    </row>
    <row r="2481" spans="3:12" x14ac:dyDescent="0.25">
      <c r="C2481" s="7"/>
      <c r="E2481" s="8"/>
      <c r="F2481" s="8"/>
      <c r="G2481" s="8"/>
      <c r="H2481" s="8"/>
      <c r="I2481" s="8"/>
      <c r="J2481" s="8"/>
      <c r="K2481" s="8"/>
      <c r="L2481" s="8"/>
    </row>
    <row r="2482" spans="3:12" x14ac:dyDescent="0.25">
      <c r="C2482" s="7"/>
      <c r="E2482" s="8"/>
      <c r="F2482" s="8"/>
      <c r="G2482" s="8"/>
      <c r="H2482" s="8"/>
      <c r="I2482" s="8"/>
      <c r="J2482" s="8"/>
      <c r="K2482" s="8"/>
      <c r="L2482" s="8"/>
    </row>
    <row r="2483" spans="3:12" x14ac:dyDescent="0.25">
      <c r="C2483" s="7"/>
      <c r="E2483" s="8"/>
      <c r="F2483" s="8"/>
      <c r="G2483" s="8"/>
      <c r="H2483" s="8"/>
      <c r="I2483" s="8"/>
      <c r="J2483" s="8"/>
      <c r="K2483" s="8"/>
      <c r="L2483" s="8"/>
    </row>
    <row r="2484" spans="3:12" x14ac:dyDescent="0.25">
      <c r="C2484" s="7"/>
      <c r="E2484" s="8"/>
      <c r="F2484" s="8"/>
      <c r="G2484" s="8"/>
      <c r="H2484" s="8"/>
      <c r="I2484" s="8"/>
      <c r="J2484" s="8"/>
      <c r="K2484" s="8"/>
      <c r="L2484" s="8"/>
    </row>
    <row r="2485" spans="3:12" x14ac:dyDescent="0.25">
      <c r="C2485" s="7"/>
      <c r="E2485" s="8"/>
      <c r="F2485" s="8"/>
      <c r="G2485" s="8"/>
      <c r="H2485" s="8"/>
      <c r="I2485" s="8"/>
      <c r="J2485" s="8"/>
      <c r="K2485" s="8"/>
      <c r="L2485" s="8"/>
    </row>
    <row r="2486" spans="3:12" x14ac:dyDescent="0.25">
      <c r="C2486" s="7"/>
      <c r="E2486" s="8"/>
      <c r="F2486" s="8"/>
      <c r="G2486" s="8"/>
      <c r="H2486" s="8"/>
      <c r="I2486" s="8"/>
      <c r="J2486" s="8"/>
      <c r="K2486" s="8"/>
      <c r="L2486" s="8"/>
    </row>
    <row r="2487" spans="3:12" x14ac:dyDescent="0.25">
      <c r="C2487" s="7"/>
      <c r="E2487" s="8"/>
      <c r="F2487" s="8"/>
      <c r="G2487" s="8"/>
      <c r="H2487" s="8"/>
      <c r="I2487" s="8"/>
      <c r="J2487" s="8"/>
      <c r="K2487" s="8"/>
      <c r="L2487" s="8"/>
    </row>
    <row r="2488" spans="3:12" x14ac:dyDescent="0.25">
      <c r="C2488" s="7"/>
      <c r="E2488" s="8"/>
      <c r="F2488" s="8"/>
      <c r="G2488" s="8"/>
      <c r="H2488" s="8"/>
      <c r="I2488" s="8"/>
      <c r="J2488" s="8"/>
      <c r="K2488" s="8"/>
      <c r="L2488" s="8"/>
    </row>
    <row r="2489" spans="3:12" x14ac:dyDescent="0.25">
      <c r="C2489" s="7"/>
      <c r="E2489" s="8"/>
      <c r="F2489" s="8"/>
      <c r="G2489" s="8"/>
      <c r="H2489" s="8"/>
      <c r="I2489" s="8"/>
      <c r="J2489" s="8"/>
      <c r="K2489" s="8"/>
      <c r="L2489" s="8"/>
    </row>
    <row r="2490" spans="3:12" x14ac:dyDescent="0.25">
      <c r="C2490" s="7"/>
      <c r="E2490" s="8"/>
      <c r="F2490" s="8"/>
      <c r="G2490" s="8"/>
      <c r="H2490" s="8"/>
      <c r="I2490" s="8"/>
      <c r="J2490" s="8"/>
      <c r="K2490" s="8"/>
      <c r="L2490" s="8"/>
    </row>
    <row r="2491" spans="3:12" x14ac:dyDescent="0.25">
      <c r="C2491" s="7"/>
      <c r="E2491" s="8"/>
      <c r="F2491" s="8"/>
      <c r="G2491" s="8"/>
      <c r="H2491" s="8"/>
      <c r="I2491" s="8"/>
      <c r="J2491" s="8"/>
      <c r="K2491" s="8"/>
      <c r="L2491" s="8"/>
    </row>
    <row r="2492" spans="3:12" x14ac:dyDescent="0.25">
      <c r="C2492" s="7"/>
      <c r="E2492" s="8"/>
      <c r="F2492" s="8"/>
      <c r="G2492" s="8"/>
      <c r="H2492" s="8"/>
      <c r="I2492" s="8"/>
      <c r="J2492" s="8"/>
      <c r="K2492" s="8"/>
      <c r="L2492" s="8"/>
    </row>
    <row r="2493" spans="3:12" x14ac:dyDescent="0.25">
      <c r="C2493" s="7"/>
      <c r="E2493" s="8"/>
      <c r="F2493" s="8"/>
      <c r="G2493" s="8"/>
      <c r="H2493" s="8"/>
      <c r="I2493" s="8"/>
      <c r="J2493" s="8"/>
      <c r="K2493" s="8"/>
      <c r="L2493" s="8"/>
    </row>
    <row r="2494" spans="3:12" x14ac:dyDescent="0.25">
      <c r="C2494" s="7"/>
      <c r="E2494" s="8"/>
      <c r="F2494" s="8"/>
      <c r="G2494" s="8"/>
      <c r="H2494" s="8"/>
      <c r="I2494" s="8"/>
      <c r="J2494" s="8"/>
      <c r="K2494" s="8"/>
      <c r="L2494" s="8"/>
    </row>
    <row r="2495" spans="3:12" x14ac:dyDescent="0.25">
      <c r="C2495" s="7"/>
      <c r="E2495" s="8"/>
      <c r="F2495" s="8"/>
      <c r="G2495" s="8"/>
      <c r="H2495" s="8"/>
      <c r="I2495" s="8"/>
      <c r="J2495" s="8"/>
      <c r="K2495" s="8"/>
      <c r="L2495" s="8"/>
    </row>
    <row r="2496" spans="3:12" x14ac:dyDescent="0.25">
      <c r="C2496" s="7"/>
      <c r="E2496" s="8"/>
      <c r="F2496" s="8"/>
      <c r="G2496" s="8"/>
      <c r="H2496" s="8"/>
      <c r="I2496" s="8"/>
      <c r="J2496" s="8"/>
      <c r="K2496" s="8"/>
      <c r="L2496" s="8"/>
    </row>
    <row r="2497" spans="3:12" x14ac:dyDescent="0.25">
      <c r="C2497" s="7"/>
      <c r="E2497" s="8"/>
      <c r="F2497" s="8"/>
      <c r="G2497" s="8"/>
      <c r="H2497" s="8"/>
      <c r="I2497" s="8"/>
      <c r="J2497" s="8"/>
      <c r="K2497" s="8"/>
      <c r="L2497" s="8"/>
    </row>
    <row r="2498" spans="3:12" x14ac:dyDescent="0.25">
      <c r="C2498" s="7"/>
      <c r="E2498" s="8"/>
      <c r="F2498" s="8"/>
      <c r="G2498" s="8"/>
      <c r="H2498" s="8"/>
      <c r="I2498" s="8"/>
      <c r="J2498" s="8"/>
      <c r="K2498" s="8"/>
      <c r="L2498" s="8"/>
    </row>
    <row r="2499" spans="3:12" x14ac:dyDescent="0.25">
      <c r="C2499" s="7"/>
      <c r="E2499" s="8"/>
      <c r="F2499" s="8"/>
      <c r="G2499" s="8"/>
      <c r="H2499" s="8"/>
      <c r="I2499" s="8"/>
      <c r="J2499" s="8"/>
      <c r="K2499" s="8"/>
      <c r="L2499" s="8"/>
    </row>
    <row r="2500" spans="3:12" x14ac:dyDescent="0.25">
      <c r="C2500" s="7"/>
      <c r="E2500" s="8"/>
      <c r="F2500" s="8"/>
      <c r="G2500" s="8"/>
      <c r="H2500" s="8"/>
      <c r="I2500" s="8"/>
      <c r="J2500" s="8"/>
      <c r="K2500" s="8"/>
      <c r="L2500" s="8"/>
    </row>
    <row r="2501" spans="3:12" x14ac:dyDescent="0.25">
      <c r="C2501" s="7"/>
      <c r="E2501" s="8"/>
      <c r="F2501" s="8"/>
      <c r="G2501" s="8"/>
      <c r="H2501" s="8"/>
      <c r="I2501" s="8"/>
      <c r="J2501" s="8"/>
      <c r="K2501" s="8"/>
      <c r="L2501" s="8"/>
    </row>
    <row r="2502" spans="3:12" x14ac:dyDescent="0.25">
      <c r="C2502" s="7"/>
      <c r="E2502" s="8"/>
      <c r="F2502" s="8"/>
      <c r="G2502" s="8"/>
      <c r="H2502" s="8"/>
      <c r="I2502" s="8"/>
      <c r="J2502" s="8"/>
      <c r="K2502" s="8"/>
      <c r="L2502" s="8"/>
    </row>
    <row r="2503" spans="3:12" x14ac:dyDescent="0.25">
      <c r="C2503" s="7"/>
      <c r="E2503" s="8"/>
      <c r="F2503" s="8"/>
      <c r="G2503" s="8"/>
      <c r="H2503" s="8"/>
      <c r="I2503" s="8"/>
      <c r="J2503" s="8"/>
      <c r="K2503" s="8"/>
      <c r="L2503" s="8"/>
    </row>
    <row r="2504" spans="3:12" x14ac:dyDescent="0.25">
      <c r="C2504" s="7"/>
      <c r="E2504" s="8"/>
      <c r="F2504" s="8"/>
      <c r="G2504" s="8"/>
      <c r="H2504" s="8"/>
      <c r="I2504" s="8"/>
      <c r="J2504" s="8"/>
      <c r="K2504" s="8"/>
      <c r="L2504" s="8"/>
    </row>
    <row r="2505" spans="3:12" x14ac:dyDescent="0.25">
      <c r="C2505" s="7"/>
      <c r="E2505" s="8"/>
      <c r="F2505" s="8"/>
      <c r="G2505" s="8"/>
      <c r="H2505" s="8"/>
      <c r="I2505" s="8"/>
      <c r="J2505" s="8"/>
      <c r="K2505" s="8"/>
      <c r="L2505" s="8"/>
    </row>
    <row r="2506" spans="3:12" x14ac:dyDescent="0.25">
      <c r="C2506" s="7"/>
      <c r="E2506" s="8"/>
      <c r="F2506" s="8"/>
      <c r="G2506" s="8"/>
      <c r="H2506" s="8"/>
      <c r="I2506" s="8"/>
      <c r="J2506" s="8"/>
      <c r="K2506" s="8"/>
      <c r="L2506" s="8"/>
    </row>
    <row r="2507" spans="3:12" x14ac:dyDescent="0.25">
      <c r="C2507" s="7"/>
      <c r="E2507" s="8"/>
      <c r="F2507" s="8"/>
      <c r="G2507" s="8"/>
      <c r="H2507" s="8"/>
      <c r="I2507" s="8"/>
      <c r="J2507" s="8"/>
      <c r="K2507" s="8"/>
      <c r="L2507" s="8"/>
    </row>
    <row r="2508" spans="3:12" x14ac:dyDescent="0.25">
      <c r="C2508" s="7"/>
      <c r="E2508" s="8"/>
      <c r="F2508" s="8"/>
      <c r="G2508" s="8"/>
      <c r="H2508" s="8"/>
      <c r="I2508" s="8"/>
      <c r="J2508" s="8"/>
      <c r="K2508" s="8"/>
      <c r="L2508" s="8"/>
    </row>
    <row r="2509" spans="3:12" x14ac:dyDescent="0.25">
      <c r="C2509" s="7"/>
      <c r="E2509" s="8"/>
      <c r="F2509" s="8"/>
      <c r="G2509" s="8"/>
      <c r="H2509" s="8"/>
      <c r="I2509" s="8"/>
      <c r="J2509" s="8"/>
      <c r="K2509" s="8"/>
      <c r="L2509" s="8"/>
    </row>
    <row r="2510" spans="3:12" x14ac:dyDescent="0.25">
      <c r="C2510" s="7"/>
      <c r="E2510" s="8"/>
      <c r="F2510" s="8"/>
      <c r="G2510" s="8"/>
      <c r="H2510" s="8"/>
      <c r="I2510" s="8"/>
      <c r="J2510" s="8"/>
      <c r="K2510" s="8"/>
      <c r="L2510" s="8"/>
    </row>
    <row r="2511" spans="3:12" x14ac:dyDescent="0.25">
      <c r="C2511" s="7"/>
      <c r="E2511" s="8"/>
      <c r="F2511" s="8"/>
      <c r="G2511" s="8"/>
      <c r="H2511" s="8"/>
      <c r="I2511" s="8"/>
      <c r="J2511" s="8"/>
      <c r="K2511" s="8"/>
      <c r="L2511" s="8"/>
    </row>
    <row r="2512" spans="3:12" x14ac:dyDescent="0.25">
      <c r="C2512" s="7"/>
      <c r="E2512" s="8"/>
      <c r="F2512" s="8"/>
      <c r="G2512" s="8"/>
      <c r="H2512" s="8"/>
      <c r="I2512" s="8"/>
      <c r="J2512" s="8"/>
      <c r="K2512" s="8"/>
      <c r="L2512" s="8"/>
    </row>
    <row r="2513" spans="3:12" x14ac:dyDescent="0.25">
      <c r="C2513" s="7"/>
      <c r="E2513" s="8"/>
      <c r="F2513" s="8"/>
      <c r="G2513" s="8"/>
      <c r="H2513" s="8"/>
      <c r="I2513" s="8"/>
      <c r="J2513" s="8"/>
      <c r="K2513" s="8"/>
      <c r="L2513" s="8"/>
    </row>
    <row r="2514" spans="3:12" x14ac:dyDescent="0.25">
      <c r="C2514" s="7"/>
      <c r="E2514" s="8"/>
      <c r="F2514" s="8"/>
      <c r="G2514" s="8"/>
      <c r="H2514" s="8"/>
      <c r="I2514" s="8"/>
      <c r="J2514" s="8"/>
      <c r="K2514" s="8"/>
      <c r="L2514" s="8"/>
    </row>
    <row r="2515" spans="3:12" x14ac:dyDescent="0.25">
      <c r="C2515" s="7"/>
      <c r="E2515" s="8"/>
      <c r="F2515" s="8"/>
      <c r="G2515" s="8"/>
      <c r="H2515" s="8"/>
      <c r="I2515" s="8"/>
      <c r="J2515" s="8"/>
      <c r="K2515" s="8"/>
      <c r="L2515" s="8"/>
    </row>
    <row r="2516" spans="3:12" x14ac:dyDescent="0.25">
      <c r="C2516" s="7"/>
      <c r="E2516" s="8"/>
      <c r="F2516" s="8"/>
      <c r="G2516" s="8"/>
      <c r="H2516" s="8"/>
      <c r="I2516" s="8"/>
      <c r="J2516" s="8"/>
      <c r="K2516" s="8"/>
      <c r="L2516" s="8"/>
    </row>
    <row r="2517" spans="3:12" x14ac:dyDescent="0.25">
      <c r="C2517" s="7"/>
      <c r="E2517" s="8"/>
      <c r="F2517" s="8"/>
      <c r="G2517" s="8"/>
      <c r="H2517" s="8"/>
      <c r="I2517" s="8"/>
      <c r="J2517" s="8"/>
      <c r="K2517" s="8"/>
      <c r="L2517" s="8"/>
    </row>
    <row r="2518" spans="3:12" x14ac:dyDescent="0.25">
      <c r="C2518" s="7"/>
      <c r="E2518" s="8"/>
      <c r="F2518" s="8"/>
      <c r="G2518" s="8"/>
      <c r="H2518" s="8"/>
      <c r="I2518" s="8"/>
      <c r="J2518" s="8"/>
      <c r="K2518" s="8"/>
      <c r="L2518" s="8"/>
    </row>
    <row r="2519" spans="3:12" x14ac:dyDescent="0.25">
      <c r="C2519" s="7"/>
      <c r="E2519" s="8"/>
      <c r="F2519" s="8"/>
      <c r="G2519" s="8"/>
      <c r="H2519" s="8"/>
      <c r="I2519" s="8"/>
      <c r="J2519" s="8"/>
      <c r="K2519" s="8"/>
      <c r="L2519" s="8"/>
    </row>
    <row r="2520" spans="3:12" x14ac:dyDescent="0.25">
      <c r="C2520" s="7"/>
      <c r="E2520" s="8"/>
      <c r="F2520" s="8"/>
      <c r="G2520" s="8"/>
      <c r="H2520" s="8"/>
      <c r="I2520" s="8"/>
      <c r="J2520" s="8"/>
      <c r="K2520" s="8"/>
      <c r="L2520" s="8"/>
    </row>
    <row r="2521" spans="3:12" x14ac:dyDescent="0.25">
      <c r="C2521" s="7"/>
      <c r="E2521" s="8"/>
      <c r="F2521" s="8"/>
      <c r="G2521" s="8"/>
      <c r="H2521" s="8"/>
      <c r="I2521" s="8"/>
      <c r="J2521" s="8"/>
      <c r="K2521" s="8"/>
      <c r="L2521" s="8"/>
    </row>
    <row r="2522" spans="3:12" x14ac:dyDescent="0.25">
      <c r="C2522" s="7"/>
      <c r="E2522" s="8"/>
      <c r="F2522" s="8"/>
      <c r="G2522" s="8"/>
      <c r="H2522" s="8"/>
      <c r="I2522" s="8"/>
      <c r="J2522" s="8"/>
      <c r="K2522" s="8"/>
      <c r="L2522" s="8"/>
    </row>
    <row r="2523" spans="3:12" x14ac:dyDescent="0.25">
      <c r="C2523" s="7"/>
      <c r="E2523" s="8"/>
      <c r="F2523" s="8"/>
      <c r="G2523" s="8"/>
      <c r="H2523" s="8"/>
      <c r="I2523" s="8"/>
      <c r="J2523" s="8"/>
      <c r="K2523" s="8"/>
      <c r="L2523" s="8"/>
    </row>
    <row r="2524" spans="3:12" x14ac:dyDescent="0.25">
      <c r="C2524" s="7"/>
      <c r="E2524" s="8"/>
      <c r="F2524" s="8"/>
      <c r="G2524" s="8"/>
      <c r="H2524" s="8"/>
      <c r="I2524" s="8"/>
      <c r="J2524" s="8"/>
      <c r="K2524" s="8"/>
      <c r="L2524" s="8"/>
    </row>
    <row r="2525" spans="3:12" x14ac:dyDescent="0.25">
      <c r="C2525" s="7"/>
      <c r="E2525" s="8"/>
      <c r="F2525" s="8"/>
      <c r="G2525" s="8"/>
      <c r="H2525" s="8"/>
      <c r="I2525" s="8"/>
      <c r="J2525" s="8"/>
      <c r="K2525" s="8"/>
      <c r="L2525" s="8"/>
    </row>
    <row r="2526" spans="3:12" x14ac:dyDescent="0.25">
      <c r="C2526" s="7"/>
      <c r="E2526" s="8"/>
      <c r="F2526" s="8"/>
      <c r="G2526" s="8"/>
      <c r="H2526" s="8"/>
      <c r="I2526" s="8"/>
      <c r="J2526" s="8"/>
      <c r="K2526" s="8"/>
      <c r="L2526" s="8"/>
    </row>
    <row r="2527" spans="3:12" x14ac:dyDescent="0.25">
      <c r="C2527" s="7"/>
      <c r="E2527" s="8"/>
      <c r="F2527" s="8"/>
      <c r="G2527" s="8"/>
      <c r="H2527" s="8"/>
      <c r="I2527" s="8"/>
      <c r="J2527" s="8"/>
      <c r="K2527" s="8"/>
      <c r="L2527" s="8"/>
    </row>
    <row r="2528" spans="3:12" x14ac:dyDescent="0.25">
      <c r="C2528" s="7"/>
      <c r="E2528" s="8"/>
      <c r="F2528" s="8"/>
      <c r="G2528" s="8"/>
      <c r="H2528" s="8"/>
      <c r="I2528" s="8"/>
      <c r="J2528" s="8"/>
      <c r="K2528" s="8"/>
      <c r="L2528" s="8"/>
    </row>
    <row r="2529" spans="3:12" x14ac:dyDescent="0.25">
      <c r="C2529" s="7"/>
      <c r="E2529" s="8"/>
      <c r="F2529" s="8"/>
      <c r="G2529" s="8"/>
      <c r="H2529" s="8"/>
      <c r="I2529" s="8"/>
      <c r="J2529" s="8"/>
      <c r="K2529" s="8"/>
      <c r="L2529" s="8"/>
    </row>
    <row r="2530" spans="3:12" x14ac:dyDescent="0.25">
      <c r="C2530" s="7"/>
      <c r="E2530" s="8"/>
      <c r="F2530" s="8"/>
      <c r="G2530" s="8"/>
      <c r="H2530" s="8"/>
      <c r="I2530" s="8"/>
      <c r="J2530" s="8"/>
      <c r="K2530" s="8"/>
      <c r="L2530" s="8"/>
    </row>
    <row r="2531" spans="3:12" x14ac:dyDescent="0.25">
      <c r="C2531" s="7"/>
      <c r="E2531" s="8"/>
      <c r="F2531" s="8"/>
      <c r="G2531" s="8"/>
      <c r="H2531" s="8"/>
      <c r="I2531" s="8"/>
      <c r="J2531" s="8"/>
      <c r="K2531" s="8"/>
      <c r="L2531" s="8"/>
    </row>
    <row r="2532" spans="3:12" x14ac:dyDescent="0.25">
      <c r="C2532" s="7"/>
      <c r="E2532" s="8"/>
      <c r="F2532" s="8"/>
      <c r="G2532" s="8"/>
      <c r="H2532" s="8"/>
      <c r="I2532" s="8"/>
      <c r="J2532" s="8"/>
      <c r="K2532" s="8"/>
      <c r="L2532" s="8"/>
    </row>
    <row r="2533" spans="3:12" x14ac:dyDescent="0.25">
      <c r="C2533" s="7"/>
      <c r="E2533" s="8"/>
      <c r="F2533" s="8"/>
      <c r="G2533" s="8"/>
      <c r="H2533" s="8"/>
      <c r="I2533" s="8"/>
      <c r="J2533" s="8"/>
      <c r="K2533" s="8"/>
      <c r="L2533" s="8"/>
    </row>
    <row r="2534" spans="3:12" x14ac:dyDescent="0.25">
      <c r="C2534" s="7"/>
      <c r="E2534" s="8"/>
      <c r="F2534" s="8"/>
      <c r="G2534" s="8"/>
      <c r="H2534" s="8"/>
      <c r="I2534" s="8"/>
      <c r="J2534" s="8"/>
      <c r="K2534" s="8"/>
      <c r="L2534" s="8"/>
    </row>
    <row r="2535" spans="3:12" x14ac:dyDescent="0.25">
      <c r="C2535" s="7"/>
      <c r="E2535" s="8"/>
      <c r="F2535" s="8"/>
      <c r="G2535" s="8"/>
      <c r="H2535" s="8"/>
      <c r="I2535" s="8"/>
      <c r="J2535" s="8"/>
      <c r="K2535" s="8"/>
      <c r="L2535" s="8"/>
    </row>
    <row r="2536" spans="3:12" x14ac:dyDescent="0.25">
      <c r="C2536" s="7"/>
      <c r="E2536" s="8"/>
      <c r="F2536" s="8"/>
      <c r="G2536" s="8"/>
      <c r="H2536" s="8"/>
      <c r="I2536" s="8"/>
      <c r="J2536" s="8"/>
      <c r="K2536" s="8"/>
      <c r="L2536" s="8"/>
    </row>
    <row r="2537" spans="3:12" x14ac:dyDescent="0.25">
      <c r="C2537" s="7"/>
      <c r="E2537" s="8"/>
      <c r="F2537" s="8"/>
      <c r="G2537" s="8"/>
      <c r="H2537" s="8"/>
      <c r="I2537" s="8"/>
      <c r="J2537" s="8"/>
      <c r="K2537" s="8"/>
      <c r="L2537" s="8"/>
    </row>
    <row r="2538" spans="3:12" x14ac:dyDescent="0.25">
      <c r="C2538" s="7"/>
      <c r="E2538" s="8"/>
      <c r="F2538" s="8"/>
      <c r="G2538" s="8"/>
      <c r="H2538" s="8"/>
      <c r="I2538" s="8"/>
      <c r="J2538" s="8"/>
      <c r="K2538" s="8"/>
      <c r="L2538" s="8"/>
    </row>
    <row r="2539" spans="3:12" x14ac:dyDescent="0.25">
      <c r="C2539" s="7"/>
      <c r="E2539" s="8"/>
      <c r="F2539" s="8"/>
      <c r="G2539" s="8"/>
      <c r="H2539" s="8"/>
      <c r="I2539" s="8"/>
      <c r="J2539" s="8"/>
      <c r="K2539" s="8"/>
      <c r="L2539" s="8"/>
    </row>
    <row r="2540" spans="3:12" x14ac:dyDescent="0.25">
      <c r="C2540" s="7"/>
      <c r="E2540" s="8"/>
      <c r="F2540" s="8"/>
      <c r="G2540" s="8"/>
      <c r="H2540" s="8"/>
      <c r="I2540" s="8"/>
      <c r="J2540" s="8"/>
      <c r="K2540" s="8"/>
      <c r="L2540" s="8"/>
    </row>
    <row r="2541" spans="3:12" x14ac:dyDescent="0.25">
      <c r="C2541" s="7"/>
      <c r="E2541" s="8"/>
      <c r="F2541" s="8"/>
      <c r="G2541" s="8"/>
      <c r="H2541" s="8"/>
      <c r="I2541" s="8"/>
      <c r="J2541" s="8"/>
      <c r="K2541" s="8"/>
      <c r="L2541" s="8"/>
    </row>
    <row r="2542" spans="3:12" x14ac:dyDescent="0.25">
      <c r="C2542" s="7"/>
      <c r="E2542" s="8"/>
      <c r="F2542" s="8"/>
      <c r="G2542" s="8"/>
      <c r="H2542" s="8"/>
      <c r="I2542" s="8"/>
      <c r="J2542" s="8"/>
      <c r="K2542" s="8"/>
      <c r="L2542" s="8"/>
    </row>
    <row r="2543" spans="3:12" x14ac:dyDescent="0.25">
      <c r="C2543" s="7"/>
      <c r="E2543" s="8"/>
      <c r="F2543" s="8"/>
      <c r="G2543" s="8"/>
      <c r="H2543" s="8"/>
      <c r="I2543" s="8"/>
      <c r="J2543" s="8"/>
      <c r="K2543" s="8"/>
      <c r="L2543" s="8"/>
    </row>
    <row r="2544" spans="3:12" x14ac:dyDescent="0.25">
      <c r="C2544" s="7"/>
      <c r="E2544" s="8"/>
      <c r="F2544" s="8"/>
      <c r="G2544" s="8"/>
      <c r="H2544" s="8"/>
      <c r="I2544" s="8"/>
      <c r="J2544" s="8"/>
      <c r="K2544" s="8"/>
      <c r="L2544" s="8"/>
    </row>
    <row r="2545" spans="3:12" x14ac:dyDescent="0.25">
      <c r="C2545" s="7"/>
      <c r="E2545" s="8"/>
      <c r="F2545" s="8"/>
      <c r="G2545" s="8"/>
      <c r="H2545" s="8"/>
      <c r="I2545" s="8"/>
      <c r="J2545" s="8"/>
      <c r="K2545" s="8"/>
      <c r="L2545" s="8"/>
    </row>
    <row r="2546" spans="3:12" x14ac:dyDescent="0.25">
      <c r="C2546" s="7"/>
      <c r="E2546" s="8"/>
      <c r="F2546" s="8"/>
      <c r="G2546" s="8"/>
      <c r="H2546" s="8"/>
      <c r="I2546" s="8"/>
      <c r="J2546" s="8"/>
      <c r="K2546" s="8"/>
      <c r="L2546" s="8"/>
    </row>
    <row r="2547" spans="3:12" x14ac:dyDescent="0.25">
      <c r="C2547" s="7"/>
      <c r="E2547" s="8"/>
      <c r="F2547" s="8"/>
      <c r="G2547" s="8"/>
      <c r="H2547" s="8"/>
      <c r="I2547" s="8"/>
      <c r="J2547" s="8"/>
      <c r="K2547" s="8"/>
      <c r="L2547" s="8"/>
    </row>
    <row r="2548" spans="3:12" x14ac:dyDescent="0.25">
      <c r="C2548" s="7"/>
      <c r="E2548" s="8"/>
      <c r="F2548" s="8"/>
      <c r="G2548" s="8"/>
      <c r="H2548" s="8"/>
      <c r="I2548" s="8"/>
      <c r="J2548" s="8"/>
      <c r="K2548" s="8"/>
      <c r="L2548" s="8"/>
    </row>
    <row r="2549" spans="3:12" x14ac:dyDescent="0.25">
      <c r="C2549" s="7"/>
      <c r="E2549" s="8"/>
      <c r="F2549" s="8"/>
      <c r="G2549" s="8"/>
      <c r="H2549" s="8"/>
      <c r="I2549" s="8"/>
      <c r="J2549" s="8"/>
      <c r="K2549" s="8"/>
      <c r="L2549" s="8"/>
    </row>
    <row r="2550" spans="3:12" x14ac:dyDescent="0.25">
      <c r="C2550" s="7"/>
      <c r="E2550" s="8"/>
      <c r="F2550" s="8"/>
      <c r="G2550" s="8"/>
      <c r="H2550" s="8"/>
      <c r="I2550" s="8"/>
      <c r="J2550" s="8"/>
      <c r="K2550" s="8"/>
      <c r="L2550" s="8"/>
    </row>
    <row r="2551" spans="3:12" x14ac:dyDescent="0.25">
      <c r="C2551" s="7"/>
      <c r="E2551" s="8"/>
      <c r="F2551" s="8"/>
      <c r="G2551" s="8"/>
      <c r="H2551" s="8"/>
      <c r="I2551" s="8"/>
      <c r="J2551" s="8"/>
      <c r="K2551" s="8"/>
      <c r="L2551" s="8"/>
    </row>
    <row r="2552" spans="3:12" x14ac:dyDescent="0.25">
      <c r="C2552" s="7"/>
      <c r="E2552" s="8"/>
      <c r="F2552" s="8"/>
      <c r="G2552" s="8"/>
      <c r="H2552" s="8"/>
      <c r="I2552" s="8"/>
      <c r="J2552" s="8"/>
      <c r="K2552" s="8"/>
      <c r="L2552" s="8"/>
    </row>
    <row r="2553" spans="3:12" x14ac:dyDescent="0.25">
      <c r="C2553" s="7"/>
      <c r="E2553" s="8"/>
      <c r="F2553" s="8"/>
      <c r="G2553" s="8"/>
      <c r="H2553" s="8"/>
      <c r="I2553" s="8"/>
      <c r="J2553" s="8"/>
      <c r="K2553" s="8"/>
      <c r="L2553" s="8"/>
    </row>
    <row r="2554" spans="3:12" x14ac:dyDescent="0.25">
      <c r="C2554" s="7"/>
      <c r="E2554" s="8"/>
      <c r="F2554" s="8"/>
      <c r="G2554" s="8"/>
      <c r="H2554" s="8"/>
      <c r="I2554" s="8"/>
      <c r="J2554" s="8"/>
      <c r="K2554" s="8"/>
      <c r="L2554" s="8"/>
    </row>
    <row r="2555" spans="3:12" x14ac:dyDescent="0.25">
      <c r="C2555" s="7"/>
      <c r="E2555" s="8"/>
      <c r="F2555" s="8"/>
      <c r="G2555" s="8"/>
      <c r="H2555" s="8"/>
      <c r="I2555" s="8"/>
      <c r="J2555" s="8"/>
      <c r="K2555" s="8"/>
      <c r="L2555" s="8"/>
    </row>
    <row r="2556" spans="3:12" x14ac:dyDescent="0.25">
      <c r="C2556" s="7"/>
      <c r="E2556" s="8"/>
      <c r="F2556" s="8"/>
      <c r="G2556" s="8"/>
      <c r="H2556" s="8"/>
      <c r="I2556" s="8"/>
      <c r="J2556" s="8"/>
      <c r="K2556" s="8"/>
      <c r="L2556" s="8"/>
    </row>
  </sheetData>
  <printOptions horizontalCentered="1" verticalCentered="1"/>
  <pageMargins left="0.59055118110236227" right="0.39370078740157483" top="0.59055118110236227" bottom="0.6692913385826772" header="0.19685039370078741" footer="0.19685039370078741"/>
  <pageSetup paperSize="9" orientation="portrait" r:id="rId1"/>
  <headerFooter alignWithMargins="0">
    <oddHeader>&amp;C&amp;"Arial,Regular"LogiCamms</oddHeader>
    <oddFooter>&amp;L&amp;"Arial,Regular"&amp;8File : &amp;F
Sheet : &amp;A
Form: LCM-QA-TEM-0008 - Book (Excel)
© Copyright LogiCamms&amp;R&amp;"Arial,Regular"&amp;8Revision : 0
Printed : &amp;T &amp;D
Page &amp;P 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2556"/>
  <sheetViews>
    <sheetView zoomScale="80" zoomScaleNormal="80" zoomScaleSheetLayoutView="75" workbookViewId="0">
      <selection activeCell="F21" sqref="F21"/>
    </sheetView>
  </sheetViews>
  <sheetFormatPr defaultRowHeight="15" x14ac:dyDescent="0.25"/>
  <cols>
    <col min="1" max="1" width="10.85546875" bestFit="1" customWidth="1"/>
    <col min="2" max="2" width="21.28515625" bestFit="1" customWidth="1"/>
    <col min="3" max="3" width="10.5703125" bestFit="1" customWidth="1"/>
    <col min="4" max="4" width="8.5703125" bestFit="1" customWidth="1"/>
    <col min="5" max="5" width="13.42578125" bestFit="1" customWidth="1"/>
    <col min="6" max="6" width="11.7109375" bestFit="1" customWidth="1"/>
    <col min="7" max="7" width="13.5703125" bestFit="1" customWidth="1"/>
    <col min="8" max="8" width="11.5703125" bestFit="1" customWidth="1"/>
    <col min="9" max="9" width="12.85546875" bestFit="1" customWidth="1"/>
    <col min="10" max="10" width="11.28515625" bestFit="1" customWidth="1"/>
    <col min="11" max="11" width="12.7109375" bestFit="1" customWidth="1"/>
    <col min="12" max="12" width="11" bestFit="1" customWidth="1"/>
  </cols>
  <sheetData>
    <row r="1" spans="1:12" x14ac:dyDescent="0.25">
      <c r="A1" t="s">
        <v>38</v>
      </c>
      <c r="B1" t="s">
        <v>29</v>
      </c>
      <c r="C1" t="s">
        <v>39</v>
      </c>
      <c r="D1" t="s">
        <v>4</v>
      </c>
      <c r="E1" t="s">
        <v>30</v>
      </c>
      <c r="F1" t="s">
        <v>31</v>
      </c>
      <c r="G1" t="s">
        <v>32</v>
      </c>
      <c r="H1" t="s">
        <v>33</v>
      </c>
      <c r="I1" t="s">
        <v>34</v>
      </c>
      <c r="J1" t="s">
        <v>35</v>
      </c>
      <c r="K1" t="s">
        <v>36</v>
      </c>
      <c r="L1" t="s">
        <v>37</v>
      </c>
    </row>
    <row r="2" spans="1:12" x14ac:dyDescent="0.25">
      <c r="A2" s="6">
        <v>41271</v>
      </c>
      <c r="B2" t="s">
        <v>40</v>
      </c>
      <c r="C2" s="7" t="s">
        <v>41</v>
      </c>
      <c r="D2" t="s">
        <v>41</v>
      </c>
      <c r="E2" s="8">
        <v>3000</v>
      </c>
      <c r="F2" s="8"/>
      <c r="G2" s="8">
        <v>0</v>
      </c>
      <c r="H2" s="8"/>
      <c r="I2" s="8">
        <v>0</v>
      </c>
      <c r="J2" s="8"/>
      <c r="K2" s="8">
        <v>0</v>
      </c>
      <c r="L2" s="8"/>
    </row>
    <row r="3" spans="1:12" x14ac:dyDescent="0.25">
      <c r="A3" s="6">
        <v>41272</v>
      </c>
      <c r="B3" t="s">
        <v>67</v>
      </c>
      <c r="C3" s="7">
        <v>6800</v>
      </c>
      <c r="D3" t="s">
        <v>6</v>
      </c>
      <c r="E3" s="8">
        <f>E2+F3</f>
        <v>9800</v>
      </c>
      <c r="F3" s="8">
        <f>IF($D3="CR01",$C3,0)</f>
        <v>6800</v>
      </c>
      <c r="G3" s="8">
        <f>G2+H3</f>
        <v>0</v>
      </c>
      <c r="H3" s="8">
        <f>IF($D3="VISA",$C3,0)</f>
        <v>0</v>
      </c>
      <c r="I3" s="8">
        <f>I2+J3</f>
        <v>0</v>
      </c>
      <c r="J3" s="8">
        <f>IF($D3="ACC",$C3,0)</f>
        <v>0</v>
      </c>
      <c r="K3" s="8">
        <f>K2+L3</f>
        <v>0</v>
      </c>
      <c r="L3" s="8">
        <f>IF($D3="CBB",$C3,0)</f>
        <v>0</v>
      </c>
    </row>
    <row r="4" spans="1:12" x14ac:dyDescent="0.25">
      <c r="A4" s="6">
        <v>41275</v>
      </c>
      <c r="B4" t="s">
        <v>42</v>
      </c>
      <c r="C4" s="7">
        <v>-2806</v>
      </c>
      <c r="D4" t="s">
        <v>6</v>
      </c>
      <c r="E4" s="8">
        <f>E3+F4</f>
        <v>6994</v>
      </c>
      <c r="F4" s="8">
        <f>IF($D4="CR01",$C4,0)</f>
        <v>-2806</v>
      </c>
      <c r="G4" s="8">
        <f>G3+H4</f>
        <v>0</v>
      </c>
      <c r="H4" s="8">
        <f>IF($D4="VISA",$C4,0)</f>
        <v>0</v>
      </c>
      <c r="I4" s="8">
        <f>I3+J4</f>
        <v>0</v>
      </c>
      <c r="J4" s="8">
        <f>IF($D4="ACC",$C4,0)</f>
        <v>0</v>
      </c>
      <c r="K4" s="8">
        <f>K3+L4</f>
        <v>0</v>
      </c>
      <c r="L4" s="8">
        <f>IF($D4="CBB",$C4,0)</f>
        <v>0</v>
      </c>
    </row>
    <row r="5" spans="1:12" x14ac:dyDescent="0.25">
      <c r="A5" s="6">
        <v>41275</v>
      </c>
      <c r="B5" t="s">
        <v>48</v>
      </c>
      <c r="C5" s="7">
        <v>-100</v>
      </c>
      <c r="D5" t="s">
        <v>6</v>
      </c>
      <c r="E5" s="8">
        <f>E4+F5</f>
        <v>6894</v>
      </c>
      <c r="F5" s="8">
        <f>IF($D5="CR01",$C5,0)</f>
        <v>-100</v>
      </c>
      <c r="G5" s="8">
        <f>G4+H5</f>
        <v>0</v>
      </c>
      <c r="H5" s="8">
        <f>IF($D5="VISA",$C5,0)</f>
        <v>0</v>
      </c>
      <c r="I5" s="8">
        <f>I4+J5</f>
        <v>0</v>
      </c>
      <c r="J5" s="8">
        <f>IF($D5="ACC",$C5,0)</f>
        <v>0</v>
      </c>
      <c r="K5" s="8">
        <f>K4+L5</f>
        <v>0</v>
      </c>
      <c r="L5" s="8">
        <f>IF($D5="CBB",$C5,0)</f>
        <v>0</v>
      </c>
    </row>
    <row r="6" spans="1:12" x14ac:dyDescent="0.25">
      <c r="A6" s="6">
        <v>41275</v>
      </c>
      <c r="B6" t="s">
        <v>58</v>
      </c>
      <c r="C6" s="7">
        <v>-200</v>
      </c>
      <c r="D6" t="s">
        <v>6</v>
      </c>
      <c r="E6" s="8">
        <f>E5+F6</f>
        <v>6694</v>
      </c>
      <c r="F6" s="8">
        <f>IF($D6="CR01",$C6,0)</f>
        <v>-200</v>
      </c>
      <c r="G6" s="8">
        <f>G5+H6</f>
        <v>0</v>
      </c>
      <c r="H6" s="8">
        <f>IF($D6="VISA",$C6,0)</f>
        <v>0</v>
      </c>
      <c r="I6" s="8">
        <f>I5+J6</f>
        <v>0</v>
      </c>
      <c r="J6" s="8">
        <f>IF($D6="ACC",$C6,0)</f>
        <v>0</v>
      </c>
      <c r="K6" s="8">
        <f>K5+L6</f>
        <v>0</v>
      </c>
      <c r="L6" s="8">
        <f>IF($D6="CBB",$C6,0)</f>
        <v>0</v>
      </c>
    </row>
    <row r="7" spans="1:12" x14ac:dyDescent="0.25">
      <c r="A7" s="6">
        <v>41275</v>
      </c>
      <c r="B7" t="s">
        <v>60</v>
      </c>
      <c r="C7" s="7">
        <v>-400</v>
      </c>
      <c r="D7" t="s">
        <v>6</v>
      </c>
      <c r="E7" s="8">
        <f>E6+F7</f>
        <v>6294</v>
      </c>
      <c r="F7" s="8">
        <f>IF($D7="CR01",$C7,0)</f>
        <v>-400</v>
      </c>
      <c r="G7" s="8">
        <f>G6+H7</f>
        <v>0</v>
      </c>
      <c r="H7" s="8">
        <f>IF($D7="VISA",$C7,0)</f>
        <v>0</v>
      </c>
      <c r="I7" s="8">
        <f>I6+J7</f>
        <v>0</v>
      </c>
      <c r="J7" s="8">
        <f>IF($D7="ACC",$C7,0)</f>
        <v>0</v>
      </c>
      <c r="K7" s="8">
        <f>K6+L7</f>
        <v>0</v>
      </c>
      <c r="L7" s="8">
        <f>IF($D7="CBB",$C7,0)</f>
        <v>0</v>
      </c>
    </row>
    <row r="8" spans="1:12" x14ac:dyDescent="0.25">
      <c r="A8" s="6">
        <v>41275</v>
      </c>
      <c r="B8" t="s">
        <v>61</v>
      </c>
      <c r="C8" s="7">
        <v>-300</v>
      </c>
      <c r="D8" t="s">
        <v>6</v>
      </c>
      <c r="E8" s="8">
        <f>E7+F8</f>
        <v>5994</v>
      </c>
      <c r="F8" s="8">
        <f>IF($D8="CR01",$C8,0)</f>
        <v>-300</v>
      </c>
      <c r="G8" s="8">
        <f>G7+H8</f>
        <v>0</v>
      </c>
      <c r="H8" s="8">
        <f>IF($D8="VISA",$C8,0)</f>
        <v>0</v>
      </c>
      <c r="I8" s="8">
        <f>I7+J8</f>
        <v>0</v>
      </c>
      <c r="J8" s="8">
        <f>IF($D8="ACC",$C8,0)</f>
        <v>0</v>
      </c>
      <c r="K8" s="8">
        <f>K7+L8</f>
        <v>0</v>
      </c>
      <c r="L8" s="8">
        <f>IF($D8="CBB",$C8,0)</f>
        <v>0</v>
      </c>
    </row>
    <row r="9" spans="1:12" x14ac:dyDescent="0.25">
      <c r="A9" s="6">
        <v>41275</v>
      </c>
      <c r="B9" t="s">
        <v>64</v>
      </c>
      <c r="C9" s="7">
        <v>-26</v>
      </c>
      <c r="D9" t="s">
        <v>6</v>
      </c>
      <c r="E9" s="8">
        <f>E8+F9</f>
        <v>5968</v>
      </c>
      <c r="F9" s="8">
        <f>IF($D9="CR01",$C9,0)</f>
        <v>-26</v>
      </c>
      <c r="G9" s="8">
        <f>G8+H9</f>
        <v>0</v>
      </c>
      <c r="H9" s="8">
        <f>IF($D9="VISA",$C9,0)</f>
        <v>0</v>
      </c>
      <c r="I9" s="8">
        <f>I8+J9</f>
        <v>0</v>
      </c>
      <c r="J9" s="8">
        <f>IF($D9="ACC",$C9,0)</f>
        <v>0</v>
      </c>
      <c r="K9" s="8">
        <f>K8+L9</f>
        <v>0</v>
      </c>
      <c r="L9" s="8">
        <f>IF($D9="CBB",$C9,0)</f>
        <v>0</v>
      </c>
    </row>
    <row r="10" spans="1:12" x14ac:dyDescent="0.25">
      <c r="A10" s="6">
        <v>41275</v>
      </c>
      <c r="B10" t="s">
        <v>65</v>
      </c>
      <c r="C10" s="7">
        <v>-240</v>
      </c>
      <c r="D10" t="s">
        <v>6</v>
      </c>
      <c r="E10" s="8">
        <f>E9+F10</f>
        <v>5728</v>
      </c>
      <c r="F10" s="8">
        <f>IF($D10="CR01",$C10,0)</f>
        <v>-240</v>
      </c>
      <c r="G10" s="8">
        <f>G9+H10</f>
        <v>0</v>
      </c>
      <c r="H10" s="8">
        <f>IF($D10="VISA",$C10,0)</f>
        <v>0</v>
      </c>
      <c r="I10" s="8">
        <f>I9+J10</f>
        <v>0</v>
      </c>
      <c r="J10" s="8">
        <f>IF($D10="ACC",$C10,0)</f>
        <v>0</v>
      </c>
      <c r="K10" s="8">
        <f>K9+L10</f>
        <v>0</v>
      </c>
      <c r="L10" s="8">
        <f>IF($D10="CBB",$C10,0)</f>
        <v>0</v>
      </c>
    </row>
    <row r="11" spans="1:12" x14ac:dyDescent="0.25">
      <c r="A11" s="6">
        <v>41275</v>
      </c>
      <c r="B11" t="s">
        <v>66</v>
      </c>
      <c r="C11" s="7">
        <v>-120</v>
      </c>
      <c r="D11" t="s">
        <v>6</v>
      </c>
      <c r="E11" s="8">
        <f>E10+F11</f>
        <v>5608</v>
      </c>
      <c r="F11" s="8">
        <f>IF($D11="CR01",$C11,0)</f>
        <v>-120</v>
      </c>
      <c r="G11" s="8">
        <f>G10+H11</f>
        <v>0</v>
      </c>
      <c r="H11" s="8">
        <f>IF($D11="VISA",$C11,0)</f>
        <v>0</v>
      </c>
      <c r="I11" s="8">
        <f>I10+J11</f>
        <v>0</v>
      </c>
      <c r="J11" s="8">
        <f>IF($D11="ACC",$C11,0)</f>
        <v>0</v>
      </c>
      <c r="K11" s="8">
        <f>K10+L11</f>
        <v>0</v>
      </c>
      <c r="L11" s="8">
        <f>IF($D11="CBB",$C11,0)</f>
        <v>0</v>
      </c>
    </row>
    <row r="12" spans="1:12" x14ac:dyDescent="0.25">
      <c r="A12" s="6">
        <v>41275</v>
      </c>
      <c r="B12" t="s">
        <v>69</v>
      </c>
      <c r="C12" s="7">
        <v>-1500</v>
      </c>
      <c r="D12" t="s">
        <v>6</v>
      </c>
      <c r="E12" s="8">
        <f>E11+F12</f>
        <v>4108</v>
      </c>
      <c r="F12" s="8">
        <f>IF($D12="CR01",$C12,0)</f>
        <v>-1500</v>
      </c>
      <c r="G12" s="8">
        <f>G11+H12</f>
        <v>0</v>
      </c>
      <c r="H12" s="8">
        <f>IF($D12="VISA",$C12,0)</f>
        <v>0</v>
      </c>
      <c r="I12" s="8">
        <f>I11+J12</f>
        <v>0</v>
      </c>
      <c r="J12" s="8">
        <f>IF($D12="ACC",$C12,0)</f>
        <v>0</v>
      </c>
      <c r="K12" s="8">
        <f>K11+L12</f>
        <v>0</v>
      </c>
      <c r="L12" s="8">
        <f>IF($D12="CBB",$C12,0)</f>
        <v>0</v>
      </c>
    </row>
    <row r="13" spans="1:12" x14ac:dyDescent="0.25">
      <c r="A13" s="6">
        <v>41276</v>
      </c>
      <c r="B13" t="s">
        <v>47</v>
      </c>
      <c r="C13" s="7">
        <v>-120</v>
      </c>
      <c r="D13" t="s">
        <v>6</v>
      </c>
      <c r="E13" s="8">
        <f>E12+F13</f>
        <v>3988</v>
      </c>
      <c r="F13" s="8">
        <f>IF($D13="CR01",$C13,0)</f>
        <v>-120</v>
      </c>
      <c r="G13" s="8">
        <f>G12+H13</f>
        <v>0</v>
      </c>
      <c r="H13" s="8">
        <f>IF($D13="VISA",$C13,0)</f>
        <v>0</v>
      </c>
      <c r="I13" s="8">
        <f>I12+J13</f>
        <v>0</v>
      </c>
      <c r="J13" s="8">
        <f>IF($D13="ACC",$C13,0)</f>
        <v>0</v>
      </c>
      <c r="K13" s="8">
        <f>K12+L13</f>
        <v>0</v>
      </c>
      <c r="L13" s="8">
        <f>IF($D13="CBB",$C13,0)</f>
        <v>0</v>
      </c>
    </row>
    <row r="14" spans="1:12" x14ac:dyDescent="0.25">
      <c r="A14" s="6">
        <v>41276</v>
      </c>
      <c r="B14" t="s">
        <v>59</v>
      </c>
      <c r="C14" s="7">
        <v>-900</v>
      </c>
      <c r="D14" t="s">
        <v>6</v>
      </c>
      <c r="E14" s="8">
        <f>E13+F14</f>
        <v>3088</v>
      </c>
      <c r="F14" s="8">
        <f>IF($D14="CR01",$C14,0)</f>
        <v>-900</v>
      </c>
      <c r="G14" s="8">
        <f>G13+H14</f>
        <v>0</v>
      </c>
      <c r="H14" s="8">
        <f>IF($D14="VISA",$C14,0)</f>
        <v>0</v>
      </c>
      <c r="I14" s="8">
        <f>I13+J14</f>
        <v>0</v>
      </c>
      <c r="J14" s="8">
        <f>IF($D14="ACC",$C14,0)</f>
        <v>0</v>
      </c>
      <c r="K14" s="8">
        <f>K13+L14</f>
        <v>0</v>
      </c>
      <c r="L14" s="8">
        <f>IF($D14="CBB",$C14,0)</f>
        <v>0</v>
      </c>
    </row>
    <row r="15" spans="1:12" x14ac:dyDescent="0.25">
      <c r="A15" s="6">
        <v>41277</v>
      </c>
      <c r="B15" t="s">
        <v>44</v>
      </c>
      <c r="C15" s="7">
        <v>-400</v>
      </c>
      <c r="D15" t="s">
        <v>6</v>
      </c>
      <c r="E15" s="8">
        <f>E14+F15</f>
        <v>2688</v>
      </c>
      <c r="F15" s="8">
        <f>IF($D15="CR01",$C15,0)</f>
        <v>-400</v>
      </c>
      <c r="G15" s="8">
        <f>G14+H15</f>
        <v>0</v>
      </c>
      <c r="H15" s="8">
        <f>IF($D15="VISA",$C15,0)</f>
        <v>0</v>
      </c>
      <c r="I15" s="8">
        <f>I14+J15</f>
        <v>0</v>
      </c>
      <c r="J15" s="8">
        <f>IF($D15="ACC",$C15,0)</f>
        <v>0</v>
      </c>
      <c r="K15" s="8">
        <f>K14+L15</f>
        <v>0</v>
      </c>
      <c r="L15" s="8">
        <f>IF($D15="CBB",$C15,0)</f>
        <v>0</v>
      </c>
    </row>
    <row r="16" spans="1:12" x14ac:dyDescent="0.25">
      <c r="A16" s="6">
        <v>41277</v>
      </c>
      <c r="B16" t="s">
        <v>45</v>
      </c>
      <c r="C16" s="7">
        <v>-180</v>
      </c>
      <c r="D16" t="s">
        <v>6</v>
      </c>
      <c r="E16" s="8">
        <f>E15+F16</f>
        <v>2508</v>
      </c>
      <c r="F16" s="8">
        <f>IF($D16="CR01",$C16,0)</f>
        <v>-180</v>
      </c>
      <c r="G16" s="8">
        <f>G15+H16</f>
        <v>0</v>
      </c>
      <c r="H16" s="8">
        <f>IF($D16="VISA",$C16,0)</f>
        <v>0</v>
      </c>
      <c r="I16" s="8">
        <f>I15+J16</f>
        <v>0</v>
      </c>
      <c r="J16" s="8">
        <f>IF($D16="ACC",$C16,0)</f>
        <v>0</v>
      </c>
      <c r="K16" s="8">
        <f>K15+L16</f>
        <v>0</v>
      </c>
      <c r="L16" s="8">
        <f>IF($D16="CBB",$C16,0)</f>
        <v>0</v>
      </c>
    </row>
    <row r="17" spans="1:12" x14ac:dyDescent="0.25">
      <c r="A17" s="6">
        <v>41277</v>
      </c>
      <c r="B17" t="s">
        <v>46</v>
      </c>
      <c r="C17" s="7">
        <v>-300</v>
      </c>
      <c r="D17" t="s">
        <v>6</v>
      </c>
      <c r="E17" s="8">
        <f>E16+F17</f>
        <v>2208</v>
      </c>
      <c r="F17" s="8">
        <f>IF($D17="CR01",$C17,0)</f>
        <v>-300</v>
      </c>
      <c r="G17" s="8">
        <f>G16+H17</f>
        <v>0</v>
      </c>
      <c r="H17" s="8">
        <f>IF($D17="VISA",$C17,0)</f>
        <v>0</v>
      </c>
      <c r="I17" s="8">
        <f>I16+J17</f>
        <v>0</v>
      </c>
      <c r="J17" s="8">
        <f>IF($D17="ACC",$C17,0)</f>
        <v>0</v>
      </c>
      <c r="K17" s="8">
        <f>K16+L17</f>
        <v>0</v>
      </c>
      <c r="L17" s="8">
        <f>IF($D17="CBB",$C17,0)</f>
        <v>0</v>
      </c>
    </row>
    <row r="18" spans="1:12" x14ac:dyDescent="0.25">
      <c r="A18" s="6">
        <v>41278</v>
      </c>
      <c r="B18" t="s">
        <v>43</v>
      </c>
      <c r="C18" s="7">
        <v>3226</v>
      </c>
      <c r="D18" t="s">
        <v>6</v>
      </c>
      <c r="E18" s="8">
        <f>E17+F18</f>
        <v>5434</v>
      </c>
      <c r="F18" s="8">
        <f>IF($D18="CR01",$C18,0)</f>
        <v>3226</v>
      </c>
      <c r="G18" s="8">
        <f>G17+H18</f>
        <v>0</v>
      </c>
      <c r="H18" s="8">
        <f>IF($D18="VISA",$C18,0)</f>
        <v>0</v>
      </c>
      <c r="I18" s="8">
        <f>I17+J18</f>
        <v>0</v>
      </c>
      <c r="J18" s="8">
        <f>IF($D18="ACC",$C18,0)</f>
        <v>0</v>
      </c>
      <c r="K18" s="8">
        <f>K17+L18</f>
        <v>0</v>
      </c>
      <c r="L18" s="8">
        <f>IF($D18="CBB",$C18,0)</f>
        <v>0</v>
      </c>
    </row>
    <row r="19" spans="1:12" x14ac:dyDescent="0.25">
      <c r="A19" s="6">
        <v>41282</v>
      </c>
      <c r="B19" t="s">
        <v>48</v>
      </c>
      <c r="C19" s="7">
        <v>-100</v>
      </c>
      <c r="D19" t="s">
        <v>6</v>
      </c>
      <c r="E19" s="8">
        <f>E18+F19</f>
        <v>5334</v>
      </c>
      <c r="F19" s="8">
        <f>IF($D19="CR01",$C19,0)</f>
        <v>-100</v>
      </c>
      <c r="G19" s="8">
        <f>G18+H19</f>
        <v>0</v>
      </c>
      <c r="H19" s="8">
        <f>IF($D19="VISA",$C19,0)</f>
        <v>0</v>
      </c>
      <c r="I19" s="8">
        <f>I18+J19</f>
        <v>0</v>
      </c>
      <c r="J19" s="8">
        <f>IF($D19="ACC",$C19,0)</f>
        <v>0</v>
      </c>
      <c r="K19" s="8">
        <f>K18+L19</f>
        <v>0</v>
      </c>
      <c r="L19" s="8">
        <f>IF($D19="CBB",$C19,0)</f>
        <v>0</v>
      </c>
    </row>
    <row r="20" spans="1:12" x14ac:dyDescent="0.25">
      <c r="A20" s="6">
        <v>41283</v>
      </c>
      <c r="B20" t="s">
        <v>47</v>
      </c>
      <c r="C20" s="7">
        <v>-120</v>
      </c>
      <c r="D20" t="s">
        <v>6</v>
      </c>
      <c r="E20" s="8">
        <f>E19+F20</f>
        <v>5214</v>
      </c>
      <c r="F20" s="8">
        <f>IF($D20="CR01",$C20,0)</f>
        <v>-120</v>
      </c>
      <c r="G20" s="8">
        <f>G19+H20</f>
        <v>0</v>
      </c>
      <c r="H20" s="8">
        <f>IF($D20="VISA",$C20,0)</f>
        <v>0</v>
      </c>
      <c r="I20" s="8">
        <f>I19+J20</f>
        <v>0</v>
      </c>
      <c r="J20" s="8">
        <f>IF($D20="ACC",$C20,0)</f>
        <v>0</v>
      </c>
      <c r="K20" s="8">
        <f>K19+L20</f>
        <v>0</v>
      </c>
      <c r="L20" s="8">
        <f>IF($D20="CBB",$C20,0)</f>
        <v>0</v>
      </c>
    </row>
    <row r="21" spans="1:12" x14ac:dyDescent="0.25">
      <c r="A21" s="6">
        <v>41284</v>
      </c>
      <c r="B21" t="s">
        <v>44</v>
      </c>
      <c r="C21" s="7">
        <v>-400</v>
      </c>
      <c r="D21" t="s">
        <v>6</v>
      </c>
      <c r="E21" s="8">
        <f>E20+F21</f>
        <v>4814</v>
      </c>
      <c r="F21" s="8">
        <f>IF($D21="CR01",$C21,0)</f>
        <v>-400</v>
      </c>
      <c r="G21" s="8">
        <f>G20+H21</f>
        <v>0</v>
      </c>
      <c r="H21" s="8">
        <f>IF($D21="VISA",$C21,0)</f>
        <v>0</v>
      </c>
      <c r="I21" s="8">
        <f>I20+J21</f>
        <v>0</v>
      </c>
      <c r="J21" s="8">
        <f>IF($D21="ACC",$C21,0)</f>
        <v>0</v>
      </c>
      <c r="K21" s="8">
        <f>K20+L21</f>
        <v>0</v>
      </c>
      <c r="L21" s="8">
        <f>IF($D21="CBB",$C21,0)</f>
        <v>0</v>
      </c>
    </row>
    <row r="22" spans="1:12" x14ac:dyDescent="0.25">
      <c r="A22" s="6">
        <v>41284</v>
      </c>
      <c r="B22" t="s">
        <v>45</v>
      </c>
      <c r="C22" s="7">
        <v>-180</v>
      </c>
      <c r="D22" t="s">
        <v>6</v>
      </c>
      <c r="E22" s="8">
        <f>E21+F22</f>
        <v>4634</v>
      </c>
      <c r="F22" s="8">
        <f>IF($D22="CR01",$C22,0)</f>
        <v>-180</v>
      </c>
      <c r="G22" s="8">
        <f>G21+H22</f>
        <v>0</v>
      </c>
      <c r="H22" s="8">
        <f>IF($D22="VISA",$C22,0)</f>
        <v>0</v>
      </c>
      <c r="I22" s="8">
        <f>I21+J22</f>
        <v>0</v>
      </c>
      <c r="J22" s="8">
        <f>IF($D22="ACC",$C22,0)</f>
        <v>0</v>
      </c>
      <c r="K22" s="8">
        <f>K21+L22</f>
        <v>0</v>
      </c>
      <c r="L22" s="8">
        <f>IF($D22="CBB",$C22,0)</f>
        <v>0</v>
      </c>
    </row>
    <row r="23" spans="1:12" x14ac:dyDescent="0.25">
      <c r="A23" s="6">
        <v>41284</v>
      </c>
      <c r="B23" t="s">
        <v>46</v>
      </c>
      <c r="C23" s="7">
        <v>-300</v>
      </c>
      <c r="D23" t="s">
        <v>6</v>
      </c>
      <c r="E23" s="8">
        <f>E22+F23</f>
        <v>4334</v>
      </c>
      <c r="F23" s="8">
        <f>IF($D23="CR01",$C23,0)</f>
        <v>-300</v>
      </c>
      <c r="G23" s="8">
        <f>G22+H23</f>
        <v>0</v>
      </c>
      <c r="H23" s="8">
        <f>IF($D23="VISA",$C23,0)</f>
        <v>0</v>
      </c>
      <c r="I23" s="8">
        <f>I22+J23</f>
        <v>0</v>
      </c>
      <c r="J23" s="8">
        <f>IF($D23="ACC",$C23,0)</f>
        <v>0</v>
      </c>
      <c r="K23" s="8">
        <f>K22+L23</f>
        <v>0</v>
      </c>
      <c r="L23" s="8">
        <f>IF($D23="CBB",$C23,0)</f>
        <v>0</v>
      </c>
    </row>
    <row r="24" spans="1:12" x14ac:dyDescent="0.25">
      <c r="A24" s="6">
        <v>41286</v>
      </c>
      <c r="B24" t="s">
        <v>67</v>
      </c>
      <c r="C24" s="7">
        <v>6800</v>
      </c>
      <c r="D24" t="s">
        <v>6</v>
      </c>
      <c r="E24" s="8">
        <f>E23+F24</f>
        <v>11134</v>
      </c>
      <c r="F24" s="8">
        <f>IF($D24="CR01",$C24,0)</f>
        <v>6800</v>
      </c>
      <c r="G24" s="8">
        <f>G23+H24</f>
        <v>0</v>
      </c>
      <c r="H24" s="8">
        <f>IF($D24="VISA",$C24,0)</f>
        <v>0</v>
      </c>
      <c r="I24" s="8">
        <f>I23+J24</f>
        <v>0</v>
      </c>
      <c r="J24" s="8">
        <f>IF($D24="ACC",$C24,0)</f>
        <v>0</v>
      </c>
      <c r="K24" s="8">
        <f>K23+L24</f>
        <v>0</v>
      </c>
      <c r="L24" s="8">
        <f>IF($D24="CBB",$C24,0)</f>
        <v>0</v>
      </c>
    </row>
    <row r="25" spans="1:12" x14ac:dyDescent="0.25">
      <c r="A25" s="6">
        <v>41289</v>
      </c>
      <c r="B25" t="s">
        <v>42</v>
      </c>
      <c r="C25" s="7">
        <v>-2806</v>
      </c>
      <c r="D25" t="s">
        <v>6</v>
      </c>
      <c r="E25" s="8">
        <f>E24+F25</f>
        <v>8328</v>
      </c>
      <c r="F25" s="8">
        <f>IF($D25="CR01",$C25,0)</f>
        <v>-2806</v>
      </c>
      <c r="G25" s="8">
        <f>G24+H25</f>
        <v>0</v>
      </c>
      <c r="H25" s="8">
        <f>IF($D25="VISA",$C25,0)</f>
        <v>0</v>
      </c>
      <c r="I25" s="8">
        <f>I24+J25</f>
        <v>0</v>
      </c>
      <c r="J25" s="8">
        <f>IF($D25="ACC",$C25,0)</f>
        <v>0</v>
      </c>
      <c r="K25" s="8">
        <f>K24+L25</f>
        <v>0</v>
      </c>
      <c r="L25" s="8">
        <f>IF($D25="CBB",$C25,0)</f>
        <v>0</v>
      </c>
    </row>
    <row r="26" spans="1:12" x14ac:dyDescent="0.25">
      <c r="A26" s="6">
        <v>41289</v>
      </c>
      <c r="B26" t="s">
        <v>48</v>
      </c>
      <c r="C26" s="7">
        <v>-100</v>
      </c>
      <c r="D26" t="s">
        <v>6</v>
      </c>
      <c r="E26" s="8">
        <f>E25+F26</f>
        <v>8228</v>
      </c>
      <c r="F26" s="8">
        <f>IF($D26="CR01",$C26,0)</f>
        <v>-100</v>
      </c>
      <c r="G26" s="8">
        <f>G25+H26</f>
        <v>0</v>
      </c>
      <c r="H26" s="8">
        <f>IF($D26="VISA",$C26,0)</f>
        <v>0</v>
      </c>
      <c r="I26" s="8">
        <f>I25+J26</f>
        <v>0</v>
      </c>
      <c r="J26" s="8">
        <f>IF($D26="ACC",$C26,0)</f>
        <v>0</v>
      </c>
      <c r="K26" s="8">
        <f>K25+L26</f>
        <v>0</v>
      </c>
      <c r="L26" s="8">
        <f>IF($D26="CBB",$C26,0)</f>
        <v>0</v>
      </c>
    </row>
    <row r="27" spans="1:12" x14ac:dyDescent="0.25">
      <c r="A27" s="6">
        <v>41290</v>
      </c>
      <c r="B27" t="s">
        <v>47</v>
      </c>
      <c r="C27" s="7">
        <v>-120</v>
      </c>
      <c r="D27" t="s">
        <v>6</v>
      </c>
      <c r="E27" s="8">
        <f>E26+F27</f>
        <v>8108</v>
      </c>
      <c r="F27" s="8">
        <f>IF($D27="CR01",$C27,0)</f>
        <v>-120</v>
      </c>
      <c r="G27" s="8">
        <f>G26+H27</f>
        <v>0</v>
      </c>
      <c r="H27" s="8">
        <f>IF($D27="VISA",$C27,0)</f>
        <v>0</v>
      </c>
      <c r="I27" s="8">
        <f>I26+J27</f>
        <v>0</v>
      </c>
      <c r="J27" s="8">
        <f>IF($D27="ACC",$C27,0)</f>
        <v>0</v>
      </c>
      <c r="K27" s="8">
        <f>K26+L27</f>
        <v>0</v>
      </c>
      <c r="L27" s="8">
        <f>IF($D27="CBB",$C27,0)</f>
        <v>0</v>
      </c>
    </row>
    <row r="28" spans="1:12" x14ac:dyDescent="0.25">
      <c r="A28" s="6">
        <v>41291</v>
      </c>
      <c r="B28" t="s">
        <v>44</v>
      </c>
      <c r="C28" s="7">
        <v>-400</v>
      </c>
      <c r="D28" t="s">
        <v>6</v>
      </c>
      <c r="E28" s="8">
        <f>E27+F28</f>
        <v>7708</v>
      </c>
      <c r="F28" s="8">
        <f>IF($D28="CR01",$C28,0)</f>
        <v>-400</v>
      </c>
      <c r="G28" s="8">
        <f>G27+H28</f>
        <v>0</v>
      </c>
      <c r="H28" s="8">
        <f>IF($D28="VISA",$C28,0)</f>
        <v>0</v>
      </c>
      <c r="I28" s="8">
        <f>I27+J28</f>
        <v>0</v>
      </c>
      <c r="J28" s="8">
        <f>IF($D28="ACC",$C28,0)</f>
        <v>0</v>
      </c>
      <c r="K28" s="8">
        <f>K27+L28</f>
        <v>0</v>
      </c>
      <c r="L28" s="8">
        <f>IF($D28="CBB",$C28,0)</f>
        <v>0</v>
      </c>
    </row>
    <row r="29" spans="1:12" x14ac:dyDescent="0.25">
      <c r="A29" s="6">
        <v>41291</v>
      </c>
      <c r="B29" t="s">
        <v>45</v>
      </c>
      <c r="C29" s="7">
        <v>-180</v>
      </c>
      <c r="D29" t="s">
        <v>6</v>
      </c>
      <c r="E29" s="8">
        <f>E28+F29</f>
        <v>7528</v>
      </c>
      <c r="F29" s="8">
        <f>IF($D29="CR01",$C29,0)</f>
        <v>-180</v>
      </c>
      <c r="G29" s="8">
        <f>G28+H29</f>
        <v>0</v>
      </c>
      <c r="H29" s="8">
        <f>IF($D29="VISA",$C29,0)</f>
        <v>0</v>
      </c>
      <c r="I29" s="8">
        <f>I28+J29</f>
        <v>0</v>
      </c>
      <c r="J29" s="8">
        <f>IF($D29="ACC",$C29,0)</f>
        <v>0</v>
      </c>
      <c r="K29" s="8">
        <f>K28+L29</f>
        <v>0</v>
      </c>
      <c r="L29" s="8">
        <f>IF($D29="CBB",$C29,0)</f>
        <v>0</v>
      </c>
    </row>
    <row r="30" spans="1:12" x14ac:dyDescent="0.25">
      <c r="A30" s="6">
        <v>41291</v>
      </c>
      <c r="B30" t="s">
        <v>46</v>
      </c>
      <c r="C30" s="7">
        <v>-300</v>
      </c>
      <c r="D30" t="s">
        <v>6</v>
      </c>
      <c r="E30" s="8">
        <f>E29+F30</f>
        <v>7228</v>
      </c>
      <c r="F30" s="8">
        <f>IF($D30="CR01",$C30,0)</f>
        <v>-300</v>
      </c>
      <c r="G30" s="8">
        <f>G29+H30</f>
        <v>0</v>
      </c>
      <c r="H30" s="8">
        <f>IF($D30="VISA",$C30,0)</f>
        <v>0</v>
      </c>
      <c r="I30" s="8">
        <f>I29+J30</f>
        <v>0</v>
      </c>
      <c r="J30" s="8">
        <f>IF($D30="ACC",$C30,0)</f>
        <v>0</v>
      </c>
      <c r="K30" s="8">
        <f>K29+L30</f>
        <v>0</v>
      </c>
      <c r="L30" s="8">
        <f>IF($D30="CBB",$C30,0)</f>
        <v>0</v>
      </c>
    </row>
    <row r="31" spans="1:12" x14ac:dyDescent="0.25">
      <c r="A31" s="6">
        <v>41292</v>
      </c>
      <c r="B31" t="s">
        <v>43</v>
      </c>
      <c r="C31" s="7">
        <v>3226</v>
      </c>
      <c r="D31" t="s">
        <v>6</v>
      </c>
      <c r="E31" s="8">
        <f>E30+F31</f>
        <v>10454</v>
      </c>
      <c r="F31" s="8">
        <f>IF($D31="CR01",$C31,0)</f>
        <v>3226</v>
      </c>
      <c r="G31" s="8">
        <f>G30+H31</f>
        <v>0</v>
      </c>
      <c r="H31" s="8">
        <f>IF($D31="VISA",$C31,0)</f>
        <v>0</v>
      </c>
      <c r="I31" s="8">
        <f>I30+J31</f>
        <v>0</v>
      </c>
      <c r="J31" s="8">
        <f>IF($D31="ACC",$C31,0)</f>
        <v>0</v>
      </c>
      <c r="K31" s="8">
        <f>K30+L31</f>
        <v>0</v>
      </c>
      <c r="L31" s="8">
        <f>IF($D31="CBB",$C31,0)</f>
        <v>0</v>
      </c>
    </row>
    <row r="32" spans="1:12" x14ac:dyDescent="0.25">
      <c r="A32" s="6">
        <v>41296</v>
      </c>
      <c r="B32" t="s">
        <v>48</v>
      </c>
      <c r="C32" s="7">
        <v>-100</v>
      </c>
      <c r="D32" t="s">
        <v>6</v>
      </c>
      <c r="E32" s="8">
        <f>E31+F32</f>
        <v>10354</v>
      </c>
      <c r="F32" s="8">
        <f>IF($D32="CR01",$C32,0)</f>
        <v>-100</v>
      </c>
      <c r="G32" s="8">
        <f>G31+H32</f>
        <v>0</v>
      </c>
      <c r="H32" s="8">
        <f>IF($D32="VISA",$C32,0)</f>
        <v>0</v>
      </c>
      <c r="I32" s="8">
        <f>I31+J32</f>
        <v>0</v>
      </c>
      <c r="J32" s="8">
        <f>IF($D32="ACC",$C32,0)</f>
        <v>0</v>
      </c>
      <c r="K32" s="8">
        <f>K31+L32</f>
        <v>0</v>
      </c>
      <c r="L32" s="8">
        <f>IF($D32="CBB",$C32,0)</f>
        <v>0</v>
      </c>
    </row>
    <row r="33" spans="1:12" x14ac:dyDescent="0.25">
      <c r="A33" s="6">
        <v>41297</v>
      </c>
      <c r="B33" t="s">
        <v>47</v>
      </c>
      <c r="C33" s="7">
        <v>-120</v>
      </c>
      <c r="D33" t="s">
        <v>6</v>
      </c>
      <c r="E33" s="8">
        <f>E32+F33</f>
        <v>10234</v>
      </c>
      <c r="F33" s="8">
        <f>IF($D33="CR01",$C33,0)</f>
        <v>-120</v>
      </c>
      <c r="G33" s="8">
        <f>G32+H33</f>
        <v>0</v>
      </c>
      <c r="H33" s="8">
        <f>IF($D33="VISA",$C33,0)</f>
        <v>0</v>
      </c>
      <c r="I33" s="8">
        <f>I32+J33</f>
        <v>0</v>
      </c>
      <c r="J33" s="8">
        <f>IF($D33="ACC",$C33,0)</f>
        <v>0</v>
      </c>
      <c r="K33" s="8">
        <f>K32+L33</f>
        <v>0</v>
      </c>
      <c r="L33" s="8">
        <f>IF($D33="CBB",$C33,0)</f>
        <v>0</v>
      </c>
    </row>
    <row r="34" spans="1:12" x14ac:dyDescent="0.25">
      <c r="A34" s="6">
        <v>41298</v>
      </c>
      <c r="B34" t="s">
        <v>44</v>
      </c>
      <c r="C34" s="7">
        <v>-400</v>
      </c>
      <c r="D34" t="s">
        <v>6</v>
      </c>
      <c r="E34" s="8">
        <f>E33+F34</f>
        <v>9834</v>
      </c>
      <c r="F34" s="8">
        <f>IF($D34="CR01",$C34,0)</f>
        <v>-400</v>
      </c>
      <c r="G34" s="8">
        <f>G33+H34</f>
        <v>0</v>
      </c>
      <c r="H34" s="8">
        <f>IF($D34="VISA",$C34,0)</f>
        <v>0</v>
      </c>
      <c r="I34" s="8">
        <f>I33+J34</f>
        <v>0</v>
      </c>
      <c r="J34" s="8">
        <f>IF($D34="ACC",$C34,0)</f>
        <v>0</v>
      </c>
      <c r="K34" s="8">
        <f>K33+L34</f>
        <v>0</v>
      </c>
      <c r="L34" s="8">
        <f>IF($D34="CBB",$C34,0)</f>
        <v>0</v>
      </c>
    </row>
    <row r="35" spans="1:12" x14ac:dyDescent="0.25">
      <c r="A35" s="6">
        <v>41298</v>
      </c>
      <c r="B35" t="s">
        <v>45</v>
      </c>
      <c r="C35" s="7">
        <v>-180</v>
      </c>
      <c r="D35" t="s">
        <v>6</v>
      </c>
      <c r="E35" s="8">
        <f>E34+F35</f>
        <v>9654</v>
      </c>
      <c r="F35" s="8">
        <f>IF($D35="CR01",$C35,0)</f>
        <v>-180</v>
      </c>
      <c r="G35" s="8">
        <f>G34+H35</f>
        <v>0</v>
      </c>
      <c r="H35" s="8">
        <f>IF($D35="VISA",$C35,0)</f>
        <v>0</v>
      </c>
      <c r="I35" s="8">
        <f>I34+J35</f>
        <v>0</v>
      </c>
      <c r="J35" s="8">
        <f>IF($D35="ACC",$C35,0)</f>
        <v>0</v>
      </c>
      <c r="K35" s="8">
        <f>K34+L35</f>
        <v>0</v>
      </c>
      <c r="L35" s="8">
        <f>IF($D35="CBB",$C35,0)</f>
        <v>0</v>
      </c>
    </row>
    <row r="36" spans="1:12" x14ac:dyDescent="0.25">
      <c r="A36" s="6">
        <v>41298</v>
      </c>
      <c r="B36" t="s">
        <v>46</v>
      </c>
      <c r="C36" s="7">
        <v>-300</v>
      </c>
      <c r="D36" t="s">
        <v>6</v>
      </c>
      <c r="E36" s="8">
        <f>E35+F36</f>
        <v>9354</v>
      </c>
      <c r="F36" s="8">
        <f>IF($D36="CR01",$C36,0)</f>
        <v>-300</v>
      </c>
      <c r="G36" s="8">
        <f>G35+H36</f>
        <v>0</v>
      </c>
      <c r="H36" s="8">
        <f>IF($D36="VISA",$C36,0)</f>
        <v>0</v>
      </c>
      <c r="I36" s="8">
        <f>I35+J36</f>
        <v>0</v>
      </c>
      <c r="J36" s="8">
        <f>IF($D36="ACC",$C36,0)</f>
        <v>0</v>
      </c>
      <c r="K36" s="8">
        <f>K35+L36</f>
        <v>0</v>
      </c>
      <c r="L36" s="8">
        <f>IF($D36="CBB",$C36,0)</f>
        <v>0</v>
      </c>
    </row>
    <row r="37" spans="1:12" x14ac:dyDescent="0.25">
      <c r="A37" s="6">
        <v>41300</v>
      </c>
      <c r="B37" t="s">
        <v>67</v>
      </c>
      <c r="C37" s="7">
        <v>6800</v>
      </c>
      <c r="D37" t="s">
        <v>6</v>
      </c>
      <c r="E37" s="8">
        <f>E36+F37</f>
        <v>16154</v>
      </c>
      <c r="F37" s="8">
        <f>IF($D37="CR01",$C37,0)</f>
        <v>6800</v>
      </c>
      <c r="G37" s="8">
        <f>G36+H37</f>
        <v>0</v>
      </c>
      <c r="H37" s="8">
        <f>IF($D37="VISA",$C37,0)</f>
        <v>0</v>
      </c>
      <c r="I37" s="8">
        <f>I36+J37</f>
        <v>0</v>
      </c>
      <c r="J37" s="8">
        <f>IF($D37="ACC",$C37,0)</f>
        <v>0</v>
      </c>
      <c r="K37" s="8">
        <f>K36+L37</f>
        <v>0</v>
      </c>
      <c r="L37" s="8">
        <f>IF($D37="CBB",$C37,0)</f>
        <v>0</v>
      </c>
    </row>
    <row r="38" spans="1:12" x14ac:dyDescent="0.25">
      <c r="A38" s="6">
        <v>41303</v>
      </c>
      <c r="B38" t="s">
        <v>42</v>
      </c>
      <c r="C38" s="7">
        <v>-2806</v>
      </c>
      <c r="D38" t="s">
        <v>6</v>
      </c>
      <c r="E38" s="8">
        <f>E37+F38</f>
        <v>13348</v>
      </c>
      <c r="F38" s="8">
        <f>IF($D38="CR01",$C38,0)</f>
        <v>-2806</v>
      </c>
      <c r="G38" s="8">
        <f>G37+H38</f>
        <v>0</v>
      </c>
      <c r="H38" s="8">
        <f>IF($D38="VISA",$C38,0)</f>
        <v>0</v>
      </c>
      <c r="I38" s="8">
        <f>I37+J38</f>
        <v>0</v>
      </c>
      <c r="J38" s="8">
        <f>IF($D38="ACC",$C38,0)</f>
        <v>0</v>
      </c>
      <c r="K38" s="8">
        <f>K37+L38</f>
        <v>0</v>
      </c>
      <c r="L38" s="8">
        <f>IF($D38="CBB",$C38,0)</f>
        <v>0</v>
      </c>
    </row>
    <row r="39" spans="1:12" x14ac:dyDescent="0.25">
      <c r="A39" s="6">
        <v>41303</v>
      </c>
      <c r="B39" t="s">
        <v>48</v>
      </c>
      <c r="C39" s="7">
        <v>-100</v>
      </c>
      <c r="D39" t="s">
        <v>6</v>
      </c>
      <c r="E39" s="8">
        <f>E38+F39</f>
        <v>13248</v>
      </c>
      <c r="F39" s="8">
        <f>IF($D39="CR01",$C39,0)</f>
        <v>-100</v>
      </c>
      <c r="G39" s="8">
        <f>G38+H39</f>
        <v>0</v>
      </c>
      <c r="H39" s="8">
        <f>IF($D39="VISA",$C39,0)</f>
        <v>0</v>
      </c>
      <c r="I39" s="8">
        <f>I38+J39</f>
        <v>0</v>
      </c>
      <c r="J39" s="8">
        <f>IF($D39="ACC",$C39,0)</f>
        <v>0</v>
      </c>
      <c r="K39" s="8">
        <f>K38+L39</f>
        <v>0</v>
      </c>
      <c r="L39" s="8">
        <f>IF($D39="CBB",$C39,0)</f>
        <v>0</v>
      </c>
    </row>
    <row r="40" spans="1:12" x14ac:dyDescent="0.25">
      <c r="A40" s="6">
        <v>41304</v>
      </c>
      <c r="B40" t="s">
        <v>47</v>
      </c>
      <c r="C40" s="7">
        <v>-120</v>
      </c>
      <c r="D40" t="s">
        <v>6</v>
      </c>
      <c r="E40" s="8">
        <f>E39+F40</f>
        <v>13128</v>
      </c>
      <c r="F40" s="8">
        <f>IF($D40="CR01",$C40,0)</f>
        <v>-120</v>
      </c>
      <c r="G40" s="8">
        <f>G39+H40</f>
        <v>0</v>
      </c>
      <c r="H40" s="8">
        <f>IF($D40="VISA",$C40,0)</f>
        <v>0</v>
      </c>
      <c r="I40" s="8">
        <f>I39+J40</f>
        <v>0</v>
      </c>
      <c r="J40" s="8">
        <f>IF($D40="ACC",$C40,0)</f>
        <v>0</v>
      </c>
      <c r="K40" s="8">
        <f>K39+L40</f>
        <v>0</v>
      </c>
      <c r="L40" s="8">
        <f>IF($D40="CBB",$C40,0)</f>
        <v>0</v>
      </c>
    </row>
    <row r="41" spans="1:12" x14ac:dyDescent="0.25">
      <c r="A41" s="6">
        <v>41305</v>
      </c>
      <c r="B41" t="s">
        <v>44</v>
      </c>
      <c r="C41" s="7">
        <v>-400</v>
      </c>
      <c r="D41" t="s">
        <v>6</v>
      </c>
      <c r="E41" s="8">
        <f>E40+F41</f>
        <v>12728</v>
      </c>
      <c r="F41" s="8">
        <f>IF($D41="CR01",$C41,0)</f>
        <v>-400</v>
      </c>
      <c r="G41" s="8">
        <f>G40+H41</f>
        <v>0</v>
      </c>
      <c r="H41" s="8">
        <f>IF($D41="VISA",$C41,0)</f>
        <v>0</v>
      </c>
      <c r="I41" s="8">
        <f>I40+J41</f>
        <v>0</v>
      </c>
      <c r="J41" s="8">
        <f>IF($D41="ACC",$C41,0)</f>
        <v>0</v>
      </c>
      <c r="K41" s="8">
        <f>K40+L41</f>
        <v>0</v>
      </c>
      <c r="L41" s="8">
        <f>IF($D41="CBB",$C41,0)</f>
        <v>0</v>
      </c>
    </row>
    <row r="42" spans="1:12" x14ac:dyDescent="0.25">
      <c r="A42" s="6">
        <v>41305</v>
      </c>
      <c r="B42" t="s">
        <v>45</v>
      </c>
      <c r="C42" s="7">
        <v>-180</v>
      </c>
      <c r="D42" t="s">
        <v>6</v>
      </c>
      <c r="E42" s="8">
        <f>E41+F42</f>
        <v>12548</v>
      </c>
      <c r="F42" s="8">
        <f>IF($D42="CR01",$C42,0)</f>
        <v>-180</v>
      </c>
      <c r="G42" s="8">
        <f>G41+H42</f>
        <v>0</v>
      </c>
      <c r="H42" s="8">
        <f>IF($D42="VISA",$C42,0)</f>
        <v>0</v>
      </c>
      <c r="I42" s="8">
        <f>I41+J42</f>
        <v>0</v>
      </c>
      <c r="J42" s="8">
        <f>IF($D42="ACC",$C42,0)</f>
        <v>0</v>
      </c>
      <c r="K42" s="8">
        <f>K41+L42</f>
        <v>0</v>
      </c>
      <c r="L42" s="8">
        <f>IF($D42="CBB",$C42,0)</f>
        <v>0</v>
      </c>
    </row>
    <row r="43" spans="1:12" x14ac:dyDescent="0.25">
      <c r="A43" s="6">
        <v>41305</v>
      </c>
      <c r="B43" t="s">
        <v>46</v>
      </c>
      <c r="C43" s="7">
        <v>-300</v>
      </c>
      <c r="D43" t="s">
        <v>6</v>
      </c>
      <c r="E43" s="8">
        <f>E42+F43</f>
        <v>12248</v>
      </c>
      <c r="F43" s="8">
        <f>IF($D43="CR01",$C43,0)</f>
        <v>-300</v>
      </c>
      <c r="G43" s="8">
        <f>G42+H43</f>
        <v>0</v>
      </c>
      <c r="H43" s="8">
        <f>IF($D43="VISA",$C43,0)</f>
        <v>0</v>
      </c>
      <c r="I43" s="8">
        <f>I42+J43</f>
        <v>0</v>
      </c>
      <c r="J43" s="8">
        <f>IF($D43="ACC",$C43,0)</f>
        <v>0</v>
      </c>
      <c r="K43" s="8">
        <f>K42+L43</f>
        <v>0</v>
      </c>
      <c r="L43" s="8">
        <f>IF($D43="CBB",$C43,0)</f>
        <v>0</v>
      </c>
    </row>
    <row r="44" spans="1:12" x14ac:dyDescent="0.25">
      <c r="A44" s="6">
        <v>41306</v>
      </c>
      <c r="B44" t="s">
        <v>43</v>
      </c>
      <c r="C44" s="7">
        <v>3226</v>
      </c>
      <c r="D44" t="s">
        <v>6</v>
      </c>
      <c r="E44" s="8">
        <f>E43+F44</f>
        <v>15474</v>
      </c>
      <c r="F44" s="8">
        <f>IF($D44="CR01",$C44,0)</f>
        <v>3226</v>
      </c>
      <c r="G44" s="8">
        <f>G43+H44</f>
        <v>0</v>
      </c>
      <c r="H44" s="8">
        <f>IF($D44="VISA",$C44,0)</f>
        <v>0</v>
      </c>
      <c r="I44" s="8">
        <f>I43+J44</f>
        <v>0</v>
      </c>
      <c r="J44" s="8">
        <f>IF($D44="ACC",$C44,0)</f>
        <v>0</v>
      </c>
      <c r="K44" s="8">
        <f>K43+L44</f>
        <v>0</v>
      </c>
      <c r="L44" s="8">
        <f>IF($D44="CBB",$C44,0)</f>
        <v>0</v>
      </c>
    </row>
    <row r="45" spans="1:12" x14ac:dyDescent="0.25">
      <c r="A45" s="6">
        <v>41306</v>
      </c>
      <c r="B45" t="s">
        <v>58</v>
      </c>
      <c r="C45" s="7">
        <v>-200</v>
      </c>
      <c r="D45" t="s">
        <v>6</v>
      </c>
      <c r="E45" s="8">
        <f>E44+F45</f>
        <v>15274</v>
      </c>
      <c r="F45" s="8">
        <f>IF($D45="CR01",$C45,0)</f>
        <v>-200</v>
      </c>
      <c r="G45" s="8">
        <f>G44+H45</f>
        <v>0</v>
      </c>
      <c r="H45" s="8">
        <f>IF($D45="VISA",$C45,0)</f>
        <v>0</v>
      </c>
      <c r="I45" s="8">
        <f>I44+J45</f>
        <v>0</v>
      </c>
      <c r="J45" s="8">
        <f>IF($D45="ACC",$C45,0)</f>
        <v>0</v>
      </c>
      <c r="K45" s="8">
        <f>K44+L45</f>
        <v>0</v>
      </c>
      <c r="L45" s="8">
        <f>IF($D45="CBB",$C45,0)</f>
        <v>0</v>
      </c>
    </row>
    <row r="46" spans="1:12" x14ac:dyDescent="0.25">
      <c r="A46" s="6">
        <v>41306</v>
      </c>
      <c r="B46" t="s">
        <v>60</v>
      </c>
      <c r="C46" s="7">
        <v>-400</v>
      </c>
      <c r="D46" t="s">
        <v>6</v>
      </c>
      <c r="E46" s="8">
        <f>E45+F46</f>
        <v>14874</v>
      </c>
      <c r="F46" s="8">
        <f>IF($D46="CR01",$C46,0)</f>
        <v>-400</v>
      </c>
      <c r="G46" s="8">
        <f>G45+H46</f>
        <v>0</v>
      </c>
      <c r="H46" s="8">
        <f>IF($D46="VISA",$C46,0)</f>
        <v>0</v>
      </c>
      <c r="I46" s="8">
        <f>I45+J46</f>
        <v>0</v>
      </c>
      <c r="J46" s="8">
        <f>IF($D46="ACC",$C46,0)</f>
        <v>0</v>
      </c>
      <c r="K46" s="8">
        <f>K45+L46</f>
        <v>0</v>
      </c>
      <c r="L46" s="8">
        <f>IF($D46="CBB",$C46,0)</f>
        <v>0</v>
      </c>
    </row>
    <row r="47" spans="1:12" x14ac:dyDescent="0.25">
      <c r="A47" s="6">
        <v>41306</v>
      </c>
      <c r="B47" t="s">
        <v>62</v>
      </c>
      <c r="C47" s="7">
        <v>-300</v>
      </c>
      <c r="D47" t="s">
        <v>6</v>
      </c>
      <c r="E47" s="8">
        <f>E46+F47</f>
        <v>14574</v>
      </c>
      <c r="F47" s="8">
        <f>IF($D47="CR01",$C47,0)</f>
        <v>-300</v>
      </c>
      <c r="G47" s="8">
        <f>G46+H47</f>
        <v>0</v>
      </c>
      <c r="H47" s="8">
        <f>IF($D47="VISA",$C47,0)</f>
        <v>0</v>
      </c>
      <c r="I47" s="8">
        <f>I46+J47</f>
        <v>0</v>
      </c>
      <c r="J47" s="8">
        <f>IF($D47="ACC",$C47,0)</f>
        <v>0</v>
      </c>
      <c r="K47" s="8">
        <f>K46+L47</f>
        <v>0</v>
      </c>
      <c r="L47" s="8">
        <f>IF($D47="CBB",$C47,0)</f>
        <v>0</v>
      </c>
    </row>
    <row r="48" spans="1:12" x14ac:dyDescent="0.25">
      <c r="A48" s="6">
        <v>41306</v>
      </c>
      <c r="B48" t="s">
        <v>63</v>
      </c>
      <c r="C48" s="7">
        <v>-300</v>
      </c>
      <c r="D48" t="s">
        <v>6</v>
      </c>
      <c r="E48" s="8">
        <f>E47+F48</f>
        <v>14274</v>
      </c>
      <c r="F48" s="8">
        <f>IF($D48="CR01",$C48,0)</f>
        <v>-300</v>
      </c>
      <c r="G48" s="8">
        <f>G47+H48</f>
        <v>0</v>
      </c>
      <c r="H48" s="8">
        <f>IF($D48="VISA",$C48,0)</f>
        <v>0</v>
      </c>
      <c r="I48" s="8">
        <f>I47+J48</f>
        <v>0</v>
      </c>
      <c r="J48" s="8">
        <f>IF($D48="ACC",$C48,0)</f>
        <v>0</v>
      </c>
      <c r="K48" s="8">
        <f>K47+L48</f>
        <v>0</v>
      </c>
      <c r="L48" s="8">
        <f>IF($D48="CBB",$C48,0)</f>
        <v>0</v>
      </c>
    </row>
    <row r="49" spans="1:12" x14ac:dyDescent="0.25">
      <c r="A49" s="6">
        <v>41306</v>
      </c>
      <c r="B49" t="s">
        <v>64</v>
      </c>
      <c r="C49" s="7">
        <v>-26</v>
      </c>
      <c r="D49" t="s">
        <v>6</v>
      </c>
      <c r="E49" s="8">
        <f>E48+F49</f>
        <v>14248</v>
      </c>
      <c r="F49" s="8">
        <f>IF($D49="CR01",$C49,0)</f>
        <v>-26</v>
      </c>
      <c r="G49" s="8">
        <f>G48+H49</f>
        <v>0</v>
      </c>
      <c r="H49" s="8">
        <f>IF($D49="VISA",$C49,0)</f>
        <v>0</v>
      </c>
      <c r="I49" s="8">
        <f>I48+J49</f>
        <v>0</v>
      </c>
      <c r="J49" s="8">
        <f>IF($D49="ACC",$C49,0)</f>
        <v>0</v>
      </c>
      <c r="K49" s="8">
        <f>K48+L49</f>
        <v>0</v>
      </c>
      <c r="L49" s="8">
        <f>IF($D49="CBB",$C49,0)</f>
        <v>0</v>
      </c>
    </row>
    <row r="50" spans="1:12" x14ac:dyDescent="0.25">
      <c r="A50" s="6">
        <v>41306</v>
      </c>
      <c r="B50" t="s">
        <v>65</v>
      </c>
      <c r="C50" s="7">
        <v>-240</v>
      </c>
      <c r="D50" t="s">
        <v>6</v>
      </c>
      <c r="E50" s="8">
        <f>E49+F50</f>
        <v>14008</v>
      </c>
      <c r="F50" s="8">
        <f>IF($D50="CR01",$C50,0)</f>
        <v>-240</v>
      </c>
      <c r="G50" s="8">
        <f>G49+H50</f>
        <v>0</v>
      </c>
      <c r="H50" s="8">
        <f>IF($D50="VISA",$C50,0)</f>
        <v>0</v>
      </c>
      <c r="I50" s="8">
        <f>I49+J50</f>
        <v>0</v>
      </c>
      <c r="J50" s="8">
        <f>IF($D50="ACC",$C50,0)</f>
        <v>0</v>
      </c>
      <c r="K50" s="8">
        <f>K49+L50</f>
        <v>0</v>
      </c>
      <c r="L50" s="8">
        <f>IF($D50="CBB",$C50,0)</f>
        <v>0</v>
      </c>
    </row>
    <row r="51" spans="1:12" x14ac:dyDescent="0.25">
      <c r="A51" s="6">
        <v>41306</v>
      </c>
      <c r="B51" t="s">
        <v>66</v>
      </c>
      <c r="C51" s="7">
        <v>-120</v>
      </c>
      <c r="D51" t="s">
        <v>6</v>
      </c>
      <c r="E51" s="8">
        <f>E50+F51</f>
        <v>13888</v>
      </c>
      <c r="F51" s="8">
        <f>IF($D51="CR01",$C51,0)</f>
        <v>-120</v>
      </c>
      <c r="G51" s="8">
        <f>G50+H51</f>
        <v>0</v>
      </c>
      <c r="H51" s="8">
        <f>IF($D51="VISA",$C51,0)</f>
        <v>0</v>
      </c>
      <c r="I51" s="8">
        <f>I50+J51</f>
        <v>0</v>
      </c>
      <c r="J51" s="8">
        <f>IF($D51="ACC",$C51,0)</f>
        <v>0</v>
      </c>
      <c r="K51" s="8">
        <f>K50+L51</f>
        <v>0</v>
      </c>
      <c r="L51" s="8">
        <f>IF($D51="CBB",$C51,0)</f>
        <v>0</v>
      </c>
    </row>
    <row r="52" spans="1:12" x14ac:dyDescent="0.25">
      <c r="A52" s="6">
        <v>41307</v>
      </c>
      <c r="B52" t="s">
        <v>59</v>
      </c>
      <c r="C52" s="7">
        <v>-900</v>
      </c>
      <c r="D52" t="s">
        <v>6</v>
      </c>
      <c r="E52" s="8">
        <f>E51+F52</f>
        <v>12988</v>
      </c>
      <c r="F52" s="8">
        <f>IF($D52="CR01",$C52,0)</f>
        <v>-900</v>
      </c>
      <c r="G52" s="8">
        <f>G51+H52</f>
        <v>0</v>
      </c>
      <c r="H52" s="8">
        <f>IF($D52="VISA",$C52,0)</f>
        <v>0</v>
      </c>
      <c r="I52" s="8">
        <f>I51+J52</f>
        <v>0</v>
      </c>
      <c r="J52" s="8">
        <f>IF($D52="ACC",$C52,0)</f>
        <v>0</v>
      </c>
      <c r="K52" s="8">
        <f>K51+L52</f>
        <v>0</v>
      </c>
      <c r="L52" s="8">
        <f>IF($D52="CBB",$C52,0)</f>
        <v>0</v>
      </c>
    </row>
    <row r="53" spans="1:12" x14ac:dyDescent="0.25">
      <c r="A53" s="6">
        <v>41310</v>
      </c>
      <c r="B53" t="s">
        <v>48</v>
      </c>
      <c r="C53" s="7">
        <v>-100</v>
      </c>
      <c r="D53" t="s">
        <v>6</v>
      </c>
      <c r="E53" s="8">
        <f>E52+F53</f>
        <v>12888</v>
      </c>
      <c r="F53" s="8">
        <f>IF($D53="CR01",$C53,0)</f>
        <v>-100</v>
      </c>
      <c r="G53" s="8">
        <f>G52+H53</f>
        <v>0</v>
      </c>
      <c r="H53" s="8">
        <f>IF($D53="VISA",$C53,0)</f>
        <v>0</v>
      </c>
      <c r="I53" s="8">
        <f>I52+J53</f>
        <v>0</v>
      </c>
      <c r="J53" s="8">
        <f>IF($D53="ACC",$C53,0)</f>
        <v>0</v>
      </c>
      <c r="K53" s="8">
        <f>K52+L53</f>
        <v>0</v>
      </c>
      <c r="L53" s="8">
        <f>IF($D53="CBB",$C53,0)</f>
        <v>0</v>
      </c>
    </row>
    <row r="54" spans="1:12" x14ac:dyDescent="0.25">
      <c r="A54" s="6">
        <v>41311</v>
      </c>
      <c r="B54" t="s">
        <v>47</v>
      </c>
      <c r="C54" s="7">
        <v>-120</v>
      </c>
      <c r="D54" t="s">
        <v>6</v>
      </c>
      <c r="E54" s="8">
        <f>E53+F54</f>
        <v>12768</v>
      </c>
      <c r="F54" s="8">
        <f>IF($D54="CR01",$C54,0)</f>
        <v>-120</v>
      </c>
      <c r="G54" s="8">
        <f>G53+H54</f>
        <v>0</v>
      </c>
      <c r="H54" s="8">
        <f>IF($D54="VISA",$C54,0)</f>
        <v>0</v>
      </c>
      <c r="I54" s="8">
        <f>I53+J54</f>
        <v>0</v>
      </c>
      <c r="J54" s="8">
        <f>IF($D54="ACC",$C54,0)</f>
        <v>0</v>
      </c>
      <c r="K54" s="8">
        <f>K53+L54</f>
        <v>0</v>
      </c>
      <c r="L54" s="8">
        <f>IF($D54="CBB",$C54,0)</f>
        <v>0</v>
      </c>
    </row>
    <row r="55" spans="1:12" x14ac:dyDescent="0.25">
      <c r="A55" s="6">
        <v>41312</v>
      </c>
      <c r="B55" t="s">
        <v>44</v>
      </c>
      <c r="C55" s="7">
        <v>-400</v>
      </c>
      <c r="D55" t="s">
        <v>6</v>
      </c>
      <c r="E55" s="8">
        <f>E54+F55</f>
        <v>12368</v>
      </c>
      <c r="F55" s="8">
        <f>IF($D55="CR01",$C55,0)</f>
        <v>-400</v>
      </c>
      <c r="G55" s="8">
        <f>G54+H55</f>
        <v>0</v>
      </c>
      <c r="H55" s="8">
        <f>IF($D55="VISA",$C55,0)</f>
        <v>0</v>
      </c>
      <c r="I55" s="8">
        <f>I54+J55</f>
        <v>0</v>
      </c>
      <c r="J55" s="8">
        <f>IF($D55="ACC",$C55,0)</f>
        <v>0</v>
      </c>
      <c r="K55" s="8">
        <f>K54+L55</f>
        <v>0</v>
      </c>
      <c r="L55" s="8">
        <f>IF($D55="CBB",$C55,0)</f>
        <v>0</v>
      </c>
    </row>
    <row r="56" spans="1:12" x14ac:dyDescent="0.25">
      <c r="A56" s="6">
        <v>41312</v>
      </c>
      <c r="B56" t="s">
        <v>45</v>
      </c>
      <c r="C56" s="7">
        <v>-180</v>
      </c>
      <c r="D56" t="s">
        <v>6</v>
      </c>
      <c r="E56" s="8">
        <f>E55+F56</f>
        <v>12188</v>
      </c>
      <c r="F56" s="8">
        <f>IF($D56="CR01",$C56,0)</f>
        <v>-180</v>
      </c>
      <c r="G56" s="8">
        <f>G55+H56</f>
        <v>0</v>
      </c>
      <c r="H56" s="8">
        <f>IF($D56="VISA",$C56,0)</f>
        <v>0</v>
      </c>
      <c r="I56" s="8">
        <f>I55+J56</f>
        <v>0</v>
      </c>
      <c r="J56" s="8">
        <f>IF($D56="ACC",$C56,0)</f>
        <v>0</v>
      </c>
      <c r="K56" s="8">
        <f>K55+L56</f>
        <v>0</v>
      </c>
      <c r="L56" s="8">
        <f>IF($D56="CBB",$C56,0)</f>
        <v>0</v>
      </c>
    </row>
    <row r="57" spans="1:12" x14ac:dyDescent="0.25">
      <c r="A57" s="6">
        <v>41312</v>
      </c>
      <c r="B57" t="s">
        <v>46</v>
      </c>
      <c r="C57" s="7">
        <v>-300</v>
      </c>
      <c r="D57" t="s">
        <v>6</v>
      </c>
      <c r="E57" s="8">
        <f>E56+F57</f>
        <v>11888</v>
      </c>
      <c r="F57" s="8">
        <f>IF($D57="CR01",$C57,0)</f>
        <v>-300</v>
      </c>
      <c r="G57" s="8">
        <f>G56+H57</f>
        <v>0</v>
      </c>
      <c r="H57" s="8">
        <f>IF($D57="VISA",$C57,0)</f>
        <v>0</v>
      </c>
      <c r="I57" s="8">
        <f>I56+J57</f>
        <v>0</v>
      </c>
      <c r="J57" s="8">
        <f>IF($D57="ACC",$C57,0)</f>
        <v>0</v>
      </c>
      <c r="K57" s="8">
        <f>K56+L57</f>
        <v>0</v>
      </c>
      <c r="L57" s="8">
        <f>IF($D57="CBB",$C57,0)</f>
        <v>0</v>
      </c>
    </row>
    <row r="58" spans="1:12" x14ac:dyDescent="0.25">
      <c r="A58" s="6">
        <v>41314</v>
      </c>
      <c r="B58" t="s">
        <v>67</v>
      </c>
      <c r="C58" s="7">
        <v>6800</v>
      </c>
      <c r="D58" t="s">
        <v>6</v>
      </c>
      <c r="E58" s="8">
        <f>E57+F58</f>
        <v>18688</v>
      </c>
      <c r="F58" s="8">
        <f>IF($D58="CR01",$C58,0)</f>
        <v>6800</v>
      </c>
      <c r="G58" s="8">
        <f>G57+H58</f>
        <v>0</v>
      </c>
      <c r="H58" s="8">
        <f>IF($D58="VISA",$C58,0)</f>
        <v>0</v>
      </c>
      <c r="I58" s="8">
        <f>I57+J58</f>
        <v>0</v>
      </c>
      <c r="J58" s="8">
        <f>IF($D58="ACC",$C58,0)</f>
        <v>0</v>
      </c>
      <c r="K58" s="8">
        <f>K57+L58</f>
        <v>0</v>
      </c>
      <c r="L58" s="8">
        <f>IF($D58="CBB",$C58,0)</f>
        <v>0</v>
      </c>
    </row>
    <row r="59" spans="1:12" x14ac:dyDescent="0.25">
      <c r="A59" s="6">
        <v>41317</v>
      </c>
      <c r="B59" t="s">
        <v>42</v>
      </c>
      <c r="C59" s="7">
        <v>-2806</v>
      </c>
      <c r="D59" t="s">
        <v>6</v>
      </c>
      <c r="E59" s="8">
        <f>E58+F59</f>
        <v>15882</v>
      </c>
      <c r="F59" s="8">
        <f>IF($D59="CR01",$C59,0)</f>
        <v>-2806</v>
      </c>
      <c r="G59" s="8">
        <f>G58+H59</f>
        <v>0</v>
      </c>
      <c r="H59" s="8">
        <f>IF($D59="VISA",$C59,0)</f>
        <v>0</v>
      </c>
      <c r="I59" s="8">
        <f>I58+J59</f>
        <v>0</v>
      </c>
      <c r="J59" s="8">
        <f>IF($D59="ACC",$C59,0)</f>
        <v>0</v>
      </c>
      <c r="K59" s="8">
        <f>K58+L59</f>
        <v>0</v>
      </c>
      <c r="L59" s="8">
        <f>IF($D59="CBB",$C59,0)</f>
        <v>0</v>
      </c>
    </row>
    <row r="60" spans="1:12" x14ac:dyDescent="0.25">
      <c r="A60" s="6">
        <v>41317</v>
      </c>
      <c r="B60" t="s">
        <v>48</v>
      </c>
      <c r="C60" s="7">
        <v>-100</v>
      </c>
      <c r="D60" t="s">
        <v>6</v>
      </c>
      <c r="E60" s="8">
        <f>E59+F60</f>
        <v>15782</v>
      </c>
      <c r="F60" s="8">
        <f>IF($D60="CR01",$C60,0)</f>
        <v>-100</v>
      </c>
      <c r="G60" s="8">
        <f>G59+H60</f>
        <v>0</v>
      </c>
      <c r="H60" s="8">
        <f>IF($D60="VISA",$C60,0)</f>
        <v>0</v>
      </c>
      <c r="I60" s="8">
        <f>I59+J60</f>
        <v>0</v>
      </c>
      <c r="J60" s="8">
        <f>IF($D60="ACC",$C60,0)</f>
        <v>0</v>
      </c>
      <c r="K60" s="8">
        <f>K59+L60</f>
        <v>0</v>
      </c>
      <c r="L60" s="8">
        <f>IF($D60="CBB",$C60,0)</f>
        <v>0</v>
      </c>
    </row>
    <row r="61" spans="1:12" x14ac:dyDescent="0.25">
      <c r="A61" s="6">
        <v>41318</v>
      </c>
      <c r="B61" t="s">
        <v>47</v>
      </c>
      <c r="C61" s="7">
        <v>-120</v>
      </c>
      <c r="D61" t="s">
        <v>6</v>
      </c>
      <c r="E61" s="8">
        <f>E60+F61</f>
        <v>15662</v>
      </c>
      <c r="F61" s="8">
        <f>IF($D61="CR01",$C61,0)</f>
        <v>-120</v>
      </c>
      <c r="G61" s="8">
        <f>G60+H61</f>
        <v>0</v>
      </c>
      <c r="H61" s="8">
        <f>IF($D61="VISA",$C61,0)</f>
        <v>0</v>
      </c>
      <c r="I61" s="8">
        <f>I60+J61</f>
        <v>0</v>
      </c>
      <c r="J61" s="8">
        <f>IF($D61="ACC",$C61,0)</f>
        <v>0</v>
      </c>
      <c r="K61" s="8">
        <f>K60+L61</f>
        <v>0</v>
      </c>
      <c r="L61" s="8">
        <f>IF($D61="CBB",$C61,0)</f>
        <v>0</v>
      </c>
    </row>
    <row r="62" spans="1:12" x14ac:dyDescent="0.25">
      <c r="A62" s="6">
        <v>41319</v>
      </c>
      <c r="B62" t="s">
        <v>44</v>
      </c>
      <c r="C62" s="7">
        <v>-400</v>
      </c>
      <c r="D62" t="s">
        <v>6</v>
      </c>
      <c r="E62" s="8">
        <f>E61+F62</f>
        <v>15262</v>
      </c>
      <c r="F62" s="8">
        <f>IF($D62="CR01",$C62,0)</f>
        <v>-400</v>
      </c>
      <c r="G62" s="8">
        <f>G61+H62</f>
        <v>0</v>
      </c>
      <c r="H62" s="8">
        <f>IF($D62="VISA",$C62,0)</f>
        <v>0</v>
      </c>
      <c r="I62" s="8">
        <f>I61+J62</f>
        <v>0</v>
      </c>
      <c r="J62" s="8">
        <f>IF($D62="ACC",$C62,0)</f>
        <v>0</v>
      </c>
      <c r="K62" s="8">
        <f>K61+L62</f>
        <v>0</v>
      </c>
      <c r="L62" s="8">
        <f>IF($D62="CBB",$C62,0)</f>
        <v>0</v>
      </c>
    </row>
    <row r="63" spans="1:12" x14ac:dyDescent="0.25">
      <c r="A63" s="6">
        <v>41319</v>
      </c>
      <c r="B63" t="s">
        <v>45</v>
      </c>
      <c r="C63" s="7">
        <v>-180</v>
      </c>
      <c r="D63" t="s">
        <v>6</v>
      </c>
      <c r="E63" s="8">
        <f>E62+F63</f>
        <v>15082</v>
      </c>
      <c r="F63" s="8">
        <f>IF($D63="CR01",$C63,0)</f>
        <v>-180</v>
      </c>
      <c r="G63" s="8">
        <f>G62+H63</f>
        <v>0</v>
      </c>
      <c r="H63" s="8">
        <f>IF($D63="VISA",$C63,0)</f>
        <v>0</v>
      </c>
      <c r="I63" s="8">
        <f>I62+J63</f>
        <v>0</v>
      </c>
      <c r="J63" s="8">
        <f>IF($D63="ACC",$C63,0)</f>
        <v>0</v>
      </c>
      <c r="K63" s="8">
        <f>K62+L63</f>
        <v>0</v>
      </c>
      <c r="L63" s="8">
        <f>IF($D63="CBB",$C63,0)</f>
        <v>0</v>
      </c>
    </row>
    <row r="64" spans="1:12" x14ac:dyDescent="0.25">
      <c r="A64" s="6">
        <v>41319</v>
      </c>
      <c r="B64" t="s">
        <v>46</v>
      </c>
      <c r="C64" s="7">
        <v>-300</v>
      </c>
      <c r="D64" t="s">
        <v>6</v>
      </c>
      <c r="E64" s="8">
        <f>E63+F64</f>
        <v>14782</v>
      </c>
      <c r="F64" s="8">
        <f>IF($D64="CR01",$C64,0)</f>
        <v>-300</v>
      </c>
      <c r="G64" s="8">
        <f>G63+H64</f>
        <v>0</v>
      </c>
      <c r="H64" s="8">
        <f>IF($D64="VISA",$C64,0)</f>
        <v>0</v>
      </c>
      <c r="I64" s="8">
        <f>I63+J64</f>
        <v>0</v>
      </c>
      <c r="J64" s="8">
        <f>IF($D64="ACC",$C64,0)</f>
        <v>0</v>
      </c>
      <c r="K64" s="8">
        <f>K63+L64</f>
        <v>0</v>
      </c>
      <c r="L64" s="8">
        <f>IF($D64="CBB",$C64,0)</f>
        <v>0</v>
      </c>
    </row>
    <row r="65" spans="1:12" x14ac:dyDescent="0.25">
      <c r="A65" s="6">
        <v>41320</v>
      </c>
      <c r="B65" t="s">
        <v>43</v>
      </c>
      <c r="C65" s="7">
        <v>3226</v>
      </c>
      <c r="D65" t="s">
        <v>6</v>
      </c>
      <c r="E65" s="8">
        <f>E64+F65</f>
        <v>18008</v>
      </c>
      <c r="F65" s="8">
        <f>IF($D65="CR01",$C65,0)</f>
        <v>3226</v>
      </c>
      <c r="G65" s="8">
        <f>G64+H65</f>
        <v>0</v>
      </c>
      <c r="H65" s="8">
        <f>IF($D65="VISA",$C65,0)</f>
        <v>0</v>
      </c>
      <c r="I65" s="8">
        <f>I64+J65</f>
        <v>0</v>
      </c>
      <c r="J65" s="8">
        <f>IF($D65="ACC",$C65,0)</f>
        <v>0</v>
      </c>
      <c r="K65" s="8">
        <f>K64+L65</f>
        <v>0</v>
      </c>
      <c r="L65" s="8">
        <f>IF($D65="CBB",$C65,0)</f>
        <v>0</v>
      </c>
    </row>
    <row r="66" spans="1:12" x14ac:dyDescent="0.25">
      <c r="A66" s="6">
        <v>41324</v>
      </c>
      <c r="B66" t="s">
        <v>48</v>
      </c>
      <c r="C66" s="7">
        <v>-100</v>
      </c>
      <c r="D66" t="s">
        <v>6</v>
      </c>
      <c r="E66" s="8">
        <f>E65+F66</f>
        <v>17908</v>
      </c>
      <c r="F66" s="8">
        <f>IF($D66="CR01",$C66,0)</f>
        <v>-100</v>
      </c>
      <c r="G66" s="8">
        <f>G65+H66</f>
        <v>0</v>
      </c>
      <c r="H66" s="8">
        <f>IF($D66="VISA",$C66,0)</f>
        <v>0</v>
      </c>
      <c r="I66" s="8">
        <f>I65+J66</f>
        <v>0</v>
      </c>
      <c r="J66" s="8">
        <f>IF($D66="ACC",$C66,0)</f>
        <v>0</v>
      </c>
      <c r="K66" s="8">
        <f>K65+L66</f>
        <v>0</v>
      </c>
      <c r="L66" s="8">
        <f>IF($D66="CBB",$C66,0)</f>
        <v>0</v>
      </c>
    </row>
    <row r="67" spans="1:12" x14ac:dyDescent="0.25">
      <c r="A67" s="6">
        <v>41325</v>
      </c>
      <c r="B67" t="s">
        <v>47</v>
      </c>
      <c r="C67" s="7">
        <v>-120</v>
      </c>
      <c r="D67" t="s">
        <v>6</v>
      </c>
      <c r="E67" s="8">
        <f>E66+F67</f>
        <v>17788</v>
      </c>
      <c r="F67" s="8">
        <f>IF($D67="CR01",$C67,0)</f>
        <v>-120</v>
      </c>
      <c r="G67" s="8">
        <f>G66+H67</f>
        <v>0</v>
      </c>
      <c r="H67" s="8">
        <f>IF($D67="VISA",$C67,0)</f>
        <v>0</v>
      </c>
      <c r="I67" s="8">
        <f>I66+J67</f>
        <v>0</v>
      </c>
      <c r="J67" s="8">
        <f>IF($D67="ACC",$C67,0)</f>
        <v>0</v>
      </c>
      <c r="K67" s="8">
        <f>K66+L67</f>
        <v>0</v>
      </c>
      <c r="L67" s="8">
        <f>IF($D67="CBB",$C67,0)</f>
        <v>0</v>
      </c>
    </row>
    <row r="68" spans="1:12" x14ac:dyDescent="0.25">
      <c r="A68" s="6">
        <v>41326</v>
      </c>
      <c r="B68" t="s">
        <v>44</v>
      </c>
      <c r="C68" s="7">
        <v>-400</v>
      </c>
      <c r="D68" t="s">
        <v>6</v>
      </c>
      <c r="E68" s="8">
        <f>E67+F68</f>
        <v>17388</v>
      </c>
      <c r="F68" s="8">
        <f>IF($D68="CR01",$C68,0)</f>
        <v>-400</v>
      </c>
      <c r="G68" s="8">
        <f>G67+H68</f>
        <v>0</v>
      </c>
      <c r="H68" s="8">
        <f>IF($D68="VISA",$C68,0)</f>
        <v>0</v>
      </c>
      <c r="I68" s="8">
        <f>I67+J68</f>
        <v>0</v>
      </c>
      <c r="J68" s="8">
        <f>IF($D68="ACC",$C68,0)</f>
        <v>0</v>
      </c>
      <c r="K68" s="8">
        <f>K67+L68</f>
        <v>0</v>
      </c>
      <c r="L68" s="8">
        <f>IF($D68="CBB",$C68,0)</f>
        <v>0</v>
      </c>
    </row>
    <row r="69" spans="1:12" x14ac:dyDescent="0.25">
      <c r="A69" s="6">
        <v>41326</v>
      </c>
      <c r="B69" t="s">
        <v>45</v>
      </c>
      <c r="C69" s="7">
        <v>-180</v>
      </c>
      <c r="D69" t="s">
        <v>6</v>
      </c>
      <c r="E69" s="8">
        <f>E68+F69</f>
        <v>17208</v>
      </c>
      <c r="F69" s="8">
        <f>IF($D69="CR01",$C69,0)</f>
        <v>-180</v>
      </c>
      <c r="G69" s="8">
        <f>G68+H69</f>
        <v>0</v>
      </c>
      <c r="H69" s="8">
        <f>IF($D69="VISA",$C69,0)</f>
        <v>0</v>
      </c>
      <c r="I69" s="8">
        <f>I68+J69</f>
        <v>0</v>
      </c>
      <c r="J69" s="8">
        <f>IF($D69="ACC",$C69,0)</f>
        <v>0</v>
      </c>
      <c r="K69" s="8">
        <f>K68+L69</f>
        <v>0</v>
      </c>
      <c r="L69" s="8">
        <f>IF($D69="CBB",$C69,0)</f>
        <v>0</v>
      </c>
    </row>
    <row r="70" spans="1:12" x14ac:dyDescent="0.25">
      <c r="A70" s="6">
        <v>41326</v>
      </c>
      <c r="B70" t="s">
        <v>46</v>
      </c>
      <c r="C70" s="7">
        <v>-300</v>
      </c>
      <c r="D70" t="s">
        <v>6</v>
      </c>
      <c r="E70" s="8">
        <f>E69+F70</f>
        <v>16908</v>
      </c>
      <c r="F70" s="8">
        <f>IF($D70="CR01",$C70,0)</f>
        <v>-300</v>
      </c>
      <c r="G70" s="8">
        <f>G69+H70</f>
        <v>0</v>
      </c>
      <c r="H70" s="8">
        <f>IF($D70="VISA",$C70,0)</f>
        <v>0</v>
      </c>
      <c r="I70" s="8">
        <f>I69+J70</f>
        <v>0</v>
      </c>
      <c r="J70" s="8">
        <f>IF($D70="ACC",$C70,0)</f>
        <v>0</v>
      </c>
      <c r="K70" s="8">
        <f>K69+L70</f>
        <v>0</v>
      </c>
      <c r="L70" s="8">
        <f>IF($D70="CBB",$C70,0)</f>
        <v>0</v>
      </c>
    </row>
    <row r="71" spans="1:12" x14ac:dyDescent="0.25">
      <c r="A71" s="6">
        <v>41328</v>
      </c>
      <c r="B71" t="s">
        <v>67</v>
      </c>
      <c r="C71" s="7">
        <v>6800</v>
      </c>
      <c r="D71" t="s">
        <v>6</v>
      </c>
      <c r="E71" s="8">
        <f>E70+F71</f>
        <v>23708</v>
      </c>
      <c r="F71" s="8">
        <f>IF($D71="CR01",$C71,0)</f>
        <v>6800</v>
      </c>
      <c r="G71" s="8">
        <f>G70+H71</f>
        <v>0</v>
      </c>
      <c r="H71" s="8">
        <f>IF($D71="VISA",$C71,0)</f>
        <v>0</v>
      </c>
      <c r="I71" s="8">
        <f>I70+J71</f>
        <v>0</v>
      </c>
      <c r="J71" s="8">
        <f>IF($D71="ACC",$C71,0)</f>
        <v>0</v>
      </c>
      <c r="K71" s="8">
        <f>K70+L71</f>
        <v>0</v>
      </c>
      <c r="L71" s="8">
        <f>IF($D71="CBB",$C71,0)</f>
        <v>0</v>
      </c>
    </row>
    <row r="72" spans="1:12" x14ac:dyDescent="0.25">
      <c r="A72" s="6">
        <v>41331</v>
      </c>
      <c r="B72" t="s">
        <v>42</v>
      </c>
      <c r="C72" s="7">
        <v>-2806</v>
      </c>
      <c r="D72" t="s">
        <v>6</v>
      </c>
      <c r="E72" s="8">
        <f>E71+F72</f>
        <v>20902</v>
      </c>
      <c r="F72" s="8">
        <f>IF($D72="CR01",$C72,0)</f>
        <v>-2806</v>
      </c>
      <c r="G72" s="8">
        <f>G71+H72</f>
        <v>0</v>
      </c>
      <c r="H72" s="8">
        <f>IF($D72="VISA",$C72,0)</f>
        <v>0</v>
      </c>
      <c r="I72" s="8">
        <f>I71+J72</f>
        <v>0</v>
      </c>
      <c r="J72" s="8">
        <f>IF($D72="ACC",$C72,0)</f>
        <v>0</v>
      </c>
      <c r="K72" s="8">
        <f>K71+L72</f>
        <v>0</v>
      </c>
      <c r="L72" s="8">
        <f>IF($D72="CBB",$C72,0)</f>
        <v>0</v>
      </c>
    </row>
    <row r="73" spans="1:12" x14ac:dyDescent="0.25">
      <c r="A73" s="6">
        <v>41331</v>
      </c>
      <c r="B73" t="s">
        <v>48</v>
      </c>
      <c r="C73" s="7">
        <v>-100</v>
      </c>
      <c r="D73" t="s">
        <v>6</v>
      </c>
      <c r="E73" s="8">
        <f>E72+F73</f>
        <v>20802</v>
      </c>
      <c r="F73" s="8">
        <f>IF($D73="CR01",$C73,0)</f>
        <v>-100</v>
      </c>
      <c r="G73" s="8">
        <f>G72+H73</f>
        <v>0</v>
      </c>
      <c r="H73" s="8">
        <f>IF($D73="VISA",$C73,0)</f>
        <v>0</v>
      </c>
      <c r="I73" s="8">
        <f>I72+J73</f>
        <v>0</v>
      </c>
      <c r="J73" s="8">
        <f>IF($D73="ACC",$C73,0)</f>
        <v>0</v>
      </c>
      <c r="K73" s="8">
        <f>K72+L73</f>
        <v>0</v>
      </c>
      <c r="L73" s="8">
        <f>IF($D73="CBB",$C73,0)</f>
        <v>0</v>
      </c>
    </row>
    <row r="74" spans="1:12" x14ac:dyDescent="0.25">
      <c r="A74" s="6">
        <v>41332</v>
      </c>
      <c r="B74" t="s">
        <v>47</v>
      </c>
      <c r="C74" s="7">
        <v>-120</v>
      </c>
      <c r="D74" t="s">
        <v>6</v>
      </c>
      <c r="E74" s="8">
        <f>E73+F74</f>
        <v>20682</v>
      </c>
      <c r="F74" s="8">
        <f>IF($D74="CR01",$C74,0)</f>
        <v>-120</v>
      </c>
      <c r="G74" s="8">
        <f>G73+H74</f>
        <v>0</v>
      </c>
      <c r="H74" s="8">
        <f>IF($D74="VISA",$C74,0)</f>
        <v>0</v>
      </c>
      <c r="I74" s="8">
        <f>I73+J74</f>
        <v>0</v>
      </c>
      <c r="J74" s="8">
        <f>IF($D74="ACC",$C74,0)</f>
        <v>0</v>
      </c>
      <c r="K74" s="8">
        <f>K73+L74</f>
        <v>0</v>
      </c>
      <c r="L74" s="8">
        <f>IF($D74="CBB",$C74,0)</f>
        <v>0</v>
      </c>
    </row>
    <row r="75" spans="1:12" x14ac:dyDescent="0.25">
      <c r="A75" s="6">
        <v>41333</v>
      </c>
      <c r="B75" t="s">
        <v>44</v>
      </c>
      <c r="C75" s="7">
        <v>-400</v>
      </c>
      <c r="D75" t="s">
        <v>6</v>
      </c>
      <c r="E75" s="8">
        <f>E74+F75</f>
        <v>20282</v>
      </c>
      <c r="F75" s="8">
        <f>IF($D75="CR01",$C75,0)</f>
        <v>-400</v>
      </c>
      <c r="G75" s="8">
        <f>G74+H75</f>
        <v>0</v>
      </c>
      <c r="H75" s="8">
        <f>IF($D75="VISA",$C75,0)</f>
        <v>0</v>
      </c>
      <c r="I75" s="8">
        <f>I74+J75</f>
        <v>0</v>
      </c>
      <c r="J75" s="8">
        <f>IF($D75="ACC",$C75,0)</f>
        <v>0</v>
      </c>
      <c r="K75" s="8">
        <f>K74+L75</f>
        <v>0</v>
      </c>
      <c r="L75" s="8">
        <f>IF($D75="CBB",$C75,0)</f>
        <v>0</v>
      </c>
    </row>
    <row r="76" spans="1:12" x14ac:dyDescent="0.25">
      <c r="A76" s="6">
        <v>41333</v>
      </c>
      <c r="B76" t="s">
        <v>45</v>
      </c>
      <c r="C76" s="7">
        <v>-180</v>
      </c>
      <c r="D76" t="s">
        <v>6</v>
      </c>
      <c r="E76" s="8">
        <f>E75+F76</f>
        <v>20102</v>
      </c>
      <c r="F76" s="8">
        <f>IF($D76="CR01",$C76,0)</f>
        <v>-180</v>
      </c>
      <c r="G76" s="8">
        <f>G75+H76</f>
        <v>0</v>
      </c>
      <c r="H76" s="8">
        <f>IF($D76="VISA",$C76,0)</f>
        <v>0</v>
      </c>
      <c r="I76" s="8">
        <f>I75+J76</f>
        <v>0</v>
      </c>
      <c r="J76" s="8">
        <f>IF($D76="ACC",$C76,0)</f>
        <v>0</v>
      </c>
      <c r="K76" s="8">
        <f>K75+L76</f>
        <v>0</v>
      </c>
      <c r="L76" s="8">
        <f>IF($D76="CBB",$C76,0)</f>
        <v>0</v>
      </c>
    </row>
    <row r="77" spans="1:12" x14ac:dyDescent="0.25">
      <c r="A77" s="6">
        <v>41333</v>
      </c>
      <c r="B77" t="s">
        <v>46</v>
      </c>
      <c r="C77" s="7">
        <v>-300</v>
      </c>
      <c r="D77" t="s">
        <v>6</v>
      </c>
      <c r="E77" s="8">
        <f>E76+F77</f>
        <v>19802</v>
      </c>
      <c r="F77" s="8">
        <f>IF($D77="CR01",$C77,0)</f>
        <v>-300</v>
      </c>
      <c r="G77" s="8">
        <f>G76+H77</f>
        <v>0</v>
      </c>
      <c r="H77" s="8">
        <f>IF($D77="VISA",$C77,0)</f>
        <v>0</v>
      </c>
      <c r="I77" s="8">
        <f>I76+J77</f>
        <v>0</v>
      </c>
      <c r="J77" s="8">
        <f>IF($D77="ACC",$C77,0)</f>
        <v>0</v>
      </c>
      <c r="K77" s="8">
        <f>K76+L77</f>
        <v>0</v>
      </c>
      <c r="L77" s="8">
        <f>IF($D77="CBB",$C77,0)</f>
        <v>0</v>
      </c>
    </row>
    <row r="78" spans="1:12" x14ac:dyDescent="0.25">
      <c r="A78" s="6">
        <v>41334</v>
      </c>
      <c r="B78" t="s">
        <v>43</v>
      </c>
      <c r="C78" s="7">
        <v>3226</v>
      </c>
      <c r="D78" t="s">
        <v>6</v>
      </c>
      <c r="E78" s="8">
        <f>E77+F78</f>
        <v>23028</v>
      </c>
      <c r="F78" s="8">
        <f>IF($D78="CR01",$C78,0)</f>
        <v>3226</v>
      </c>
      <c r="G78" s="8">
        <f>G77+H78</f>
        <v>0</v>
      </c>
      <c r="H78" s="8">
        <f>IF($D78="VISA",$C78,0)</f>
        <v>0</v>
      </c>
      <c r="I78" s="8">
        <f>I77+J78</f>
        <v>0</v>
      </c>
      <c r="J78" s="8">
        <f>IF($D78="ACC",$C78,0)</f>
        <v>0</v>
      </c>
      <c r="K78" s="8">
        <f>K77+L78</f>
        <v>0</v>
      </c>
      <c r="L78" s="8">
        <f>IF($D78="CBB",$C78,0)</f>
        <v>0</v>
      </c>
    </row>
    <row r="79" spans="1:12" x14ac:dyDescent="0.25">
      <c r="A79" s="6">
        <v>41334</v>
      </c>
      <c r="B79" t="s">
        <v>58</v>
      </c>
      <c r="C79" s="7">
        <v>-200</v>
      </c>
      <c r="D79" t="s">
        <v>6</v>
      </c>
      <c r="E79" s="8">
        <f>E78+F79</f>
        <v>22828</v>
      </c>
      <c r="F79" s="8">
        <f>IF($D79="CR01",$C79,0)</f>
        <v>-200</v>
      </c>
      <c r="G79" s="8">
        <f>G78+H79</f>
        <v>0</v>
      </c>
      <c r="H79" s="8">
        <f>IF($D79="VISA",$C79,0)</f>
        <v>0</v>
      </c>
      <c r="I79" s="8">
        <f>I78+J79</f>
        <v>0</v>
      </c>
      <c r="J79" s="8">
        <f>IF($D79="ACC",$C79,0)</f>
        <v>0</v>
      </c>
      <c r="K79" s="8">
        <f>K78+L79</f>
        <v>0</v>
      </c>
      <c r="L79" s="8">
        <f>IF($D79="CBB",$C79,0)</f>
        <v>0</v>
      </c>
    </row>
    <row r="80" spans="1:12" x14ac:dyDescent="0.25">
      <c r="A80" s="6">
        <v>41334</v>
      </c>
      <c r="B80" t="s">
        <v>60</v>
      </c>
      <c r="C80" s="7">
        <v>-400</v>
      </c>
      <c r="D80" t="s">
        <v>6</v>
      </c>
      <c r="E80" s="8">
        <f>E79+F80</f>
        <v>22428</v>
      </c>
      <c r="F80" s="8">
        <f>IF($D80="CR01",$C80,0)</f>
        <v>-400</v>
      </c>
      <c r="G80" s="8">
        <f>G79+H80</f>
        <v>0</v>
      </c>
      <c r="H80" s="8">
        <f>IF($D80="VISA",$C80,0)</f>
        <v>0</v>
      </c>
      <c r="I80" s="8">
        <f>I79+J80</f>
        <v>0</v>
      </c>
      <c r="J80" s="8">
        <f>IF($D80="ACC",$C80,0)</f>
        <v>0</v>
      </c>
      <c r="K80" s="8">
        <f>K79+L80</f>
        <v>0</v>
      </c>
      <c r="L80" s="8">
        <f>IF($D80="CBB",$C80,0)</f>
        <v>0</v>
      </c>
    </row>
    <row r="81" spans="1:12" x14ac:dyDescent="0.25">
      <c r="A81" s="6">
        <v>41334</v>
      </c>
      <c r="B81" t="s">
        <v>64</v>
      </c>
      <c r="C81" s="7">
        <v>-26</v>
      </c>
      <c r="D81" t="s">
        <v>6</v>
      </c>
      <c r="E81" s="8">
        <f>E80+F81</f>
        <v>22402</v>
      </c>
      <c r="F81" s="8">
        <f>IF($D81="CR01",$C81,0)</f>
        <v>-26</v>
      </c>
      <c r="G81" s="8">
        <f>G80+H81</f>
        <v>0</v>
      </c>
      <c r="H81" s="8">
        <f>IF($D81="VISA",$C81,0)</f>
        <v>0</v>
      </c>
      <c r="I81" s="8">
        <f>I80+J81</f>
        <v>0</v>
      </c>
      <c r="J81" s="8">
        <f>IF($D81="ACC",$C81,0)</f>
        <v>0</v>
      </c>
      <c r="K81" s="8">
        <f>K80+L81</f>
        <v>0</v>
      </c>
      <c r="L81" s="8">
        <f>IF($D81="CBB",$C81,0)</f>
        <v>0</v>
      </c>
    </row>
    <row r="82" spans="1:12" x14ac:dyDescent="0.25">
      <c r="A82" s="6">
        <v>41334</v>
      </c>
      <c r="B82" t="s">
        <v>65</v>
      </c>
      <c r="C82" s="7">
        <v>-240</v>
      </c>
      <c r="D82" t="s">
        <v>6</v>
      </c>
      <c r="E82" s="8">
        <f>E81+F82</f>
        <v>22162</v>
      </c>
      <c r="F82" s="8">
        <f>IF($D82="CR01",$C82,0)</f>
        <v>-240</v>
      </c>
      <c r="G82" s="8">
        <f>G81+H82</f>
        <v>0</v>
      </c>
      <c r="H82" s="8">
        <f>IF($D82="VISA",$C82,0)</f>
        <v>0</v>
      </c>
      <c r="I82" s="8">
        <f>I81+J82</f>
        <v>0</v>
      </c>
      <c r="J82" s="8">
        <f>IF($D82="ACC",$C82,0)</f>
        <v>0</v>
      </c>
      <c r="K82" s="8">
        <f>K81+L82</f>
        <v>0</v>
      </c>
      <c r="L82" s="8">
        <f>IF($D82="CBB",$C82,0)</f>
        <v>0</v>
      </c>
    </row>
    <row r="83" spans="1:12" x14ac:dyDescent="0.25">
      <c r="A83" s="6">
        <v>41334</v>
      </c>
      <c r="B83" t="s">
        <v>66</v>
      </c>
      <c r="C83" s="7">
        <v>-120</v>
      </c>
      <c r="D83" t="s">
        <v>6</v>
      </c>
      <c r="E83" s="8">
        <f>E82+F83</f>
        <v>22042</v>
      </c>
      <c r="F83" s="8">
        <f>IF($D83="CR01",$C83,0)</f>
        <v>-120</v>
      </c>
      <c r="G83" s="8">
        <f>G82+H83</f>
        <v>0</v>
      </c>
      <c r="H83" s="8">
        <f>IF($D83="VISA",$C83,0)</f>
        <v>0</v>
      </c>
      <c r="I83" s="8">
        <f>I82+J83</f>
        <v>0</v>
      </c>
      <c r="J83" s="8">
        <f>IF($D83="ACC",$C83,0)</f>
        <v>0</v>
      </c>
      <c r="K83" s="8">
        <f>K82+L83</f>
        <v>0</v>
      </c>
      <c r="L83" s="8">
        <f>IF($D83="CBB",$C83,0)</f>
        <v>0</v>
      </c>
    </row>
    <row r="84" spans="1:12" x14ac:dyDescent="0.25">
      <c r="A84" s="6">
        <v>41335</v>
      </c>
      <c r="B84" t="s">
        <v>59</v>
      </c>
      <c r="C84" s="7">
        <v>-900</v>
      </c>
      <c r="D84" t="s">
        <v>6</v>
      </c>
      <c r="E84" s="8">
        <f>E83+F84</f>
        <v>21142</v>
      </c>
      <c r="F84" s="8">
        <f>IF($D84="CR01",$C84,0)</f>
        <v>-900</v>
      </c>
      <c r="G84" s="8">
        <f>G83+H84</f>
        <v>0</v>
      </c>
      <c r="H84" s="8">
        <f>IF($D84="VISA",$C84,0)</f>
        <v>0</v>
      </c>
      <c r="I84" s="8">
        <f>I83+J84</f>
        <v>0</v>
      </c>
      <c r="J84" s="8">
        <f>IF($D84="ACC",$C84,0)</f>
        <v>0</v>
      </c>
      <c r="K84" s="8">
        <f>K83+L84</f>
        <v>0</v>
      </c>
      <c r="L84" s="8">
        <f>IF($D84="CBB",$C84,0)</f>
        <v>0</v>
      </c>
    </row>
    <row r="85" spans="1:12" x14ac:dyDescent="0.25">
      <c r="A85" s="6">
        <v>41338</v>
      </c>
      <c r="B85" t="s">
        <v>48</v>
      </c>
      <c r="C85" s="7">
        <v>-100</v>
      </c>
      <c r="D85" t="s">
        <v>6</v>
      </c>
      <c r="E85" s="8">
        <f>E84+F85</f>
        <v>21042</v>
      </c>
      <c r="F85" s="8">
        <f>IF($D85="CR01",$C85,0)</f>
        <v>-100</v>
      </c>
      <c r="G85" s="8">
        <f>G84+H85</f>
        <v>0</v>
      </c>
      <c r="H85" s="8">
        <f>IF($D85="VISA",$C85,0)</f>
        <v>0</v>
      </c>
      <c r="I85" s="8">
        <f>I84+J85</f>
        <v>0</v>
      </c>
      <c r="J85" s="8">
        <f>IF($D85="ACC",$C85,0)</f>
        <v>0</v>
      </c>
      <c r="K85" s="8">
        <f>K84+L85</f>
        <v>0</v>
      </c>
      <c r="L85" s="8">
        <f>IF($D85="CBB",$C85,0)</f>
        <v>0</v>
      </c>
    </row>
    <row r="86" spans="1:12" x14ac:dyDescent="0.25">
      <c r="A86" s="6">
        <v>41339</v>
      </c>
      <c r="B86" t="s">
        <v>47</v>
      </c>
      <c r="C86" s="7">
        <v>-120</v>
      </c>
      <c r="D86" t="s">
        <v>6</v>
      </c>
      <c r="E86" s="8">
        <f>E85+F86</f>
        <v>20922</v>
      </c>
      <c r="F86" s="8">
        <f>IF($D86="CR01",$C86,0)</f>
        <v>-120</v>
      </c>
      <c r="G86" s="8">
        <f>G85+H86</f>
        <v>0</v>
      </c>
      <c r="H86" s="8">
        <f>IF($D86="VISA",$C86,0)</f>
        <v>0</v>
      </c>
      <c r="I86" s="8">
        <f>I85+J86</f>
        <v>0</v>
      </c>
      <c r="J86" s="8">
        <f>IF($D86="ACC",$C86,0)</f>
        <v>0</v>
      </c>
      <c r="K86" s="8">
        <f>K85+L86</f>
        <v>0</v>
      </c>
      <c r="L86" s="8">
        <f>IF($D86="CBB",$C86,0)</f>
        <v>0</v>
      </c>
    </row>
    <row r="87" spans="1:12" x14ac:dyDescent="0.25">
      <c r="A87" s="6">
        <v>41340</v>
      </c>
      <c r="B87" t="s">
        <v>44</v>
      </c>
      <c r="C87" s="7">
        <v>-400</v>
      </c>
      <c r="D87" t="s">
        <v>6</v>
      </c>
      <c r="E87" s="8">
        <f>E86+F87</f>
        <v>20522</v>
      </c>
      <c r="F87" s="8">
        <f>IF($D87="CR01",$C87,0)</f>
        <v>-400</v>
      </c>
      <c r="G87" s="8">
        <f>G86+H87</f>
        <v>0</v>
      </c>
      <c r="H87" s="8">
        <f>IF($D87="VISA",$C87,0)</f>
        <v>0</v>
      </c>
      <c r="I87" s="8">
        <f>I86+J87</f>
        <v>0</v>
      </c>
      <c r="J87" s="8">
        <f>IF($D87="ACC",$C87,0)</f>
        <v>0</v>
      </c>
      <c r="K87" s="8">
        <f>K86+L87</f>
        <v>0</v>
      </c>
      <c r="L87" s="8">
        <f>IF($D87="CBB",$C87,0)</f>
        <v>0</v>
      </c>
    </row>
    <row r="88" spans="1:12" x14ac:dyDescent="0.25">
      <c r="A88" s="6">
        <v>41340</v>
      </c>
      <c r="B88" t="s">
        <v>45</v>
      </c>
      <c r="C88" s="7">
        <v>-180</v>
      </c>
      <c r="D88" t="s">
        <v>6</v>
      </c>
      <c r="E88" s="8">
        <f>E87+F88</f>
        <v>20342</v>
      </c>
      <c r="F88" s="8">
        <f>IF($D88="CR01",$C88,0)</f>
        <v>-180</v>
      </c>
      <c r="G88" s="8">
        <f>G87+H88</f>
        <v>0</v>
      </c>
      <c r="H88" s="8">
        <f>IF($D88="VISA",$C88,0)</f>
        <v>0</v>
      </c>
      <c r="I88" s="8">
        <f>I87+J88</f>
        <v>0</v>
      </c>
      <c r="J88" s="8">
        <f>IF($D88="ACC",$C88,0)</f>
        <v>0</v>
      </c>
      <c r="K88" s="8">
        <f>K87+L88</f>
        <v>0</v>
      </c>
      <c r="L88" s="8">
        <f>IF($D88="CBB",$C88,0)</f>
        <v>0</v>
      </c>
    </row>
    <row r="89" spans="1:12" x14ac:dyDescent="0.25">
      <c r="A89" s="6">
        <v>41340</v>
      </c>
      <c r="B89" t="s">
        <v>46</v>
      </c>
      <c r="C89" s="7">
        <v>-300</v>
      </c>
      <c r="D89" t="s">
        <v>6</v>
      </c>
      <c r="E89" s="8">
        <f>E88+F89</f>
        <v>20042</v>
      </c>
      <c r="F89" s="8">
        <f>IF($D89="CR01",$C89,0)</f>
        <v>-300</v>
      </c>
      <c r="G89" s="8">
        <f>G88+H89</f>
        <v>0</v>
      </c>
      <c r="H89" s="8">
        <f>IF($D89="VISA",$C89,0)</f>
        <v>0</v>
      </c>
      <c r="I89" s="8">
        <f>I88+J89</f>
        <v>0</v>
      </c>
      <c r="J89" s="8">
        <f>IF($D89="ACC",$C89,0)</f>
        <v>0</v>
      </c>
      <c r="K89" s="8">
        <f>K88+L89</f>
        <v>0</v>
      </c>
      <c r="L89" s="8">
        <f>IF($D89="CBB",$C89,0)</f>
        <v>0</v>
      </c>
    </row>
    <row r="90" spans="1:12" x14ac:dyDescent="0.25">
      <c r="A90" s="6">
        <v>41342</v>
      </c>
      <c r="B90" t="s">
        <v>67</v>
      </c>
      <c r="C90" s="7">
        <v>6800</v>
      </c>
      <c r="D90" t="s">
        <v>6</v>
      </c>
      <c r="E90" s="8">
        <f>E89+F90</f>
        <v>26842</v>
      </c>
      <c r="F90" s="8">
        <f>IF($D90="CR01",$C90,0)</f>
        <v>6800</v>
      </c>
      <c r="G90" s="8">
        <f>G89+H90</f>
        <v>0</v>
      </c>
      <c r="H90" s="8">
        <f>IF($D90="VISA",$C90,0)</f>
        <v>0</v>
      </c>
      <c r="I90" s="8">
        <f>I89+J90</f>
        <v>0</v>
      </c>
      <c r="J90" s="8">
        <f>IF($D90="ACC",$C90,0)</f>
        <v>0</v>
      </c>
      <c r="K90" s="8">
        <f>K89+L90</f>
        <v>0</v>
      </c>
      <c r="L90" s="8">
        <f>IF($D90="CBB",$C90,0)</f>
        <v>0</v>
      </c>
    </row>
    <row r="91" spans="1:12" x14ac:dyDescent="0.25">
      <c r="A91" s="6">
        <v>41345</v>
      </c>
      <c r="B91" t="s">
        <v>42</v>
      </c>
      <c r="C91" s="7">
        <v>-2806</v>
      </c>
      <c r="D91" t="s">
        <v>6</v>
      </c>
      <c r="E91" s="8">
        <f>E90+F91</f>
        <v>24036</v>
      </c>
      <c r="F91" s="8">
        <f>IF($D91="CR01",$C91,0)</f>
        <v>-2806</v>
      </c>
      <c r="G91" s="8">
        <f>G90+H91</f>
        <v>0</v>
      </c>
      <c r="H91" s="8">
        <f>IF($D91="VISA",$C91,0)</f>
        <v>0</v>
      </c>
      <c r="I91" s="8">
        <f>I90+J91</f>
        <v>0</v>
      </c>
      <c r="J91" s="8">
        <f>IF($D91="ACC",$C91,0)</f>
        <v>0</v>
      </c>
      <c r="K91" s="8">
        <f>K90+L91</f>
        <v>0</v>
      </c>
      <c r="L91" s="8">
        <f>IF($D91="CBB",$C91,0)</f>
        <v>0</v>
      </c>
    </row>
    <row r="92" spans="1:12" x14ac:dyDescent="0.25">
      <c r="A92" s="6">
        <v>41345</v>
      </c>
      <c r="B92" t="s">
        <v>48</v>
      </c>
      <c r="C92" s="7">
        <v>-100</v>
      </c>
      <c r="D92" t="s">
        <v>6</v>
      </c>
      <c r="E92" s="8">
        <f>E91+F92</f>
        <v>23936</v>
      </c>
      <c r="F92" s="8">
        <f>IF($D92="CR01",$C92,0)</f>
        <v>-100</v>
      </c>
      <c r="G92" s="8">
        <f>G91+H92</f>
        <v>0</v>
      </c>
      <c r="H92" s="8">
        <f>IF($D92="VISA",$C92,0)</f>
        <v>0</v>
      </c>
      <c r="I92" s="8">
        <f>I91+J92</f>
        <v>0</v>
      </c>
      <c r="J92" s="8">
        <f>IF($D92="ACC",$C92,0)</f>
        <v>0</v>
      </c>
      <c r="K92" s="8">
        <f>K91+L92</f>
        <v>0</v>
      </c>
      <c r="L92" s="8">
        <f>IF($D92="CBB",$C92,0)</f>
        <v>0</v>
      </c>
    </row>
    <row r="93" spans="1:12" x14ac:dyDescent="0.25">
      <c r="A93" s="6">
        <v>41346</v>
      </c>
      <c r="B93" t="s">
        <v>47</v>
      </c>
      <c r="C93" s="7">
        <v>-120</v>
      </c>
      <c r="D93" t="s">
        <v>6</v>
      </c>
      <c r="E93" s="8">
        <f>E92+F93</f>
        <v>23816</v>
      </c>
      <c r="F93" s="8">
        <f>IF($D93="CR01",$C93,0)</f>
        <v>-120</v>
      </c>
      <c r="G93" s="8">
        <f>G92+H93</f>
        <v>0</v>
      </c>
      <c r="H93" s="8">
        <f>IF($D93="VISA",$C93,0)</f>
        <v>0</v>
      </c>
      <c r="I93" s="8">
        <f>I92+J93</f>
        <v>0</v>
      </c>
      <c r="J93" s="8">
        <f>IF($D93="ACC",$C93,0)</f>
        <v>0</v>
      </c>
      <c r="K93" s="8">
        <f>K92+L93</f>
        <v>0</v>
      </c>
      <c r="L93" s="8">
        <f>IF($D93="CBB",$C93,0)</f>
        <v>0</v>
      </c>
    </row>
    <row r="94" spans="1:12" x14ac:dyDescent="0.25">
      <c r="A94" s="6">
        <v>41347</v>
      </c>
      <c r="B94" t="s">
        <v>44</v>
      </c>
      <c r="C94" s="7">
        <v>-400</v>
      </c>
      <c r="D94" t="s">
        <v>6</v>
      </c>
      <c r="E94" s="8">
        <f>E93+F94</f>
        <v>23416</v>
      </c>
      <c r="F94" s="8">
        <f>IF($D94="CR01",$C94,0)</f>
        <v>-400</v>
      </c>
      <c r="G94" s="8">
        <f>G93+H94</f>
        <v>0</v>
      </c>
      <c r="H94" s="8">
        <f>IF($D94="VISA",$C94,0)</f>
        <v>0</v>
      </c>
      <c r="I94" s="8">
        <f>I93+J94</f>
        <v>0</v>
      </c>
      <c r="J94" s="8">
        <f>IF($D94="ACC",$C94,0)</f>
        <v>0</v>
      </c>
      <c r="K94" s="8">
        <f>K93+L94</f>
        <v>0</v>
      </c>
      <c r="L94" s="8">
        <f>IF($D94="CBB",$C94,0)</f>
        <v>0</v>
      </c>
    </row>
    <row r="95" spans="1:12" x14ac:dyDescent="0.25">
      <c r="A95" s="6">
        <v>41347</v>
      </c>
      <c r="B95" t="s">
        <v>45</v>
      </c>
      <c r="C95" s="7">
        <v>-180</v>
      </c>
      <c r="D95" t="s">
        <v>6</v>
      </c>
      <c r="E95" s="8">
        <f>E94+F95</f>
        <v>23236</v>
      </c>
      <c r="F95" s="8">
        <f>IF($D95="CR01",$C95,0)</f>
        <v>-180</v>
      </c>
      <c r="G95" s="8">
        <f>G94+H95</f>
        <v>0</v>
      </c>
      <c r="H95" s="8">
        <f>IF($D95="VISA",$C95,0)</f>
        <v>0</v>
      </c>
      <c r="I95" s="8">
        <f>I94+J95</f>
        <v>0</v>
      </c>
      <c r="J95" s="8">
        <f>IF($D95="ACC",$C95,0)</f>
        <v>0</v>
      </c>
      <c r="K95" s="8">
        <f>K94+L95</f>
        <v>0</v>
      </c>
      <c r="L95" s="8">
        <f>IF($D95="CBB",$C95,0)</f>
        <v>0</v>
      </c>
    </row>
    <row r="96" spans="1:12" x14ac:dyDescent="0.25">
      <c r="A96" s="6">
        <v>41347</v>
      </c>
      <c r="B96" t="s">
        <v>46</v>
      </c>
      <c r="C96" s="7">
        <v>-300</v>
      </c>
      <c r="D96" t="s">
        <v>6</v>
      </c>
      <c r="E96" s="8">
        <f>E95+F96</f>
        <v>22936</v>
      </c>
      <c r="F96" s="8">
        <f>IF($D96="CR01",$C96,0)</f>
        <v>-300</v>
      </c>
      <c r="G96" s="8">
        <f>G95+H96</f>
        <v>0</v>
      </c>
      <c r="H96" s="8">
        <f>IF($D96="VISA",$C96,0)</f>
        <v>0</v>
      </c>
      <c r="I96" s="8">
        <f>I95+J96</f>
        <v>0</v>
      </c>
      <c r="J96" s="8">
        <f>IF($D96="ACC",$C96,0)</f>
        <v>0</v>
      </c>
      <c r="K96" s="8">
        <f>K95+L96</f>
        <v>0</v>
      </c>
      <c r="L96" s="8">
        <f>IF($D96="CBB",$C96,0)</f>
        <v>0</v>
      </c>
    </row>
    <row r="97" spans="1:12" x14ac:dyDescent="0.25">
      <c r="A97" s="6">
        <v>41348</v>
      </c>
      <c r="B97" t="s">
        <v>43</v>
      </c>
      <c r="C97" s="7">
        <v>3226</v>
      </c>
      <c r="D97" t="s">
        <v>6</v>
      </c>
      <c r="E97" s="8">
        <f>E96+F97</f>
        <v>26162</v>
      </c>
      <c r="F97" s="8">
        <f>IF($D97="CR01",$C97,0)</f>
        <v>3226</v>
      </c>
      <c r="G97" s="8">
        <f>G96+H97</f>
        <v>0</v>
      </c>
      <c r="H97" s="8">
        <f>IF($D97="VISA",$C97,0)</f>
        <v>0</v>
      </c>
      <c r="I97" s="8">
        <f>I96+J97</f>
        <v>0</v>
      </c>
      <c r="J97" s="8">
        <f>IF($D97="ACC",$C97,0)</f>
        <v>0</v>
      </c>
      <c r="K97" s="8">
        <f>K96+L97</f>
        <v>0</v>
      </c>
      <c r="L97" s="8">
        <f>IF($D97="CBB",$C97,0)</f>
        <v>0</v>
      </c>
    </row>
    <row r="98" spans="1:12" x14ac:dyDescent="0.25">
      <c r="A98" s="6">
        <v>41352</v>
      </c>
      <c r="B98" t="s">
        <v>48</v>
      </c>
      <c r="C98" s="7">
        <v>-100</v>
      </c>
      <c r="D98" t="s">
        <v>6</v>
      </c>
      <c r="E98" s="8">
        <f>E97+F98</f>
        <v>26062</v>
      </c>
      <c r="F98" s="8">
        <f>IF($D98="CR01",$C98,0)</f>
        <v>-100</v>
      </c>
      <c r="G98" s="8">
        <f>G97+H98</f>
        <v>0</v>
      </c>
      <c r="H98" s="8">
        <f>IF($D98="VISA",$C98,0)</f>
        <v>0</v>
      </c>
      <c r="I98" s="8">
        <f>I97+J98</f>
        <v>0</v>
      </c>
      <c r="J98" s="8">
        <f>IF($D98="ACC",$C98,0)</f>
        <v>0</v>
      </c>
      <c r="K98" s="8">
        <f>K97+L98</f>
        <v>0</v>
      </c>
      <c r="L98" s="8">
        <f>IF($D98="CBB",$C98,0)</f>
        <v>0</v>
      </c>
    </row>
    <row r="99" spans="1:12" x14ac:dyDescent="0.25">
      <c r="A99" s="6">
        <v>41353</v>
      </c>
      <c r="B99" t="s">
        <v>47</v>
      </c>
      <c r="C99" s="7">
        <v>-120</v>
      </c>
      <c r="D99" t="s">
        <v>6</v>
      </c>
      <c r="E99" s="8">
        <f>E98+F99</f>
        <v>25942</v>
      </c>
      <c r="F99" s="8">
        <f>IF($D99="CR01",$C99,0)</f>
        <v>-120</v>
      </c>
      <c r="G99" s="8">
        <f>G98+H99</f>
        <v>0</v>
      </c>
      <c r="H99" s="8">
        <f>IF($D99="VISA",$C99,0)</f>
        <v>0</v>
      </c>
      <c r="I99" s="8">
        <f>I98+J99</f>
        <v>0</v>
      </c>
      <c r="J99" s="8">
        <f>IF($D99="ACC",$C99,0)</f>
        <v>0</v>
      </c>
      <c r="K99" s="8">
        <f>K98+L99</f>
        <v>0</v>
      </c>
      <c r="L99" s="8">
        <f>IF($D99="CBB",$C99,0)</f>
        <v>0</v>
      </c>
    </row>
    <row r="100" spans="1:12" x14ac:dyDescent="0.25">
      <c r="A100" s="6">
        <v>41354</v>
      </c>
      <c r="B100" t="s">
        <v>44</v>
      </c>
      <c r="C100" s="7">
        <v>-400</v>
      </c>
      <c r="D100" t="s">
        <v>6</v>
      </c>
      <c r="E100" s="8">
        <f>E99+F100</f>
        <v>25542</v>
      </c>
      <c r="F100" s="8">
        <f>IF($D100="CR01",$C100,0)</f>
        <v>-400</v>
      </c>
      <c r="G100" s="8">
        <f>G99+H100</f>
        <v>0</v>
      </c>
      <c r="H100" s="8">
        <f>IF($D100="VISA",$C100,0)</f>
        <v>0</v>
      </c>
      <c r="I100" s="8">
        <f>I99+J100</f>
        <v>0</v>
      </c>
      <c r="J100" s="8">
        <f>IF($D100="ACC",$C100,0)</f>
        <v>0</v>
      </c>
      <c r="K100" s="8">
        <f>K99+L100</f>
        <v>0</v>
      </c>
      <c r="L100" s="8">
        <f>IF($D100="CBB",$C100,0)</f>
        <v>0</v>
      </c>
    </row>
    <row r="101" spans="1:12" x14ac:dyDescent="0.25">
      <c r="A101" s="6">
        <v>41354</v>
      </c>
      <c r="B101" t="s">
        <v>45</v>
      </c>
      <c r="C101" s="7">
        <v>-180</v>
      </c>
      <c r="D101" t="s">
        <v>6</v>
      </c>
      <c r="E101" s="8">
        <f>E100+F101</f>
        <v>25362</v>
      </c>
      <c r="F101" s="8">
        <f>IF($D101="CR01",$C101,0)</f>
        <v>-180</v>
      </c>
      <c r="G101" s="8">
        <f>G100+H101</f>
        <v>0</v>
      </c>
      <c r="H101" s="8">
        <f>IF($D101="VISA",$C101,0)</f>
        <v>0</v>
      </c>
      <c r="I101" s="8">
        <f>I100+J101</f>
        <v>0</v>
      </c>
      <c r="J101" s="8">
        <f>IF($D101="ACC",$C101,0)</f>
        <v>0</v>
      </c>
      <c r="K101" s="8">
        <f>K100+L101</f>
        <v>0</v>
      </c>
      <c r="L101" s="8">
        <f>IF($D101="CBB",$C101,0)</f>
        <v>0</v>
      </c>
    </row>
    <row r="102" spans="1:12" x14ac:dyDescent="0.25">
      <c r="A102" s="6">
        <v>41354</v>
      </c>
      <c r="B102" t="s">
        <v>46</v>
      </c>
      <c r="C102" s="7">
        <v>-300</v>
      </c>
      <c r="D102" t="s">
        <v>6</v>
      </c>
      <c r="E102" s="8">
        <f>E101+F102</f>
        <v>25062</v>
      </c>
      <c r="F102" s="8">
        <f>IF($D102="CR01",$C102,0)</f>
        <v>-300</v>
      </c>
      <c r="G102" s="8">
        <f>G101+H102</f>
        <v>0</v>
      </c>
      <c r="H102" s="8">
        <f>IF($D102="VISA",$C102,0)</f>
        <v>0</v>
      </c>
      <c r="I102" s="8">
        <f>I101+J102</f>
        <v>0</v>
      </c>
      <c r="J102" s="8">
        <f>IF($D102="ACC",$C102,0)</f>
        <v>0</v>
      </c>
      <c r="K102" s="8">
        <f>K101+L102</f>
        <v>0</v>
      </c>
      <c r="L102" s="8">
        <f>IF($D102="CBB",$C102,0)</f>
        <v>0</v>
      </c>
    </row>
    <row r="103" spans="1:12" x14ac:dyDescent="0.25">
      <c r="A103" s="6">
        <v>41356</v>
      </c>
      <c r="B103" t="s">
        <v>67</v>
      </c>
      <c r="C103" s="7">
        <v>6800</v>
      </c>
      <c r="D103" t="s">
        <v>6</v>
      </c>
      <c r="E103" s="8">
        <f>E102+F103</f>
        <v>31862</v>
      </c>
      <c r="F103" s="8">
        <f>IF($D103="CR01",$C103,0)</f>
        <v>6800</v>
      </c>
      <c r="G103" s="8">
        <f>G102+H103</f>
        <v>0</v>
      </c>
      <c r="H103" s="8">
        <f>IF($D103="VISA",$C103,0)</f>
        <v>0</v>
      </c>
      <c r="I103" s="8">
        <f>I102+J103</f>
        <v>0</v>
      </c>
      <c r="J103" s="8">
        <f>IF($D103="ACC",$C103,0)</f>
        <v>0</v>
      </c>
      <c r="K103" s="8">
        <f>K102+L103</f>
        <v>0</v>
      </c>
      <c r="L103" s="8">
        <f>IF($D103="CBB",$C103,0)</f>
        <v>0</v>
      </c>
    </row>
    <row r="104" spans="1:12" x14ac:dyDescent="0.25">
      <c r="A104" s="6">
        <v>41359</v>
      </c>
      <c r="B104" t="s">
        <v>42</v>
      </c>
      <c r="C104" s="7">
        <v>-2806</v>
      </c>
      <c r="D104" t="s">
        <v>6</v>
      </c>
      <c r="E104" s="8">
        <f>E103+F104</f>
        <v>29056</v>
      </c>
      <c r="F104" s="8">
        <f>IF($D104="CR01",$C104,0)</f>
        <v>-2806</v>
      </c>
      <c r="G104" s="8">
        <f>G103+H104</f>
        <v>0</v>
      </c>
      <c r="H104" s="8">
        <f>IF($D104="VISA",$C104,0)</f>
        <v>0</v>
      </c>
      <c r="I104" s="8">
        <f>I103+J104</f>
        <v>0</v>
      </c>
      <c r="J104" s="8">
        <f>IF($D104="ACC",$C104,0)</f>
        <v>0</v>
      </c>
      <c r="K104" s="8">
        <f>K103+L104</f>
        <v>0</v>
      </c>
      <c r="L104" s="8">
        <f>IF($D104="CBB",$C104,0)</f>
        <v>0</v>
      </c>
    </row>
    <row r="105" spans="1:12" x14ac:dyDescent="0.25">
      <c r="A105" s="6">
        <v>41359</v>
      </c>
      <c r="B105" t="s">
        <v>48</v>
      </c>
      <c r="C105" s="7">
        <v>-100</v>
      </c>
      <c r="D105" t="s">
        <v>6</v>
      </c>
      <c r="E105" s="8">
        <f>E104+F105</f>
        <v>28956</v>
      </c>
      <c r="F105" s="8">
        <f>IF($D105="CR01",$C105,0)</f>
        <v>-100</v>
      </c>
      <c r="G105" s="8">
        <f>G104+H105</f>
        <v>0</v>
      </c>
      <c r="H105" s="8">
        <f>IF($D105="VISA",$C105,0)</f>
        <v>0</v>
      </c>
      <c r="I105" s="8">
        <f>I104+J105</f>
        <v>0</v>
      </c>
      <c r="J105" s="8">
        <f>IF($D105="ACC",$C105,0)</f>
        <v>0</v>
      </c>
      <c r="K105" s="8">
        <f>K104+L105</f>
        <v>0</v>
      </c>
      <c r="L105" s="8">
        <f>IF($D105="CBB",$C105,0)</f>
        <v>0</v>
      </c>
    </row>
    <row r="106" spans="1:12" x14ac:dyDescent="0.25">
      <c r="A106" s="6">
        <v>41360</v>
      </c>
      <c r="B106" t="s">
        <v>47</v>
      </c>
      <c r="C106" s="7">
        <v>-120</v>
      </c>
      <c r="D106" t="s">
        <v>6</v>
      </c>
      <c r="E106" s="8">
        <f>E105+F106</f>
        <v>28836</v>
      </c>
      <c r="F106" s="8">
        <f>IF($D106="CR01",$C106,0)</f>
        <v>-120</v>
      </c>
      <c r="G106" s="8">
        <f>G105+H106</f>
        <v>0</v>
      </c>
      <c r="H106" s="8">
        <f>IF($D106="VISA",$C106,0)</f>
        <v>0</v>
      </c>
      <c r="I106" s="8">
        <f>I105+J106</f>
        <v>0</v>
      </c>
      <c r="J106" s="8">
        <f>IF($D106="ACC",$C106,0)</f>
        <v>0</v>
      </c>
      <c r="K106" s="8">
        <f>K105+L106</f>
        <v>0</v>
      </c>
      <c r="L106" s="8">
        <f>IF($D106="CBB",$C106,0)</f>
        <v>0</v>
      </c>
    </row>
    <row r="107" spans="1:12" x14ac:dyDescent="0.25">
      <c r="A107" s="6">
        <v>41361</v>
      </c>
      <c r="B107" t="s">
        <v>44</v>
      </c>
      <c r="C107" s="7">
        <v>-400</v>
      </c>
      <c r="D107" t="s">
        <v>6</v>
      </c>
      <c r="E107" s="8">
        <f>E106+F107</f>
        <v>28436</v>
      </c>
      <c r="F107" s="8">
        <f>IF($D107="CR01",$C107,0)</f>
        <v>-400</v>
      </c>
      <c r="G107" s="8">
        <f>G106+H107</f>
        <v>0</v>
      </c>
      <c r="H107" s="8">
        <f>IF($D107="VISA",$C107,0)</f>
        <v>0</v>
      </c>
      <c r="I107" s="8">
        <f>I106+J107</f>
        <v>0</v>
      </c>
      <c r="J107" s="8">
        <f>IF($D107="ACC",$C107,0)</f>
        <v>0</v>
      </c>
      <c r="K107" s="8">
        <f>K106+L107</f>
        <v>0</v>
      </c>
      <c r="L107" s="8">
        <f>IF($D107="CBB",$C107,0)</f>
        <v>0</v>
      </c>
    </row>
    <row r="108" spans="1:12" x14ac:dyDescent="0.25">
      <c r="A108" s="6">
        <v>41361</v>
      </c>
      <c r="B108" t="s">
        <v>45</v>
      </c>
      <c r="C108" s="7">
        <v>-180</v>
      </c>
      <c r="D108" t="s">
        <v>6</v>
      </c>
      <c r="E108" s="8">
        <f>E107+F108</f>
        <v>28256</v>
      </c>
      <c r="F108" s="8">
        <f>IF($D108="CR01",$C108,0)</f>
        <v>-180</v>
      </c>
      <c r="G108" s="8">
        <f>G107+H108</f>
        <v>0</v>
      </c>
      <c r="H108" s="8">
        <f>IF($D108="VISA",$C108,0)</f>
        <v>0</v>
      </c>
      <c r="I108" s="8">
        <f>I107+J108</f>
        <v>0</v>
      </c>
      <c r="J108" s="8">
        <f>IF($D108="ACC",$C108,0)</f>
        <v>0</v>
      </c>
      <c r="K108" s="8">
        <f>K107+L108</f>
        <v>0</v>
      </c>
      <c r="L108" s="8">
        <f>IF($D108="CBB",$C108,0)</f>
        <v>0</v>
      </c>
    </row>
    <row r="109" spans="1:12" x14ac:dyDescent="0.25">
      <c r="A109" s="6">
        <v>41361</v>
      </c>
      <c r="B109" t="s">
        <v>46</v>
      </c>
      <c r="C109" s="7">
        <v>-300</v>
      </c>
      <c r="D109" t="s">
        <v>6</v>
      </c>
      <c r="E109" s="8">
        <f>E108+F109</f>
        <v>27956</v>
      </c>
      <c r="F109" s="8">
        <f>IF($D109="CR01",$C109,0)</f>
        <v>-300</v>
      </c>
      <c r="G109" s="8">
        <f>G108+H109</f>
        <v>0</v>
      </c>
      <c r="H109" s="8">
        <f>IF($D109="VISA",$C109,0)</f>
        <v>0</v>
      </c>
      <c r="I109" s="8">
        <f>I108+J109</f>
        <v>0</v>
      </c>
      <c r="J109" s="8">
        <f>IF($D109="ACC",$C109,0)</f>
        <v>0</v>
      </c>
      <c r="K109" s="8">
        <f>K108+L109</f>
        <v>0</v>
      </c>
      <c r="L109" s="8">
        <f>IF($D109="CBB",$C109,0)</f>
        <v>0</v>
      </c>
    </row>
    <row r="110" spans="1:12" x14ac:dyDescent="0.25">
      <c r="A110" s="6">
        <v>41362</v>
      </c>
      <c r="B110" t="s">
        <v>43</v>
      </c>
      <c r="C110" s="7">
        <v>3226</v>
      </c>
      <c r="D110" t="s">
        <v>6</v>
      </c>
      <c r="E110" s="8">
        <f>E109+F110</f>
        <v>31182</v>
      </c>
      <c r="F110" s="8">
        <f>IF($D110="CR01",$C110,0)</f>
        <v>3226</v>
      </c>
      <c r="G110" s="8">
        <f>G109+H110</f>
        <v>0</v>
      </c>
      <c r="H110" s="8">
        <f>IF($D110="VISA",$C110,0)</f>
        <v>0</v>
      </c>
      <c r="I110" s="8">
        <f>I109+J110</f>
        <v>0</v>
      </c>
      <c r="J110" s="8">
        <f>IF($D110="ACC",$C110,0)</f>
        <v>0</v>
      </c>
      <c r="K110" s="8">
        <f>K109+L110</f>
        <v>0</v>
      </c>
      <c r="L110" s="8">
        <f>IF($D110="CBB",$C110,0)</f>
        <v>0</v>
      </c>
    </row>
    <row r="111" spans="1:12" x14ac:dyDescent="0.25">
      <c r="A111" s="6">
        <v>41365</v>
      </c>
      <c r="B111" t="s">
        <v>58</v>
      </c>
      <c r="C111" s="7">
        <v>-200</v>
      </c>
      <c r="D111" t="s">
        <v>6</v>
      </c>
      <c r="E111" s="8">
        <f>E110+F111</f>
        <v>30982</v>
      </c>
      <c r="F111" s="8">
        <f>IF($D111="CR01",$C111,0)</f>
        <v>-200</v>
      </c>
      <c r="G111" s="8">
        <f>G110+H111</f>
        <v>0</v>
      </c>
      <c r="H111" s="8">
        <f>IF($D111="VISA",$C111,0)</f>
        <v>0</v>
      </c>
      <c r="I111" s="8">
        <f>I110+J111</f>
        <v>0</v>
      </c>
      <c r="J111" s="8">
        <f>IF($D111="ACC",$C111,0)</f>
        <v>0</v>
      </c>
      <c r="K111" s="8">
        <f>K110+L111</f>
        <v>0</v>
      </c>
      <c r="L111" s="8">
        <f>IF($D111="CBB",$C111,0)</f>
        <v>0</v>
      </c>
    </row>
    <row r="112" spans="1:12" x14ac:dyDescent="0.25">
      <c r="A112" s="6">
        <v>41365</v>
      </c>
      <c r="B112" t="s">
        <v>60</v>
      </c>
      <c r="C112" s="7">
        <v>-400</v>
      </c>
      <c r="D112" t="s">
        <v>6</v>
      </c>
      <c r="E112" s="8">
        <f>E111+F112</f>
        <v>30582</v>
      </c>
      <c r="F112" s="8">
        <f>IF($D112="CR01",$C112,0)</f>
        <v>-400</v>
      </c>
      <c r="G112" s="8">
        <f>G111+H112</f>
        <v>0</v>
      </c>
      <c r="H112" s="8">
        <f>IF($D112="VISA",$C112,0)</f>
        <v>0</v>
      </c>
      <c r="I112" s="8">
        <f>I111+J112</f>
        <v>0</v>
      </c>
      <c r="J112" s="8">
        <f>IF($D112="ACC",$C112,0)</f>
        <v>0</v>
      </c>
      <c r="K112" s="8">
        <f>K111+L112</f>
        <v>0</v>
      </c>
      <c r="L112" s="8">
        <f>IF($D112="CBB",$C112,0)</f>
        <v>0</v>
      </c>
    </row>
    <row r="113" spans="1:12" x14ac:dyDescent="0.25">
      <c r="A113" s="6">
        <v>41365</v>
      </c>
      <c r="B113" t="s">
        <v>61</v>
      </c>
      <c r="C113" s="7">
        <v>-300</v>
      </c>
      <c r="D113" t="s">
        <v>6</v>
      </c>
      <c r="E113" s="8">
        <f>E112+F113</f>
        <v>30282</v>
      </c>
      <c r="F113" s="8">
        <f>IF($D113="CR01",$C113,0)</f>
        <v>-300</v>
      </c>
      <c r="G113" s="8">
        <f>G112+H113</f>
        <v>0</v>
      </c>
      <c r="H113" s="8">
        <f>IF($D113="VISA",$C113,0)</f>
        <v>0</v>
      </c>
      <c r="I113" s="8">
        <f>I112+J113</f>
        <v>0</v>
      </c>
      <c r="J113" s="8">
        <f>IF($D113="ACC",$C113,0)</f>
        <v>0</v>
      </c>
      <c r="K113" s="8">
        <f>K112+L113</f>
        <v>0</v>
      </c>
      <c r="L113" s="8">
        <f>IF($D113="CBB",$C113,0)</f>
        <v>0</v>
      </c>
    </row>
    <row r="114" spans="1:12" x14ac:dyDescent="0.25">
      <c r="A114" s="6">
        <v>41365</v>
      </c>
      <c r="B114" t="s">
        <v>64</v>
      </c>
      <c r="C114" s="7">
        <v>-26</v>
      </c>
      <c r="D114" t="s">
        <v>6</v>
      </c>
      <c r="E114" s="8">
        <f>E113+F114</f>
        <v>30256</v>
      </c>
      <c r="F114" s="8">
        <f>IF($D114="CR01",$C114,0)</f>
        <v>-26</v>
      </c>
      <c r="G114" s="8">
        <f>G113+H114</f>
        <v>0</v>
      </c>
      <c r="H114" s="8">
        <f>IF($D114="VISA",$C114,0)</f>
        <v>0</v>
      </c>
      <c r="I114" s="8">
        <f>I113+J114</f>
        <v>0</v>
      </c>
      <c r="J114" s="8">
        <f>IF($D114="ACC",$C114,0)</f>
        <v>0</v>
      </c>
      <c r="K114" s="8">
        <f>K113+L114</f>
        <v>0</v>
      </c>
      <c r="L114" s="8">
        <f>IF($D114="CBB",$C114,0)</f>
        <v>0</v>
      </c>
    </row>
    <row r="115" spans="1:12" x14ac:dyDescent="0.25">
      <c r="A115" s="6">
        <v>41365</v>
      </c>
      <c r="B115" t="s">
        <v>65</v>
      </c>
      <c r="C115" s="7">
        <v>-240</v>
      </c>
      <c r="D115" t="s">
        <v>6</v>
      </c>
      <c r="E115" s="8">
        <f>E114+F115</f>
        <v>30016</v>
      </c>
      <c r="F115" s="8">
        <f>IF($D115="CR01",$C115,0)</f>
        <v>-240</v>
      </c>
      <c r="G115" s="8">
        <f>G114+H115</f>
        <v>0</v>
      </c>
      <c r="H115" s="8">
        <f>IF($D115="VISA",$C115,0)</f>
        <v>0</v>
      </c>
      <c r="I115" s="8">
        <f>I114+J115</f>
        <v>0</v>
      </c>
      <c r="J115" s="8">
        <f>IF($D115="ACC",$C115,0)</f>
        <v>0</v>
      </c>
      <c r="K115" s="8">
        <f>K114+L115</f>
        <v>0</v>
      </c>
      <c r="L115" s="8">
        <f>IF($D115="CBB",$C115,0)</f>
        <v>0</v>
      </c>
    </row>
    <row r="116" spans="1:12" x14ac:dyDescent="0.25">
      <c r="A116" s="6">
        <v>41365</v>
      </c>
      <c r="B116" t="s">
        <v>66</v>
      </c>
      <c r="C116" s="7">
        <v>-120</v>
      </c>
      <c r="D116" t="s">
        <v>6</v>
      </c>
      <c r="E116" s="8">
        <f>E115+F116</f>
        <v>29896</v>
      </c>
      <c r="F116" s="8">
        <f>IF($D116="CR01",$C116,0)</f>
        <v>-120</v>
      </c>
      <c r="G116" s="8">
        <f>G115+H116</f>
        <v>0</v>
      </c>
      <c r="H116" s="8">
        <f>IF($D116="VISA",$C116,0)</f>
        <v>0</v>
      </c>
      <c r="I116" s="8">
        <f>I115+J116</f>
        <v>0</v>
      </c>
      <c r="J116" s="8">
        <f>IF($D116="ACC",$C116,0)</f>
        <v>0</v>
      </c>
      <c r="K116" s="8">
        <f>K115+L116</f>
        <v>0</v>
      </c>
      <c r="L116" s="8">
        <f>IF($D116="CBB",$C116,0)</f>
        <v>0</v>
      </c>
    </row>
    <row r="117" spans="1:12" x14ac:dyDescent="0.25">
      <c r="A117" s="6">
        <v>41365</v>
      </c>
      <c r="B117" t="s">
        <v>69</v>
      </c>
      <c r="C117" s="7">
        <v>-1500</v>
      </c>
      <c r="D117" t="s">
        <v>6</v>
      </c>
      <c r="E117" s="8">
        <f>E116+F117</f>
        <v>28396</v>
      </c>
      <c r="F117" s="8">
        <f>IF($D117="CR01",$C117,0)</f>
        <v>-1500</v>
      </c>
      <c r="G117" s="8">
        <f>G116+H117</f>
        <v>0</v>
      </c>
      <c r="H117" s="8">
        <f>IF($D117="VISA",$C117,0)</f>
        <v>0</v>
      </c>
      <c r="I117" s="8">
        <f>I116+J117</f>
        <v>0</v>
      </c>
      <c r="J117" s="8">
        <f>IF($D117="ACC",$C117,0)</f>
        <v>0</v>
      </c>
      <c r="K117" s="8">
        <f>K116+L117</f>
        <v>0</v>
      </c>
      <c r="L117" s="8">
        <f>IF($D117="CBB",$C117,0)</f>
        <v>0</v>
      </c>
    </row>
    <row r="118" spans="1:12" x14ac:dyDescent="0.25">
      <c r="A118" s="6">
        <v>41366</v>
      </c>
      <c r="B118" t="s">
        <v>48</v>
      </c>
      <c r="C118" s="7">
        <v>-100</v>
      </c>
      <c r="D118" t="s">
        <v>6</v>
      </c>
      <c r="E118" s="8">
        <f>E117+F118</f>
        <v>28296</v>
      </c>
      <c r="F118" s="8">
        <f>IF($D118="CR01",$C118,0)</f>
        <v>-100</v>
      </c>
      <c r="G118" s="8">
        <f>G117+H118</f>
        <v>0</v>
      </c>
      <c r="H118" s="8">
        <f>IF($D118="VISA",$C118,0)</f>
        <v>0</v>
      </c>
      <c r="I118" s="8">
        <f>I117+J118</f>
        <v>0</v>
      </c>
      <c r="J118" s="8">
        <f>IF($D118="ACC",$C118,0)</f>
        <v>0</v>
      </c>
      <c r="K118" s="8">
        <f>K117+L118</f>
        <v>0</v>
      </c>
      <c r="L118" s="8">
        <f>IF($D118="CBB",$C118,0)</f>
        <v>0</v>
      </c>
    </row>
    <row r="119" spans="1:12" x14ac:dyDescent="0.25">
      <c r="A119" s="6">
        <v>41366</v>
      </c>
      <c r="B119" t="s">
        <v>59</v>
      </c>
      <c r="C119" s="7">
        <v>-900</v>
      </c>
      <c r="D119" t="s">
        <v>6</v>
      </c>
      <c r="E119" s="8">
        <f>E118+F119</f>
        <v>27396</v>
      </c>
      <c r="F119" s="8">
        <f>IF($D119="CR01",$C119,0)</f>
        <v>-900</v>
      </c>
      <c r="G119" s="8">
        <f>G118+H119</f>
        <v>0</v>
      </c>
      <c r="H119" s="8">
        <f>IF($D119="VISA",$C119,0)</f>
        <v>0</v>
      </c>
      <c r="I119" s="8">
        <f>I118+J119</f>
        <v>0</v>
      </c>
      <c r="J119" s="8">
        <f>IF($D119="ACC",$C119,0)</f>
        <v>0</v>
      </c>
      <c r="K119" s="8">
        <f>K118+L119</f>
        <v>0</v>
      </c>
      <c r="L119" s="8">
        <f>IF($D119="CBB",$C119,0)</f>
        <v>0</v>
      </c>
    </row>
    <row r="120" spans="1:12" x14ac:dyDescent="0.25">
      <c r="A120" s="6">
        <v>41367</v>
      </c>
      <c r="B120" t="s">
        <v>47</v>
      </c>
      <c r="C120" s="7">
        <v>-120</v>
      </c>
      <c r="D120" t="s">
        <v>6</v>
      </c>
      <c r="E120" s="8">
        <f>E119+F120</f>
        <v>27276</v>
      </c>
      <c r="F120" s="8">
        <f>IF($D120="CR01",$C120,0)</f>
        <v>-120</v>
      </c>
      <c r="G120" s="8">
        <f>G119+H120</f>
        <v>0</v>
      </c>
      <c r="H120" s="8">
        <f>IF($D120="VISA",$C120,0)</f>
        <v>0</v>
      </c>
      <c r="I120" s="8">
        <f>I119+J120</f>
        <v>0</v>
      </c>
      <c r="J120" s="8">
        <f>IF($D120="ACC",$C120,0)</f>
        <v>0</v>
      </c>
      <c r="K120" s="8">
        <f>K119+L120</f>
        <v>0</v>
      </c>
      <c r="L120" s="8">
        <f>IF($D120="CBB",$C120,0)</f>
        <v>0</v>
      </c>
    </row>
    <row r="121" spans="1:12" x14ac:dyDescent="0.25">
      <c r="A121" s="6">
        <v>41368</v>
      </c>
      <c r="B121" t="s">
        <v>44</v>
      </c>
      <c r="C121" s="7">
        <v>-400</v>
      </c>
      <c r="D121" t="s">
        <v>6</v>
      </c>
      <c r="E121" s="8">
        <f>E120+F121</f>
        <v>26876</v>
      </c>
      <c r="F121" s="8">
        <f>IF($D121="CR01",$C121,0)</f>
        <v>-400</v>
      </c>
      <c r="G121" s="8">
        <f>G120+H121</f>
        <v>0</v>
      </c>
      <c r="H121" s="8">
        <f>IF($D121="VISA",$C121,0)</f>
        <v>0</v>
      </c>
      <c r="I121" s="8">
        <f>I120+J121</f>
        <v>0</v>
      </c>
      <c r="J121" s="8">
        <f>IF($D121="ACC",$C121,0)</f>
        <v>0</v>
      </c>
      <c r="K121" s="8">
        <f>K120+L121</f>
        <v>0</v>
      </c>
      <c r="L121" s="8">
        <f>IF($D121="CBB",$C121,0)</f>
        <v>0</v>
      </c>
    </row>
    <row r="122" spans="1:12" x14ac:dyDescent="0.25">
      <c r="A122" s="6">
        <v>41368</v>
      </c>
      <c r="B122" t="s">
        <v>45</v>
      </c>
      <c r="C122" s="7">
        <v>-180</v>
      </c>
      <c r="D122" t="s">
        <v>6</v>
      </c>
      <c r="E122" s="8">
        <f>E121+F122</f>
        <v>26696</v>
      </c>
      <c r="F122" s="8">
        <f>IF($D122="CR01",$C122,0)</f>
        <v>-180</v>
      </c>
      <c r="G122" s="8">
        <f>G121+H122</f>
        <v>0</v>
      </c>
      <c r="H122" s="8">
        <f>IF($D122="VISA",$C122,0)</f>
        <v>0</v>
      </c>
      <c r="I122" s="8">
        <f>I121+J122</f>
        <v>0</v>
      </c>
      <c r="J122" s="8">
        <f>IF($D122="ACC",$C122,0)</f>
        <v>0</v>
      </c>
      <c r="K122" s="8">
        <f>K121+L122</f>
        <v>0</v>
      </c>
      <c r="L122" s="8">
        <f>IF($D122="CBB",$C122,0)</f>
        <v>0</v>
      </c>
    </row>
    <row r="123" spans="1:12" x14ac:dyDescent="0.25">
      <c r="A123" s="6">
        <v>41368</v>
      </c>
      <c r="B123" t="s">
        <v>46</v>
      </c>
      <c r="C123" s="7">
        <v>-300</v>
      </c>
      <c r="D123" t="s">
        <v>6</v>
      </c>
      <c r="E123" s="8">
        <f>E122+F123</f>
        <v>26396</v>
      </c>
      <c r="F123" s="8">
        <f>IF($D123="CR01",$C123,0)</f>
        <v>-300</v>
      </c>
      <c r="G123" s="8">
        <f>G122+H123</f>
        <v>0</v>
      </c>
      <c r="H123" s="8">
        <f>IF($D123="VISA",$C123,0)</f>
        <v>0</v>
      </c>
      <c r="I123" s="8">
        <f>I122+J123</f>
        <v>0</v>
      </c>
      <c r="J123" s="8">
        <f>IF($D123="ACC",$C123,0)</f>
        <v>0</v>
      </c>
      <c r="K123" s="8">
        <f>K122+L123</f>
        <v>0</v>
      </c>
      <c r="L123" s="8">
        <f>IF($D123="CBB",$C123,0)</f>
        <v>0</v>
      </c>
    </row>
    <row r="124" spans="1:12" x14ac:dyDescent="0.25">
      <c r="A124" s="6">
        <v>41370</v>
      </c>
      <c r="B124" t="s">
        <v>67</v>
      </c>
      <c r="C124" s="7">
        <v>6800</v>
      </c>
      <c r="D124" t="s">
        <v>6</v>
      </c>
      <c r="E124" s="8">
        <f>E123+F124</f>
        <v>33196</v>
      </c>
      <c r="F124" s="8">
        <f>IF($D124="CR01",$C124,0)</f>
        <v>6800</v>
      </c>
      <c r="G124" s="8">
        <f>G123+H124</f>
        <v>0</v>
      </c>
      <c r="H124" s="8">
        <f>IF($D124="VISA",$C124,0)</f>
        <v>0</v>
      </c>
      <c r="I124" s="8">
        <f>I123+J124</f>
        <v>0</v>
      </c>
      <c r="J124" s="8">
        <f>IF($D124="ACC",$C124,0)</f>
        <v>0</v>
      </c>
      <c r="K124" s="8">
        <f>K123+L124</f>
        <v>0</v>
      </c>
      <c r="L124" s="8">
        <f>IF($D124="CBB",$C124,0)</f>
        <v>0</v>
      </c>
    </row>
    <row r="125" spans="1:12" x14ac:dyDescent="0.25">
      <c r="A125" s="6">
        <v>41373</v>
      </c>
      <c r="B125" t="s">
        <v>42</v>
      </c>
      <c r="C125" s="7">
        <v>-2806</v>
      </c>
      <c r="D125" t="s">
        <v>6</v>
      </c>
      <c r="E125" s="8">
        <f>E124+F125</f>
        <v>30390</v>
      </c>
      <c r="F125" s="8">
        <f>IF($D125="CR01",$C125,0)</f>
        <v>-2806</v>
      </c>
      <c r="G125" s="8">
        <f>G124+H125</f>
        <v>0</v>
      </c>
      <c r="H125" s="8">
        <f>IF($D125="VISA",$C125,0)</f>
        <v>0</v>
      </c>
      <c r="I125" s="8">
        <f>I124+J125</f>
        <v>0</v>
      </c>
      <c r="J125" s="8">
        <f>IF($D125="ACC",$C125,0)</f>
        <v>0</v>
      </c>
      <c r="K125" s="8">
        <f>K124+L125</f>
        <v>0</v>
      </c>
      <c r="L125" s="8">
        <f>IF($D125="CBB",$C125,0)</f>
        <v>0</v>
      </c>
    </row>
    <row r="126" spans="1:12" x14ac:dyDescent="0.25">
      <c r="A126" s="6">
        <v>41373</v>
      </c>
      <c r="B126" t="s">
        <v>48</v>
      </c>
      <c r="C126" s="7">
        <v>-100</v>
      </c>
      <c r="D126" t="s">
        <v>6</v>
      </c>
      <c r="E126" s="8">
        <f>E125+F126</f>
        <v>30290</v>
      </c>
      <c r="F126" s="8">
        <f>IF($D126="CR01",$C126,0)</f>
        <v>-100</v>
      </c>
      <c r="G126" s="8">
        <f>G125+H126</f>
        <v>0</v>
      </c>
      <c r="H126" s="8">
        <f>IF($D126="VISA",$C126,0)</f>
        <v>0</v>
      </c>
      <c r="I126" s="8">
        <f>I125+J126</f>
        <v>0</v>
      </c>
      <c r="J126" s="8">
        <f>IF($D126="ACC",$C126,0)</f>
        <v>0</v>
      </c>
      <c r="K126" s="8">
        <f>K125+L126</f>
        <v>0</v>
      </c>
      <c r="L126" s="8">
        <f>IF($D126="CBB",$C126,0)</f>
        <v>0</v>
      </c>
    </row>
    <row r="127" spans="1:12" x14ac:dyDescent="0.25">
      <c r="A127" s="6">
        <v>41374</v>
      </c>
      <c r="B127" t="s">
        <v>47</v>
      </c>
      <c r="C127" s="7">
        <v>-120</v>
      </c>
      <c r="D127" t="s">
        <v>6</v>
      </c>
      <c r="E127" s="8">
        <f>E126+F127</f>
        <v>30170</v>
      </c>
      <c r="F127" s="8">
        <f>IF($D127="CR01",$C127,0)</f>
        <v>-120</v>
      </c>
      <c r="G127" s="8">
        <f>G126+H127</f>
        <v>0</v>
      </c>
      <c r="H127" s="8">
        <f>IF($D127="VISA",$C127,0)</f>
        <v>0</v>
      </c>
      <c r="I127" s="8">
        <f>I126+J127</f>
        <v>0</v>
      </c>
      <c r="J127" s="8">
        <f>IF($D127="ACC",$C127,0)</f>
        <v>0</v>
      </c>
      <c r="K127" s="8">
        <f>K126+L127</f>
        <v>0</v>
      </c>
      <c r="L127" s="8">
        <f>IF($D127="CBB",$C127,0)</f>
        <v>0</v>
      </c>
    </row>
    <row r="128" spans="1:12" x14ac:dyDescent="0.25">
      <c r="A128" s="6">
        <v>41375</v>
      </c>
      <c r="B128" t="s">
        <v>44</v>
      </c>
      <c r="C128" s="7">
        <v>-400</v>
      </c>
      <c r="D128" t="s">
        <v>6</v>
      </c>
      <c r="E128" s="8">
        <f>E127+F128</f>
        <v>29770</v>
      </c>
      <c r="F128" s="8">
        <f>IF($D128="CR01",$C128,0)</f>
        <v>-400</v>
      </c>
      <c r="G128" s="8">
        <f>G127+H128</f>
        <v>0</v>
      </c>
      <c r="H128" s="8">
        <f>IF($D128="VISA",$C128,0)</f>
        <v>0</v>
      </c>
      <c r="I128" s="8">
        <f>I127+J128</f>
        <v>0</v>
      </c>
      <c r="J128" s="8">
        <f>IF($D128="ACC",$C128,0)</f>
        <v>0</v>
      </c>
      <c r="K128" s="8">
        <f>K127+L128</f>
        <v>0</v>
      </c>
      <c r="L128" s="8">
        <f>IF($D128="CBB",$C128,0)</f>
        <v>0</v>
      </c>
    </row>
    <row r="129" spans="1:12" x14ac:dyDescent="0.25">
      <c r="A129" s="6">
        <v>41375</v>
      </c>
      <c r="B129" t="s">
        <v>45</v>
      </c>
      <c r="C129" s="7">
        <v>-180</v>
      </c>
      <c r="D129" t="s">
        <v>6</v>
      </c>
      <c r="E129" s="8">
        <f>E128+F129</f>
        <v>29590</v>
      </c>
      <c r="F129" s="8">
        <f>IF($D129="CR01",$C129,0)</f>
        <v>-180</v>
      </c>
      <c r="G129" s="8">
        <f>G128+H129</f>
        <v>0</v>
      </c>
      <c r="H129" s="8">
        <f>IF($D129="VISA",$C129,0)</f>
        <v>0</v>
      </c>
      <c r="I129" s="8">
        <f>I128+J129</f>
        <v>0</v>
      </c>
      <c r="J129" s="8">
        <f>IF($D129="ACC",$C129,0)</f>
        <v>0</v>
      </c>
      <c r="K129" s="8">
        <f>K128+L129</f>
        <v>0</v>
      </c>
      <c r="L129" s="8">
        <f>IF($D129="CBB",$C129,0)</f>
        <v>0</v>
      </c>
    </row>
    <row r="130" spans="1:12" x14ac:dyDescent="0.25">
      <c r="A130" s="6">
        <v>41375</v>
      </c>
      <c r="B130" t="s">
        <v>46</v>
      </c>
      <c r="C130" s="7">
        <v>-300</v>
      </c>
      <c r="D130" t="s">
        <v>6</v>
      </c>
      <c r="E130" s="8">
        <f>E129+F130</f>
        <v>29290</v>
      </c>
      <c r="F130" s="8">
        <f>IF($D130="CR01",$C130,0)</f>
        <v>-300</v>
      </c>
      <c r="G130" s="8">
        <f>G129+H130</f>
        <v>0</v>
      </c>
      <c r="H130" s="8">
        <f>IF($D130="VISA",$C130,0)</f>
        <v>0</v>
      </c>
      <c r="I130" s="8">
        <f>I129+J130</f>
        <v>0</v>
      </c>
      <c r="J130" s="8">
        <f>IF($D130="ACC",$C130,0)</f>
        <v>0</v>
      </c>
      <c r="K130" s="8">
        <f>K129+L130</f>
        <v>0</v>
      </c>
      <c r="L130" s="8">
        <f>IF($D130="CBB",$C130,0)</f>
        <v>0</v>
      </c>
    </row>
    <row r="131" spans="1:12" x14ac:dyDescent="0.25">
      <c r="A131" s="6">
        <v>41376</v>
      </c>
      <c r="B131" t="s">
        <v>43</v>
      </c>
      <c r="C131" s="7">
        <v>3226</v>
      </c>
      <c r="D131" t="s">
        <v>6</v>
      </c>
      <c r="E131" s="8">
        <f>E130+F131</f>
        <v>32516</v>
      </c>
      <c r="F131" s="8">
        <f>IF($D131="CR01",$C131,0)</f>
        <v>3226</v>
      </c>
      <c r="G131" s="8">
        <f>G130+H131</f>
        <v>0</v>
      </c>
      <c r="H131" s="8">
        <f>IF($D131="VISA",$C131,0)</f>
        <v>0</v>
      </c>
      <c r="I131" s="8">
        <f>I130+J131</f>
        <v>0</v>
      </c>
      <c r="J131" s="8">
        <f>IF($D131="ACC",$C131,0)</f>
        <v>0</v>
      </c>
      <c r="K131" s="8">
        <f>K130+L131</f>
        <v>0</v>
      </c>
      <c r="L131" s="8">
        <f>IF($D131="CBB",$C131,0)</f>
        <v>0</v>
      </c>
    </row>
    <row r="132" spans="1:12" x14ac:dyDescent="0.25">
      <c r="A132" s="6">
        <v>41380</v>
      </c>
      <c r="B132" t="s">
        <v>48</v>
      </c>
      <c r="C132" s="7">
        <v>-100</v>
      </c>
      <c r="D132" t="s">
        <v>6</v>
      </c>
      <c r="E132" s="8">
        <f>E131+F132</f>
        <v>32416</v>
      </c>
      <c r="F132" s="8">
        <f>IF($D132="CR01",$C132,0)</f>
        <v>-100</v>
      </c>
      <c r="G132" s="8">
        <f>G131+H132</f>
        <v>0</v>
      </c>
      <c r="H132" s="8">
        <f>IF($D132="VISA",$C132,0)</f>
        <v>0</v>
      </c>
      <c r="I132" s="8">
        <f>I131+J132</f>
        <v>0</v>
      </c>
      <c r="J132" s="8">
        <f>IF($D132="ACC",$C132,0)</f>
        <v>0</v>
      </c>
      <c r="K132" s="8">
        <f>K131+L132</f>
        <v>0</v>
      </c>
      <c r="L132" s="8">
        <f>IF($D132="CBB",$C132,0)</f>
        <v>0</v>
      </c>
    </row>
    <row r="133" spans="1:12" x14ac:dyDescent="0.25">
      <c r="A133" s="6">
        <v>41381</v>
      </c>
      <c r="B133" t="s">
        <v>47</v>
      </c>
      <c r="C133" s="7">
        <v>-120</v>
      </c>
      <c r="D133" t="s">
        <v>6</v>
      </c>
      <c r="E133" s="8">
        <f>E132+F133</f>
        <v>32296</v>
      </c>
      <c r="F133" s="8">
        <f>IF($D133="CR01",$C133,0)</f>
        <v>-120</v>
      </c>
      <c r="G133" s="8">
        <f>G132+H133</f>
        <v>0</v>
      </c>
      <c r="H133" s="8">
        <f>IF($D133="VISA",$C133,0)</f>
        <v>0</v>
      </c>
      <c r="I133" s="8">
        <f>I132+J133</f>
        <v>0</v>
      </c>
      <c r="J133" s="8">
        <f>IF($D133="ACC",$C133,0)</f>
        <v>0</v>
      </c>
      <c r="K133" s="8">
        <f>K132+L133</f>
        <v>0</v>
      </c>
      <c r="L133" s="8">
        <f>IF($D133="CBB",$C133,0)</f>
        <v>0</v>
      </c>
    </row>
    <row r="134" spans="1:12" x14ac:dyDescent="0.25">
      <c r="A134" s="6">
        <v>41382</v>
      </c>
      <c r="B134" t="s">
        <v>44</v>
      </c>
      <c r="C134" s="7">
        <v>-400</v>
      </c>
      <c r="D134" t="s">
        <v>6</v>
      </c>
      <c r="E134" s="8">
        <f>E133+F134</f>
        <v>31896</v>
      </c>
      <c r="F134" s="8">
        <f>IF($D134="CR01",$C134,0)</f>
        <v>-400</v>
      </c>
      <c r="G134" s="8">
        <f>G133+H134</f>
        <v>0</v>
      </c>
      <c r="H134" s="8">
        <f>IF($D134="VISA",$C134,0)</f>
        <v>0</v>
      </c>
      <c r="I134" s="8">
        <f>I133+J134</f>
        <v>0</v>
      </c>
      <c r="J134" s="8">
        <f>IF($D134="ACC",$C134,0)</f>
        <v>0</v>
      </c>
      <c r="K134" s="8">
        <f>K133+L134</f>
        <v>0</v>
      </c>
      <c r="L134" s="8">
        <f>IF($D134="CBB",$C134,0)</f>
        <v>0</v>
      </c>
    </row>
    <row r="135" spans="1:12" x14ac:dyDescent="0.25">
      <c r="A135" s="6">
        <v>41382</v>
      </c>
      <c r="B135" t="s">
        <v>45</v>
      </c>
      <c r="C135" s="7">
        <v>-180</v>
      </c>
      <c r="D135" t="s">
        <v>6</v>
      </c>
      <c r="E135" s="8">
        <f>E134+F135</f>
        <v>31716</v>
      </c>
      <c r="F135" s="8">
        <f>IF($D135="CR01",$C135,0)</f>
        <v>-180</v>
      </c>
      <c r="G135" s="8">
        <f>G134+H135</f>
        <v>0</v>
      </c>
      <c r="H135" s="8">
        <f>IF($D135="VISA",$C135,0)</f>
        <v>0</v>
      </c>
      <c r="I135" s="8">
        <f>I134+J135</f>
        <v>0</v>
      </c>
      <c r="J135" s="8">
        <f>IF($D135="ACC",$C135,0)</f>
        <v>0</v>
      </c>
      <c r="K135" s="8">
        <f>K134+L135</f>
        <v>0</v>
      </c>
      <c r="L135" s="8">
        <f>IF($D135="CBB",$C135,0)</f>
        <v>0</v>
      </c>
    </row>
    <row r="136" spans="1:12" x14ac:dyDescent="0.25">
      <c r="A136" s="6">
        <v>41382</v>
      </c>
      <c r="B136" t="s">
        <v>46</v>
      </c>
      <c r="C136" s="7">
        <v>-300</v>
      </c>
      <c r="D136" t="s">
        <v>6</v>
      </c>
      <c r="E136" s="8">
        <f>E135+F136</f>
        <v>31416</v>
      </c>
      <c r="F136" s="8">
        <f>IF($D136="CR01",$C136,0)</f>
        <v>-300</v>
      </c>
      <c r="G136" s="8">
        <f>G135+H136</f>
        <v>0</v>
      </c>
      <c r="H136" s="8">
        <f>IF($D136="VISA",$C136,0)</f>
        <v>0</v>
      </c>
      <c r="I136" s="8">
        <f>I135+J136</f>
        <v>0</v>
      </c>
      <c r="J136" s="8">
        <f>IF($D136="ACC",$C136,0)</f>
        <v>0</v>
      </c>
      <c r="K136" s="8">
        <f>K135+L136</f>
        <v>0</v>
      </c>
      <c r="L136" s="8">
        <f>IF($D136="CBB",$C136,0)</f>
        <v>0</v>
      </c>
    </row>
    <row r="137" spans="1:12" x14ac:dyDescent="0.25">
      <c r="A137" s="6">
        <v>41384</v>
      </c>
      <c r="B137" t="s">
        <v>67</v>
      </c>
      <c r="C137" s="7">
        <v>6800</v>
      </c>
      <c r="D137" t="s">
        <v>6</v>
      </c>
      <c r="E137" s="8">
        <f>E136+F137</f>
        <v>38216</v>
      </c>
      <c r="F137" s="8">
        <f>IF($D137="CR01",$C137,0)</f>
        <v>6800</v>
      </c>
      <c r="G137" s="8">
        <f>G136+H137</f>
        <v>0</v>
      </c>
      <c r="H137" s="8">
        <f>IF($D137="VISA",$C137,0)</f>
        <v>0</v>
      </c>
      <c r="I137" s="8">
        <f>I136+J137</f>
        <v>0</v>
      </c>
      <c r="J137" s="8">
        <f>IF($D137="ACC",$C137,0)</f>
        <v>0</v>
      </c>
      <c r="K137" s="8">
        <f>K136+L137</f>
        <v>0</v>
      </c>
      <c r="L137" s="8">
        <f>IF($D137="CBB",$C137,0)</f>
        <v>0</v>
      </c>
    </row>
    <row r="138" spans="1:12" x14ac:dyDescent="0.25">
      <c r="A138" s="6">
        <v>41387</v>
      </c>
      <c r="B138" t="s">
        <v>42</v>
      </c>
      <c r="C138" s="7">
        <v>-2806</v>
      </c>
      <c r="D138" t="s">
        <v>6</v>
      </c>
      <c r="E138" s="8">
        <f>E137+F138</f>
        <v>35410</v>
      </c>
      <c r="F138" s="8">
        <f>IF($D138="CR01",$C138,0)</f>
        <v>-2806</v>
      </c>
      <c r="G138" s="8">
        <f>G137+H138</f>
        <v>0</v>
      </c>
      <c r="H138" s="8">
        <f>IF($D138="VISA",$C138,0)</f>
        <v>0</v>
      </c>
      <c r="I138" s="8">
        <f>I137+J138</f>
        <v>0</v>
      </c>
      <c r="J138" s="8">
        <f>IF($D138="ACC",$C138,0)</f>
        <v>0</v>
      </c>
      <c r="K138" s="8">
        <f>K137+L138</f>
        <v>0</v>
      </c>
      <c r="L138" s="8">
        <f>IF($D138="CBB",$C138,0)</f>
        <v>0</v>
      </c>
    </row>
    <row r="139" spans="1:12" x14ac:dyDescent="0.25">
      <c r="A139" s="6">
        <v>41387</v>
      </c>
      <c r="B139" t="s">
        <v>48</v>
      </c>
      <c r="C139" s="7">
        <v>-100</v>
      </c>
      <c r="D139" t="s">
        <v>6</v>
      </c>
      <c r="E139" s="8">
        <f>E138+F139</f>
        <v>35310</v>
      </c>
      <c r="F139" s="8">
        <f>IF($D139="CR01",$C139,0)</f>
        <v>-100</v>
      </c>
      <c r="G139" s="8">
        <f>G138+H139</f>
        <v>0</v>
      </c>
      <c r="H139" s="8">
        <f>IF($D139="VISA",$C139,0)</f>
        <v>0</v>
      </c>
      <c r="I139" s="8">
        <f>I138+J139</f>
        <v>0</v>
      </c>
      <c r="J139" s="8">
        <f>IF($D139="ACC",$C139,0)</f>
        <v>0</v>
      </c>
      <c r="K139" s="8">
        <f>K138+L139</f>
        <v>0</v>
      </c>
      <c r="L139" s="8">
        <f>IF($D139="CBB",$C139,0)</f>
        <v>0</v>
      </c>
    </row>
    <row r="140" spans="1:12" x14ac:dyDescent="0.25">
      <c r="A140" s="6">
        <v>41388</v>
      </c>
      <c r="B140" t="s">
        <v>47</v>
      </c>
      <c r="C140" s="7">
        <v>-120</v>
      </c>
      <c r="D140" t="s">
        <v>6</v>
      </c>
      <c r="E140" s="8">
        <f>E139+F140</f>
        <v>35190</v>
      </c>
      <c r="F140" s="8">
        <f>IF($D140="CR01",$C140,0)</f>
        <v>-120</v>
      </c>
      <c r="G140" s="8">
        <f>G139+H140</f>
        <v>0</v>
      </c>
      <c r="H140" s="8">
        <f>IF($D140="VISA",$C140,0)</f>
        <v>0</v>
      </c>
      <c r="I140" s="8">
        <f>I139+J140</f>
        <v>0</v>
      </c>
      <c r="J140" s="8">
        <f>IF($D140="ACC",$C140,0)</f>
        <v>0</v>
      </c>
      <c r="K140" s="8">
        <f>K139+L140</f>
        <v>0</v>
      </c>
      <c r="L140" s="8">
        <f>IF($D140="CBB",$C140,0)</f>
        <v>0</v>
      </c>
    </row>
    <row r="141" spans="1:12" x14ac:dyDescent="0.25">
      <c r="A141" s="6">
        <v>41389</v>
      </c>
      <c r="B141" t="s">
        <v>44</v>
      </c>
      <c r="C141" s="7">
        <v>-400</v>
      </c>
      <c r="D141" t="s">
        <v>6</v>
      </c>
      <c r="E141" s="8">
        <f>E140+F141</f>
        <v>34790</v>
      </c>
      <c r="F141" s="8">
        <f>IF($D141="CR01",$C141,0)</f>
        <v>-400</v>
      </c>
      <c r="G141" s="8">
        <f>G140+H141</f>
        <v>0</v>
      </c>
      <c r="H141" s="8">
        <f>IF($D141="VISA",$C141,0)</f>
        <v>0</v>
      </c>
      <c r="I141" s="8">
        <f>I140+J141</f>
        <v>0</v>
      </c>
      <c r="J141" s="8">
        <f>IF($D141="ACC",$C141,0)</f>
        <v>0</v>
      </c>
      <c r="K141" s="8">
        <f>K140+L141</f>
        <v>0</v>
      </c>
      <c r="L141" s="8">
        <f>IF($D141="CBB",$C141,0)</f>
        <v>0</v>
      </c>
    </row>
    <row r="142" spans="1:12" x14ac:dyDescent="0.25">
      <c r="A142" s="6">
        <v>41389</v>
      </c>
      <c r="B142" t="s">
        <v>45</v>
      </c>
      <c r="C142" s="7">
        <v>-180</v>
      </c>
      <c r="D142" t="s">
        <v>6</v>
      </c>
      <c r="E142" s="8">
        <f>E141+F142</f>
        <v>34610</v>
      </c>
      <c r="F142" s="8">
        <f>IF($D142="CR01",$C142,0)</f>
        <v>-180</v>
      </c>
      <c r="G142" s="8">
        <f>G141+H142</f>
        <v>0</v>
      </c>
      <c r="H142" s="8">
        <f>IF($D142="VISA",$C142,0)</f>
        <v>0</v>
      </c>
      <c r="I142" s="8">
        <f>I141+J142</f>
        <v>0</v>
      </c>
      <c r="J142" s="8">
        <f>IF($D142="ACC",$C142,0)</f>
        <v>0</v>
      </c>
      <c r="K142" s="8">
        <f>K141+L142</f>
        <v>0</v>
      </c>
      <c r="L142" s="8">
        <f>IF($D142="CBB",$C142,0)</f>
        <v>0</v>
      </c>
    </row>
    <row r="143" spans="1:12" x14ac:dyDescent="0.25">
      <c r="A143" s="6">
        <v>41389</v>
      </c>
      <c r="B143" t="s">
        <v>46</v>
      </c>
      <c r="C143" s="7">
        <v>-300</v>
      </c>
      <c r="D143" t="s">
        <v>6</v>
      </c>
      <c r="E143" s="8">
        <f>E142+F143</f>
        <v>34310</v>
      </c>
      <c r="F143" s="8">
        <f>IF($D143="CR01",$C143,0)</f>
        <v>-300</v>
      </c>
      <c r="G143" s="8">
        <f>G142+H143</f>
        <v>0</v>
      </c>
      <c r="H143" s="8">
        <f>IF($D143="VISA",$C143,0)</f>
        <v>0</v>
      </c>
      <c r="I143" s="8">
        <f>I142+J143</f>
        <v>0</v>
      </c>
      <c r="J143" s="8">
        <f>IF($D143="ACC",$C143,0)</f>
        <v>0</v>
      </c>
      <c r="K143" s="8">
        <f>K142+L143</f>
        <v>0</v>
      </c>
      <c r="L143" s="8">
        <f>IF($D143="CBB",$C143,0)</f>
        <v>0</v>
      </c>
    </row>
    <row r="144" spans="1:12" x14ac:dyDescent="0.25">
      <c r="A144" s="6">
        <v>41390</v>
      </c>
      <c r="B144" t="s">
        <v>43</v>
      </c>
      <c r="C144" s="7">
        <v>3226</v>
      </c>
      <c r="D144" t="s">
        <v>6</v>
      </c>
      <c r="E144" s="8">
        <f>E143+F144</f>
        <v>37536</v>
      </c>
      <c r="F144" s="8">
        <f>IF($D144="CR01",$C144,0)</f>
        <v>3226</v>
      </c>
      <c r="G144" s="8">
        <f>G143+H144</f>
        <v>0</v>
      </c>
      <c r="H144" s="8">
        <f>IF($D144="VISA",$C144,0)</f>
        <v>0</v>
      </c>
      <c r="I144" s="8">
        <f>I143+J144</f>
        <v>0</v>
      </c>
      <c r="J144" s="8">
        <f>IF($D144="ACC",$C144,0)</f>
        <v>0</v>
      </c>
      <c r="K144" s="8">
        <f>K143+L144</f>
        <v>0</v>
      </c>
      <c r="L144" s="8">
        <f>IF($D144="CBB",$C144,0)</f>
        <v>0</v>
      </c>
    </row>
    <row r="145" spans="1:12" x14ac:dyDescent="0.25">
      <c r="A145" s="6">
        <v>41394</v>
      </c>
      <c r="B145" t="s">
        <v>48</v>
      </c>
      <c r="C145" s="7">
        <v>-100</v>
      </c>
      <c r="D145" t="s">
        <v>6</v>
      </c>
      <c r="E145" s="8">
        <f>E144+F145</f>
        <v>37436</v>
      </c>
      <c r="F145" s="8">
        <f>IF($D145="CR01",$C145,0)</f>
        <v>-100</v>
      </c>
      <c r="G145" s="8">
        <f>G144+H145</f>
        <v>0</v>
      </c>
      <c r="H145" s="8">
        <f>IF($D145="VISA",$C145,0)</f>
        <v>0</v>
      </c>
      <c r="I145" s="8">
        <f>I144+J145</f>
        <v>0</v>
      </c>
      <c r="J145" s="8">
        <f>IF($D145="ACC",$C145,0)</f>
        <v>0</v>
      </c>
      <c r="K145" s="8">
        <f>K144+L145</f>
        <v>0</v>
      </c>
      <c r="L145" s="8">
        <f>IF($D145="CBB",$C145,0)</f>
        <v>0</v>
      </c>
    </row>
    <row r="146" spans="1:12" x14ac:dyDescent="0.25">
      <c r="A146" s="6">
        <v>41395</v>
      </c>
      <c r="B146" t="s">
        <v>47</v>
      </c>
      <c r="C146" s="7">
        <v>-120</v>
      </c>
      <c r="D146" t="s">
        <v>6</v>
      </c>
      <c r="E146" s="8">
        <f>E145+F146</f>
        <v>37316</v>
      </c>
      <c r="F146" s="8">
        <f>IF($D146="CR01",$C146,0)</f>
        <v>-120</v>
      </c>
      <c r="G146" s="8">
        <f>G145+H146</f>
        <v>0</v>
      </c>
      <c r="H146" s="8">
        <f>IF($D146="VISA",$C146,0)</f>
        <v>0</v>
      </c>
      <c r="I146" s="8">
        <f>I145+J146</f>
        <v>0</v>
      </c>
      <c r="J146" s="8">
        <f>IF($D146="ACC",$C146,0)</f>
        <v>0</v>
      </c>
      <c r="K146" s="8">
        <f>K145+L146</f>
        <v>0</v>
      </c>
      <c r="L146" s="8">
        <f>IF($D146="CBB",$C146,0)</f>
        <v>0</v>
      </c>
    </row>
    <row r="147" spans="1:12" x14ac:dyDescent="0.25">
      <c r="A147" s="6">
        <v>41395</v>
      </c>
      <c r="B147" t="s">
        <v>58</v>
      </c>
      <c r="C147" s="7">
        <v>-200</v>
      </c>
      <c r="D147" t="s">
        <v>6</v>
      </c>
      <c r="E147" s="8">
        <f>E146+F147</f>
        <v>37116</v>
      </c>
      <c r="F147" s="8">
        <f>IF($D147="CR01",$C147,0)</f>
        <v>-200</v>
      </c>
      <c r="G147" s="8">
        <f>G146+H147</f>
        <v>0</v>
      </c>
      <c r="H147" s="8">
        <f>IF($D147="VISA",$C147,0)</f>
        <v>0</v>
      </c>
      <c r="I147" s="8">
        <f>I146+J147</f>
        <v>0</v>
      </c>
      <c r="J147" s="8">
        <f>IF($D147="ACC",$C147,0)</f>
        <v>0</v>
      </c>
      <c r="K147" s="8">
        <f>K146+L147</f>
        <v>0</v>
      </c>
      <c r="L147" s="8">
        <f>IF($D147="CBB",$C147,0)</f>
        <v>0</v>
      </c>
    </row>
    <row r="148" spans="1:12" x14ac:dyDescent="0.25">
      <c r="A148" s="6">
        <v>41395</v>
      </c>
      <c r="B148" t="s">
        <v>60</v>
      </c>
      <c r="C148" s="7">
        <v>-400</v>
      </c>
      <c r="D148" t="s">
        <v>6</v>
      </c>
      <c r="E148" s="8">
        <f>E147+F148</f>
        <v>36716</v>
      </c>
      <c r="F148" s="8">
        <f>IF($D148="CR01",$C148,0)</f>
        <v>-400</v>
      </c>
      <c r="G148" s="8">
        <f>G147+H148</f>
        <v>0</v>
      </c>
      <c r="H148" s="8">
        <f>IF($D148="VISA",$C148,0)</f>
        <v>0</v>
      </c>
      <c r="I148" s="8">
        <f>I147+J148</f>
        <v>0</v>
      </c>
      <c r="J148" s="8">
        <f>IF($D148="ACC",$C148,0)</f>
        <v>0</v>
      </c>
      <c r="K148" s="8">
        <f>K147+L148</f>
        <v>0</v>
      </c>
      <c r="L148" s="8">
        <f>IF($D148="CBB",$C148,0)</f>
        <v>0</v>
      </c>
    </row>
    <row r="149" spans="1:12" x14ac:dyDescent="0.25">
      <c r="A149" s="6">
        <v>41395</v>
      </c>
      <c r="B149" t="s">
        <v>62</v>
      </c>
      <c r="C149" s="7">
        <v>-300</v>
      </c>
      <c r="D149" t="s">
        <v>6</v>
      </c>
      <c r="E149" s="8">
        <f>E148+F149</f>
        <v>36416</v>
      </c>
      <c r="F149" s="8">
        <f>IF($D149="CR01",$C149,0)</f>
        <v>-300</v>
      </c>
      <c r="G149" s="8">
        <f>G148+H149</f>
        <v>0</v>
      </c>
      <c r="H149" s="8">
        <f>IF($D149="VISA",$C149,0)</f>
        <v>0</v>
      </c>
      <c r="I149" s="8">
        <f>I148+J149</f>
        <v>0</v>
      </c>
      <c r="J149" s="8">
        <f>IF($D149="ACC",$C149,0)</f>
        <v>0</v>
      </c>
      <c r="K149" s="8">
        <f>K148+L149</f>
        <v>0</v>
      </c>
      <c r="L149" s="8">
        <f>IF($D149="CBB",$C149,0)</f>
        <v>0</v>
      </c>
    </row>
    <row r="150" spans="1:12" x14ac:dyDescent="0.25">
      <c r="A150" s="6">
        <v>41395</v>
      </c>
      <c r="B150" t="s">
        <v>63</v>
      </c>
      <c r="C150" s="7">
        <v>-300</v>
      </c>
      <c r="D150" t="s">
        <v>6</v>
      </c>
      <c r="E150" s="8">
        <f>E149+F150</f>
        <v>36116</v>
      </c>
      <c r="F150" s="8">
        <f>IF($D150="CR01",$C150,0)</f>
        <v>-300</v>
      </c>
      <c r="G150" s="8">
        <f>G149+H150</f>
        <v>0</v>
      </c>
      <c r="H150" s="8">
        <f>IF($D150="VISA",$C150,0)</f>
        <v>0</v>
      </c>
      <c r="I150" s="8">
        <f>I149+J150</f>
        <v>0</v>
      </c>
      <c r="J150" s="8">
        <f>IF($D150="ACC",$C150,0)</f>
        <v>0</v>
      </c>
      <c r="K150" s="8">
        <f>K149+L150</f>
        <v>0</v>
      </c>
      <c r="L150" s="8">
        <f>IF($D150="CBB",$C150,0)</f>
        <v>0</v>
      </c>
    </row>
    <row r="151" spans="1:12" x14ac:dyDescent="0.25">
      <c r="A151" s="6">
        <v>41395</v>
      </c>
      <c r="B151" t="s">
        <v>64</v>
      </c>
      <c r="C151" s="7">
        <v>-26</v>
      </c>
      <c r="D151" t="s">
        <v>6</v>
      </c>
      <c r="E151" s="8">
        <f>E150+F151</f>
        <v>36090</v>
      </c>
      <c r="F151" s="8">
        <f>IF($D151="CR01",$C151,0)</f>
        <v>-26</v>
      </c>
      <c r="G151" s="8">
        <f>G150+H151</f>
        <v>0</v>
      </c>
      <c r="H151" s="8">
        <f>IF($D151="VISA",$C151,0)</f>
        <v>0</v>
      </c>
      <c r="I151" s="8">
        <f>I150+J151</f>
        <v>0</v>
      </c>
      <c r="J151" s="8">
        <f>IF($D151="ACC",$C151,0)</f>
        <v>0</v>
      </c>
      <c r="K151" s="8">
        <f>K150+L151</f>
        <v>0</v>
      </c>
      <c r="L151" s="8">
        <f>IF($D151="CBB",$C151,0)</f>
        <v>0</v>
      </c>
    </row>
    <row r="152" spans="1:12" x14ac:dyDescent="0.25">
      <c r="A152" s="6">
        <v>41395</v>
      </c>
      <c r="B152" t="s">
        <v>65</v>
      </c>
      <c r="C152" s="7">
        <v>-240</v>
      </c>
      <c r="D152" t="s">
        <v>6</v>
      </c>
      <c r="E152" s="8">
        <f>E151+F152</f>
        <v>35850</v>
      </c>
      <c r="F152" s="8">
        <f>IF($D152="CR01",$C152,0)</f>
        <v>-240</v>
      </c>
      <c r="G152" s="8">
        <f>G151+H152</f>
        <v>0</v>
      </c>
      <c r="H152" s="8">
        <f>IF($D152="VISA",$C152,0)</f>
        <v>0</v>
      </c>
      <c r="I152" s="8">
        <f>I151+J152</f>
        <v>0</v>
      </c>
      <c r="J152" s="8">
        <f>IF($D152="ACC",$C152,0)</f>
        <v>0</v>
      </c>
      <c r="K152" s="8">
        <f>K151+L152</f>
        <v>0</v>
      </c>
      <c r="L152" s="8">
        <f>IF($D152="CBB",$C152,0)</f>
        <v>0</v>
      </c>
    </row>
    <row r="153" spans="1:12" x14ac:dyDescent="0.25">
      <c r="A153" s="6">
        <v>41395</v>
      </c>
      <c r="B153" t="s">
        <v>66</v>
      </c>
      <c r="C153" s="7">
        <v>-120</v>
      </c>
      <c r="D153" t="s">
        <v>6</v>
      </c>
      <c r="E153" s="8">
        <f>E152+F153</f>
        <v>35730</v>
      </c>
      <c r="F153" s="8">
        <f>IF($D153="CR01",$C153,0)</f>
        <v>-120</v>
      </c>
      <c r="G153" s="8">
        <f>G152+H153</f>
        <v>0</v>
      </c>
      <c r="H153" s="8">
        <f>IF($D153="VISA",$C153,0)</f>
        <v>0</v>
      </c>
      <c r="I153" s="8">
        <f>I152+J153</f>
        <v>0</v>
      </c>
      <c r="J153" s="8">
        <f>IF($D153="ACC",$C153,0)</f>
        <v>0</v>
      </c>
      <c r="K153" s="8">
        <f>K152+L153</f>
        <v>0</v>
      </c>
      <c r="L153" s="8">
        <f>IF($D153="CBB",$C153,0)</f>
        <v>0</v>
      </c>
    </row>
    <row r="154" spans="1:12" x14ac:dyDescent="0.25">
      <c r="A154" s="6">
        <v>41396</v>
      </c>
      <c r="B154" t="s">
        <v>44</v>
      </c>
      <c r="C154" s="7">
        <v>-400</v>
      </c>
      <c r="D154" t="s">
        <v>6</v>
      </c>
      <c r="E154" s="8">
        <f>E153+F154</f>
        <v>35330</v>
      </c>
      <c r="F154" s="8">
        <f>IF($D154="CR01",$C154,0)</f>
        <v>-400</v>
      </c>
      <c r="G154" s="8">
        <f>G153+H154</f>
        <v>0</v>
      </c>
      <c r="H154" s="8">
        <f>IF($D154="VISA",$C154,0)</f>
        <v>0</v>
      </c>
      <c r="I154" s="8">
        <f>I153+J154</f>
        <v>0</v>
      </c>
      <c r="J154" s="8">
        <f>IF($D154="ACC",$C154,0)</f>
        <v>0</v>
      </c>
      <c r="K154" s="8">
        <f>K153+L154</f>
        <v>0</v>
      </c>
      <c r="L154" s="8">
        <f>IF($D154="CBB",$C154,0)</f>
        <v>0</v>
      </c>
    </row>
    <row r="155" spans="1:12" x14ac:dyDescent="0.25">
      <c r="A155" s="6">
        <v>41396</v>
      </c>
      <c r="B155" t="s">
        <v>45</v>
      </c>
      <c r="C155" s="7">
        <v>-180</v>
      </c>
      <c r="D155" t="s">
        <v>6</v>
      </c>
      <c r="E155" s="8">
        <f>E154+F155</f>
        <v>35150</v>
      </c>
      <c r="F155" s="8">
        <f>IF($D155="CR01",$C155,0)</f>
        <v>-180</v>
      </c>
      <c r="G155" s="8">
        <f>G154+H155</f>
        <v>0</v>
      </c>
      <c r="H155" s="8">
        <f>IF($D155="VISA",$C155,0)</f>
        <v>0</v>
      </c>
      <c r="I155" s="8">
        <f>I154+J155</f>
        <v>0</v>
      </c>
      <c r="J155" s="8">
        <f>IF($D155="ACC",$C155,0)</f>
        <v>0</v>
      </c>
      <c r="K155" s="8">
        <f>K154+L155</f>
        <v>0</v>
      </c>
      <c r="L155" s="8">
        <f>IF($D155="CBB",$C155,0)</f>
        <v>0</v>
      </c>
    </row>
    <row r="156" spans="1:12" x14ac:dyDescent="0.25">
      <c r="A156" s="6">
        <v>41396</v>
      </c>
      <c r="B156" t="s">
        <v>46</v>
      </c>
      <c r="C156" s="7">
        <v>-300</v>
      </c>
      <c r="D156" t="s">
        <v>6</v>
      </c>
      <c r="E156" s="8">
        <f>E155+F156</f>
        <v>34850</v>
      </c>
      <c r="F156" s="8">
        <f>IF($D156="CR01",$C156,0)</f>
        <v>-300</v>
      </c>
      <c r="G156" s="8">
        <f>G155+H156</f>
        <v>0</v>
      </c>
      <c r="H156" s="8">
        <f>IF($D156="VISA",$C156,0)</f>
        <v>0</v>
      </c>
      <c r="I156" s="8">
        <f>I155+J156</f>
        <v>0</v>
      </c>
      <c r="J156" s="8">
        <f>IF($D156="ACC",$C156,0)</f>
        <v>0</v>
      </c>
      <c r="K156" s="8">
        <f>K155+L156</f>
        <v>0</v>
      </c>
      <c r="L156" s="8">
        <f>IF($D156="CBB",$C156,0)</f>
        <v>0</v>
      </c>
    </row>
    <row r="157" spans="1:12" x14ac:dyDescent="0.25">
      <c r="A157" s="6">
        <v>41396</v>
      </c>
      <c r="B157" t="s">
        <v>59</v>
      </c>
      <c r="C157" s="7">
        <v>-900</v>
      </c>
      <c r="D157" t="s">
        <v>6</v>
      </c>
      <c r="E157" s="8">
        <f>E156+F157</f>
        <v>33950</v>
      </c>
      <c r="F157" s="8">
        <f>IF($D157="CR01",$C157,0)</f>
        <v>-900</v>
      </c>
      <c r="G157" s="8">
        <f>G156+H157</f>
        <v>0</v>
      </c>
      <c r="H157" s="8">
        <f>IF($D157="VISA",$C157,0)</f>
        <v>0</v>
      </c>
      <c r="I157" s="8">
        <f>I156+J157</f>
        <v>0</v>
      </c>
      <c r="J157" s="8">
        <f>IF($D157="ACC",$C157,0)</f>
        <v>0</v>
      </c>
      <c r="K157" s="8">
        <f>K156+L157</f>
        <v>0</v>
      </c>
      <c r="L157" s="8">
        <f>IF($D157="CBB",$C157,0)</f>
        <v>0</v>
      </c>
    </row>
    <row r="158" spans="1:12" x14ac:dyDescent="0.25">
      <c r="A158" s="6">
        <v>41398</v>
      </c>
      <c r="B158" t="s">
        <v>67</v>
      </c>
      <c r="C158" s="7">
        <v>6800</v>
      </c>
      <c r="D158" t="s">
        <v>6</v>
      </c>
      <c r="E158" s="8">
        <f>E157+F158</f>
        <v>40750</v>
      </c>
      <c r="F158" s="8">
        <f>IF($D158="CR01",$C158,0)</f>
        <v>6800</v>
      </c>
      <c r="G158" s="8">
        <f>G157+H158</f>
        <v>0</v>
      </c>
      <c r="H158" s="8">
        <f>IF($D158="VISA",$C158,0)</f>
        <v>0</v>
      </c>
      <c r="I158" s="8">
        <f>I157+J158</f>
        <v>0</v>
      </c>
      <c r="J158" s="8">
        <f>IF($D158="ACC",$C158,0)</f>
        <v>0</v>
      </c>
      <c r="K158" s="8">
        <f>K157+L158</f>
        <v>0</v>
      </c>
      <c r="L158" s="8">
        <f>IF($D158="CBB",$C158,0)</f>
        <v>0</v>
      </c>
    </row>
    <row r="159" spans="1:12" x14ac:dyDescent="0.25">
      <c r="A159" s="6">
        <v>41401</v>
      </c>
      <c r="B159" t="s">
        <v>42</v>
      </c>
      <c r="C159" s="7">
        <v>-2806</v>
      </c>
      <c r="D159" t="s">
        <v>6</v>
      </c>
      <c r="E159" s="8">
        <f>E158+F159</f>
        <v>37944</v>
      </c>
      <c r="F159" s="8">
        <f>IF($D159="CR01",$C159,0)</f>
        <v>-2806</v>
      </c>
      <c r="G159" s="8">
        <f>G158+H159</f>
        <v>0</v>
      </c>
      <c r="H159" s="8">
        <f>IF($D159="VISA",$C159,0)</f>
        <v>0</v>
      </c>
      <c r="I159" s="8">
        <f>I158+J159</f>
        <v>0</v>
      </c>
      <c r="J159" s="8">
        <f>IF($D159="ACC",$C159,0)</f>
        <v>0</v>
      </c>
      <c r="K159" s="8">
        <f>K158+L159</f>
        <v>0</v>
      </c>
      <c r="L159" s="8">
        <f>IF($D159="CBB",$C159,0)</f>
        <v>0</v>
      </c>
    </row>
    <row r="160" spans="1:12" x14ac:dyDescent="0.25">
      <c r="A160" s="6">
        <v>41401</v>
      </c>
      <c r="B160" t="s">
        <v>48</v>
      </c>
      <c r="C160" s="7">
        <v>-100</v>
      </c>
      <c r="D160" t="s">
        <v>6</v>
      </c>
      <c r="E160" s="8">
        <f>E159+F160</f>
        <v>37844</v>
      </c>
      <c r="F160" s="8">
        <f>IF($D160="CR01",$C160,0)</f>
        <v>-100</v>
      </c>
      <c r="G160" s="8">
        <f>G159+H160</f>
        <v>0</v>
      </c>
      <c r="H160" s="8">
        <f>IF($D160="VISA",$C160,0)</f>
        <v>0</v>
      </c>
      <c r="I160" s="8">
        <f>I159+J160</f>
        <v>0</v>
      </c>
      <c r="J160" s="8">
        <f>IF($D160="ACC",$C160,0)</f>
        <v>0</v>
      </c>
      <c r="K160" s="8">
        <f>K159+L160</f>
        <v>0</v>
      </c>
      <c r="L160" s="8">
        <f>IF($D160="CBB",$C160,0)</f>
        <v>0</v>
      </c>
    </row>
    <row r="161" spans="1:12" x14ac:dyDescent="0.25">
      <c r="A161" s="6">
        <v>41402</v>
      </c>
      <c r="B161" t="s">
        <v>47</v>
      </c>
      <c r="C161" s="7">
        <v>-120</v>
      </c>
      <c r="D161" t="s">
        <v>6</v>
      </c>
      <c r="E161" s="8">
        <f>E160+F161</f>
        <v>37724</v>
      </c>
      <c r="F161" s="8">
        <f>IF($D161="CR01",$C161,0)</f>
        <v>-120</v>
      </c>
      <c r="G161" s="8">
        <f>G160+H161</f>
        <v>0</v>
      </c>
      <c r="H161" s="8">
        <f>IF($D161="VISA",$C161,0)</f>
        <v>0</v>
      </c>
      <c r="I161" s="8">
        <f>I160+J161</f>
        <v>0</v>
      </c>
      <c r="J161" s="8">
        <f>IF($D161="ACC",$C161,0)</f>
        <v>0</v>
      </c>
      <c r="K161" s="8">
        <f>K160+L161</f>
        <v>0</v>
      </c>
      <c r="L161" s="8">
        <f>IF($D161="CBB",$C161,0)</f>
        <v>0</v>
      </c>
    </row>
    <row r="162" spans="1:12" x14ac:dyDescent="0.25">
      <c r="A162" s="6">
        <v>41403</v>
      </c>
      <c r="B162" t="s">
        <v>44</v>
      </c>
      <c r="C162" s="7">
        <v>-400</v>
      </c>
      <c r="D162" t="s">
        <v>6</v>
      </c>
      <c r="E162" s="8">
        <f>E161+F162</f>
        <v>37324</v>
      </c>
      <c r="F162" s="8">
        <f>IF($D162="CR01",$C162,0)</f>
        <v>-400</v>
      </c>
      <c r="G162" s="8">
        <f>G161+H162</f>
        <v>0</v>
      </c>
      <c r="H162" s="8">
        <f>IF($D162="VISA",$C162,0)</f>
        <v>0</v>
      </c>
      <c r="I162" s="8">
        <f>I161+J162</f>
        <v>0</v>
      </c>
      <c r="J162" s="8">
        <f>IF($D162="ACC",$C162,0)</f>
        <v>0</v>
      </c>
      <c r="K162" s="8">
        <f>K161+L162</f>
        <v>0</v>
      </c>
      <c r="L162" s="8">
        <f>IF($D162="CBB",$C162,0)</f>
        <v>0</v>
      </c>
    </row>
    <row r="163" spans="1:12" x14ac:dyDescent="0.25">
      <c r="A163" s="6">
        <v>41403</v>
      </c>
      <c r="B163" t="s">
        <v>45</v>
      </c>
      <c r="C163" s="7">
        <v>-180</v>
      </c>
      <c r="D163" t="s">
        <v>6</v>
      </c>
      <c r="E163" s="8">
        <f>E162+F163</f>
        <v>37144</v>
      </c>
      <c r="F163" s="8">
        <f>IF($D163="CR01",$C163,0)</f>
        <v>-180</v>
      </c>
      <c r="G163" s="8">
        <f>G162+H163</f>
        <v>0</v>
      </c>
      <c r="H163" s="8">
        <f>IF($D163="VISA",$C163,0)</f>
        <v>0</v>
      </c>
      <c r="I163" s="8">
        <f>I162+J163</f>
        <v>0</v>
      </c>
      <c r="J163" s="8">
        <f>IF($D163="ACC",$C163,0)</f>
        <v>0</v>
      </c>
      <c r="K163" s="8">
        <f>K162+L163</f>
        <v>0</v>
      </c>
      <c r="L163" s="8">
        <f>IF($D163="CBB",$C163,0)</f>
        <v>0</v>
      </c>
    </row>
    <row r="164" spans="1:12" x14ac:dyDescent="0.25">
      <c r="A164" s="6">
        <v>41403</v>
      </c>
      <c r="B164" t="s">
        <v>46</v>
      </c>
      <c r="C164" s="7">
        <v>-300</v>
      </c>
      <c r="D164" t="s">
        <v>6</v>
      </c>
      <c r="E164" s="8">
        <f>E163+F164</f>
        <v>36844</v>
      </c>
      <c r="F164" s="8">
        <f>IF($D164="CR01",$C164,0)</f>
        <v>-300</v>
      </c>
      <c r="G164" s="8">
        <f>G163+H164</f>
        <v>0</v>
      </c>
      <c r="H164" s="8">
        <f>IF($D164="VISA",$C164,0)</f>
        <v>0</v>
      </c>
      <c r="I164" s="8">
        <f>I163+J164</f>
        <v>0</v>
      </c>
      <c r="J164" s="8">
        <f>IF($D164="ACC",$C164,0)</f>
        <v>0</v>
      </c>
      <c r="K164" s="8">
        <f>K163+L164</f>
        <v>0</v>
      </c>
      <c r="L164" s="8">
        <f>IF($D164="CBB",$C164,0)</f>
        <v>0</v>
      </c>
    </row>
    <row r="165" spans="1:12" x14ac:dyDescent="0.25">
      <c r="A165" s="6">
        <v>41404</v>
      </c>
      <c r="B165" t="s">
        <v>43</v>
      </c>
      <c r="C165" s="7">
        <v>3226</v>
      </c>
      <c r="D165" t="s">
        <v>6</v>
      </c>
      <c r="E165" s="8">
        <f>E164+F165</f>
        <v>40070</v>
      </c>
      <c r="F165" s="8">
        <f>IF($D165="CR01",$C165,0)</f>
        <v>3226</v>
      </c>
      <c r="G165" s="8">
        <f>G164+H165</f>
        <v>0</v>
      </c>
      <c r="H165" s="8">
        <f>IF($D165="VISA",$C165,0)</f>
        <v>0</v>
      </c>
      <c r="I165" s="8">
        <f>I164+J165</f>
        <v>0</v>
      </c>
      <c r="J165" s="8">
        <f>IF($D165="ACC",$C165,0)</f>
        <v>0</v>
      </c>
      <c r="K165" s="8">
        <f>K164+L165</f>
        <v>0</v>
      </c>
      <c r="L165" s="8">
        <f>IF($D165="CBB",$C165,0)</f>
        <v>0</v>
      </c>
    </row>
    <row r="166" spans="1:12" x14ac:dyDescent="0.25">
      <c r="A166" s="6">
        <v>41408</v>
      </c>
      <c r="B166" t="s">
        <v>48</v>
      </c>
      <c r="C166" s="7">
        <v>-100</v>
      </c>
      <c r="D166" t="s">
        <v>6</v>
      </c>
      <c r="E166" s="8">
        <f>E165+F166</f>
        <v>39970</v>
      </c>
      <c r="F166" s="8">
        <f>IF($D166="CR01",$C166,0)</f>
        <v>-100</v>
      </c>
      <c r="G166" s="8">
        <f>G165+H166</f>
        <v>0</v>
      </c>
      <c r="H166" s="8">
        <f>IF($D166="VISA",$C166,0)</f>
        <v>0</v>
      </c>
      <c r="I166" s="8">
        <f>I165+J166</f>
        <v>0</v>
      </c>
      <c r="J166" s="8">
        <f>IF($D166="ACC",$C166,0)</f>
        <v>0</v>
      </c>
      <c r="K166" s="8">
        <f>K165+L166</f>
        <v>0</v>
      </c>
      <c r="L166" s="8">
        <f>IF($D166="CBB",$C166,0)</f>
        <v>0</v>
      </c>
    </row>
    <row r="167" spans="1:12" x14ac:dyDescent="0.25">
      <c r="A167" s="6">
        <v>41409</v>
      </c>
      <c r="B167" t="s">
        <v>47</v>
      </c>
      <c r="C167" s="7">
        <v>-120</v>
      </c>
      <c r="D167" t="s">
        <v>6</v>
      </c>
      <c r="E167" s="8">
        <f>E166+F167</f>
        <v>39850</v>
      </c>
      <c r="F167" s="8">
        <f>IF($D167="CR01",$C167,0)</f>
        <v>-120</v>
      </c>
      <c r="G167" s="8">
        <f>G166+H167</f>
        <v>0</v>
      </c>
      <c r="H167" s="8">
        <f>IF($D167="VISA",$C167,0)</f>
        <v>0</v>
      </c>
      <c r="I167" s="8">
        <f>I166+J167</f>
        <v>0</v>
      </c>
      <c r="J167" s="8">
        <f>IF($D167="ACC",$C167,0)</f>
        <v>0</v>
      </c>
      <c r="K167" s="8">
        <f>K166+L167</f>
        <v>0</v>
      </c>
      <c r="L167" s="8">
        <f>IF($D167="CBB",$C167,0)</f>
        <v>0</v>
      </c>
    </row>
    <row r="168" spans="1:12" x14ac:dyDescent="0.25">
      <c r="A168" s="6">
        <v>41410</v>
      </c>
      <c r="B168" t="s">
        <v>44</v>
      </c>
      <c r="C168" s="7">
        <v>-400</v>
      </c>
      <c r="D168" t="s">
        <v>6</v>
      </c>
      <c r="E168" s="8">
        <f>E167+F168</f>
        <v>39450</v>
      </c>
      <c r="F168" s="8">
        <f>IF($D168="CR01",$C168,0)</f>
        <v>-400</v>
      </c>
      <c r="G168" s="8">
        <f>G167+H168</f>
        <v>0</v>
      </c>
      <c r="H168" s="8">
        <f>IF($D168="VISA",$C168,0)</f>
        <v>0</v>
      </c>
      <c r="I168" s="8">
        <f>I167+J168</f>
        <v>0</v>
      </c>
      <c r="J168" s="8">
        <f>IF($D168="ACC",$C168,0)</f>
        <v>0</v>
      </c>
      <c r="K168" s="8">
        <f>K167+L168</f>
        <v>0</v>
      </c>
      <c r="L168" s="8">
        <f>IF($D168="CBB",$C168,0)</f>
        <v>0</v>
      </c>
    </row>
    <row r="169" spans="1:12" x14ac:dyDescent="0.25">
      <c r="A169" s="6">
        <v>41410</v>
      </c>
      <c r="B169" t="s">
        <v>45</v>
      </c>
      <c r="C169" s="7">
        <v>-180</v>
      </c>
      <c r="D169" t="s">
        <v>6</v>
      </c>
      <c r="E169" s="8">
        <f>E168+F169</f>
        <v>39270</v>
      </c>
      <c r="F169" s="8">
        <f>IF($D169="CR01",$C169,0)</f>
        <v>-180</v>
      </c>
      <c r="G169" s="8">
        <f>G168+H169</f>
        <v>0</v>
      </c>
      <c r="H169" s="8">
        <f>IF($D169="VISA",$C169,0)</f>
        <v>0</v>
      </c>
      <c r="I169" s="8">
        <f>I168+J169</f>
        <v>0</v>
      </c>
      <c r="J169" s="8">
        <f>IF($D169="ACC",$C169,0)</f>
        <v>0</v>
      </c>
      <c r="K169" s="8">
        <f>K168+L169</f>
        <v>0</v>
      </c>
      <c r="L169" s="8">
        <f>IF($D169="CBB",$C169,0)</f>
        <v>0</v>
      </c>
    </row>
    <row r="170" spans="1:12" x14ac:dyDescent="0.25">
      <c r="A170" s="6">
        <v>41410</v>
      </c>
      <c r="B170" t="s">
        <v>46</v>
      </c>
      <c r="C170" s="7">
        <v>-300</v>
      </c>
      <c r="D170" t="s">
        <v>6</v>
      </c>
      <c r="E170" s="8">
        <f>E169+F170</f>
        <v>38970</v>
      </c>
      <c r="F170" s="8">
        <f>IF($D170="CR01",$C170,0)</f>
        <v>-300</v>
      </c>
      <c r="G170" s="8">
        <f>G169+H170</f>
        <v>0</v>
      </c>
      <c r="H170" s="8">
        <f>IF($D170="VISA",$C170,0)</f>
        <v>0</v>
      </c>
      <c r="I170" s="8">
        <f>I169+J170</f>
        <v>0</v>
      </c>
      <c r="J170" s="8">
        <f>IF($D170="ACC",$C170,0)</f>
        <v>0</v>
      </c>
      <c r="K170" s="8">
        <f>K169+L170</f>
        <v>0</v>
      </c>
      <c r="L170" s="8">
        <f>IF($D170="CBB",$C170,0)</f>
        <v>0</v>
      </c>
    </row>
    <row r="171" spans="1:12" x14ac:dyDescent="0.25">
      <c r="A171" s="6">
        <v>41412</v>
      </c>
      <c r="B171" t="s">
        <v>67</v>
      </c>
      <c r="C171" s="7">
        <v>6800</v>
      </c>
      <c r="D171" t="s">
        <v>6</v>
      </c>
      <c r="E171" s="8">
        <f>E170+F171</f>
        <v>45770</v>
      </c>
      <c r="F171" s="8">
        <f>IF($D171="CR01",$C171,0)</f>
        <v>6800</v>
      </c>
      <c r="G171" s="8">
        <f>G170+H171</f>
        <v>0</v>
      </c>
      <c r="H171" s="8">
        <f>IF($D171="VISA",$C171,0)</f>
        <v>0</v>
      </c>
      <c r="I171" s="8">
        <f>I170+J171</f>
        <v>0</v>
      </c>
      <c r="J171" s="8">
        <f>IF($D171="ACC",$C171,0)</f>
        <v>0</v>
      </c>
      <c r="K171" s="8">
        <f>K170+L171</f>
        <v>0</v>
      </c>
      <c r="L171" s="8">
        <f>IF($D171="CBB",$C171,0)</f>
        <v>0</v>
      </c>
    </row>
    <row r="172" spans="1:12" x14ac:dyDescent="0.25">
      <c r="A172" s="6">
        <v>41415</v>
      </c>
      <c r="B172" t="s">
        <v>42</v>
      </c>
      <c r="C172" s="7">
        <v>-2806</v>
      </c>
      <c r="D172" t="s">
        <v>6</v>
      </c>
      <c r="E172" s="8">
        <f>E171+F172</f>
        <v>42964</v>
      </c>
      <c r="F172" s="8">
        <f>IF($D172="CR01",$C172,0)</f>
        <v>-2806</v>
      </c>
      <c r="G172" s="8">
        <f>G171+H172</f>
        <v>0</v>
      </c>
      <c r="H172" s="8">
        <f>IF($D172="VISA",$C172,0)</f>
        <v>0</v>
      </c>
      <c r="I172" s="8">
        <f>I171+J172</f>
        <v>0</v>
      </c>
      <c r="J172" s="8">
        <f>IF($D172="ACC",$C172,0)</f>
        <v>0</v>
      </c>
      <c r="K172" s="8">
        <f>K171+L172</f>
        <v>0</v>
      </c>
      <c r="L172" s="8">
        <f>IF($D172="CBB",$C172,0)</f>
        <v>0</v>
      </c>
    </row>
    <row r="173" spans="1:12" x14ac:dyDescent="0.25">
      <c r="A173" s="6">
        <v>41415</v>
      </c>
      <c r="B173" t="s">
        <v>48</v>
      </c>
      <c r="C173" s="7">
        <v>-100</v>
      </c>
      <c r="D173" t="s">
        <v>6</v>
      </c>
      <c r="E173" s="8">
        <f>E172+F173</f>
        <v>42864</v>
      </c>
      <c r="F173" s="8">
        <f>IF($D173="CR01",$C173,0)</f>
        <v>-100</v>
      </c>
      <c r="G173" s="8">
        <f>G172+H173</f>
        <v>0</v>
      </c>
      <c r="H173" s="8">
        <f>IF($D173="VISA",$C173,0)</f>
        <v>0</v>
      </c>
      <c r="I173" s="8">
        <f>I172+J173</f>
        <v>0</v>
      </c>
      <c r="J173" s="8">
        <f>IF($D173="ACC",$C173,0)</f>
        <v>0</v>
      </c>
      <c r="K173" s="8">
        <f>K172+L173</f>
        <v>0</v>
      </c>
      <c r="L173" s="8">
        <f>IF($D173="CBB",$C173,0)</f>
        <v>0</v>
      </c>
    </row>
    <row r="174" spans="1:12" x14ac:dyDescent="0.25">
      <c r="A174" s="6">
        <v>41416</v>
      </c>
      <c r="B174" t="s">
        <v>47</v>
      </c>
      <c r="C174" s="7">
        <v>-120</v>
      </c>
      <c r="D174" t="s">
        <v>6</v>
      </c>
      <c r="E174" s="8">
        <f>E173+F174</f>
        <v>42744</v>
      </c>
      <c r="F174" s="8">
        <f>IF($D174="CR01",$C174,0)</f>
        <v>-120</v>
      </c>
      <c r="G174" s="8">
        <f>G173+H174</f>
        <v>0</v>
      </c>
      <c r="H174" s="8">
        <f>IF($D174="VISA",$C174,0)</f>
        <v>0</v>
      </c>
      <c r="I174" s="8">
        <f>I173+J174</f>
        <v>0</v>
      </c>
      <c r="J174" s="8">
        <f>IF($D174="ACC",$C174,0)</f>
        <v>0</v>
      </c>
      <c r="K174" s="8">
        <f>K173+L174</f>
        <v>0</v>
      </c>
      <c r="L174" s="8">
        <f>IF($D174="CBB",$C174,0)</f>
        <v>0</v>
      </c>
    </row>
    <row r="175" spans="1:12" x14ac:dyDescent="0.25">
      <c r="A175" s="6">
        <v>41417</v>
      </c>
      <c r="B175" t="s">
        <v>44</v>
      </c>
      <c r="C175" s="7">
        <v>-400</v>
      </c>
      <c r="D175" t="s">
        <v>6</v>
      </c>
      <c r="E175" s="8">
        <f>E174+F175</f>
        <v>42344</v>
      </c>
      <c r="F175" s="8">
        <f>IF($D175="CR01",$C175,0)</f>
        <v>-400</v>
      </c>
      <c r="G175" s="8">
        <f>G174+H175</f>
        <v>0</v>
      </c>
      <c r="H175" s="8">
        <f>IF($D175="VISA",$C175,0)</f>
        <v>0</v>
      </c>
      <c r="I175" s="8">
        <f>I174+J175</f>
        <v>0</v>
      </c>
      <c r="J175" s="8">
        <f>IF($D175="ACC",$C175,0)</f>
        <v>0</v>
      </c>
      <c r="K175" s="8">
        <f>K174+L175</f>
        <v>0</v>
      </c>
      <c r="L175" s="8">
        <f>IF($D175="CBB",$C175,0)</f>
        <v>0</v>
      </c>
    </row>
    <row r="176" spans="1:12" x14ac:dyDescent="0.25">
      <c r="A176" s="6">
        <v>41417</v>
      </c>
      <c r="B176" t="s">
        <v>45</v>
      </c>
      <c r="C176" s="7">
        <v>-180</v>
      </c>
      <c r="D176" t="s">
        <v>6</v>
      </c>
      <c r="E176" s="8">
        <f>E175+F176</f>
        <v>42164</v>
      </c>
      <c r="F176" s="8">
        <f>IF($D176="CR01",$C176,0)</f>
        <v>-180</v>
      </c>
      <c r="G176" s="8">
        <f>G175+H176</f>
        <v>0</v>
      </c>
      <c r="H176" s="8">
        <f>IF($D176="VISA",$C176,0)</f>
        <v>0</v>
      </c>
      <c r="I176" s="8">
        <f>I175+J176</f>
        <v>0</v>
      </c>
      <c r="J176" s="8">
        <f>IF($D176="ACC",$C176,0)</f>
        <v>0</v>
      </c>
      <c r="K176" s="8">
        <f>K175+L176</f>
        <v>0</v>
      </c>
      <c r="L176" s="8">
        <f>IF($D176="CBB",$C176,0)</f>
        <v>0</v>
      </c>
    </row>
    <row r="177" spans="1:12" x14ac:dyDescent="0.25">
      <c r="A177" s="6">
        <v>41417</v>
      </c>
      <c r="B177" t="s">
        <v>46</v>
      </c>
      <c r="C177" s="7">
        <v>-300</v>
      </c>
      <c r="D177" t="s">
        <v>6</v>
      </c>
      <c r="E177" s="8">
        <f>E176+F177</f>
        <v>41864</v>
      </c>
      <c r="F177" s="8">
        <f>IF($D177="CR01",$C177,0)</f>
        <v>-300</v>
      </c>
      <c r="G177" s="8">
        <f>G176+H177</f>
        <v>0</v>
      </c>
      <c r="H177" s="8">
        <f>IF($D177="VISA",$C177,0)</f>
        <v>0</v>
      </c>
      <c r="I177" s="8">
        <f>I176+J177</f>
        <v>0</v>
      </c>
      <c r="J177" s="8">
        <f>IF($D177="ACC",$C177,0)</f>
        <v>0</v>
      </c>
      <c r="K177" s="8">
        <f>K176+L177</f>
        <v>0</v>
      </c>
      <c r="L177" s="8">
        <f>IF($D177="CBB",$C177,0)</f>
        <v>0</v>
      </c>
    </row>
    <row r="178" spans="1:12" x14ac:dyDescent="0.25">
      <c r="A178" s="6">
        <v>41418</v>
      </c>
      <c r="B178" t="s">
        <v>43</v>
      </c>
      <c r="C178" s="7">
        <v>3226</v>
      </c>
      <c r="D178" t="s">
        <v>6</v>
      </c>
      <c r="E178" s="8">
        <f>E177+F178</f>
        <v>45090</v>
      </c>
      <c r="F178" s="8">
        <f>IF($D178="CR01",$C178,0)</f>
        <v>3226</v>
      </c>
      <c r="G178" s="8">
        <f>G177+H178</f>
        <v>0</v>
      </c>
      <c r="H178" s="8">
        <f>IF($D178="VISA",$C178,0)</f>
        <v>0</v>
      </c>
      <c r="I178" s="8">
        <f>I177+J178</f>
        <v>0</v>
      </c>
      <c r="J178" s="8">
        <f>IF($D178="ACC",$C178,0)</f>
        <v>0</v>
      </c>
      <c r="K178" s="8">
        <f>K177+L178</f>
        <v>0</v>
      </c>
      <c r="L178" s="8">
        <f>IF($D178="CBB",$C178,0)</f>
        <v>0</v>
      </c>
    </row>
    <row r="179" spans="1:12" x14ac:dyDescent="0.25">
      <c r="A179" s="6">
        <v>41422</v>
      </c>
      <c r="B179" t="s">
        <v>48</v>
      </c>
      <c r="C179" s="7">
        <v>-100</v>
      </c>
      <c r="D179" t="s">
        <v>6</v>
      </c>
      <c r="E179" s="8">
        <f>E178+F179</f>
        <v>44990</v>
      </c>
      <c r="F179" s="8">
        <f>IF($D179="CR01",$C179,0)</f>
        <v>-100</v>
      </c>
      <c r="G179" s="8">
        <f>G178+H179</f>
        <v>0</v>
      </c>
      <c r="H179" s="8">
        <f>IF($D179="VISA",$C179,0)</f>
        <v>0</v>
      </c>
      <c r="I179" s="8">
        <f>I178+J179</f>
        <v>0</v>
      </c>
      <c r="J179" s="8">
        <f>IF($D179="ACC",$C179,0)</f>
        <v>0</v>
      </c>
      <c r="K179" s="8">
        <f>K178+L179</f>
        <v>0</v>
      </c>
      <c r="L179" s="8">
        <f>IF($D179="CBB",$C179,0)</f>
        <v>0</v>
      </c>
    </row>
    <row r="180" spans="1:12" x14ac:dyDescent="0.25">
      <c r="A180" s="6">
        <v>41423</v>
      </c>
      <c r="B180" t="s">
        <v>47</v>
      </c>
      <c r="C180" s="7">
        <v>-120</v>
      </c>
      <c r="D180" t="s">
        <v>6</v>
      </c>
      <c r="E180" s="8">
        <f>E179+F180</f>
        <v>44870</v>
      </c>
      <c r="F180" s="8">
        <f>IF($D180="CR01",$C180,0)</f>
        <v>-120</v>
      </c>
      <c r="G180" s="8">
        <f>G179+H180</f>
        <v>0</v>
      </c>
      <c r="H180" s="8">
        <f>IF($D180="VISA",$C180,0)</f>
        <v>0</v>
      </c>
      <c r="I180" s="8">
        <f>I179+J180</f>
        <v>0</v>
      </c>
      <c r="J180" s="8">
        <f>IF($D180="ACC",$C180,0)</f>
        <v>0</v>
      </c>
      <c r="K180" s="8">
        <f>K179+L180</f>
        <v>0</v>
      </c>
      <c r="L180" s="8">
        <f>IF($D180="CBB",$C180,0)</f>
        <v>0</v>
      </c>
    </row>
    <row r="181" spans="1:12" x14ac:dyDescent="0.25">
      <c r="A181" s="6">
        <v>41424</v>
      </c>
      <c r="B181" t="s">
        <v>44</v>
      </c>
      <c r="C181" s="7">
        <v>-400</v>
      </c>
      <c r="D181" t="s">
        <v>6</v>
      </c>
      <c r="E181" s="8">
        <f>E180+F181</f>
        <v>44470</v>
      </c>
      <c r="F181" s="8">
        <f>IF($D181="CR01",$C181,0)</f>
        <v>-400</v>
      </c>
      <c r="G181" s="8">
        <f>G180+H181</f>
        <v>0</v>
      </c>
      <c r="H181" s="8">
        <f>IF($D181="VISA",$C181,0)</f>
        <v>0</v>
      </c>
      <c r="I181" s="8">
        <f>I180+J181</f>
        <v>0</v>
      </c>
      <c r="J181" s="8">
        <f>IF($D181="ACC",$C181,0)</f>
        <v>0</v>
      </c>
      <c r="K181" s="8">
        <f>K180+L181</f>
        <v>0</v>
      </c>
      <c r="L181" s="8">
        <f>IF($D181="CBB",$C181,0)</f>
        <v>0</v>
      </c>
    </row>
    <row r="182" spans="1:12" x14ac:dyDescent="0.25">
      <c r="A182" s="6">
        <v>41424</v>
      </c>
      <c r="B182" t="s">
        <v>45</v>
      </c>
      <c r="C182" s="7">
        <v>-180</v>
      </c>
      <c r="D182" t="s">
        <v>6</v>
      </c>
      <c r="E182" s="8">
        <f>E181+F182</f>
        <v>44290</v>
      </c>
      <c r="F182" s="8">
        <f>IF($D182="CR01",$C182,0)</f>
        <v>-180</v>
      </c>
      <c r="G182" s="8">
        <f>G181+H182</f>
        <v>0</v>
      </c>
      <c r="H182" s="8">
        <f>IF($D182="VISA",$C182,0)</f>
        <v>0</v>
      </c>
      <c r="I182" s="8">
        <f>I181+J182</f>
        <v>0</v>
      </c>
      <c r="J182" s="8">
        <f>IF($D182="ACC",$C182,0)</f>
        <v>0</v>
      </c>
      <c r="K182" s="8">
        <f>K181+L182</f>
        <v>0</v>
      </c>
      <c r="L182" s="8">
        <f>IF($D182="CBB",$C182,0)</f>
        <v>0</v>
      </c>
    </row>
    <row r="183" spans="1:12" x14ac:dyDescent="0.25">
      <c r="A183" s="6">
        <v>41424</v>
      </c>
      <c r="B183" t="s">
        <v>46</v>
      </c>
      <c r="C183" s="7">
        <v>-300</v>
      </c>
      <c r="D183" t="s">
        <v>6</v>
      </c>
      <c r="E183" s="8">
        <f>E182+F183</f>
        <v>43990</v>
      </c>
      <c r="F183" s="8">
        <f>IF($D183="CR01",$C183,0)</f>
        <v>-300</v>
      </c>
      <c r="G183" s="8">
        <f>G182+H183</f>
        <v>0</v>
      </c>
      <c r="H183" s="8">
        <f>IF($D183="VISA",$C183,0)</f>
        <v>0</v>
      </c>
      <c r="I183" s="8">
        <f>I182+J183</f>
        <v>0</v>
      </c>
      <c r="J183" s="8">
        <f>IF($D183="ACC",$C183,0)</f>
        <v>0</v>
      </c>
      <c r="K183" s="8">
        <f>K182+L183</f>
        <v>0</v>
      </c>
      <c r="L183" s="8">
        <f>IF($D183="CBB",$C183,0)</f>
        <v>0</v>
      </c>
    </row>
    <row r="184" spans="1:12" x14ac:dyDescent="0.25">
      <c r="A184" s="6">
        <v>41426</v>
      </c>
      <c r="B184" t="s">
        <v>67</v>
      </c>
      <c r="C184" s="7">
        <v>6800</v>
      </c>
      <c r="D184" t="s">
        <v>6</v>
      </c>
      <c r="E184" s="8">
        <f>E183+F184</f>
        <v>50790</v>
      </c>
      <c r="F184" s="8">
        <f>IF($D184="CR01",$C184,0)</f>
        <v>6800</v>
      </c>
      <c r="G184" s="8">
        <f>G183+H184</f>
        <v>0</v>
      </c>
      <c r="H184" s="8">
        <f>IF($D184="VISA",$C184,0)</f>
        <v>0</v>
      </c>
      <c r="I184" s="8">
        <f>I183+J184</f>
        <v>0</v>
      </c>
      <c r="J184" s="8">
        <f>IF($D184="ACC",$C184,0)</f>
        <v>0</v>
      </c>
      <c r="K184" s="8">
        <f>K183+L184</f>
        <v>0</v>
      </c>
      <c r="L184" s="8">
        <f>IF($D184="CBB",$C184,0)</f>
        <v>0</v>
      </c>
    </row>
    <row r="185" spans="1:12" x14ac:dyDescent="0.25">
      <c r="A185" s="6">
        <v>41426</v>
      </c>
      <c r="B185" t="s">
        <v>58</v>
      </c>
      <c r="C185" s="7">
        <v>-200</v>
      </c>
      <c r="D185" t="s">
        <v>6</v>
      </c>
      <c r="E185" s="8">
        <f>E184+F185</f>
        <v>50590</v>
      </c>
      <c r="F185" s="8">
        <f>IF($D185="CR01",$C185,0)</f>
        <v>-200</v>
      </c>
      <c r="G185" s="8">
        <f>G184+H185</f>
        <v>0</v>
      </c>
      <c r="H185" s="8">
        <f>IF($D185="VISA",$C185,0)</f>
        <v>0</v>
      </c>
      <c r="I185" s="8">
        <f>I184+J185</f>
        <v>0</v>
      </c>
      <c r="J185" s="8">
        <f>IF($D185="ACC",$C185,0)</f>
        <v>0</v>
      </c>
      <c r="K185" s="8">
        <f>K184+L185</f>
        <v>0</v>
      </c>
      <c r="L185" s="8">
        <f>IF($D185="CBB",$C185,0)</f>
        <v>0</v>
      </c>
    </row>
    <row r="186" spans="1:12" x14ac:dyDescent="0.25">
      <c r="A186" s="6">
        <v>41426</v>
      </c>
      <c r="B186" t="s">
        <v>60</v>
      </c>
      <c r="C186" s="7">
        <v>-400</v>
      </c>
      <c r="D186" t="s">
        <v>6</v>
      </c>
      <c r="E186" s="8">
        <f>E185+F186</f>
        <v>50190</v>
      </c>
      <c r="F186" s="8">
        <f>IF($D186="CR01",$C186,0)</f>
        <v>-400</v>
      </c>
      <c r="G186" s="8">
        <f>G185+H186</f>
        <v>0</v>
      </c>
      <c r="H186" s="8">
        <f>IF($D186="VISA",$C186,0)</f>
        <v>0</v>
      </c>
      <c r="I186" s="8">
        <f>I185+J186</f>
        <v>0</v>
      </c>
      <c r="J186" s="8">
        <f>IF($D186="ACC",$C186,0)</f>
        <v>0</v>
      </c>
      <c r="K186" s="8">
        <f>K185+L186</f>
        <v>0</v>
      </c>
      <c r="L186" s="8">
        <f>IF($D186="CBB",$C186,0)</f>
        <v>0</v>
      </c>
    </row>
    <row r="187" spans="1:12" x14ac:dyDescent="0.25">
      <c r="A187" s="6">
        <v>41426</v>
      </c>
      <c r="B187" t="s">
        <v>64</v>
      </c>
      <c r="C187" s="7">
        <v>-26</v>
      </c>
      <c r="D187" t="s">
        <v>6</v>
      </c>
      <c r="E187" s="8">
        <f>E186+F187</f>
        <v>50164</v>
      </c>
      <c r="F187" s="8">
        <f>IF($D187="CR01",$C187,0)</f>
        <v>-26</v>
      </c>
      <c r="G187" s="8">
        <f>G186+H187</f>
        <v>0</v>
      </c>
      <c r="H187" s="8">
        <f>IF($D187="VISA",$C187,0)</f>
        <v>0</v>
      </c>
      <c r="I187" s="8">
        <f>I186+J187</f>
        <v>0</v>
      </c>
      <c r="J187" s="8">
        <f>IF($D187="ACC",$C187,0)</f>
        <v>0</v>
      </c>
      <c r="K187" s="8">
        <f>K186+L187</f>
        <v>0</v>
      </c>
      <c r="L187" s="8">
        <f>IF($D187="CBB",$C187,0)</f>
        <v>0</v>
      </c>
    </row>
    <row r="188" spans="1:12" x14ac:dyDescent="0.25">
      <c r="A188" s="6">
        <v>41426</v>
      </c>
      <c r="B188" t="s">
        <v>65</v>
      </c>
      <c r="C188" s="7">
        <v>-240</v>
      </c>
      <c r="D188" t="s">
        <v>6</v>
      </c>
      <c r="E188" s="8">
        <f>E187+F188</f>
        <v>49924</v>
      </c>
      <c r="F188" s="8">
        <f>IF($D188="CR01",$C188,0)</f>
        <v>-240</v>
      </c>
      <c r="G188" s="8">
        <f>G187+H188</f>
        <v>0</v>
      </c>
      <c r="H188" s="8">
        <f>IF($D188="VISA",$C188,0)</f>
        <v>0</v>
      </c>
      <c r="I188" s="8">
        <f>I187+J188</f>
        <v>0</v>
      </c>
      <c r="J188" s="8">
        <f>IF($D188="ACC",$C188,0)</f>
        <v>0</v>
      </c>
      <c r="K188" s="8">
        <f>K187+L188</f>
        <v>0</v>
      </c>
      <c r="L188" s="8">
        <f>IF($D188="CBB",$C188,0)</f>
        <v>0</v>
      </c>
    </row>
    <row r="189" spans="1:12" x14ac:dyDescent="0.25">
      <c r="A189" s="6">
        <v>41426</v>
      </c>
      <c r="B189" t="s">
        <v>66</v>
      </c>
      <c r="C189" s="7">
        <v>-120</v>
      </c>
      <c r="D189" t="s">
        <v>6</v>
      </c>
      <c r="E189" s="8">
        <f>E188+F189</f>
        <v>49804</v>
      </c>
      <c r="F189" s="8">
        <f>IF($D189="CR01",$C189,0)</f>
        <v>-120</v>
      </c>
      <c r="G189" s="8">
        <f>G188+H189</f>
        <v>0</v>
      </c>
      <c r="H189" s="8">
        <f>IF($D189="VISA",$C189,0)</f>
        <v>0</v>
      </c>
      <c r="I189" s="8">
        <f>I188+J189</f>
        <v>0</v>
      </c>
      <c r="J189" s="8">
        <f>IF($D189="ACC",$C189,0)</f>
        <v>0</v>
      </c>
      <c r="K189" s="8">
        <f>K188+L189</f>
        <v>0</v>
      </c>
      <c r="L189" s="8">
        <f>IF($D189="CBB",$C189,0)</f>
        <v>0</v>
      </c>
    </row>
    <row r="190" spans="1:12" x14ac:dyDescent="0.25">
      <c r="A190" s="6">
        <v>41427</v>
      </c>
      <c r="B190" t="s">
        <v>59</v>
      </c>
      <c r="C190" s="7">
        <v>-900</v>
      </c>
      <c r="D190" t="s">
        <v>6</v>
      </c>
      <c r="E190" s="8">
        <f>E189+F190</f>
        <v>48904</v>
      </c>
      <c r="F190" s="8">
        <f>IF($D190="CR01",$C190,0)</f>
        <v>-900</v>
      </c>
      <c r="G190" s="8">
        <f>G189+H190</f>
        <v>0</v>
      </c>
      <c r="H190" s="8">
        <f>IF($D190="VISA",$C190,0)</f>
        <v>0</v>
      </c>
      <c r="I190" s="8">
        <f>I189+J190</f>
        <v>0</v>
      </c>
      <c r="J190" s="8">
        <f>IF($D190="ACC",$C190,0)</f>
        <v>0</v>
      </c>
      <c r="K190" s="8">
        <f>K189+L190</f>
        <v>0</v>
      </c>
      <c r="L190" s="8">
        <f>IF($D190="CBB",$C190,0)</f>
        <v>0</v>
      </c>
    </row>
    <row r="191" spans="1:12" x14ac:dyDescent="0.25">
      <c r="A191" s="6">
        <v>41429</v>
      </c>
      <c r="B191" t="s">
        <v>42</v>
      </c>
      <c r="C191" s="7">
        <v>-2806</v>
      </c>
      <c r="D191" t="s">
        <v>6</v>
      </c>
      <c r="E191" s="8">
        <f>E190+F191</f>
        <v>46098</v>
      </c>
      <c r="F191" s="8">
        <f>IF($D191="CR01",$C191,0)</f>
        <v>-2806</v>
      </c>
      <c r="G191" s="8">
        <f>G190+H191</f>
        <v>0</v>
      </c>
      <c r="H191" s="8">
        <f>IF($D191="VISA",$C191,0)</f>
        <v>0</v>
      </c>
      <c r="I191" s="8">
        <f>I190+J191</f>
        <v>0</v>
      </c>
      <c r="J191" s="8">
        <f>IF($D191="ACC",$C191,0)</f>
        <v>0</v>
      </c>
      <c r="K191" s="8">
        <f>K190+L191</f>
        <v>0</v>
      </c>
      <c r="L191" s="8">
        <f>IF($D191="CBB",$C191,0)</f>
        <v>0</v>
      </c>
    </row>
    <row r="192" spans="1:12" x14ac:dyDescent="0.25">
      <c r="A192" s="6">
        <v>41429</v>
      </c>
      <c r="B192" t="s">
        <v>48</v>
      </c>
      <c r="C192" s="7">
        <v>-100</v>
      </c>
      <c r="D192" t="s">
        <v>6</v>
      </c>
      <c r="E192" s="8">
        <f>E191+F192</f>
        <v>45998</v>
      </c>
      <c r="F192" s="8">
        <f>IF($D192="CR01",$C192,0)</f>
        <v>-100</v>
      </c>
      <c r="G192" s="8">
        <f>G191+H192</f>
        <v>0</v>
      </c>
      <c r="H192" s="8">
        <f>IF($D192="VISA",$C192,0)</f>
        <v>0</v>
      </c>
      <c r="I192" s="8">
        <f>I191+J192</f>
        <v>0</v>
      </c>
      <c r="J192" s="8">
        <f>IF($D192="ACC",$C192,0)</f>
        <v>0</v>
      </c>
      <c r="K192" s="8">
        <f>K191+L192</f>
        <v>0</v>
      </c>
      <c r="L192" s="8">
        <f>IF($D192="CBB",$C192,0)</f>
        <v>0</v>
      </c>
    </row>
    <row r="193" spans="1:12" x14ac:dyDescent="0.25">
      <c r="A193" s="6">
        <v>41430</v>
      </c>
      <c r="B193" t="s">
        <v>47</v>
      </c>
      <c r="C193" s="7">
        <v>-120</v>
      </c>
      <c r="D193" t="s">
        <v>6</v>
      </c>
      <c r="E193" s="8">
        <f>E192+F193</f>
        <v>45878</v>
      </c>
      <c r="F193" s="8">
        <f>IF($D193="CR01",$C193,0)</f>
        <v>-120</v>
      </c>
      <c r="G193" s="8">
        <f>G192+H193</f>
        <v>0</v>
      </c>
      <c r="H193" s="8">
        <f>IF($D193="VISA",$C193,0)</f>
        <v>0</v>
      </c>
      <c r="I193" s="8">
        <f>I192+J193</f>
        <v>0</v>
      </c>
      <c r="J193" s="8">
        <f>IF($D193="ACC",$C193,0)</f>
        <v>0</v>
      </c>
      <c r="K193" s="8">
        <f>K192+L193</f>
        <v>0</v>
      </c>
      <c r="L193" s="8">
        <f>IF($D193="CBB",$C193,0)</f>
        <v>0</v>
      </c>
    </row>
    <row r="194" spans="1:12" x14ac:dyDescent="0.25">
      <c r="A194" s="6">
        <v>41431</v>
      </c>
      <c r="B194" t="s">
        <v>44</v>
      </c>
      <c r="C194" s="7">
        <v>-400</v>
      </c>
      <c r="D194" t="s">
        <v>6</v>
      </c>
      <c r="E194" s="8">
        <f>E193+F194</f>
        <v>45478</v>
      </c>
      <c r="F194" s="8">
        <f>IF($D194="CR01",$C194,0)</f>
        <v>-400</v>
      </c>
      <c r="G194" s="8">
        <f>G193+H194</f>
        <v>0</v>
      </c>
      <c r="H194" s="8">
        <f>IF($D194="VISA",$C194,0)</f>
        <v>0</v>
      </c>
      <c r="I194" s="8">
        <f>I193+J194</f>
        <v>0</v>
      </c>
      <c r="J194" s="8">
        <f>IF($D194="ACC",$C194,0)</f>
        <v>0</v>
      </c>
      <c r="K194" s="8">
        <f>K193+L194</f>
        <v>0</v>
      </c>
      <c r="L194" s="8">
        <f>IF($D194="CBB",$C194,0)</f>
        <v>0</v>
      </c>
    </row>
    <row r="195" spans="1:12" x14ac:dyDescent="0.25">
      <c r="A195" s="6">
        <v>41431</v>
      </c>
      <c r="B195" t="s">
        <v>45</v>
      </c>
      <c r="C195" s="7">
        <v>-180</v>
      </c>
      <c r="D195" t="s">
        <v>6</v>
      </c>
      <c r="E195" s="8">
        <f>E194+F195</f>
        <v>45298</v>
      </c>
      <c r="F195" s="8">
        <f>IF($D195="CR01",$C195,0)</f>
        <v>-180</v>
      </c>
      <c r="G195" s="8">
        <f>G194+H195</f>
        <v>0</v>
      </c>
      <c r="H195" s="8">
        <f>IF($D195="VISA",$C195,0)</f>
        <v>0</v>
      </c>
      <c r="I195" s="8">
        <f>I194+J195</f>
        <v>0</v>
      </c>
      <c r="J195" s="8">
        <f>IF($D195="ACC",$C195,0)</f>
        <v>0</v>
      </c>
      <c r="K195" s="8">
        <f>K194+L195</f>
        <v>0</v>
      </c>
      <c r="L195" s="8">
        <f>IF($D195="CBB",$C195,0)</f>
        <v>0</v>
      </c>
    </row>
    <row r="196" spans="1:12" x14ac:dyDescent="0.25">
      <c r="A196" s="6">
        <v>41431</v>
      </c>
      <c r="B196" t="s">
        <v>46</v>
      </c>
      <c r="C196" s="7">
        <v>-300</v>
      </c>
      <c r="D196" t="s">
        <v>6</v>
      </c>
      <c r="E196" s="8">
        <f>E195+F196</f>
        <v>44998</v>
      </c>
      <c r="F196" s="8">
        <f>IF($D196="CR01",$C196,0)</f>
        <v>-300</v>
      </c>
      <c r="G196" s="8">
        <f>G195+H196</f>
        <v>0</v>
      </c>
      <c r="H196" s="8">
        <f>IF($D196="VISA",$C196,0)</f>
        <v>0</v>
      </c>
      <c r="I196" s="8">
        <f>I195+J196</f>
        <v>0</v>
      </c>
      <c r="J196" s="8">
        <f>IF($D196="ACC",$C196,0)</f>
        <v>0</v>
      </c>
      <c r="K196" s="8">
        <f>K195+L196</f>
        <v>0</v>
      </c>
      <c r="L196" s="8">
        <f>IF($D196="CBB",$C196,0)</f>
        <v>0</v>
      </c>
    </row>
    <row r="197" spans="1:12" x14ac:dyDescent="0.25">
      <c r="A197" s="6">
        <v>41432</v>
      </c>
      <c r="B197" t="s">
        <v>43</v>
      </c>
      <c r="C197" s="7">
        <v>3226</v>
      </c>
      <c r="D197" t="s">
        <v>6</v>
      </c>
      <c r="E197" s="8">
        <f>E196+F197</f>
        <v>48224</v>
      </c>
      <c r="F197" s="8">
        <f>IF($D197="CR01",$C197,0)</f>
        <v>3226</v>
      </c>
      <c r="G197" s="8">
        <f>G196+H197</f>
        <v>0</v>
      </c>
      <c r="H197" s="8">
        <f>IF($D197="VISA",$C197,0)</f>
        <v>0</v>
      </c>
      <c r="I197" s="8">
        <f>I196+J197</f>
        <v>0</v>
      </c>
      <c r="J197" s="8">
        <f>IF($D197="ACC",$C197,0)</f>
        <v>0</v>
      </c>
      <c r="K197" s="8">
        <f>K196+L197</f>
        <v>0</v>
      </c>
      <c r="L197" s="8">
        <f>IF($D197="CBB",$C197,0)</f>
        <v>0</v>
      </c>
    </row>
    <row r="198" spans="1:12" x14ac:dyDescent="0.25">
      <c r="A198" s="6">
        <v>41436</v>
      </c>
      <c r="B198" t="s">
        <v>48</v>
      </c>
      <c r="C198" s="7">
        <v>-100</v>
      </c>
      <c r="D198" t="s">
        <v>6</v>
      </c>
      <c r="E198" s="8">
        <f>E197+F198</f>
        <v>48124</v>
      </c>
      <c r="F198" s="8">
        <f>IF($D198="CR01",$C198,0)</f>
        <v>-100</v>
      </c>
      <c r="G198" s="8">
        <f>G197+H198</f>
        <v>0</v>
      </c>
      <c r="H198" s="8">
        <f>IF($D198="VISA",$C198,0)</f>
        <v>0</v>
      </c>
      <c r="I198" s="8">
        <f>I197+J198</f>
        <v>0</v>
      </c>
      <c r="J198" s="8">
        <f>IF($D198="ACC",$C198,0)</f>
        <v>0</v>
      </c>
      <c r="K198" s="8">
        <f>K197+L198</f>
        <v>0</v>
      </c>
      <c r="L198" s="8">
        <f>IF($D198="CBB",$C198,0)</f>
        <v>0</v>
      </c>
    </row>
    <row r="199" spans="1:12" x14ac:dyDescent="0.25">
      <c r="A199" s="6">
        <v>41437</v>
      </c>
      <c r="B199" t="s">
        <v>47</v>
      </c>
      <c r="C199" s="7">
        <v>-120</v>
      </c>
      <c r="D199" t="s">
        <v>6</v>
      </c>
      <c r="E199" s="8">
        <f>E198+F199</f>
        <v>48004</v>
      </c>
      <c r="F199" s="8">
        <f>IF($D199="CR01",$C199,0)</f>
        <v>-120</v>
      </c>
      <c r="G199" s="8">
        <f>G198+H199</f>
        <v>0</v>
      </c>
      <c r="H199" s="8">
        <f>IF($D199="VISA",$C199,0)</f>
        <v>0</v>
      </c>
      <c r="I199" s="8">
        <f>I198+J199</f>
        <v>0</v>
      </c>
      <c r="J199" s="8">
        <f>IF($D199="ACC",$C199,0)</f>
        <v>0</v>
      </c>
      <c r="K199" s="8">
        <f>K198+L199</f>
        <v>0</v>
      </c>
      <c r="L199" s="8">
        <f>IF($D199="CBB",$C199,0)</f>
        <v>0</v>
      </c>
    </row>
    <row r="200" spans="1:12" x14ac:dyDescent="0.25">
      <c r="A200" s="6">
        <v>41438</v>
      </c>
      <c r="B200" t="s">
        <v>44</v>
      </c>
      <c r="C200" s="7">
        <v>-400</v>
      </c>
      <c r="D200" t="s">
        <v>6</v>
      </c>
      <c r="E200" s="8">
        <f>E199+F200</f>
        <v>47604</v>
      </c>
      <c r="F200" s="8">
        <f>IF($D200="CR01",$C200,0)</f>
        <v>-400</v>
      </c>
      <c r="G200" s="8">
        <f>G199+H200</f>
        <v>0</v>
      </c>
      <c r="H200" s="8">
        <f>IF($D200="VISA",$C200,0)</f>
        <v>0</v>
      </c>
      <c r="I200" s="8">
        <f>I199+J200</f>
        <v>0</v>
      </c>
      <c r="J200" s="8">
        <f>IF($D200="ACC",$C200,0)</f>
        <v>0</v>
      </c>
      <c r="K200" s="8">
        <f>K199+L200</f>
        <v>0</v>
      </c>
      <c r="L200" s="8">
        <f>IF($D200="CBB",$C200,0)</f>
        <v>0</v>
      </c>
    </row>
    <row r="201" spans="1:12" x14ac:dyDescent="0.25">
      <c r="A201" s="6">
        <v>41438</v>
      </c>
      <c r="B201" t="s">
        <v>45</v>
      </c>
      <c r="C201" s="7">
        <v>-180</v>
      </c>
      <c r="D201" t="s">
        <v>6</v>
      </c>
      <c r="E201" s="8">
        <f>E200+F201</f>
        <v>47424</v>
      </c>
      <c r="F201" s="8">
        <f>IF($D201="CR01",$C201,0)</f>
        <v>-180</v>
      </c>
      <c r="G201" s="8">
        <f>G200+H201</f>
        <v>0</v>
      </c>
      <c r="H201" s="8">
        <f>IF($D201="VISA",$C201,0)</f>
        <v>0</v>
      </c>
      <c r="I201" s="8">
        <f>I200+J201</f>
        <v>0</v>
      </c>
      <c r="J201" s="8">
        <f>IF($D201="ACC",$C201,0)</f>
        <v>0</v>
      </c>
      <c r="K201" s="8">
        <f>K200+L201</f>
        <v>0</v>
      </c>
      <c r="L201" s="8">
        <f>IF($D201="CBB",$C201,0)</f>
        <v>0</v>
      </c>
    </row>
    <row r="202" spans="1:12" x14ac:dyDescent="0.25">
      <c r="A202" s="6">
        <v>41438</v>
      </c>
      <c r="B202" t="s">
        <v>46</v>
      </c>
      <c r="C202" s="7">
        <v>-300</v>
      </c>
      <c r="D202" t="s">
        <v>6</v>
      </c>
      <c r="E202" s="8">
        <f>E201+F202</f>
        <v>47124</v>
      </c>
      <c r="F202" s="8">
        <f>IF($D202="CR01",$C202,0)</f>
        <v>-300</v>
      </c>
      <c r="G202" s="8">
        <f>G201+H202</f>
        <v>0</v>
      </c>
      <c r="H202" s="8">
        <f>IF($D202="VISA",$C202,0)</f>
        <v>0</v>
      </c>
      <c r="I202" s="8">
        <f>I201+J202</f>
        <v>0</v>
      </c>
      <c r="J202" s="8">
        <f>IF($D202="ACC",$C202,0)</f>
        <v>0</v>
      </c>
      <c r="K202" s="8">
        <f>K201+L202</f>
        <v>0</v>
      </c>
      <c r="L202" s="8">
        <f>IF($D202="CBB",$C202,0)</f>
        <v>0</v>
      </c>
    </row>
    <row r="203" spans="1:12" x14ac:dyDescent="0.25">
      <c r="A203" s="6">
        <v>41440</v>
      </c>
      <c r="B203" t="s">
        <v>67</v>
      </c>
      <c r="C203" s="7">
        <v>6800</v>
      </c>
      <c r="D203" t="s">
        <v>6</v>
      </c>
      <c r="E203" s="8">
        <f>E202+F203</f>
        <v>53924</v>
      </c>
      <c r="F203" s="8">
        <f>IF($D203="CR01",$C203,0)</f>
        <v>6800</v>
      </c>
      <c r="G203" s="8">
        <f>G202+H203</f>
        <v>0</v>
      </c>
      <c r="H203" s="8">
        <f>IF($D203="VISA",$C203,0)</f>
        <v>0</v>
      </c>
      <c r="I203" s="8">
        <f>I202+J203</f>
        <v>0</v>
      </c>
      <c r="J203" s="8">
        <f>IF($D203="ACC",$C203,0)</f>
        <v>0</v>
      </c>
      <c r="K203" s="8">
        <f>K202+L203</f>
        <v>0</v>
      </c>
      <c r="L203" s="8">
        <f>IF($D203="CBB",$C203,0)</f>
        <v>0</v>
      </c>
    </row>
    <row r="204" spans="1:12" x14ac:dyDescent="0.25">
      <c r="A204" s="6">
        <v>41443</v>
      </c>
      <c r="B204" t="s">
        <v>42</v>
      </c>
      <c r="C204" s="7">
        <v>-2806</v>
      </c>
      <c r="D204" t="s">
        <v>6</v>
      </c>
      <c r="E204" s="8">
        <f>E203+F204</f>
        <v>51118</v>
      </c>
      <c r="F204" s="8">
        <f>IF($D204="CR01",$C204,0)</f>
        <v>-2806</v>
      </c>
      <c r="G204" s="8">
        <f>G203+H204</f>
        <v>0</v>
      </c>
      <c r="H204" s="8">
        <f>IF($D204="VISA",$C204,0)</f>
        <v>0</v>
      </c>
      <c r="I204" s="8">
        <f>I203+J204</f>
        <v>0</v>
      </c>
      <c r="J204" s="8">
        <f>IF($D204="ACC",$C204,0)</f>
        <v>0</v>
      </c>
      <c r="K204" s="8">
        <f>K203+L204</f>
        <v>0</v>
      </c>
      <c r="L204" s="8">
        <f>IF($D204="CBB",$C204,0)</f>
        <v>0</v>
      </c>
    </row>
    <row r="205" spans="1:12" x14ac:dyDescent="0.25">
      <c r="A205" s="6">
        <v>41443</v>
      </c>
      <c r="B205" t="s">
        <v>48</v>
      </c>
      <c r="C205" s="7">
        <v>-100</v>
      </c>
      <c r="D205" t="s">
        <v>6</v>
      </c>
      <c r="E205" s="8">
        <f>E204+F205</f>
        <v>51018</v>
      </c>
      <c r="F205" s="8">
        <f>IF($D205="CR01",$C205,0)</f>
        <v>-100</v>
      </c>
      <c r="G205" s="8">
        <f>G204+H205</f>
        <v>0</v>
      </c>
      <c r="H205" s="8">
        <f>IF($D205="VISA",$C205,0)</f>
        <v>0</v>
      </c>
      <c r="I205" s="8">
        <f>I204+J205</f>
        <v>0</v>
      </c>
      <c r="J205" s="8">
        <f>IF($D205="ACC",$C205,0)</f>
        <v>0</v>
      </c>
      <c r="K205" s="8">
        <f>K204+L205</f>
        <v>0</v>
      </c>
      <c r="L205" s="8">
        <f>IF($D205="CBB",$C205,0)</f>
        <v>0</v>
      </c>
    </row>
    <row r="206" spans="1:12" x14ac:dyDescent="0.25">
      <c r="A206" s="6">
        <v>41444</v>
      </c>
      <c r="B206" t="s">
        <v>47</v>
      </c>
      <c r="C206" s="7">
        <v>-120</v>
      </c>
      <c r="D206" t="s">
        <v>6</v>
      </c>
      <c r="E206" s="8">
        <f>E205+F206</f>
        <v>50898</v>
      </c>
      <c r="F206" s="8">
        <f>IF($D206="CR01",$C206,0)</f>
        <v>-120</v>
      </c>
      <c r="G206" s="8">
        <f>G205+H206</f>
        <v>0</v>
      </c>
      <c r="H206" s="8">
        <f>IF($D206="VISA",$C206,0)</f>
        <v>0</v>
      </c>
      <c r="I206" s="8">
        <f>I205+J206</f>
        <v>0</v>
      </c>
      <c r="J206" s="8">
        <f>IF($D206="ACC",$C206,0)</f>
        <v>0</v>
      </c>
      <c r="K206" s="8">
        <f>K205+L206</f>
        <v>0</v>
      </c>
      <c r="L206" s="8">
        <f>IF($D206="CBB",$C206,0)</f>
        <v>0</v>
      </c>
    </row>
    <row r="207" spans="1:12" x14ac:dyDescent="0.25">
      <c r="A207" s="6">
        <v>41445</v>
      </c>
      <c r="B207" t="s">
        <v>44</v>
      </c>
      <c r="C207" s="7">
        <v>-400</v>
      </c>
      <c r="D207" t="s">
        <v>6</v>
      </c>
      <c r="E207" s="8">
        <f>E206+F207</f>
        <v>50498</v>
      </c>
      <c r="F207" s="8">
        <f>IF($D207="CR01",$C207,0)</f>
        <v>-400</v>
      </c>
      <c r="G207" s="8">
        <f>G206+H207</f>
        <v>0</v>
      </c>
      <c r="H207" s="8">
        <f>IF($D207="VISA",$C207,0)</f>
        <v>0</v>
      </c>
      <c r="I207" s="8">
        <f>I206+J207</f>
        <v>0</v>
      </c>
      <c r="J207" s="8">
        <f>IF($D207="ACC",$C207,0)</f>
        <v>0</v>
      </c>
      <c r="K207" s="8">
        <f>K206+L207</f>
        <v>0</v>
      </c>
      <c r="L207" s="8">
        <f>IF($D207="CBB",$C207,0)</f>
        <v>0</v>
      </c>
    </row>
    <row r="208" spans="1:12" x14ac:dyDescent="0.25">
      <c r="A208" s="6">
        <v>41445</v>
      </c>
      <c r="B208" t="s">
        <v>45</v>
      </c>
      <c r="C208" s="7">
        <v>-180</v>
      </c>
      <c r="D208" t="s">
        <v>6</v>
      </c>
      <c r="E208" s="8">
        <f>E207+F208</f>
        <v>50318</v>
      </c>
      <c r="F208" s="8">
        <f>IF($D208="CR01",$C208,0)</f>
        <v>-180</v>
      </c>
      <c r="G208" s="8">
        <f>G207+H208</f>
        <v>0</v>
      </c>
      <c r="H208" s="8">
        <f>IF($D208="VISA",$C208,0)</f>
        <v>0</v>
      </c>
      <c r="I208" s="8">
        <f>I207+J208</f>
        <v>0</v>
      </c>
      <c r="J208" s="8">
        <f>IF($D208="ACC",$C208,0)</f>
        <v>0</v>
      </c>
      <c r="K208" s="8">
        <f>K207+L208</f>
        <v>0</v>
      </c>
      <c r="L208" s="8">
        <f>IF($D208="CBB",$C208,0)</f>
        <v>0</v>
      </c>
    </row>
    <row r="209" spans="1:12" x14ac:dyDescent="0.25">
      <c r="A209" s="6">
        <v>41445</v>
      </c>
      <c r="B209" t="s">
        <v>46</v>
      </c>
      <c r="C209" s="7">
        <v>-300</v>
      </c>
      <c r="D209" t="s">
        <v>6</v>
      </c>
      <c r="E209" s="8">
        <f>E208+F209</f>
        <v>50018</v>
      </c>
      <c r="F209" s="8">
        <f>IF($D209="CR01",$C209,0)</f>
        <v>-300</v>
      </c>
      <c r="G209" s="8">
        <f>G208+H209</f>
        <v>0</v>
      </c>
      <c r="H209" s="8">
        <f>IF($D209="VISA",$C209,0)</f>
        <v>0</v>
      </c>
      <c r="I209" s="8">
        <f>I208+J209</f>
        <v>0</v>
      </c>
      <c r="J209" s="8">
        <f>IF($D209="ACC",$C209,0)</f>
        <v>0</v>
      </c>
      <c r="K209" s="8">
        <f>K208+L209</f>
        <v>0</v>
      </c>
      <c r="L209" s="8">
        <f>IF($D209="CBB",$C209,0)</f>
        <v>0</v>
      </c>
    </row>
    <row r="210" spans="1:12" x14ac:dyDescent="0.25">
      <c r="A210" s="6">
        <v>41446</v>
      </c>
      <c r="B210" t="s">
        <v>43</v>
      </c>
      <c r="C210" s="7">
        <v>3226</v>
      </c>
      <c r="D210" t="s">
        <v>6</v>
      </c>
      <c r="E210" s="8">
        <f>E209+F210</f>
        <v>53244</v>
      </c>
      <c r="F210" s="8">
        <f>IF($D210="CR01",$C210,0)</f>
        <v>3226</v>
      </c>
      <c r="G210" s="8">
        <f>G209+H210</f>
        <v>0</v>
      </c>
      <c r="H210" s="8">
        <f>IF($D210="VISA",$C210,0)</f>
        <v>0</v>
      </c>
      <c r="I210" s="8">
        <f>I209+J210</f>
        <v>0</v>
      </c>
      <c r="J210" s="8">
        <f>IF($D210="ACC",$C210,0)</f>
        <v>0</v>
      </c>
      <c r="K210" s="8">
        <f>K209+L210</f>
        <v>0</v>
      </c>
      <c r="L210" s="8">
        <f>IF($D210="CBB",$C210,0)</f>
        <v>0</v>
      </c>
    </row>
    <row r="211" spans="1:12" x14ac:dyDescent="0.25">
      <c r="A211" s="6">
        <v>41450</v>
      </c>
      <c r="B211" t="s">
        <v>48</v>
      </c>
      <c r="C211" s="7">
        <v>-100</v>
      </c>
      <c r="D211" t="s">
        <v>6</v>
      </c>
      <c r="E211" s="8">
        <f>E210+F211</f>
        <v>53144</v>
      </c>
      <c r="F211" s="8">
        <f>IF($D211="CR01",$C211,0)</f>
        <v>-100</v>
      </c>
      <c r="G211" s="8">
        <f>G210+H211</f>
        <v>0</v>
      </c>
      <c r="H211" s="8">
        <f>IF($D211="VISA",$C211,0)</f>
        <v>0</v>
      </c>
      <c r="I211" s="8">
        <f>I210+J211</f>
        <v>0</v>
      </c>
      <c r="J211" s="8">
        <f>IF($D211="ACC",$C211,0)</f>
        <v>0</v>
      </c>
      <c r="K211" s="8">
        <f>K210+L211</f>
        <v>0</v>
      </c>
      <c r="L211" s="8">
        <f>IF($D211="CBB",$C211,0)</f>
        <v>0</v>
      </c>
    </row>
    <row r="212" spans="1:12" x14ac:dyDescent="0.25">
      <c r="A212" s="6">
        <v>41451</v>
      </c>
      <c r="B212" t="s">
        <v>47</v>
      </c>
      <c r="C212" s="7">
        <v>-120</v>
      </c>
      <c r="D212" t="s">
        <v>6</v>
      </c>
      <c r="E212" s="8">
        <f>E211+F212</f>
        <v>53024</v>
      </c>
      <c r="F212" s="8">
        <f>IF($D212="CR01",$C212,0)</f>
        <v>-120</v>
      </c>
      <c r="G212" s="8">
        <f>G211+H212</f>
        <v>0</v>
      </c>
      <c r="H212" s="8">
        <f>IF($D212="VISA",$C212,0)</f>
        <v>0</v>
      </c>
      <c r="I212" s="8">
        <f>I211+J212</f>
        <v>0</v>
      </c>
      <c r="J212" s="8">
        <f>IF($D212="ACC",$C212,0)</f>
        <v>0</v>
      </c>
      <c r="K212" s="8">
        <f>K211+L212</f>
        <v>0</v>
      </c>
      <c r="L212" s="8">
        <f>IF($D212="CBB",$C212,0)</f>
        <v>0</v>
      </c>
    </row>
    <row r="213" spans="1:12" x14ac:dyDescent="0.25">
      <c r="A213" s="6">
        <v>41452</v>
      </c>
      <c r="B213" t="s">
        <v>44</v>
      </c>
      <c r="C213" s="7">
        <v>-400</v>
      </c>
      <c r="D213" t="s">
        <v>6</v>
      </c>
      <c r="E213" s="8">
        <f>E212+F213</f>
        <v>52624</v>
      </c>
      <c r="F213" s="8">
        <f>IF($D213="CR01",$C213,0)</f>
        <v>-400</v>
      </c>
      <c r="G213" s="8">
        <f>G212+H213</f>
        <v>0</v>
      </c>
      <c r="H213" s="8">
        <f>IF($D213="VISA",$C213,0)</f>
        <v>0</v>
      </c>
      <c r="I213" s="8">
        <f>I212+J213</f>
        <v>0</v>
      </c>
      <c r="J213" s="8">
        <f>IF($D213="ACC",$C213,0)</f>
        <v>0</v>
      </c>
      <c r="K213" s="8">
        <f>K212+L213</f>
        <v>0</v>
      </c>
      <c r="L213" s="8">
        <f>IF($D213="CBB",$C213,0)</f>
        <v>0</v>
      </c>
    </row>
    <row r="214" spans="1:12" x14ac:dyDescent="0.25">
      <c r="A214" s="6">
        <v>41452</v>
      </c>
      <c r="B214" t="s">
        <v>45</v>
      </c>
      <c r="C214" s="7">
        <v>-180</v>
      </c>
      <c r="D214" t="s">
        <v>6</v>
      </c>
      <c r="E214" s="8">
        <f>E213+F214</f>
        <v>52444</v>
      </c>
      <c r="F214" s="8">
        <f>IF($D214="CR01",$C214,0)</f>
        <v>-180</v>
      </c>
      <c r="G214" s="8">
        <f>G213+H214</f>
        <v>0</v>
      </c>
      <c r="H214" s="8">
        <f>IF($D214="VISA",$C214,0)</f>
        <v>0</v>
      </c>
      <c r="I214" s="8">
        <f>I213+J214</f>
        <v>0</v>
      </c>
      <c r="J214" s="8">
        <f>IF($D214="ACC",$C214,0)</f>
        <v>0</v>
      </c>
      <c r="K214" s="8">
        <f>K213+L214</f>
        <v>0</v>
      </c>
      <c r="L214" s="8">
        <f>IF($D214="CBB",$C214,0)</f>
        <v>0</v>
      </c>
    </row>
    <row r="215" spans="1:12" x14ac:dyDescent="0.25">
      <c r="A215" s="6">
        <v>41452</v>
      </c>
      <c r="B215" t="s">
        <v>46</v>
      </c>
      <c r="C215" s="7">
        <v>-300</v>
      </c>
      <c r="D215" t="s">
        <v>6</v>
      </c>
      <c r="E215" s="8">
        <f>E214+F215</f>
        <v>52144</v>
      </c>
      <c r="F215" s="8">
        <f>IF($D215="CR01",$C215,0)</f>
        <v>-300</v>
      </c>
      <c r="G215" s="8">
        <f>G214+H215</f>
        <v>0</v>
      </c>
      <c r="H215" s="8">
        <f>IF($D215="VISA",$C215,0)</f>
        <v>0</v>
      </c>
      <c r="I215" s="8">
        <f>I214+J215</f>
        <v>0</v>
      </c>
      <c r="J215" s="8">
        <f>IF($D215="ACC",$C215,0)</f>
        <v>0</v>
      </c>
      <c r="K215" s="8">
        <f>K214+L215</f>
        <v>0</v>
      </c>
      <c r="L215" s="8">
        <f>IF($D215="CBB",$C215,0)</f>
        <v>0</v>
      </c>
    </row>
    <row r="216" spans="1:12" x14ac:dyDescent="0.25">
      <c r="A216" s="6">
        <v>41454</v>
      </c>
      <c r="B216" t="s">
        <v>67</v>
      </c>
      <c r="C216" s="7">
        <v>6800</v>
      </c>
      <c r="D216" t="s">
        <v>6</v>
      </c>
      <c r="E216" s="8">
        <f>E215+F216</f>
        <v>58944</v>
      </c>
      <c r="F216" s="8">
        <f>IF($D216="CR01",$C216,0)</f>
        <v>6800</v>
      </c>
      <c r="G216" s="8">
        <f>G215+H216</f>
        <v>0</v>
      </c>
      <c r="H216" s="8">
        <f>IF($D216="VISA",$C216,0)</f>
        <v>0</v>
      </c>
      <c r="I216" s="8">
        <f>I215+J216</f>
        <v>0</v>
      </c>
      <c r="J216" s="8">
        <f>IF($D216="ACC",$C216,0)</f>
        <v>0</v>
      </c>
      <c r="K216" s="8">
        <f>K215+L216</f>
        <v>0</v>
      </c>
      <c r="L216" s="8">
        <f>IF($D216="CBB",$C216,0)</f>
        <v>0</v>
      </c>
    </row>
    <row r="217" spans="1:12" x14ac:dyDescent="0.25">
      <c r="A217" s="6">
        <v>41456</v>
      </c>
      <c r="B217" t="s">
        <v>58</v>
      </c>
      <c r="C217" s="7">
        <v>-200</v>
      </c>
      <c r="D217" t="s">
        <v>6</v>
      </c>
      <c r="E217" s="8">
        <f>E216+F217</f>
        <v>58744</v>
      </c>
      <c r="F217" s="8">
        <f>IF($D217="CR01",$C217,0)</f>
        <v>-200</v>
      </c>
      <c r="G217" s="8">
        <f>G216+H217</f>
        <v>0</v>
      </c>
      <c r="H217" s="8">
        <f>IF($D217="VISA",$C217,0)</f>
        <v>0</v>
      </c>
      <c r="I217" s="8">
        <f>I216+J217</f>
        <v>0</v>
      </c>
      <c r="J217" s="8">
        <f>IF($D217="ACC",$C217,0)</f>
        <v>0</v>
      </c>
      <c r="K217" s="8">
        <f>K216+L217</f>
        <v>0</v>
      </c>
      <c r="L217" s="8">
        <f>IF($D217="CBB",$C217,0)</f>
        <v>0</v>
      </c>
    </row>
    <row r="218" spans="1:12" x14ac:dyDescent="0.25">
      <c r="A218" s="6">
        <v>41456</v>
      </c>
      <c r="B218" t="s">
        <v>60</v>
      </c>
      <c r="C218" s="7">
        <v>-400</v>
      </c>
      <c r="D218" t="s">
        <v>6</v>
      </c>
      <c r="E218" s="8">
        <f>E217+F218</f>
        <v>58344</v>
      </c>
      <c r="F218" s="8">
        <f>IF($D218="CR01",$C218,0)</f>
        <v>-400</v>
      </c>
      <c r="G218" s="8">
        <f>G217+H218</f>
        <v>0</v>
      </c>
      <c r="H218" s="8">
        <f>IF($D218="VISA",$C218,0)</f>
        <v>0</v>
      </c>
      <c r="I218" s="8">
        <f>I217+J218</f>
        <v>0</v>
      </c>
      <c r="J218" s="8">
        <f>IF($D218="ACC",$C218,0)</f>
        <v>0</v>
      </c>
      <c r="K218" s="8">
        <f>K217+L218</f>
        <v>0</v>
      </c>
      <c r="L218" s="8">
        <f>IF($D218="CBB",$C218,0)</f>
        <v>0</v>
      </c>
    </row>
    <row r="219" spans="1:12" x14ac:dyDescent="0.25">
      <c r="A219" s="6">
        <v>41456</v>
      </c>
      <c r="B219" t="s">
        <v>61</v>
      </c>
      <c r="C219" s="7">
        <v>-300</v>
      </c>
      <c r="D219" t="s">
        <v>6</v>
      </c>
      <c r="E219" s="8">
        <f>E218+F219</f>
        <v>58044</v>
      </c>
      <c r="F219" s="8">
        <f>IF($D219="CR01",$C219,0)</f>
        <v>-300</v>
      </c>
      <c r="G219" s="8">
        <f>G218+H219</f>
        <v>0</v>
      </c>
      <c r="H219" s="8">
        <f>IF($D219="VISA",$C219,0)</f>
        <v>0</v>
      </c>
      <c r="I219" s="8">
        <f>I218+J219</f>
        <v>0</v>
      </c>
      <c r="J219" s="8">
        <f>IF($D219="ACC",$C219,0)</f>
        <v>0</v>
      </c>
      <c r="K219" s="8">
        <f>K218+L219</f>
        <v>0</v>
      </c>
      <c r="L219" s="8">
        <f>IF($D219="CBB",$C219,0)</f>
        <v>0</v>
      </c>
    </row>
    <row r="220" spans="1:12" x14ac:dyDescent="0.25">
      <c r="A220" s="6">
        <v>41456</v>
      </c>
      <c r="B220" t="s">
        <v>64</v>
      </c>
      <c r="C220" s="7">
        <v>-26</v>
      </c>
      <c r="D220" t="s">
        <v>6</v>
      </c>
      <c r="E220" s="8">
        <f>E219+F220</f>
        <v>58018</v>
      </c>
      <c r="F220" s="8">
        <f>IF($D220="CR01",$C220,0)</f>
        <v>-26</v>
      </c>
      <c r="G220" s="8">
        <f>G219+H220</f>
        <v>0</v>
      </c>
      <c r="H220" s="8">
        <f>IF($D220="VISA",$C220,0)</f>
        <v>0</v>
      </c>
      <c r="I220" s="8">
        <f>I219+J220</f>
        <v>0</v>
      </c>
      <c r="J220" s="8">
        <f>IF($D220="ACC",$C220,0)</f>
        <v>0</v>
      </c>
      <c r="K220" s="8">
        <f>K219+L220</f>
        <v>0</v>
      </c>
      <c r="L220" s="8">
        <f>IF($D220="CBB",$C220,0)</f>
        <v>0</v>
      </c>
    </row>
    <row r="221" spans="1:12" x14ac:dyDescent="0.25">
      <c r="A221" s="6">
        <v>41456</v>
      </c>
      <c r="B221" t="s">
        <v>65</v>
      </c>
      <c r="C221" s="7">
        <v>-240</v>
      </c>
      <c r="D221" t="s">
        <v>6</v>
      </c>
      <c r="E221" s="8">
        <f>E220+F221</f>
        <v>57778</v>
      </c>
      <c r="F221" s="8">
        <f>IF($D221="CR01",$C221,0)</f>
        <v>-240</v>
      </c>
      <c r="G221" s="8">
        <f>G220+H221</f>
        <v>0</v>
      </c>
      <c r="H221" s="8">
        <f>IF($D221="VISA",$C221,0)</f>
        <v>0</v>
      </c>
      <c r="I221" s="8">
        <f>I220+J221</f>
        <v>0</v>
      </c>
      <c r="J221" s="8">
        <f>IF($D221="ACC",$C221,0)</f>
        <v>0</v>
      </c>
      <c r="K221" s="8">
        <f>K220+L221</f>
        <v>0</v>
      </c>
      <c r="L221" s="8">
        <f>IF($D221="CBB",$C221,0)</f>
        <v>0</v>
      </c>
    </row>
    <row r="222" spans="1:12" x14ac:dyDescent="0.25">
      <c r="A222" s="6">
        <v>41456</v>
      </c>
      <c r="B222" t="s">
        <v>66</v>
      </c>
      <c r="C222" s="7">
        <v>-120</v>
      </c>
      <c r="D222" t="s">
        <v>6</v>
      </c>
      <c r="E222" s="8">
        <f>E221+F222</f>
        <v>57658</v>
      </c>
      <c r="F222" s="8">
        <f>IF($D222="CR01",$C222,0)</f>
        <v>-120</v>
      </c>
      <c r="G222" s="8">
        <f>G221+H222</f>
        <v>0</v>
      </c>
      <c r="H222" s="8">
        <f>IF($D222="VISA",$C222,0)</f>
        <v>0</v>
      </c>
      <c r="I222" s="8">
        <f>I221+J222</f>
        <v>0</v>
      </c>
      <c r="J222" s="8">
        <f>IF($D222="ACC",$C222,0)</f>
        <v>0</v>
      </c>
      <c r="K222" s="8">
        <f>K221+L222</f>
        <v>0</v>
      </c>
      <c r="L222" s="8">
        <f>IF($D222="CBB",$C222,0)</f>
        <v>0</v>
      </c>
    </row>
    <row r="223" spans="1:12" x14ac:dyDescent="0.25">
      <c r="A223" s="6">
        <v>41457</v>
      </c>
      <c r="B223" t="s">
        <v>42</v>
      </c>
      <c r="C223" s="7">
        <v>-2806</v>
      </c>
      <c r="D223" t="s">
        <v>6</v>
      </c>
      <c r="E223" s="8">
        <f>E222+F223</f>
        <v>54852</v>
      </c>
      <c r="F223" s="8">
        <f>IF($D223="CR01",$C223,0)</f>
        <v>-2806</v>
      </c>
      <c r="G223" s="8">
        <f>G222+H223</f>
        <v>0</v>
      </c>
      <c r="H223" s="8">
        <f>IF($D223="VISA",$C223,0)</f>
        <v>0</v>
      </c>
      <c r="I223" s="8">
        <f>I222+J223</f>
        <v>0</v>
      </c>
      <c r="J223" s="8">
        <f>IF($D223="ACC",$C223,0)</f>
        <v>0</v>
      </c>
      <c r="K223" s="8">
        <f>K222+L223</f>
        <v>0</v>
      </c>
      <c r="L223" s="8">
        <f>IF($D223="CBB",$C223,0)</f>
        <v>0</v>
      </c>
    </row>
    <row r="224" spans="1:12" x14ac:dyDescent="0.25">
      <c r="A224" s="6">
        <v>41457</v>
      </c>
      <c r="B224" t="s">
        <v>48</v>
      </c>
      <c r="C224" s="7">
        <v>-100</v>
      </c>
      <c r="D224" t="s">
        <v>6</v>
      </c>
      <c r="E224" s="8">
        <f>E223+F224</f>
        <v>54752</v>
      </c>
      <c r="F224" s="8">
        <f>IF($D224="CR01",$C224,0)</f>
        <v>-100</v>
      </c>
      <c r="G224" s="8">
        <f>G223+H224</f>
        <v>0</v>
      </c>
      <c r="H224" s="8">
        <f>IF($D224="VISA",$C224,0)</f>
        <v>0</v>
      </c>
      <c r="I224" s="8">
        <f>I223+J224</f>
        <v>0</v>
      </c>
      <c r="J224" s="8">
        <f>IF($D224="ACC",$C224,0)</f>
        <v>0</v>
      </c>
      <c r="K224" s="8">
        <f>K223+L224</f>
        <v>0</v>
      </c>
      <c r="L224" s="8">
        <f>IF($D224="CBB",$C224,0)</f>
        <v>0</v>
      </c>
    </row>
    <row r="225" spans="1:12" x14ac:dyDescent="0.25">
      <c r="A225" s="6">
        <v>41457</v>
      </c>
      <c r="B225" t="s">
        <v>59</v>
      </c>
      <c r="C225" s="7">
        <v>-900</v>
      </c>
      <c r="D225" t="s">
        <v>6</v>
      </c>
      <c r="E225" s="8">
        <f>E224+F225</f>
        <v>53852</v>
      </c>
      <c r="F225" s="8">
        <f>IF($D225="CR01",$C225,0)</f>
        <v>-900</v>
      </c>
      <c r="G225" s="8">
        <f>G224+H225</f>
        <v>0</v>
      </c>
      <c r="H225" s="8">
        <f>IF($D225="VISA",$C225,0)</f>
        <v>0</v>
      </c>
      <c r="I225" s="8">
        <f>I224+J225</f>
        <v>0</v>
      </c>
      <c r="J225" s="8">
        <f>IF($D225="ACC",$C225,0)</f>
        <v>0</v>
      </c>
      <c r="K225" s="8">
        <f>K224+L225</f>
        <v>0</v>
      </c>
      <c r="L225" s="8">
        <f>IF($D225="CBB",$C225,0)</f>
        <v>0</v>
      </c>
    </row>
    <row r="226" spans="1:12" x14ac:dyDescent="0.25">
      <c r="A226" s="6">
        <v>41458</v>
      </c>
      <c r="B226" t="s">
        <v>47</v>
      </c>
      <c r="C226" s="7">
        <v>-120</v>
      </c>
      <c r="D226" t="s">
        <v>6</v>
      </c>
      <c r="E226" s="8">
        <f>E225+F226</f>
        <v>53732</v>
      </c>
      <c r="F226" s="8">
        <f>IF($D226="CR01",$C226,0)</f>
        <v>-120</v>
      </c>
      <c r="G226" s="8">
        <f>G225+H226</f>
        <v>0</v>
      </c>
      <c r="H226" s="8">
        <f>IF($D226="VISA",$C226,0)</f>
        <v>0</v>
      </c>
      <c r="I226" s="8">
        <f>I225+J226</f>
        <v>0</v>
      </c>
      <c r="J226" s="8">
        <f>IF($D226="ACC",$C226,0)</f>
        <v>0</v>
      </c>
      <c r="K226" s="8">
        <f>K225+L226</f>
        <v>0</v>
      </c>
      <c r="L226" s="8">
        <f>IF($D226="CBB",$C226,0)</f>
        <v>0</v>
      </c>
    </row>
    <row r="227" spans="1:12" x14ac:dyDescent="0.25">
      <c r="A227" s="6">
        <v>41459</v>
      </c>
      <c r="B227" t="s">
        <v>44</v>
      </c>
      <c r="C227" s="7">
        <v>-400</v>
      </c>
      <c r="D227" t="s">
        <v>6</v>
      </c>
      <c r="E227" s="8">
        <f>E226+F227</f>
        <v>53332</v>
      </c>
      <c r="F227" s="8">
        <f>IF($D227="CR01",$C227,0)</f>
        <v>-400</v>
      </c>
      <c r="G227" s="8">
        <f>G226+H227</f>
        <v>0</v>
      </c>
      <c r="H227" s="8">
        <f>IF($D227="VISA",$C227,0)</f>
        <v>0</v>
      </c>
      <c r="I227" s="8">
        <f>I226+J227</f>
        <v>0</v>
      </c>
      <c r="J227" s="8">
        <f>IF($D227="ACC",$C227,0)</f>
        <v>0</v>
      </c>
      <c r="K227" s="8">
        <f>K226+L227</f>
        <v>0</v>
      </c>
      <c r="L227" s="8">
        <f>IF($D227="CBB",$C227,0)</f>
        <v>0</v>
      </c>
    </row>
    <row r="228" spans="1:12" x14ac:dyDescent="0.25">
      <c r="A228" s="6">
        <v>41459</v>
      </c>
      <c r="B228" t="s">
        <v>45</v>
      </c>
      <c r="C228" s="7">
        <v>-180</v>
      </c>
      <c r="D228" t="s">
        <v>6</v>
      </c>
      <c r="E228" s="8">
        <f>E227+F228</f>
        <v>53152</v>
      </c>
      <c r="F228" s="8">
        <f>IF($D228="CR01",$C228,0)</f>
        <v>-180</v>
      </c>
      <c r="G228" s="8">
        <f>G227+H228</f>
        <v>0</v>
      </c>
      <c r="H228" s="8">
        <f>IF($D228="VISA",$C228,0)</f>
        <v>0</v>
      </c>
      <c r="I228" s="8">
        <f>I227+J228</f>
        <v>0</v>
      </c>
      <c r="J228" s="8">
        <f>IF($D228="ACC",$C228,0)</f>
        <v>0</v>
      </c>
      <c r="K228" s="8">
        <f>K227+L228</f>
        <v>0</v>
      </c>
      <c r="L228" s="8">
        <f>IF($D228="CBB",$C228,0)</f>
        <v>0</v>
      </c>
    </row>
    <row r="229" spans="1:12" x14ac:dyDescent="0.25">
      <c r="A229" s="6">
        <v>41459</v>
      </c>
      <c r="B229" t="s">
        <v>46</v>
      </c>
      <c r="C229" s="7">
        <v>-300</v>
      </c>
      <c r="D229" t="s">
        <v>6</v>
      </c>
      <c r="E229" s="8">
        <f>E228+F229</f>
        <v>52852</v>
      </c>
      <c r="F229" s="8">
        <f>IF($D229="CR01",$C229,0)</f>
        <v>-300</v>
      </c>
      <c r="G229" s="8">
        <f>G228+H229</f>
        <v>0</v>
      </c>
      <c r="H229" s="8">
        <f>IF($D229="VISA",$C229,0)</f>
        <v>0</v>
      </c>
      <c r="I229" s="8">
        <f>I228+J229</f>
        <v>0</v>
      </c>
      <c r="J229" s="8">
        <f>IF($D229="ACC",$C229,0)</f>
        <v>0</v>
      </c>
      <c r="K229" s="8">
        <f>K228+L229</f>
        <v>0</v>
      </c>
      <c r="L229" s="8">
        <f>IF($D229="CBB",$C229,0)</f>
        <v>0</v>
      </c>
    </row>
    <row r="230" spans="1:12" x14ac:dyDescent="0.25">
      <c r="A230" s="6">
        <v>41460</v>
      </c>
      <c r="B230" t="s">
        <v>43</v>
      </c>
      <c r="C230" s="7">
        <v>3226</v>
      </c>
      <c r="D230" t="s">
        <v>6</v>
      </c>
      <c r="E230" s="8">
        <f>E229+F230</f>
        <v>56078</v>
      </c>
      <c r="F230" s="8">
        <f>IF($D230="CR01",$C230,0)</f>
        <v>3226</v>
      </c>
      <c r="G230" s="8">
        <f>G229+H230</f>
        <v>0</v>
      </c>
      <c r="H230" s="8">
        <f>IF($D230="VISA",$C230,0)</f>
        <v>0</v>
      </c>
      <c r="I230" s="8">
        <f>I229+J230</f>
        <v>0</v>
      </c>
      <c r="J230" s="8">
        <f>IF($D230="ACC",$C230,0)</f>
        <v>0</v>
      </c>
      <c r="K230" s="8">
        <f>K229+L230</f>
        <v>0</v>
      </c>
      <c r="L230" s="8">
        <f>IF($D230="CBB",$C230,0)</f>
        <v>0</v>
      </c>
    </row>
    <row r="231" spans="1:12" x14ac:dyDescent="0.25">
      <c r="A231" s="6">
        <v>41464</v>
      </c>
      <c r="B231" t="s">
        <v>48</v>
      </c>
      <c r="C231" s="7">
        <v>-100</v>
      </c>
      <c r="D231" t="s">
        <v>6</v>
      </c>
      <c r="E231" s="8">
        <f>E230+F231</f>
        <v>55978</v>
      </c>
      <c r="F231" s="8">
        <f>IF($D231="CR01",$C231,0)</f>
        <v>-100</v>
      </c>
      <c r="G231" s="8">
        <f>G230+H231</f>
        <v>0</v>
      </c>
      <c r="H231" s="8">
        <f>IF($D231="VISA",$C231,0)</f>
        <v>0</v>
      </c>
      <c r="I231" s="8">
        <f>I230+J231</f>
        <v>0</v>
      </c>
      <c r="J231" s="8">
        <f>IF($D231="ACC",$C231,0)</f>
        <v>0</v>
      </c>
      <c r="K231" s="8">
        <f>K230+L231</f>
        <v>0</v>
      </c>
      <c r="L231" s="8">
        <f>IF($D231="CBB",$C231,0)</f>
        <v>0</v>
      </c>
    </row>
    <row r="232" spans="1:12" x14ac:dyDescent="0.25">
      <c r="A232" s="6">
        <v>41465</v>
      </c>
      <c r="B232" t="s">
        <v>47</v>
      </c>
      <c r="C232" s="7">
        <v>-120</v>
      </c>
      <c r="D232" t="s">
        <v>6</v>
      </c>
      <c r="E232" s="8">
        <f>E231+F232</f>
        <v>55858</v>
      </c>
      <c r="F232" s="8">
        <f>IF($D232="CR01",$C232,0)</f>
        <v>-120</v>
      </c>
      <c r="G232" s="8">
        <f>G231+H232</f>
        <v>0</v>
      </c>
      <c r="H232" s="8">
        <f>IF($D232="VISA",$C232,0)</f>
        <v>0</v>
      </c>
      <c r="I232" s="8">
        <f>I231+J232</f>
        <v>0</v>
      </c>
      <c r="J232" s="8">
        <f>IF($D232="ACC",$C232,0)</f>
        <v>0</v>
      </c>
      <c r="K232" s="8">
        <f>K231+L232</f>
        <v>0</v>
      </c>
      <c r="L232" s="8">
        <f>IF($D232="CBB",$C232,0)</f>
        <v>0</v>
      </c>
    </row>
    <row r="233" spans="1:12" x14ac:dyDescent="0.25">
      <c r="A233" s="6">
        <v>41466</v>
      </c>
      <c r="B233" t="s">
        <v>44</v>
      </c>
      <c r="C233" s="7">
        <v>-400</v>
      </c>
      <c r="D233" t="s">
        <v>6</v>
      </c>
      <c r="E233" s="8">
        <f>E232+F233</f>
        <v>55458</v>
      </c>
      <c r="F233" s="8">
        <f>IF($D233="CR01",$C233,0)</f>
        <v>-400</v>
      </c>
      <c r="G233" s="8">
        <f>G232+H233</f>
        <v>0</v>
      </c>
      <c r="H233" s="8">
        <f>IF($D233="VISA",$C233,0)</f>
        <v>0</v>
      </c>
      <c r="I233" s="8">
        <f>I232+J233</f>
        <v>0</v>
      </c>
      <c r="J233" s="8">
        <f>IF($D233="ACC",$C233,0)</f>
        <v>0</v>
      </c>
      <c r="K233" s="8">
        <f>K232+L233</f>
        <v>0</v>
      </c>
      <c r="L233" s="8">
        <f>IF($D233="CBB",$C233,0)</f>
        <v>0</v>
      </c>
    </row>
    <row r="234" spans="1:12" x14ac:dyDescent="0.25">
      <c r="A234" s="6">
        <v>41466</v>
      </c>
      <c r="B234" t="s">
        <v>45</v>
      </c>
      <c r="C234" s="7">
        <v>-180</v>
      </c>
      <c r="D234" t="s">
        <v>6</v>
      </c>
      <c r="E234" s="8">
        <f>E233+F234</f>
        <v>55278</v>
      </c>
      <c r="F234" s="8">
        <f>IF($D234="CR01",$C234,0)</f>
        <v>-180</v>
      </c>
      <c r="G234" s="8">
        <f>G233+H234</f>
        <v>0</v>
      </c>
      <c r="H234" s="8">
        <f>IF($D234="VISA",$C234,0)</f>
        <v>0</v>
      </c>
      <c r="I234" s="8">
        <f>I233+J234</f>
        <v>0</v>
      </c>
      <c r="J234" s="8">
        <f>IF($D234="ACC",$C234,0)</f>
        <v>0</v>
      </c>
      <c r="K234" s="8">
        <f>K233+L234</f>
        <v>0</v>
      </c>
      <c r="L234" s="8">
        <f>IF($D234="CBB",$C234,0)</f>
        <v>0</v>
      </c>
    </row>
    <row r="235" spans="1:12" x14ac:dyDescent="0.25">
      <c r="A235" s="6">
        <v>41466</v>
      </c>
      <c r="B235" t="s">
        <v>46</v>
      </c>
      <c r="C235" s="7">
        <v>-300</v>
      </c>
      <c r="D235" t="s">
        <v>6</v>
      </c>
      <c r="E235" s="8">
        <f>E234+F235</f>
        <v>54978</v>
      </c>
      <c r="F235" s="8">
        <f>IF($D235="CR01",$C235,0)</f>
        <v>-300</v>
      </c>
      <c r="G235" s="8">
        <f>G234+H235</f>
        <v>0</v>
      </c>
      <c r="H235" s="8">
        <f>IF($D235="VISA",$C235,0)</f>
        <v>0</v>
      </c>
      <c r="I235" s="8">
        <f>I234+J235</f>
        <v>0</v>
      </c>
      <c r="J235" s="8">
        <f>IF($D235="ACC",$C235,0)</f>
        <v>0</v>
      </c>
      <c r="K235" s="8">
        <f>K234+L235</f>
        <v>0</v>
      </c>
      <c r="L235" s="8">
        <f>IF($D235="CBB",$C235,0)</f>
        <v>0</v>
      </c>
    </row>
    <row r="236" spans="1:12" x14ac:dyDescent="0.25">
      <c r="A236" s="6">
        <v>41468</v>
      </c>
      <c r="B236" t="s">
        <v>67</v>
      </c>
      <c r="C236" s="7">
        <v>6800</v>
      </c>
      <c r="D236" t="s">
        <v>6</v>
      </c>
      <c r="E236" s="8">
        <f>E235+F236</f>
        <v>61778</v>
      </c>
      <c r="F236" s="8">
        <f>IF($D236="CR01",$C236,0)</f>
        <v>6800</v>
      </c>
      <c r="G236" s="8">
        <f>G235+H236</f>
        <v>0</v>
      </c>
      <c r="H236" s="8">
        <f>IF($D236="VISA",$C236,0)</f>
        <v>0</v>
      </c>
      <c r="I236" s="8">
        <f>I235+J236</f>
        <v>0</v>
      </c>
      <c r="J236" s="8">
        <f>IF($D236="ACC",$C236,0)</f>
        <v>0</v>
      </c>
      <c r="K236" s="8">
        <f>K235+L236</f>
        <v>0</v>
      </c>
      <c r="L236" s="8">
        <f>IF($D236="CBB",$C236,0)</f>
        <v>0</v>
      </c>
    </row>
    <row r="237" spans="1:12" x14ac:dyDescent="0.25">
      <c r="A237" s="6">
        <v>41471</v>
      </c>
      <c r="B237" t="s">
        <v>42</v>
      </c>
      <c r="C237" s="7">
        <v>-2806</v>
      </c>
      <c r="D237" t="s">
        <v>6</v>
      </c>
      <c r="E237" s="8">
        <f>E236+F237</f>
        <v>58972</v>
      </c>
      <c r="F237" s="8">
        <f>IF($D237="CR01",$C237,0)</f>
        <v>-2806</v>
      </c>
      <c r="G237" s="8">
        <f>G236+H237</f>
        <v>0</v>
      </c>
      <c r="H237" s="8">
        <f>IF($D237="VISA",$C237,0)</f>
        <v>0</v>
      </c>
      <c r="I237" s="8">
        <f>I236+J237</f>
        <v>0</v>
      </c>
      <c r="J237" s="8">
        <f>IF($D237="ACC",$C237,0)</f>
        <v>0</v>
      </c>
      <c r="K237" s="8">
        <f>K236+L237</f>
        <v>0</v>
      </c>
      <c r="L237" s="8">
        <f>IF($D237="CBB",$C237,0)</f>
        <v>0</v>
      </c>
    </row>
    <row r="238" spans="1:12" x14ac:dyDescent="0.25">
      <c r="A238" s="6">
        <v>41471</v>
      </c>
      <c r="B238" t="s">
        <v>48</v>
      </c>
      <c r="C238" s="7">
        <v>-100</v>
      </c>
      <c r="D238" t="s">
        <v>6</v>
      </c>
      <c r="E238" s="8">
        <f>E237+F238</f>
        <v>58872</v>
      </c>
      <c r="F238" s="8">
        <f>IF($D238="CR01",$C238,0)</f>
        <v>-100</v>
      </c>
      <c r="G238" s="8">
        <f>G237+H238</f>
        <v>0</v>
      </c>
      <c r="H238" s="8">
        <f>IF($D238="VISA",$C238,0)</f>
        <v>0</v>
      </c>
      <c r="I238" s="8">
        <f>I237+J238</f>
        <v>0</v>
      </c>
      <c r="J238" s="8">
        <f>IF($D238="ACC",$C238,0)</f>
        <v>0</v>
      </c>
      <c r="K238" s="8">
        <f>K237+L238</f>
        <v>0</v>
      </c>
      <c r="L238" s="8">
        <f>IF($D238="CBB",$C238,0)</f>
        <v>0</v>
      </c>
    </row>
    <row r="239" spans="1:12" x14ac:dyDescent="0.25">
      <c r="A239" s="6">
        <v>41472</v>
      </c>
      <c r="B239" t="s">
        <v>47</v>
      </c>
      <c r="C239" s="7">
        <v>-120</v>
      </c>
      <c r="D239" t="s">
        <v>6</v>
      </c>
      <c r="E239" s="8">
        <f>E238+F239</f>
        <v>58752</v>
      </c>
      <c r="F239" s="8">
        <f>IF($D239="CR01",$C239,0)</f>
        <v>-120</v>
      </c>
      <c r="G239" s="8">
        <f>G238+H239</f>
        <v>0</v>
      </c>
      <c r="H239" s="8">
        <f>IF($D239="VISA",$C239,0)</f>
        <v>0</v>
      </c>
      <c r="I239" s="8">
        <f>I238+J239</f>
        <v>0</v>
      </c>
      <c r="J239" s="8">
        <f>IF($D239="ACC",$C239,0)</f>
        <v>0</v>
      </c>
      <c r="K239" s="8">
        <f>K238+L239</f>
        <v>0</v>
      </c>
      <c r="L239" s="8">
        <f>IF($D239="CBB",$C239,0)</f>
        <v>0</v>
      </c>
    </row>
    <row r="240" spans="1:12" x14ac:dyDescent="0.25">
      <c r="A240" s="6">
        <v>41473</v>
      </c>
      <c r="B240" t="s">
        <v>44</v>
      </c>
      <c r="C240" s="7">
        <v>-400</v>
      </c>
      <c r="D240" t="s">
        <v>6</v>
      </c>
      <c r="E240" s="8">
        <f>E239+F240</f>
        <v>58352</v>
      </c>
      <c r="F240" s="8">
        <f>IF($D240="CR01",$C240,0)</f>
        <v>-400</v>
      </c>
      <c r="G240" s="8">
        <f>G239+H240</f>
        <v>0</v>
      </c>
      <c r="H240" s="8">
        <f>IF($D240="VISA",$C240,0)</f>
        <v>0</v>
      </c>
      <c r="I240" s="8">
        <f>I239+J240</f>
        <v>0</v>
      </c>
      <c r="J240" s="8">
        <f>IF($D240="ACC",$C240,0)</f>
        <v>0</v>
      </c>
      <c r="K240" s="8">
        <f>K239+L240</f>
        <v>0</v>
      </c>
      <c r="L240" s="8">
        <f>IF($D240="CBB",$C240,0)</f>
        <v>0</v>
      </c>
    </row>
    <row r="241" spans="1:12" x14ac:dyDescent="0.25">
      <c r="A241" s="6">
        <v>41473</v>
      </c>
      <c r="B241" t="s">
        <v>45</v>
      </c>
      <c r="C241" s="7">
        <v>-180</v>
      </c>
      <c r="D241" t="s">
        <v>6</v>
      </c>
      <c r="E241" s="8">
        <f>E240+F241</f>
        <v>58172</v>
      </c>
      <c r="F241" s="8">
        <f>IF($D241="CR01",$C241,0)</f>
        <v>-180</v>
      </c>
      <c r="G241" s="8">
        <f>G240+H241</f>
        <v>0</v>
      </c>
      <c r="H241" s="8">
        <f>IF($D241="VISA",$C241,0)</f>
        <v>0</v>
      </c>
      <c r="I241" s="8">
        <f>I240+J241</f>
        <v>0</v>
      </c>
      <c r="J241" s="8">
        <f>IF($D241="ACC",$C241,0)</f>
        <v>0</v>
      </c>
      <c r="K241" s="8">
        <f>K240+L241</f>
        <v>0</v>
      </c>
      <c r="L241" s="8">
        <f>IF($D241="CBB",$C241,0)</f>
        <v>0</v>
      </c>
    </row>
    <row r="242" spans="1:12" x14ac:dyDescent="0.25">
      <c r="A242" s="6">
        <v>41473</v>
      </c>
      <c r="B242" t="s">
        <v>46</v>
      </c>
      <c r="C242" s="7">
        <v>-300</v>
      </c>
      <c r="D242" t="s">
        <v>6</v>
      </c>
      <c r="E242" s="8">
        <f>E241+F242</f>
        <v>57872</v>
      </c>
      <c r="F242" s="8">
        <f>IF($D242="CR01",$C242,0)</f>
        <v>-300</v>
      </c>
      <c r="G242" s="8">
        <f>G241+H242</f>
        <v>0</v>
      </c>
      <c r="H242" s="8">
        <f>IF($D242="VISA",$C242,0)</f>
        <v>0</v>
      </c>
      <c r="I242" s="8">
        <f>I241+J242</f>
        <v>0</v>
      </c>
      <c r="J242" s="8">
        <f>IF($D242="ACC",$C242,0)</f>
        <v>0</v>
      </c>
      <c r="K242" s="8">
        <f>K241+L242</f>
        <v>0</v>
      </c>
      <c r="L242" s="8">
        <f>IF($D242="CBB",$C242,0)</f>
        <v>0</v>
      </c>
    </row>
    <row r="243" spans="1:12" x14ac:dyDescent="0.25">
      <c r="A243" s="6">
        <v>41474</v>
      </c>
      <c r="B243" t="s">
        <v>43</v>
      </c>
      <c r="C243" s="7">
        <v>3226</v>
      </c>
      <c r="D243" t="s">
        <v>6</v>
      </c>
      <c r="E243" s="8">
        <f>E242+F243</f>
        <v>61098</v>
      </c>
      <c r="F243" s="8">
        <f>IF($D243="CR01",$C243,0)</f>
        <v>3226</v>
      </c>
      <c r="G243" s="8">
        <f>G242+H243</f>
        <v>0</v>
      </c>
      <c r="H243" s="8">
        <f>IF($D243="VISA",$C243,0)</f>
        <v>0</v>
      </c>
      <c r="I243" s="8">
        <f>I242+J243</f>
        <v>0</v>
      </c>
      <c r="J243" s="8">
        <f>IF($D243="ACC",$C243,0)</f>
        <v>0</v>
      </c>
      <c r="K243" s="8">
        <f>K242+L243</f>
        <v>0</v>
      </c>
      <c r="L243" s="8">
        <f>IF($D243="CBB",$C243,0)</f>
        <v>0</v>
      </c>
    </row>
    <row r="244" spans="1:12" x14ac:dyDescent="0.25">
      <c r="A244" s="6">
        <v>41478</v>
      </c>
      <c r="B244" t="s">
        <v>48</v>
      </c>
      <c r="C244" s="7">
        <v>-100</v>
      </c>
      <c r="D244" t="s">
        <v>6</v>
      </c>
      <c r="E244" s="8">
        <f>E243+F244</f>
        <v>60998</v>
      </c>
      <c r="F244" s="8">
        <f>IF($D244="CR01",$C244,0)</f>
        <v>-100</v>
      </c>
      <c r="G244" s="8">
        <f>G243+H244</f>
        <v>0</v>
      </c>
      <c r="H244" s="8">
        <f>IF($D244="VISA",$C244,0)</f>
        <v>0</v>
      </c>
      <c r="I244" s="8">
        <f>I243+J244</f>
        <v>0</v>
      </c>
      <c r="J244" s="8">
        <f>IF($D244="ACC",$C244,0)</f>
        <v>0</v>
      </c>
      <c r="K244" s="8">
        <f>K243+L244</f>
        <v>0</v>
      </c>
      <c r="L244" s="8">
        <f>IF($D244="CBB",$C244,0)</f>
        <v>0</v>
      </c>
    </row>
    <row r="245" spans="1:12" x14ac:dyDescent="0.25">
      <c r="A245" s="6">
        <v>41479</v>
      </c>
      <c r="B245" t="s">
        <v>47</v>
      </c>
      <c r="C245" s="7">
        <v>-120</v>
      </c>
      <c r="D245" t="s">
        <v>6</v>
      </c>
      <c r="E245" s="8">
        <f>E244+F245</f>
        <v>60878</v>
      </c>
      <c r="F245" s="8">
        <f>IF($D245="CR01",$C245,0)</f>
        <v>-120</v>
      </c>
      <c r="G245" s="8">
        <f>G244+H245</f>
        <v>0</v>
      </c>
      <c r="H245" s="8">
        <f>IF($D245="VISA",$C245,0)</f>
        <v>0</v>
      </c>
      <c r="I245" s="8">
        <f>I244+J245</f>
        <v>0</v>
      </c>
      <c r="J245" s="8">
        <f>IF($D245="ACC",$C245,0)</f>
        <v>0</v>
      </c>
      <c r="K245" s="8">
        <f>K244+L245</f>
        <v>0</v>
      </c>
      <c r="L245" s="8">
        <f>IF($D245="CBB",$C245,0)</f>
        <v>0</v>
      </c>
    </row>
    <row r="246" spans="1:12" x14ac:dyDescent="0.25">
      <c r="A246" s="6">
        <v>41480</v>
      </c>
      <c r="B246" t="s">
        <v>44</v>
      </c>
      <c r="C246" s="7">
        <v>-400</v>
      </c>
      <c r="D246" t="s">
        <v>6</v>
      </c>
      <c r="E246" s="8">
        <f>E245+F246</f>
        <v>60478</v>
      </c>
      <c r="F246" s="8">
        <f>IF($D246="CR01",$C246,0)</f>
        <v>-400</v>
      </c>
      <c r="G246" s="8">
        <f>G245+H246</f>
        <v>0</v>
      </c>
      <c r="H246" s="8">
        <f>IF($D246="VISA",$C246,0)</f>
        <v>0</v>
      </c>
      <c r="I246" s="8">
        <f>I245+J246</f>
        <v>0</v>
      </c>
      <c r="J246" s="8">
        <f>IF($D246="ACC",$C246,0)</f>
        <v>0</v>
      </c>
      <c r="K246" s="8">
        <f>K245+L246</f>
        <v>0</v>
      </c>
      <c r="L246" s="8">
        <f>IF($D246="CBB",$C246,0)</f>
        <v>0</v>
      </c>
    </row>
    <row r="247" spans="1:12" x14ac:dyDescent="0.25">
      <c r="A247" s="6">
        <v>41480</v>
      </c>
      <c r="B247" t="s">
        <v>45</v>
      </c>
      <c r="C247" s="7">
        <v>-180</v>
      </c>
      <c r="D247" t="s">
        <v>6</v>
      </c>
      <c r="E247" s="8">
        <f>E246+F247</f>
        <v>60298</v>
      </c>
      <c r="F247" s="8">
        <f>IF($D247="CR01",$C247,0)</f>
        <v>-180</v>
      </c>
      <c r="G247" s="8">
        <f>G246+H247</f>
        <v>0</v>
      </c>
      <c r="H247" s="8">
        <f>IF($D247="VISA",$C247,0)</f>
        <v>0</v>
      </c>
      <c r="I247" s="8">
        <f>I246+J247</f>
        <v>0</v>
      </c>
      <c r="J247" s="8">
        <f>IF($D247="ACC",$C247,0)</f>
        <v>0</v>
      </c>
      <c r="K247" s="8">
        <f>K246+L247</f>
        <v>0</v>
      </c>
      <c r="L247" s="8">
        <f>IF($D247="CBB",$C247,0)</f>
        <v>0</v>
      </c>
    </row>
    <row r="248" spans="1:12" x14ac:dyDescent="0.25">
      <c r="A248" s="6">
        <v>41480</v>
      </c>
      <c r="B248" t="s">
        <v>46</v>
      </c>
      <c r="C248" s="7">
        <v>-300</v>
      </c>
      <c r="D248" t="s">
        <v>6</v>
      </c>
      <c r="E248" s="8">
        <f>E247+F248</f>
        <v>59998</v>
      </c>
      <c r="F248" s="8">
        <f>IF($D248="CR01",$C248,0)</f>
        <v>-300</v>
      </c>
      <c r="G248" s="8">
        <f>G247+H248</f>
        <v>0</v>
      </c>
      <c r="H248" s="8">
        <f>IF($D248="VISA",$C248,0)</f>
        <v>0</v>
      </c>
      <c r="I248" s="8">
        <f>I247+J248</f>
        <v>0</v>
      </c>
      <c r="J248" s="8">
        <f>IF($D248="ACC",$C248,0)</f>
        <v>0</v>
      </c>
      <c r="K248" s="8">
        <f>K247+L248</f>
        <v>0</v>
      </c>
      <c r="L248" s="8">
        <f>IF($D248="CBB",$C248,0)</f>
        <v>0</v>
      </c>
    </row>
    <row r="249" spans="1:12" x14ac:dyDescent="0.25">
      <c r="A249" s="6">
        <v>41482</v>
      </c>
      <c r="B249" t="s">
        <v>67</v>
      </c>
      <c r="C249" s="7">
        <v>6800</v>
      </c>
      <c r="D249" t="s">
        <v>6</v>
      </c>
      <c r="E249" s="8">
        <f>E248+F249</f>
        <v>66798</v>
      </c>
      <c r="F249" s="8">
        <f>IF($D249="CR01",$C249,0)</f>
        <v>6800</v>
      </c>
      <c r="G249" s="8">
        <f>G248+H249</f>
        <v>0</v>
      </c>
      <c r="H249" s="8">
        <f>IF($D249="VISA",$C249,0)</f>
        <v>0</v>
      </c>
      <c r="I249" s="8">
        <f>I248+J249</f>
        <v>0</v>
      </c>
      <c r="J249" s="8">
        <f>IF($D249="ACC",$C249,0)</f>
        <v>0</v>
      </c>
      <c r="K249" s="8">
        <f>K248+L249</f>
        <v>0</v>
      </c>
      <c r="L249" s="8">
        <f>IF($D249="CBB",$C249,0)</f>
        <v>0</v>
      </c>
    </row>
    <row r="250" spans="1:12" x14ac:dyDescent="0.25">
      <c r="A250" s="6">
        <v>41485</v>
      </c>
      <c r="B250" t="s">
        <v>42</v>
      </c>
      <c r="C250" s="7">
        <v>-2806</v>
      </c>
      <c r="D250" t="s">
        <v>6</v>
      </c>
      <c r="E250" s="8">
        <f>E249+F250</f>
        <v>63992</v>
      </c>
      <c r="F250" s="8">
        <f>IF($D250="CR01",$C250,0)</f>
        <v>-2806</v>
      </c>
      <c r="G250" s="8">
        <f>G249+H250</f>
        <v>0</v>
      </c>
      <c r="H250" s="8">
        <f>IF($D250="VISA",$C250,0)</f>
        <v>0</v>
      </c>
      <c r="I250" s="8">
        <f>I249+J250</f>
        <v>0</v>
      </c>
      <c r="J250" s="8">
        <f>IF($D250="ACC",$C250,0)</f>
        <v>0</v>
      </c>
      <c r="K250" s="8">
        <f>K249+L250</f>
        <v>0</v>
      </c>
      <c r="L250" s="8">
        <f>IF($D250="CBB",$C250,0)</f>
        <v>0</v>
      </c>
    </row>
    <row r="251" spans="1:12" x14ac:dyDescent="0.25">
      <c r="A251" s="6">
        <v>41485</v>
      </c>
      <c r="B251" t="s">
        <v>48</v>
      </c>
      <c r="C251" s="7">
        <v>-100</v>
      </c>
      <c r="D251" t="s">
        <v>6</v>
      </c>
      <c r="E251" s="8">
        <f>E250+F251</f>
        <v>63892</v>
      </c>
      <c r="F251" s="8">
        <f>IF($D251="CR01",$C251,0)</f>
        <v>-100</v>
      </c>
      <c r="G251" s="8">
        <f>G250+H251</f>
        <v>0</v>
      </c>
      <c r="H251" s="8">
        <f>IF($D251="VISA",$C251,0)</f>
        <v>0</v>
      </c>
      <c r="I251" s="8">
        <f>I250+J251</f>
        <v>0</v>
      </c>
      <c r="J251" s="8">
        <f>IF($D251="ACC",$C251,0)</f>
        <v>0</v>
      </c>
      <c r="K251" s="8">
        <f>K250+L251</f>
        <v>0</v>
      </c>
      <c r="L251" s="8">
        <f>IF($D251="CBB",$C251,0)</f>
        <v>0</v>
      </c>
    </row>
    <row r="252" spans="1:12" x14ac:dyDescent="0.25">
      <c r="A252" s="6">
        <v>41486</v>
      </c>
      <c r="B252" t="s">
        <v>47</v>
      </c>
      <c r="C252" s="7">
        <v>-120</v>
      </c>
      <c r="D252" t="s">
        <v>6</v>
      </c>
      <c r="E252" s="8">
        <f>E251+F252</f>
        <v>63772</v>
      </c>
      <c r="F252" s="8">
        <f>IF($D252="CR01",$C252,0)</f>
        <v>-120</v>
      </c>
      <c r="G252" s="8">
        <f>G251+H252</f>
        <v>0</v>
      </c>
      <c r="H252" s="8">
        <f>IF($D252="VISA",$C252,0)</f>
        <v>0</v>
      </c>
      <c r="I252" s="8">
        <f>I251+J252</f>
        <v>0</v>
      </c>
      <c r="J252" s="8">
        <f>IF($D252="ACC",$C252,0)</f>
        <v>0</v>
      </c>
      <c r="K252" s="8">
        <f>K251+L252</f>
        <v>0</v>
      </c>
      <c r="L252" s="8">
        <f>IF($D252="CBB",$C252,0)</f>
        <v>0</v>
      </c>
    </row>
    <row r="253" spans="1:12" x14ac:dyDescent="0.25">
      <c r="A253" s="6">
        <v>41487</v>
      </c>
      <c r="B253" t="s">
        <v>44</v>
      </c>
      <c r="C253" s="7">
        <v>-400</v>
      </c>
      <c r="D253" t="s">
        <v>6</v>
      </c>
      <c r="E253" s="8">
        <f>E252+F253</f>
        <v>63372</v>
      </c>
      <c r="F253" s="8">
        <f>IF($D253="CR01",$C253,0)</f>
        <v>-400</v>
      </c>
      <c r="G253" s="8">
        <f>G252+H253</f>
        <v>0</v>
      </c>
      <c r="H253" s="8">
        <f>IF($D253="VISA",$C253,0)</f>
        <v>0</v>
      </c>
      <c r="I253" s="8">
        <f>I252+J253</f>
        <v>0</v>
      </c>
      <c r="J253" s="8">
        <f>IF($D253="ACC",$C253,0)</f>
        <v>0</v>
      </c>
      <c r="K253" s="8">
        <f>K252+L253</f>
        <v>0</v>
      </c>
      <c r="L253" s="8">
        <f>IF($D253="CBB",$C253,0)</f>
        <v>0</v>
      </c>
    </row>
    <row r="254" spans="1:12" x14ac:dyDescent="0.25">
      <c r="A254" s="6">
        <v>41487</v>
      </c>
      <c r="B254" t="s">
        <v>45</v>
      </c>
      <c r="C254" s="7">
        <v>-180</v>
      </c>
      <c r="D254" t="s">
        <v>6</v>
      </c>
      <c r="E254" s="8">
        <f>E253+F254</f>
        <v>63192</v>
      </c>
      <c r="F254" s="8">
        <f>IF($D254="CR01",$C254,0)</f>
        <v>-180</v>
      </c>
      <c r="G254" s="8">
        <f>G253+H254</f>
        <v>0</v>
      </c>
      <c r="H254" s="8">
        <f>IF($D254="VISA",$C254,0)</f>
        <v>0</v>
      </c>
      <c r="I254" s="8">
        <f>I253+J254</f>
        <v>0</v>
      </c>
      <c r="J254" s="8">
        <f>IF($D254="ACC",$C254,0)</f>
        <v>0</v>
      </c>
      <c r="K254" s="8">
        <f>K253+L254</f>
        <v>0</v>
      </c>
      <c r="L254" s="8">
        <f>IF($D254="CBB",$C254,0)</f>
        <v>0</v>
      </c>
    </row>
    <row r="255" spans="1:12" x14ac:dyDescent="0.25">
      <c r="A255" s="6">
        <v>41487</v>
      </c>
      <c r="B255" t="s">
        <v>46</v>
      </c>
      <c r="C255" s="7">
        <v>-300</v>
      </c>
      <c r="D255" t="s">
        <v>6</v>
      </c>
      <c r="E255" s="8">
        <f>E254+F255</f>
        <v>62892</v>
      </c>
      <c r="F255" s="8">
        <f>IF($D255="CR01",$C255,0)</f>
        <v>-300</v>
      </c>
      <c r="G255" s="8">
        <f>G254+H255</f>
        <v>0</v>
      </c>
      <c r="H255" s="8">
        <f>IF($D255="VISA",$C255,0)</f>
        <v>0</v>
      </c>
      <c r="I255" s="8">
        <f>I254+J255</f>
        <v>0</v>
      </c>
      <c r="J255" s="8">
        <f>IF($D255="ACC",$C255,0)</f>
        <v>0</v>
      </c>
      <c r="K255" s="8">
        <f>K254+L255</f>
        <v>0</v>
      </c>
      <c r="L255" s="8">
        <f>IF($D255="CBB",$C255,0)</f>
        <v>0</v>
      </c>
    </row>
    <row r="256" spans="1:12" x14ac:dyDescent="0.25">
      <c r="A256" s="6">
        <v>41487</v>
      </c>
      <c r="B256" t="s">
        <v>58</v>
      </c>
      <c r="C256" s="7">
        <v>-200</v>
      </c>
      <c r="D256" t="s">
        <v>6</v>
      </c>
      <c r="E256" s="8">
        <f>E255+F256</f>
        <v>62692</v>
      </c>
      <c r="F256" s="8">
        <f>IF($D256="CR01",$C256,0)</f>
        <v>-200</v>
      </c>
      <c r="G256" s="8">
        <f>G255+H256</f>
        <v>0</v>
      </c>
      <c r="H256" s="8">
        <f>IF($D256="VISA",$C256,0)</f>
        <v>0</v>
      </c>
      <c r="I256" s="8">
        <f>I255+J256</f>
        <v>0</v>
      </c>
      <c r="J256" s="8">
        <f>IF($D256="ACC",$C256,0)</f>
        <v>0</v>
      </c>
      <c r="K256" s="8">
        <f>K255+L256</f>
        <v>0</v>
      </c>
      <c r="L256" s="8">
        <f>IF($D256="CBB",$C256,0)</f>
        <v>0</v>
      </c>
    </row>
    <row r="257" spans="1:12" x14ac:dyDescent="0.25">
      <c r="A257" s="6">
        <v>41487</v>
      </c>
      <c r="B257" t="s">
        <v>60</v>
      </c>
      <c r="C257" s="7">
        <v>-400</v>
      </c>
      <c r="D257" t="s">
        <v>6</v>
      </c>
      <c r="E257" s="8">
        <f>E256+F257</f>
        <v>62292</v>
      </c>
      <c r="F257" s="8">
        <f>IF($D257="CR01",$C257,0)</f>
        <v>-400</v>
      </c>
      <c r="G257" s="8">
        <f>G256+H257</f>
        <v>0</v>
      </c>
      <c r="H257" s="8">
        <f>IF($D257="VISA",$C257,0)</f>
        <v>0</v>
      </c>
      <c r="I257" s="8">
        <f>I256+J257</f>
        <v>0</v>
      </c>
      <c r="J257" s="8">
        <f>IF($D257="ACC",$C257,0)</f>
        <v>0</v>
      </c>
      <c r="K257" s="8">
        <f>K256+L257</f>
        <v>0</v>
      </c>
      <c r="L257" s="8">
        <f>IF($D257="CBB",$C257,0)</f>
        <v>0</v>
      </c>
    </row>
    <row r="258" spans="1:12" x14ac:dyDescent="0.25">
      <c r="A258" s="6">
        <v>41487</v>
      </c>
      <c r="B258" t="s">
        <v>62</v>
      </c>
      <c r="C258" s="7">
        <v>-300</v>
      </c>
      <c r="D258" t="s">
        <v>6</v>
      </c>
      <c r="E258" s="8">
        <f>E257+F258</f>
        <v>61992</v>
      </c>
      <c r="F258" s="8">
        <f>IF($D258="CR01",$C258,0)</f>
        <v>-300</v>
      </c>
      <c r="G258" s="8">
        <f>G257+H258</f>
        <v>0</v>
      </c>
      <c r="H258" s="8">
        <f>IF($D258="VISA",$C258,0)</f>
        <v>0</v>
      </c>
      <c r="I258" s="8">
        <f>I257+J258</f>
        <v>0</v>
      </c>
      <c r="J258" s="8">
        <f>IF($D258="ACC",$C258,0)</f>
        <v>0</v>
      </c>
      <c r="K258" s="8">
        <f>K257+L258</f>
        <v>0</v>
      </c>
      <c r="L258" s="8">
        <f>IF($D258="CBB",$C258,0)</f>
        <v>0</v>
      </c>
    </row>
    <row r="259" spans="1:12" x14ac:dyDescent="0.25">
      <c r="A259" s="6">
        <v>41487</v>
      </c>
      <c r="B259" t="s">
        <v>63</v>
      </c>
      <c r="C259" s="7">
        <v>-300</v>
      </c>
      <c r="D259" t="s">
        <v>6</v>
      </c>
      <c r="E259" s="8">
        <f>E258+F259</f>
        <v>61692</v>
      </c>
      <c r="F259" s="8">
        <f>IF($D259="CR01",$C259,0)</f>
        <v>-300</v>
      </c>
      <c r="G259" s="8">
        <f>G258+H259</f>
        <v>0</v>
      </c>
      <c r="H259" s="8">
        <f>IF($D259="VISA",$C259,0)</f>
        <v>0</v>
      </c>
      <c r="I259" s="8">
        <f>I258+J259</f>
        <v>0</v>
      </c>
      <c r="J259" s="8">
        <f>IF($D259="ACC",$C259,0)</f>
        <v>0</v>
      </c>
      <c r="K259" s="8">
        <f>K258+L259</f>
        <v>0</v>
      </c>
      <c r="L259" s="8">
        <f>IF($D259="CBB",$C259,0)</f>
        <v>0</v>
      </c>
    </row>
    <row r="260" spans="1:12" x14ac:dyDescent="0.25">
      <c r="A260" s="6">
        <v>41487</v>
      </c>
      <c r="B260" t="s">
        <v>64</v>
      </c>
      <c r="C260" s="7">
        <v>-26</v>
      </c>
      <c r="D260" t="s">
        <v>6</v>
      </c>
      <c r="E260" s="8">
        <f>E259+F260</f>
        <v>61666</v>
      </c>
      <c r="F260" s="8">
        <f>IF($D260="CR01",$C260,0)</f>
        <v>-26</v>
      </c>
      <c r="G260" s="8">
        <f>G259+H260</f>
        <v>0</v>
      </c>
      <c r="H260" s="8">
        <f>IF($D260="VISA",$C260,0)</f>
        <v>0</v>
      </c>
      <c r="I260" s="8">
        <f>I259+J260</f>
        <v>0</v>
      </c>
      <c r="J260" s="8">
        <f>IF($D260="ACC",$C260,0)</f>
        <v>0</v>
      </c>
      <c r="K260" s="8">
        <f>K259+L260</f>
        <v>0</v>
      </c>
      <c r="L260" s="8">
        <f>IF($D260="CBB",$C260,0)</f>
        <v>0</v>
      </c>
    </row>
    <row r="261" spans="1:12" x14ac:dyDescent="0.25">
      <c r="A261" s="6">
        <v>41487</v>
      </c>
      <c r="B261" t="s">
        <v>65</v>
      </c>
      <c r="C261" s="7">
        <v>-240</v>
      </c>
      <c r="D261" t="s">
        <v>6</v>
      </c>
      <c r="E261" s="8">
        <f>E260+F261</f>
        <v>61426</v>
      </c>
      <c r="F261" s="8">
        <f>IF($D261="CR01",$C261,0)</f>
        <v>-240</v>
      </c>
      <c r="G261" s="8">
        <f>G260+H261</f>
        <v>0</v>
      </c>
      <c r="H261" s="8">
        <f>IF($D261="VISA",$C261,0)</f>
        <v>0</v>
      </c>
      <c r="I261" s="8">
        <f>I260+J261</f>
        <v>0</v>
      </c>
      <c r="J261" s="8">
        <f>IF($D261="ACC",$C261,0)</f>
        <v>0</v>
      </c>
      <c r="K261" s="8">
        <f>K260+L261</f>
        <v>0</v>
      </c>
      <c r="L261" s="8">
        <f>IF($D261="CBB",$C261,0)</f>
        <v>0</v>
      </c>
    </row>
    <row r="262" spans="1:12" x14ac:dyDescent="0.25">
      <c r="A262" s="6">
        <v>41487</v>
      </c>
      <c r="B262" t="s">
        <v>66</v>
      </c>
      <c r="C262" s="7">
        <v>-120</v>
      </c>
      <c r="D262" t="s">
        <v>6</v>
      </c>
      <c r="E262" s="8">
        <f>E261+F262</f>
        <v>61306</v>
      </c>
      <c r="F262" s="8">
        <f>IF($D262="CR01",$C262,0)</f>
        <v>-120</v>
      </c>
      <c r="G262" s="8">
        <f>G261+H262</f>
        <v>0</v>
      </c>
      <c r="H262" s="8">
        <f>IF($D262="VISA",$C262,0)</f>
        <v>0</v>
      </c>
      <c r="I262" s="8">
        <f>I261+J262</f>
        <v>0</v>
      </c>
      <c r="J262" s="8">
        <f>IF($D262="ACC",$C262,0)</f>
        <v>0</v>
      </c>
      <c r="K262" s="8">
        <f>K261+L262</f>
        <v>0</v>
      </c>
      <c r="L262" s="8">
        <f>IF($D262="CBB",$C262,0)</f>
        <v>0</v>
      </c>
    </row>
    <row r="263" spans="1:12" x14ac:dyDescent="0.25">
      <c r="A263" s="6">
        <v>41488</v>
      </c>
      <c r="B263" t="s">
        <v>43</v>
      </c>
      <c r="C263" s="7">
        <v>3226</v>
      </c>
      <c r="D263" t="s">
        <v>6</v>
      </c>
      <c r="E263" s="8">
        <f>E262+F263</f>
        <v>64532</v>
      </c>
      <c r="F263" s="8">
        <f>IF($D263="CR01",$C263,0)</f>
        <v>3226</v>
      </c>
      <c r="G263" s="8">
        <f>G262+H263</f>
        <v>0</v>
      </c>
      <c r="H263" s="8">
        <f>IF($D263="VISA",$C263,0)</f>
        <v>0</v>
      </c>
      <c r="I263" s="8">
        <f>I262+J263</f>
        <v>0</v>
      </c>
      <c r="J263" s="8">
        <f>IF($D263="ACC",$C263,0)</f>
        <v>0</v>
      </c>
      <c r="K263" s="8">
        <f>K262+L263</f>
        <v>0</v>
      </c>
      <c r="L263" s="8">
        <f>IF($D263="CBB",$C263,0)</f>
        <v>0</v>
      </c>
    </row>
    <row r="264" spans="1:12" x14ac:dyDescent="0.25">
      <c r="A264" s="6">
        <v>41488</v>
      </c>
      <c r="B264" t="s">
        <v>59</v>
      </c>
      <c r="C264" s="7">
        <v>-900</v>
      </c>
      <c r="D264" t="s">
        <v>6</v>
      </c>
      <c r="E264" s="8">
        <f>E263+F264</f>
        <v>63632</v>
      </c>
      <c r="F264" s="8">
        <f>IF($D264="CR01",$C264,0)</f>
        <v>-900</v>
      </c>
      <c r="G264" s="8">
        <f>G263+H264</f>
        <v>0</v>
      </c>
      <c r="H264" s="8">
        <f>IF($D264="VISA",$C264,0)</f>
        <v>0</v>
      </c>
      <c r="I264" s="8">
        <f>I263+J264</f>
        <v>0</v>
      </c>
      <c r="J264" s="8">
        <f>IF($D264="ACC",$C264,0)</f>
        <v>0</v>
      </c>
      <c r="K264" s="8">
        <f>K263+L264</f>
        <v>0</v>
      </c>
      <c r="L264" s="8">
        <f>IF($D264="CBB",$C264,0)</f>
        <v>0</v>
      </c>
    </row>
    <row r="265" spans="1:12" x14ac:dyDescent="0.25">
      <c r="A265" s="6">
        <v>41492</v>
      </c>
      <c r="B265" t="s">
        <v>48</v>
      </c>
      <c r="C265" s="7">
        <v>-100</v>
      </c>
      <c r="D265" t="s">
        <v>6</v>
      </c>
      <c r="E265" s="8">
        <f>E264+F265</f>
        <v>63532</v>
      </c>
      <c r="F265" s="8">
        <f>IF($D265="CR01",$C265,0)</f>
        <v>-100</v>
      </c>
      <c r="G265" s="8">
        <f>G264+H265</f>
        <v>0</v>
      </c>
      <c r="H265" s="8">
        <f>IF($D265="VISA",$C265,0)</f>
        <v>0</v>
      </c>
      <c r="I265" s="8">
        <f>I264+J265</f>
        <v>0</v>
      </c>
      <c r="J265" s="8">
        <f>IF($D265="ACC",$C265,0)</f>
        <v>0</v>
      </c>
      <c r="K265" s="8">
        <f>K264+L265</f>
        <v>0</v>
      </c>
      <c r="L265" s="8">
        <f>IF($D265="CBB",$C265,0)</f>
        <v>0</v>
      </c>
    </row>
    <row r="266" spans="1:12" x14ac:dyDescent="0.25">
      <c r="A266" s="6">
        <v>41493</v>
      </c>
      <c r="B266" t="s">
        <v>47</v>
      </c>
      <c r="C266" s="7">
        <v>-120</v>
      </c>
      <c r="D266" t="s">
        <v>6</v>
      </c>
      <c r="E266" s="8">
        <f>E265+F266</f>
        <v>63412</v>
      </c>
      <c r="F266" s="8">
        <f>IF($D266="CR01",$C266,0)</f>
        <v>-120</v>
      </c>
      <c r="G266" s="8">
        <f>G265+H266</f>
        <v>0</v>
      </c>
      <c r="H266" s="8">
        <f>IF($D266="VISA",$C266,0)</f>
        <v>0</v>
      </c>
      <c r="I266" s="8">
        <f>I265+J266</f>
        <v>0</v>
      </c>
      <c r="J266" s="8">
        <f>IF($D266="ACC",$C266,0)</f>
        <v>0</v>
      </c>
      <c r="K266" s="8">
        <f>K265+L266</f>
        <v>0</v>
      </c>
      <c r="L266" s="8">
        <f>IF($D266="CBB",$C266,0)</f>
        <v>0</v>
      </c>
    </row>
    <row r="267" spans="1:12" x14ac:dyDescent="0.25">
      <c r="A267" s="6">
        <v>41494</v>
      </c>
      <c r="B267" t="s">
        <v>44</v>
      </c>
      <c r="C267" s="7">
        <v>-400</v>
      </c>
      <c r="D267" t="s">
        <v>6</v>
      </c>
      <c r="E267" s="8">
        <f>E266+F267</f>
        <v>63012</v>
      </c>
      <c r="F267" s="8">
        <f>IF($D267="CR01",$C267,0)</f>
        <v>-400</v>
      </c>
      <c r="G267" s="8">
        <f>G266+H267</f>
        <v>0</v>
      </c>
      <c r="H267" s="8">
        <f>IF($D267="VISA",$C267,0)</f>
        <v>0</v>
      </c>
      <c r="I267" s="8">
        <f>I266+J267</f>
        <v>0</v>
      </c>
      <c r="J267" s="8">
        <f>IF($D267="ACC",$C267,0)</f>
        <v>0</v>
      </c>
      <c r="K267" s="8">
        <f>K266+L267</f>
        <v>0</v>
      </c>
      <c r="L267" s="8">
        <f>IF($D267="CBB",$C267,0)</f>
        <v>0</v>
      </c>
    </row>
    <row r="268" spans="1:12" x14ac:dyDescent="0.25">
      <c r="A268" s="6">
        <v>41494</v>
      </c>
      <c r="B268" t="s">
        <v>45</v>
      </c>
      <c r="C268" s="7">
        <v>-180</v>
      </c>
      <c r="D268" t="s">
        <v>6</v>
      </c>
      <c r="E268" s="8">
        <f>E267+F268</f>
        <v>62832</v>
      </c>
      <c r="F268" s="8">
        <f>IF($D268="CR01",$C268,0)</f>
        <v>-180</v>
      </c>
      <c r="G268" s="8">
        <f>G267+H268</f>
        <v>0</v>
      </c>
      <c r="H268" s="8">
        <f>IF($D268="VISA",$C268,0)</f>
        <v>0</v>
      </c>
      <c r="I268" s="8">
        <f>I267+J268</f>
        <v>0</v>
      </c>
      <c r="J268" s="8">
        <f>IF($D268="ACC",$C268,0)</f>
        <v>0</v>
      </c>
      <c r="K268" s="8">
        <f>K267+L268</f>
        <v>0</v>
      </c>
      <c r="L268" s="8">
        <f>IF($D268="CBB",$C268,0)</f>
        <v>0</v>
      </c>
    </row>
    <row r="269" spans="1:12" x14ac:dyDescent="0.25">
      <c r="A269" s="6">
        <v>41494</v>
      </c>
      <c r="B269" t="s">
        <v>46</v>
      </c>
      <c r="C269" s="7">
        <v>-300</v>
      </c>
      <c r="D269" t="s">
        <v>6</v>
      </c>
      <c r="E269" s="8">
        <f>E268+F269</f>
        <v>62532</v>
      </c>
      <c r="F269" s="8">
        <f>IF($D269="CR01",$C269,0)</f>
        <v>-300</v>
      </c>
      <c r="G269" s="8">
        <f>G268+H269</f>
        <v>0</v>
      </c>
      <c r="H269" s="8">
        <f>IF($D269="VISA",$C269,0)</f>
        <v>0</v>
      </c>
      <c r="I269" s="8">
        <f>I268+J269</f>
        <v>0</v>
      </c>
      <c r="J269" s="8">
        <f>IF($D269="ACC",$C269,0)</f>
        <v>0</v>
      </c>
      <c r="K269" s="8">
        <f>K268+L269</f>
        <v>0</v>
      </c>
      <c r="L269" s="8">
        <f>IF($D269="CBB",$C269,0)</f>
        <v>0</v>
      </c>
    </row>
    <row r="270" spans="1:12" x14ac:dyDescent="0.25">
      <c r="A270" s="6">
        <v>41496</v>
      </c>
      <c r="B270" t="s">
        <v>67</v>
      </c>
      <c r="C270" s="7">
        <v>6800</v>
      </c>
      <c r="D270" t="s">
        <v>6</v>
      </c>
      <c r="E270" s="8">
        <f>E269+F270</f>
        <v>69332</v>
      </c>
      <c r="F270" s="8">
        <f>IF($D270="CR01",$C270,0)</f>
        <v>6800</v>
      </c>
      <c r="G270" s="8">
        <f>G269+H270</f>
        <v>0</v>
      </c>
      <c r="H270" s="8">
        <f>IF($D270="VISA",$C270,0)</f>
        <v>0</v>
      </c>
      <c r="I270" s="8">
        <f>I269+J270</f>
        <v>0</v>
      </c>
      <c r="J270" s="8">
        <f>IF($D270="ACC",$C270,0)</f>
        <v>0</v>
      </c>
      <c r="K270" s="8">
        <f>K269+L270</f>
        <v>0</v>
      </c>
      <c r="L270" s="8">
        <f>IF($D270="CBB",$C270,0)</f>
        <v>0</v>
      </c>
    </row>
    <row r="271" spans="1:12" x14ac:dyDescent="0.25">
      <c r="A271" s="6">
        <v>41499</v>
      </c>
      <c r="B271" t="s">
        <v>42</v>
      </c>
      <c r="C271" s="7">
        <v>-2806</v>
      </c>
      <c r="D271" t="s">
        <v>6</v>
      </c>
      <c r="E271" s="8">
        <f>E270+F271</f>
        <v>66526</v>
      </c>
      <c r="F271" s="8">
        <f>IF($D271="CR01",$C271,0)</f>
        <v>-2806</v>
      </c>
      <c r="G271" s="8">
        <f>G270+H271</f>
        <v>0</v>
      </c>
      <c r="H271" s="8">
        <f>IF($D271="VISA",$C271,0)</f>
        <v>0</v>
      </c>
      <c r="I271" s="8">
        <f>I270+J271</f>
        <v>0</v>
      </c>
      <c r="J271" s="8">
        <f>IF($D271="ACC",$C271,0)</f>
        <v>0</v>
      </c>
      <c r="K271" s="8">
        <f>K270+L271</f>
        <v>0</v>
      </c>
      <c r="L271" s="8">
        <f>IF($D271="CBB",$C271,0)</f>
        <v>0</v>
      </c>
    </row>
    <row r="272" spans="1:12" x14ac:dyDescent="0.25">
      <c r="A272" s="6">
        <v>41499</v>
      </c>
      <c r="B272" t="s">
        <v>48</v>
      </c>
      <c r="C272" s="7">
        <v>-100</v>
      </c>
      <c r="D272" t="s">
        <v>6</v>
      </c>
      <c r="E272" s="8">
        <f>E271+F272</f>
        <v>66426</v>
      </c>
      <c r="F272" s="8">
        <f>IF($D272="CR01",$C272,0)</f>
        <v>-100</v>
      </c>
      <c r="G272" s="8">
        <f>G271+H272</f>
        <v>0</v>
      </c>
      <c r="H272" s="8">
        <f>IF($D272="VISA",$C272,0)</f>
        <v>0</v>
      </c>
      <c r="I272" s="8">
        <f>I271+J272</f>
        <v>0</v>
      </c>
      <c r="J272" s="8">
        <f>IF($D272="ACC",$C272,0)</f>
        <v>0</v>
      </c>
      <c r="K272" s="8">
        <f>K271+L272</f>
        <v>0</v>
      </c>
      <c r="L272" s="8">
        <f>IF($D272="CBB",$C272,0)</f>
        <v>0</v>
      </c>
    </row>
    <row r="273" spans="1:12" x14ac:dyDescent="0.25">
      <c r="A273" s="6">
        <v>41500</v>
      </c>
      <c r="B273" t="s">
        <v>47</v>
      </c>
      <c r="C273" s="7">
        <v>-120</v>
      </c>
      <c r="D273" t="s">
        <v>6</v>
      </c>
      <c r="E273" s="8">
        <f>E272+F273</f>
        <v>66306</v>
      </c>
      <c r="F273" s="8">
        <f>IF($D273="CR01",$C273,0)</f>
        <v>-120</v>
      </c>
      <c r="G273" s="8">
        <f>G272+H273</f>
        <v>0</v>
      </c>
      <c r="H273" s="8">
        <f>IF($D273="VISA",$C273,0)</f>
        <v>0</v>
      </c>
      <c r="I273" s="8">
        <f>I272+J273</f>
        <v>0</v>
      </c>
      <c r="J273" s="8">
        <f>IF($D273="ACC",$C273,0)</f>
        <v>0</v>
      </c>
      <c r="K273" s="8">
        <f>K272+L273</f>
        <v>0</v>
      </c>
      <c r="L273" s="8">
        <f>IF($D273="CBB",$C273,0)</f>
        <v>0</v>
      </c>
    </row>
    <row r="274" spans="1:12" x14ac:dyDescent="0.25">
      <c r="A274" s="6">
        <v>41501</v>
      </c>
      <c r="B274" t="s">
        <v>44</v>
      </c>
      <c r="C274" s="7">
        <v>-400</v>
      </c>
      <c r="D274" t="s">
        <v>6</v>
      </c>
      <c r="E274" s="8">
        <f>E273+F274</f>
        <v>65906</v>
      </c>
      <c r="F274" s="8">
        <f>IF($D274="CR01",$C274,0)</f>
        <v>-400</v>
      </c>
      <c r="G274" s="8">
        <f>G273+H274</f>
        <v>0</v>
      </c>
      <c r="H274" s="8">
        <f>IF($D274="VISA",$C274,0)</f>
        <v>0</v>
      </c>
      <c r="I274" s="8">
        <f>I273+J274</f>
        <v>0</v>
      </c>
      <c r="J274" s="8">
        <f>IF($D274="ACC",$C274,0)</f>
        <v>0</v>
      </c>
      <c r="K274" s="8">
        <f>K273+L274</f>
        <v>0</v>
      </c>
      <c r="L274" s="8">
        <f>IF($D274="CBB",$C274,0)</f>
        <v>0</v>
      </c>
    </row>
    <row r="275" spans="1:12" x14ac:dyDescent="0.25">
      <c r="A275" s="6">
        <v>41501</v>
      </c>
      <c r="B275" t="s">
        <v>45</v>
      </c>
      <c r="C275" s="7">
        <v>-180</v>
      </c>
      <c r="D275" t="s">
        <v>6</v>
      </c>
      <c r="E275" s="8">
        <f>E274+F275</f>
        <v>65726</v>
      </c>
      <c r="F275" s="8">
        <f>IF($D275="CR01",$C275,0)</f>
        <v>-180</v>
      </c>
      <c r="G275" s="8">
        <f>G274+H275</f>
        <v>0</v>
      </c>
      <c r="H275" s="8">
        <f>IF($D275="VISA",$C275,0)</f>
        <v>0</v>
      </c>
      <c r="I275" s="8">
        <f>I274+J275</f>
        <v>0</v>
      </c>
      <c r="J275" s="8">
        <f>IF($D275="ACC",$C275,0)</f>
        <v>0</v>
      </c>
      <c r="K275" s="8">
        <f>K274+L275</f>
        <v>0</v>
      </c>
      <c r="L275" s="8">
        <f>IF($D275="CBB",$C275,0)</f>
        <v>0</v>
      </c>
    </row>
    <row r="276" spans="1:12" x14ac:dyDescent="0.25">
      <c r="A276" s="6">
        <v>41501</v>
      </c>
      <c r="B276" t="s">
        <v>46</v>
      </c>
      <c r="C276" s="7">
        <v>-300</v>
      </c>
      <c r="D276" t="s">
        <v>6</v>
      </c>
      <c r="E276" s="8">
        <f>E275+F276</f>
        <v>65426</v>
      </c>
      <c r="F276" s="8">
        <f>IF($D276="CR01",$C276,0)</f>
        <v>-300</v>
      </c>
      <c r="G276" s="8">
        <f>G275+H276</f>
        <v>0</v>
      </c>
      <c r="H276" s="8">
        <f>IF($D276="VISA",$C276,0)</f>
        <v>0</v>
      </c>
      <c r="I276" s="8">
        <f>I275+J276</f>
        <v>0</v>
      </c>
      <c r="J276" s="8">
        <f>IF($D276="ACC",$C276,0)</f>
        <v>0</v>
      </c>
      <c r="K276" s="8">
        <f>K275+L276</f>
        <v>0</v>
      </c>
      <c r="L276" s="8">
        <f>IF($D276="CBB",$C276,0)</f>
        <v>0</v>
      </c>
    </row>
    <row r="277" spans="1:12" x14ac:dyDescent="0.25">
      <c r="A277" s="6">
        <v>41502</v>
      </c>
      <c r="B277" t="s">
        <v>43</v>
      </c>
      <c r="C277" s="7">
        <v>3226</v>
      </c>
      <c r="D277" t="s">
        <v>6</v>
      </c>
      <c r="E277" s="8">
        <f>E276+F277</f>
        <v>68652</v>
      </c>
      <c r="F277" s="8">
        <f>IF($D277="CR01",$C277,0)</f>
        <v>3226</v>
      </c>
      <c r="G277" s="8">
        <f>G276+H277</f>
        <v>0</v>
      </c>
      <c r="H277" s="8">
        <f>IF($D277="VISA",$C277,0)</f>
        <v>0</v>
      </c>
      <c r="I277" s="8">
        <f>I276+J277</f>
        <v>0</v>
      </c>
      <c r="J277" s="8">
        <f>IF($D277="ACC",$C277,0)</f>
        <v>0</v>
      </c>
      <c r="K277" s="8">
        <f>K276+L277</f>
        <v>0</v>
      </c>
      <c r="L277" s="8">
        <f>IF($D277="CBB",$C277,0)</f>
        <v>0</v>
      </c>
    </row>
    <row r="278" spans="1:12" x14ac:dyDescent="0.25">
      <c r="A278" s="6">
        <v>41506</v>
      </c>
      <c r="B278" t="s">
        <v>48</v>
      </c>
      <c r="C278" s="7">
        <v>-100</v>
      </c>
      <c r="D278" t="s">
        <v>6</v>
      </c>
      <c r="E278" s="8">
        <f>E277+F278</f>
        <v>68552</v>
      </c>
      <c r="F278" s="8">
        <f>IF($D278="CR01",$C278,0)</f>
        <v>-100</v>
      </c>
      <c r="G278" s="8">
        <f>G277+H278</f>
        <v>0</v>
      </c>
      <c r="H278" s="8">
        <f>IF($D278="VISA",$C278,0)</f>
        <v>0</v>
      </c>
      <c r="I278" s="8">
        <f>I277+J278</f>
        <v>0</v>
      </c>
      <c r="J278" s="8">
        <f>IF($D278="ACC",$C278,0)</f>
        <v>0</v>
      </c>
      <c r="K278" s="8">
        <f>K277+L278</f>
        <v>0</v>
      </c>
      <c r="L278" s="8">
        <f>IF($D278="CBB",$C278,0)</f>
        <v>0</v>
      </c>
    </row>
    <row r="279" spans="1:12" x14ac:dyDescent="0.25">
      <c r="A279" s="6">
        <v>41507</v>
      </c>
      <c r="B279" t="s">
        <v>47</v>
      </c>
      <c r="C279" s="7">
        <v>-120</v>
      </c>
      <c r="D279" t="s">
        <v>6</v>
      </c>
      <c r="E279" s="8">
        <f>E278+F279</f>
        <v>68432</v>
      </c>
      <c r="F279" s="8">
        <f>IF($D279="CR01",$C279,0)</f>
        <v>-120</v>
      </c>
      <c r="G279" s="8">
        <f>G278+H279</f>
        <v>0</v>
      </c>
      <c r="H279" s="8">
        <f>IF($D279="VISA",$C279,0)</f>
        <v>0</v>
      </c>
      <c r="I279" s="8">
        <f>I278+J279</f>
        <v>0</v>
      </c>
      <c r="J279" s="8">
        <f>IF($D279="ACC",$C279,0)</f>
        <v>0</v>
      </c>
      <c r="K279" s="8">
        <f>K278+L279</f>
        <v>0</v>
      </c>
      <c r="L279" s="8">
        <f>IF($D279="CBB",$C279,0)</f>
        <v>0</v>
      </c>
    </row>
    <row r="280" spans="1:12" x14ac:dyDescent="0.25">
      <c r="A280" s="6">
        <v>41508</v>
      </c>
      <c r="B280" t="s">
        <v>44</v>
      </c>
      <c r="C280" s="7">
        <v>-400</v>
      </c>
      <c r="D280" t="s">
        <v>6</v>
      </c>
      <c r="E280" s="8">
        <f>E279+F280</f>
        <v>68032</v>
      </c>
      <c r="F280" s="8">
        <f>IF($D280="CR01",$C280,0)</f>
        <v>-400</v>
      </c>
      <c r="G280" s="8">
        <f>G279+H280</f>
        <v>0</v>
      </c>
      <c r="H280" s="8">
        <f>IF($D280="VISA",$C280,0)</f>
        <v>0</v>
      </c>
      <c r="I280" s="8">
        <f>I279+J280</f>
        <v>0</v>
      </c>
      <c r="J280" s="8">
        <f>IF($D280="ACC",$C280,0)</f>
        <v>0</v>
      </c>
      <c r="K280" s="8">
        <f>K279+L280</f>
        <v>0</v>
      </c>
      <c r="L280" s="8">
        <f>IF($D280="CBB",$C280,0)</f>
        <v>0</v>
      </c>
    </row>
    <row r="281" spans="1:12" x14ac:dyDescent="0.25">
      <c r="A281" s="6">
        <v>41508</v>
      </c>
      <c r="B281" t="s">
        <v>45</v>
      </c>
      <c r="C281" s="7">
        <v>-180</v>
      </c>
      <c r="D281" t="s">
        <v>6</v>
      </c>
      <c r="E281" s="8">
        <f>E280+F281</f>
        <v>67852</v>
      </c>
      <c r="F281" s="8">
        <f>IF($D281="CR01",$C281,0)</f>
        <v>-180</v>
      </c>
      <c r="G281" s="8">
        <f>G280+H281</f>
        <v>0</v>
      </c>
      <c r="H281" s="8">
        <f>IF($D281="VISA",$C281,0)</f>
        <v>0</v>
      </c>
      <c r="I281" s="8">
        <f>I280+J281</f>
        <v>0</v>
      </c>
      <c r="J281" s="8">
        <f>IF($D281="ACC",$C281,0)</f>
        <v>0</v>
      </c>
      <c r="K281" s="8">
        <f>K280+L281</f>
        <v>0</v>
      </c>
      <c r="L281" s="8">
        <f>IF($D281="CBB",$C281,0)</f>
        <v>0</v>
      </c>
    </row>
    <row r="282" spans="1:12" x14ac:dyDescent="0.25">
      <c r="A282" s="6">
        <v>41508</v>
      </c>
      <c r="B282" t="s">
        <v>46</v>
      </c>
      <c r="C282" s="7">
        <v>-300</v>
      </c>
      <c r="D282" t="s">
        <v>6</v>
      </c>
      <c r="E282" s="8">
        <f>E281+F282</f>
        <v>67552</v>
      </c>
      <c r="F282" s="8">
        <f>IF($D282="CR01",$C282,0)</f>
        <v>-300</v>
      </c>
      <c r="G282" s="8">
        <f>G281+H282</f>
        <v>0</v>
      </c>
      <c r="H282" s="8">
        <f>IF($D282="VISA",$C282,0)</f>
        <v>0</v>
      </c>
      <c r="I282" s="8">
        <f>I281+J282</f>
        <v>0</v>
      </c>
      <c r="J282" s="8">
        <f>IF($D282="ACC",$C282,0)</f>
        <v>0</v>
      </c>
      <c r="K282" s="8">
        <f>K281+L282</f>
        <v>0</v>
      </c>
      <c r="L282" s="8">
        <f>IF($D282="CBB",$C282,0)</f>
        <v>0</v>
      </c>
    </row>
    <row r="283" spans="1:12" x14ac:dyDescent="0.25">
      <c r="A283" s="6">
        <v>41510</v>
      </c>
      <c r="B283" t="s">
        <v>67</v>
      </c>
      <c r="C283" s="7">
        <v>6800</v>
      </c>
      <c r="D283" t="s">
        <v>6</v>
      </c>
      <c r="E283" s="8">
        <f>E282+F283</f>
        <v>74352</v>
      </c>
      <c r="F283" s="8">
        <f>IF($D283="CR01",$C283,0)</f>
        <v>6800</v>
      </c>
      <c r="G283" s="8">
        <f>G282+H283</f>
        <v>0</v>
      </c>
      <c r="H283" s="8">
        <f>IF($D283="VISA",$C283,0)</f>
        <v>0</v>
      </c>
      <c r="I283" s="8">
        <f>I282+J283</f>
        <v>0</v>
      </c>
      <c r="J283" s="8">
        <f>IF($D283="ACC",$C283,0)</f>
        <v>0</v>
      </c>
      <c r="K283" s="8">
        <f>K282+L283</f>
        <v>0</v>
      </c>
      <c r="L283" s="8">
        <f>IF($D283="CBB",$C283,0)</f>
        <v>0</v>
      </c>
    </row>
    <row r="284" spans="1:12" x14ac:dyDescent="0.25">
      <c r="A284" s="6">
        <v>41513</v>
      </c>
      <c r="B284" t="s">
        <v>42</v>
      </c>
      <c r="C284" s="7">
        <v>-2806</v>
      </c>
      <c r="D284" t="s">
        <v>6</v>
      </c>
      <c r="E284" s="8">
        <f>E283+F284</f>
        <v>71546</v>
      </c>
      <c r="F284" s="8">
        <f>IF($D284="CR01",$C284,0)</f>
        <v>-2806</v>
      </c>
      <c r="G284" s="8">
        <f>G283+H284</f>
        <v>0</v>
      </c>
      <c r="H284" s="8">
        <f>IF($D284="VISA",$C284,0)</f>
        <v>0</v>
      </c>
      <c r="I284" s="8">
        <f>I283+J284</f>
        <v>0</v>
      </c>
      <c r="J284" s="8">
        <f>IF($D284="ACC",$C284,0)</f>
        <v>0</v>
      </c>
      <c r="K284" s="8">
        <f>K283+L284</f>
        <v>0</v>
      </c>
      <c r="L284" s="8">
        <f>IF($D284="CBB",$C284,0)</f>
        <v>0</v>
      </c>
    </row>
    <row r="285" spans="1:12" x14ac:dyDescent="0.25">
      <c r="A285" s="6">
        <v>41513</v>
      </c>
      <c r="B285" t="s">
        <v>48</v>
      </c>
      <c r="C285" s="7">
        <v>-100</v>
      </c>
      <c r="D285" t="s">
        <v>6</v>
      </c>
      <c r="E285" s="8">
        <f>E284+F285</f>
        <v>71446</v>
      </c>
      <c r="F285" s="8">
        <f>IF($D285="CR01",$C285,0)</f>
        <v>-100</v>
      </c>
      <c r="G285" s="8">
        <f>G284+H285</f>
        <v>0</v>
      </c>
      <c r="H285" s="8">
        <f>IF($D285="VISA",$C285,0)</f>
        <v>0</v>
      </c>
      <c r="I285" s="8">
        <f>I284+J285</f>
        <v>0</v>
      </c>
      <c r="J285" s="8">
        <f>IF($D285="ACC",$C285,0)</f>
        <v>0</v>
      </c>
      <c r="K285" s="8">
        <f>K284+L285</f>
        <v>0</v>
      </c>
      <c r="L285" s="8">
        <f>IF($D285="CBB",$C285,0)</f>
        <v>0</v>
      </c>
    </row>
    <row r="286" spans="1:12" x14ac:dyDescent="0.25">
      <c r="A286" s="6">
        <v>41514</v>
      </c>
      <c r="B286" t="s">
        <v>47</v>
      </c>
      <c r="C286" s="7">
        <v>-120</v>
      </c>
      <c r="D286" t="s">
        <v>6</v>
      </c>
      <c r="E286" s="8">
        <f>E285+F286</f>
        <v>71326</v>
      </c>
      <c r="F286" s="8">
        <f>IF($D286="CR01",$C286,0)</f>
        <v>-120</v>
      </c>
      <c r="G286" s="8">
        <f>G285+H286</f>
        <v>0</v>
      </c>
      <c r="H286" s="8">
        <f>IF($D286="VISA",$C286,0)</f>
        <v>0</v>
      </c>
      <c r="I286" s="8">
        <f>I285+J286</f>
        <v>0</v>
      </c>
      <c r="J286" s="8">
        <f>IF($D286="ACC",$C286,0)</f>
        <v>0</v>
      </c>
      <c r="K286" s="8">
        <f>K285+L286</f>
        <v>0</v>
      </c>
      <c r="L286" s="8">
        <f>IF($D286="CBB",$C286,0)</f>
        <v>0</v>
      </c>
    </row>
    <row r="287" spans="1:12" x14ac:dyDescent="0.25">
      <c r="A287" s="6">
        <v>41515</v>
      </c>
      <c r="B287" t="s">
        <v>44</v>
      </c>
      <c r="C287" s="7">
        <v>-400</v>
      </c>
      <c r="D287" t="s">
        <v>6</v>
      </c>
      <c r="E287" s="8">
        <f>E286+F287</f>
        <v>70926</v>
      </c>
      <c r="F287" s="8">
        <f>IF($D287="CR01",$C287,0)</f>
        <v>-400</v>
      </c>
      <c r="G287" s="8">
        <f>G286+H287</f>
        <v>0</v>
      </c>
      <c r="H287" s="8">
        <f>IF($D287="VISA",$C287,0)</f>
        <v>0</v>
      </c>
      <c r="I287" s="8">
        <f>I286+J287</f>
        <v>0</v>
      </c>
      <c r="J287" s="8">
        <f>IF($D287="ACC",$C287,0)</f>
        <v>0</v>
      </c>
      <c r="K287" s="8">
        <f>K286+L287</f>
        <v>0</v>
      </c>
      <c r="L287" s="8">
        <f>IF($D287="CBB",$C287,0)</f>
        <v>0</v>
      </c>
    </row>
    <row r="288" spans="1:12" x14ac:dyDescent="0.25">
      <c r="A288" s="6">
        <v>41515</v>
      </c>
      <c r="B288" t="s">
        <v>45</v>
      </c>
      <c r="C288" s="7">
        <v>-180</v>
      </c>
      <c r="D288" t="s">
        <v>6</v>
      </c>
      <c r="E288" s="8">
        <f>E287+F288</f>
        <v>70746</v>
      </c>
      <c r="F288" s="8">
        <f>IF($D288="CR01",$C288,0)</f>
        <v>-180</v>
      </c>
      <c r="G288" s="8">
        <f>G287+H288</f>
        <v>0</v>
      </c>
      <c r="H288" s="8">
        <f>IF($D288="VISA",$C288,0)</f>
        <v>0</v>
      </c>
      <c r="I288" s="8">
        <f>I287+J288</f>
        <v>0</v>
      </c>
      <c r="J288" s="8">
        <f>IF($D288="ACC",$C288,0)</f>
        <v>0</v>
      </c>
      <c r="K288" s="8">
        <f>K287+L288</f>
        <v>0</v>
      </c>
      <c r="L288" s="8">
        <f>IF($D288="CBB",$C288,0)</f>
        <v>0</v>
      </c>
    </row>
    <row r="289" spans="1:12" x14ac:dyDescent="0.25">
      <c r="A289" s="6">
        <v>41515</v>
      </c>
      <c r="B289" t="s">
        <v>46</v>
      </c>
      <c r="C289" s="7">
        <v>-300</v>
      </c>
      <c r="D289" t="s">
        <v>6</v>
      </c>
      <c r="E289" s="8">
        <f>E288+F289</f>
        <v>70446</v>
      </c>
      <c r="F289" s="8">
        <f>IF($D289="CR01",$C289,0)</f>
        <v>-300</v>
      </c>
      <c r="G289" s="8">
        <f>G288+H289</f>
        <v>0</v>
      </c>
      <c r="H289" s="8">
        <f>IF($D289="VISA",$C289,0)</f>
        <v>0</v>
      </c>
      <c r="I289" s="8">
        <f>I288+J289</f>
        <v>0</v>
      </c>
      <c r="J289" s="8">
        <f>IF($D289="ACC",$C289,0)</f>
        <v>0</v>
      </c>
      <c r="K289" s="8">
        <f>K288+L289</f>
        <v>0</v>
      </c>
      <c r="L289" s="8">
        <f>IF($D289="CBB",$C289,0)</f>
        <v>0</v>
      </c>
    </row>
    <row r="290" spans="1:12" x14ac:dyDescent="0.25">
      <c r="A290" s="6">
        <v>41516</v>
      </c>
      <c r="B290" t="s">
        <v>43</v>
      </c>
      <c r="C290" s="7">
        <v>3226</v>
      </c>
      <c r="D290" t="s">
        <v>6</v>
      </c>
      <c r="E290" s="8">
        <f>E289+F290</f>
        <v>73672</v>
      </c>
      <c r="F290" s="8">
        <f>IF($D290="CR01",$C290,0)</f>
        <v>3226</v>
      </c>
      <c r="G290" s="8">
        <f>G289+H290</f>
        <v>0</v>
      </c>
      <c r="H290" s="8">
        <f>IF($D290="VISA",$C290,0)</f>
        <v>0</v>
      </c>
      <c r="I290" s="8">
        <f>I289+J290</f>
        <v>0</v>
      </c>
      <c r="J290" s="8">
        <f>IF($D290="ACC",$C290,0)</f>
        <v>0</v>
      </c>
      <c r="K290" s="8">
        <f>K289+L290</f>
        <v>0</v>
      </c>
      <c r="L290" s="8">
        <f>IF($D290="CBB",$C290,0)</f>
        <v>0</v>
      </c>
    </row>
    <row r="291" spans="1:12" x14ac:dyDescent="0.25">
      <c r="A291" s="6">
        <v>41518</v>
      </c>
      <c r="B291" t="s">
        <v>58</v>
      </c>
      <c r="C291" s="7">
        <v>-200</v>
      </c>
      <c r="D291" t="s">
        <v>6</v>
      </c>
      <c r="E291" s="8">
        <f>E290+F291</f>
        <v>73472</v>
      </c>
      <c r="F291" s="8">
        <f>IF($D291="CR01",$C291,0)</f>
        <v>-200</v>
      </c>
      <c r="G291" s="8">
        <f>G290+H291</f>
        <v>0</v>
      </c>
      <c r="H291" s="8">
        <f>IF($D291="VISA",$C291,0)</f>
        <v>0</v>
      </c>
      <c r="I291" s="8">
        <f>I290+J291</f>
        <v>0</v>
      </c>
      <c r="J291" s="8">
        <f>IF($D291="ACC",$C291,0)</f>
        <v>0</v>
      </c>
      <c r="K291" s="8">
        <f>K290+L291</f>
        <v>0</v>
      </c>
      <c r="L291" s="8">
        <f>IF($D291="CBB",$C291,0)</f>
        <v>0</v>
      </c>
    </row>
    <row r="292" spans="1:12" x14ac:dyDescent="0.25">
      <c r="A292" s="6">
        <v>41518</v>
      </c>
      <c r="B292" t="s">
        <v>60</v>
      </c>
      <c r="C292" s="7">
        <v>-400</v>
      </c>
      <c r="D292" t="s">
        <v>6</v>
      </c>
      <c r="E292" s="8">
        <f>E291+F292</f>
        <v>73072</v>
      </c>
      <c r="F292" s="8">
        <f>IF($D292="CR01",$C292,0)</f>
        <v>-400</v>
      </c>
      <c r="G292" s="8">
        <f>G291+H292</f>
        <v>0</v>
      </c>
      <c r="H292" s="8">
        <f>IF($D292="VISA",$C292,0)</f>
        <v>0</v>
      </c>
      <c r="I292" s="8">
        <f>I291+J292</f>
        <v>0</v>
      </c>
      <c r="J292" s="8">
        <f>IF($D292="ACC",$C292,0)</f>
        <v>0</v>
      </c>
      <c r="K292" s="8">
        <f>K291+L292</f>
        <v>0</v>
      </c>
      <c r="L292" s="8">
        <f>IF($D292="CBB",$C292,0)</f>
        <v>0</v>
      </c>
    </row>
    <row r="293" spans="1:12" x14ac:dyDescent="0.25">
      <c r="A293" s="6">
        <v>41518</v>
      </c>
      <c r="B293" t="s">
        <v>64</v>
      </c>
      <c r="C293" s="7">
        <v>-26</v>
      </c>
      <c r="D293" t="s">
        <v>6</v>
      </c>
      <c r="E293" s="8">
        <f>E292+F293</f>
        <v>73046</v>
      </c>
      <c r="F293" s="8">
        <f>IF($D293="CR01",$C293,0)</f>
        <v>-26</v>
      </c>
      <c r="G293" s="8">
        <f>G292+H293</f>
        <v>0</v>
      </c>
      <c r="H293" s="8">
        <f>IF($D293="VISA",$C293,0)</f>
        <v>0</v>
      </c>
      <c r="I293" s="8">
        <f>I292+J293</f>
        <v>0</v>
      </c>
      <c r="J293" s="8">
        <f>IF($D293="ACC",$C293,0)</f>
        <v>0</v>
      </c>
      <c r="K293" s="8">
        <f>K292+L293</f>
        <v>0</v>
      </c>
      <c r="L293" s="8">
        <f>IF($D293="CBB",$C293,0)</f>
        <v>0</v>
      </c>
    </row>
    <row r="294" spans="1:12" x14ac:dyDescent="0.25">
      <c r="A294" s="6">
        <v>41518</v>
      </c>
      <c r="B294" t="s">
        <v>65</v>
      </c>
      <c r="C294" s="7">
        <v>-240</v>
      </c>
      <c r="D294" t="s">
        <v>6</v>
      </c>
      <c r="E294" s="8">
        <f>E293+F294</f>
        <v>72806</v>
      </c>
      <c r="F294" s="8">
        <f>IF($D294="CR01",$C294,0)</f>
        <v>-240</v>
      </c>
      <c r="G294" s="8">
        <f>G293+H294</f>
        <v>0</v>
      </c>
      <c r="H294" s="8">
        <f>IF($D294="VISA",$C294,0)</f>
        <v>0</v>
      </c>
      <c r="I294" s="8">
        <f>I293+J294</f>
        <v>0</v>
      </c>
      <c r="J294" s="8">
        <f>IF($D294="ACC",$C294,0)</f>
        <v>0</v>
      </c>
      <c r="K294" s="8">
        <f>K293+L294</f>
        <v>0</v>
      </c>
      <c r="L294" s="8">
        <f>IF($D294="CBB",$C294,0)</f>
        <v>0</v>
      </c>
    </row>
    <row r="295" spans="1:12" x14ac:dyDescent="0.25">
      <c r="A295" s="6">
        <v>41518</v>
      </c>
      <c r="B295" t="s">
        <v>66</v>
      </c>
      <c r="C295" s="7">
        <v>-120</v>
      </c>
      <c r="D295" t="s">
        <v>6</v>
      </c>
      <c r="E295" s="8">
        <f>E294+F295</f>
        <v>72686</v>
      </c>
      <c r="F295" s="8">
        <f>IF($D295="CR01",$C295,0)</f>
        <v>-120</v>
      </c>
      <c r="G295" s="8">
        <f>G294+H295</f>
        <v>0</v>
      </c>
      <c r="H295" s="8">
        <f>IF($D295="VISA",$C295,0)</f>
        <v>0</v>
      </c>
      <c r="I295" s="8">
        <f>I294+J295</f>
        <v>0</v>
      </c>
      <c r="J295" s="8">
        <f>IF($D295="ACC",$C295,0)</f>
        <v>0</v>
      </c>
      <c r="K295" s="8">
        <f>K294+L295</f>
        <v>0</v>
      </c>
      <c r="L295" s="8">
        <f>IF($D295="CBB",$C295,0)</f>
        <v>0</v>
      </c>
    </row>
    <row r="296" spans="1:12" x14ac:dyDescent="0.25">
      <c r="A296" s="6">
        <v>41519</v>
      </c>
      <c r="B296" t="s">
        <v>59</v>
      </c>
      <c r="C296" s="7">
        <v>-900</v>
      </c>
      <c r="D296" t="s">
        <v>6</v>
      </c>
      <c r="E296" s="8">
        <f>E295+F296</f>
        <v>71786</v>
      </c>
      <c r="F296" s="8">
        <f>IF($D296="CR01",$C296,0)</f>
        <v>-900</v>
      </c>
      <c r="G296" s="8">
        <f>G295+H296</f>
        <v>0</v>
      </c>
      <c r="H296" s="8">
        <f>IF($D296="VISA",$C296,0)</f>
        <v>0</v>
      </c>
      <c r="I296" s="8">
        <f>I295+J296</f>
        <v>0</v>
      </c>
      <c r="J296" s="8">
        <f>IF($D296="ACC",$C296,0)</f>
        <v>0</v>
      </c>
      <c r="K296" s="8">
        <f>K295+L296</f>
        <v>0</v>
      </c>
      <c r="L296" s="8">
        <f>IF($D296="CBB",$C296,0)</f>
        <v>0</v>
      </c>
    </row>
    <row r="297" spans="1:12" x14ac:dyDescent="0.25">
      <c r="A297" s="6">
        <v>41520</v>
      </c>
      <c r="B297" t="s">
        <v>48</v>
      </c>
      <c r="C297" s="7">
        <v>-100</v>
      </c>
      <c r="D297" t="s">
        <v>6</v>
      </c>
      <c r="E297" s="8">
        <f>E296+F297</f>
        <v>71686</v>
      </c>
      <c r="F297" s="8">
        <f>IF($D297="CR01",$C297,0)</f>
        <v>-100</v>
      </c>
      <c r="G297" s="8">
        <f>G296+H297</f>
        <v>0</v>
      </c>
      <c r="H297" s="8">
        <f>IF($D297="VISA",$C297,0)</f>
        <v>0</v>
      </c>
      <c r="I297" s="8">
        <f>I296+J297</f>
        <v>0</v>
      </c>
      <c r="J297" s="8">
        <f>IF($D297="ACC",$C297,0)</f>
        <v>0</v>
      </c>
      <c r="K297" s="8">
        <f>K296+L297</f>
        <v>0</v>
      </c>
      <c r="L297" s="8">
        <f>IF($D297="CBB",$C297,0)</f>
        <v>0</v>
      </c>
    </row>
    <row r="298" spans="1:12" x14ac:dyDescent="0.25">
      <c r="A298" s="6">
        <v>41521</v>
      </c>
      <c r="B298" t="s">
        <v>47</v>
      </c>
      <c r="C298" s="7">
        <v>-120</v>
      </c>
      <c r="D298" t="s">
        <v>6</v>
      </c>
      <c r="E298" s="8">
        <f>E297+F298</f>
        <v>71566</v>
      </c>
      <c r="F298" s="8">
        <f>IF($D298="CR01",$C298,0)</f>
        <v>-120</v>
      </c>
      <c r="G298" s="8">
        <f>G297+H298</f>
        <v>0</v>
      </c>
      <c r="H298" s="8">
        <f>IF($D298="VISA",$C298,0)</f>
        <v>0</v>
      </c>
      <c r="I298" s="8">
        <f>I297+J298</f>
        <v>0</v>
      </c>
      <c r="J298" s="8">
        <f>IF($D298="ACC",$C298,0)</f>
        <v>0</v>
      </c>
      <c r="K298" s="8">
        <f>K297+L298</f>
        <v>0</v>
      </c>
      <c r="L298" s="8">
        <f>IF($D298="CBB",$C298,0)</f>
        <v>0</v>
      </c>
    </row>
    <row r="299" spans="1:12" x14ac:dyDescent="0.25">
      <c r="A299" s="6">
        <v>41522</v>
      </c>
      <c r="B299" t="s">
        <v>44</v>
      </c>
      <c r="C299" s="7">
        <v>-400</v>
      </c>
      <c r="D299" t="s">
        <v>6</v>
      </c>
      <c r="E299" s="8">
        <f>E298+F299</f>
        <v>71166</v>
      </c>
      <c r="F299" s="8">
        <f>IF($D299="CR01",$C299,0)</f>
        <v>-400</v>
      </c>
      <c r="G299" s="8">
        <f>G298+H299</f>
        <v>0</v>
      </c>
      <c r="H299" s="8">
        <f>IF($D299="VISA",$C299,0)</f>
        <v>0</v>
      </c>
      <c r="I299" s="8">
        <f>I298+J299</f>
        <v>0</v>
      </c>
      <c r="J299" s="8">
        <f>IF($D299="ACC",$C299,0)</f>
        <v>0</v>
      </c>
      <c r="K299" s="8">
        <f>K298+L299</f>
        <v>0</v>
      </c>
      <c r="L299" s="8">
        <f>IF($D299="CBB",$C299,0)</f>
        <v>0</v>
      </c>
    </row>
    <row r="300" spans="1:12" x14ac:dyDescent="0.25">
      <c r="A300" s="6">
        <v>41522</v>
      </c>
      <c r="B300" t="s">
        <v>45</v>
      </c>
      <c r="C300" s="7">
        <v>-180</v>
      </c>
      <c r="D300" t="s">
        <v>6</v>
      </c>
      <c r="E300" s="8">
        <f>E299+F300</f>
        <v>70986</v>
      </c>
      <c r="F300" s="8">
        <f>IF($D300="CR01",$C300,0)</f>
        <v>-180</v>
      </c>
      <c r="G300" s="8">
        <f>G299+H300</f>
        <v>0</v>
      </c>
      <c r="H300" s="8">
        <f>IF($D300="VISA",$C300,0)</f>
        <v>0</v>
      </c>
      <c r="I300" s="8">
        <f>I299+J300</f>
        <v>0</v>
      </c>
      <c r="J300" s="8">
        <f>IF($D300="ACC",$C300,0)</f>
        <v>0</v>
      </c>
      <c r="K300" s="8">
        <f>K299+L300</f>
        <v>0</v>
      </c>
      <c r="L300" s="8">
        <f>IF($D300="CBB",$C300,0)</f>
        <v>0</v>
      </c>
    </row>
    <row r="301" spans="1:12" x14ac:dyDescent="0.25">
      <c r="A301" s="6">
        <v>41522</v>
      </c>
      <c r="B301" t="s">
        <v>46</v>
      </c>
      <c r="C301" s="7">
        <v>-300</v>
      </c>
      <c r="D301" t="s">
        <v>6</v>
      </c>
      <c r="E301" s="8">
        <f>E300+F301</f>
        <v>70686</v>
      </c>
      <c r="F301" s="8">
        <f>IF($D301="CR01",$C301,0)</f>
        <v>-300</v>
      </c>
      <c r="G301" s="8">
        <f>G300+H301</f>
        <v>0</v>
      </c>
      <c r="H301" s="8">
        <f>IF($D301="VISA",$C301,0)</f>
        <v>0</v>
      </c>
      <c r="I301" s="8">
        <f>I300+J301</f>
        <v>0</v>
      </c>
      <c r="J301" s="8">
        <f>IF($D301="ACC",$C301,0)</f>
        <v>0</v>
      </c>
      <c r="K301" s="8">
        <f>K300+L301</f>
        <v>0</v>
      </c>
      <c r="L301" s="8">
        <f>IF($D301="CBB",$C301,0)</f>
        <v>0</v>
      </c>
    </row>
    <row r="302" spans="1:12" x14ac:dyDescent="0.25">
      <c r="A302" s="6">
        <v>41524</v>
      </c>
      <c r="B302" t="s">
        <v>67</v>
      </c>
      <c r="C302" s="7">
        <v>6800</v>
      </c>
      <c r="D302" t="s">
        <v>6</v>
      </c>
      <c r="E302" s="8">
        <f>E301+F302</f>
        <v>77486</v>
      </c>
      <c r="F302" s="8">
        <f>IF($D302="CR01",$C302,0)</f>
        <v>6800</v>
      </c>
      <c r="G302" s="8">
        <f>G301+H302</f>
        <v>0</v>
      </c>
      <c r="H302" s="8">
        <f>IF($D302="VISA",$C302,0)</f>
        <v>0</v>
      </c>
      <c r="I302" s="8">
        <f>I301+J302</f>
        <v>0</v>
      </c>
      <c r="J302" s="8">
        <f>IF($D302="ACC",$C302,0)</f>
        <v>0</v>
      </c>
      <c r="K302" s="8">
        <f>K301+L302</f>
        <v>0</v>
      </c>
      <c r="L302" s="8">
        <f>IF($D302="CBB",$C302,0)</f>
        <v>0</v>
      </c>
    </row>
    <row r="303" spans="1:12" x14ac:dyDescent="0.25">
      <c r="A303" s="6">
        <v>41527</v>
      </c>
      <c r="B303" t="s">
        <v>42</v>
      </c>
      <c r="C303" s="7">
        <v>-2806</v>
      </c>
      <c r="D303" t="s">
        <v>6</v>
      </c>
      <c r="E303" s="8">
        <f>E302+F303</f>
        <v>74680</v>
      </c>
      <c r="F303" s="8">
        <f>IF($D303="CR01",$C303,0)</f>
        <v>-2806</v>
      </c>
      <c r="G303" s="8">
        <f>G302+H303</f>
        <v>0</v>
      </c>
      <c r="H303" s="8">
        <f>IF($D303="VISA",$C303,0)</f>
        <v>0</v>
      </c>
      <c r="I303" s="8">
        <f>I302+J303</f>
        <v>0</v>
      </c>
      <c r="J303" s="8">
        <f>IF($D303="ACC",$C303,0)</f>
        <v>0</v>
      </c>
      <c r="K303" s="8">
        <f>K302+L303</f>
        <v>0</v>
      </c>
      <c r="L303" s="8">
        <f>IF($D303="CBB",$C303,0)</f>
        <v>0</v>
      </c>
    </row>
    <row r="304" spans="1:12" x14ac:dyDescent="0.25">
      <c r="A304" s="6">
        <v>41527</v>
      </c>
      <c r="B304" t="s">
        <v>48</v>
      </c>
      <c r="C304" s="7">
        <v>-100</v>
      </c>
      <c r="D304" t="s">
        <v>6</v>
      </c>
      <c r="E304" s="8">
        <f>E303+F304</f>
        <v>74580</v>
      </c>
      <c r="F304" s="8">
        <f>IF($D304="CR01",$C304,0)</f>
        <v>-100</v>
      </c>
      <c r="G304" s="8">
        <f>G303+H304</f>
        <v>0</v>
      </c>
      <c r="H304" s="8">
        <f>IF($D304="VISA",$C304,0)</f>
        <v>0</v>
      </c>
      <c r="I304" s="8">
        <f>I303+J304</f>
        <v>0</v>
      </c>
      <c r="J304" s="8">
        <f>IF($D304="ACC",$C304,0)</f>
        <v>0</v>
      </c>
      <c r="K304" s="8">
        <f>K303+L304</f>
        <v>0</v>
      </c>
      <c r="L304" s="8">
        <f>IF($D304="CBB",$C304,0)</f>
        <v>0</v>
      </c>
    </row>
    <row r="305" spans="1:12" x14ac:dyDescent="0.25">
      <c r="A305" s="6">
        <v>41528</v>
      </c>
      <c r="B305" t="s">
        <v>47</v>
      </c>
      <c r="C305" s="7">
        <v>-120</v>
      </c>
      <c r="D305" t="s">
        <v>6</v>
      </c>
      <c r="E305" s="8">
        <f>E304+F305</f>
        <v>74460</v>
      </c>
      <c r="F305" s="8">
        <f>IF($D305="CR01",$C305,0)</f>
        <v>-120</v>
      </c>
      <c r="G305" s="8">
        <f>G304+H305</f>
        <v>0</v>
      </c>
      <c r="H305" s="8">
        <f>IF($D305="VISA",$C305,0)</f>
        <v>0</v>
      </c>
      <c r="I305" s="8">
        <f>I304+J305</f>
        <v>0</v>
      </c>
      <c r="J305" s="8">
        <f>IF($D305="ACC",$C305,0)</f>
        <v>0</v>
      </c>
      <c r="K305" s="8">
        <f>K304+L305</f>
        <v>0</v>
      </c>
      <c r="L305" s="8">
        <f>IF($D305="CBB",$C305,0)</f>
        <v>0</v>
      </c>
    </row>
    <row r="306" spans="1:12" x14ac:dyDescent="0.25">
      <c r="A306" s="6">
        <v>41529</v>
      </c>
      <c r="B306" t="s">
        <v>44</v>
      </c>
      <c r="C306" s="7">
        <v>-400</v>
      </c>
      <c r="D306" t="s">
        <v>6</v>
      </c>
      <c r="E306" s="8">
        <f>E305+F306</f>
        <v>74060</v>
      </c>
      <c r="F306" s="8">
        <f>IF($D306="CR01",$C306,0)</f>
        <v>-400</v>
      </c>
      <c r="G306" s="8">
        <f>G305+H306</f>
        <v>0</v>
      </c>
      <c r="H306" s="8">
        <f>IF($D306="VISA",$C306,0)</f>
        <v>0</v>
      </c>
      <c r="I306" s="8">
        <f>I305+J306</f>
        <v>0</v>
      </c>
      <c r="J306" s="8">
        <f>IF($D306="ACC",$C306,0)</f>
        <v>0</v>
      </c>
      <c r="K306" s="8">
        <f>K305+L306</f>
        <v>0</v>
      </c>
      <c r="L306" s="8">
        <f>IF($D306="CBB",$C306,0)</f>
        <v>0</v>
      </c>
    </row>
    <row r="307" spans="1:12" x14ac:dyDescent="0.25">
      <c r="A307" s="6">
        <v>41529</v>
      </c>
      <c r="B307" t="s">
        <v>45</v>
      </c>
      <c r="C307" s="7">
        <v>-180</v>
      </c>
      <c r="D307" t="s">
        <v>6</v>
      </c>
      <c r="E307" s="8">
        <f>E306+F307</f>
        <v>73880</v>
      </c>
      <c r="F307" s="8">
        <f>IF($D307="CR01",$C307,0)</f>
        <v>-180</v>
      </c>
      <c r="G307" s="8">
        <f>G306+H307</f>
        <v>0</v>
      </c>
      <c r="H307" s="8">
        <f>IF($D307="VISA",$C307,0)</f>
        <v>0</v>
      </c>
      <c r="I307" s="8">
        <f>I306+J307</f>
        <v>0</v>
      </c>
      <c r="J307" s="8">
        <f>IF($D307="ACC",$C307,0)</f>
        <v>0</v>
      </c>
      <c r="K307" s="8">
        <f>K306+L307</f>
        <v>0</v>
      </c>
      <c r="L307" s="8">
        <f>IF($D307="CBB",$C307,0)</f>
        <v>0</v>
      </c>
    </row>
    <row r="308" spans="1:12" x14ac:dyDescent="0.25">
      <c r="A308" s="6">
        <v>41529</v>
      </c>
      <c r="B308" t="s">
        <v>46</v>
      </c>
      <c r="C308" s="7">
        <v>-300</v>
      </c>
      <c r="D308" t="s">
        <v>6</v>
      </c>
      <c r="E308" s="8">
        <f>E307+F308</f>
        <v>73580</v>
      </c>
      <c r="F308" s="8">
        <f>IF($D308="CR01",$C308,0)</f>
        <v>-300</v>
      </c>
      <c r="G308" s="8">
        <f>G307+H308</f>
        <v>0</v>
      </c>
      <c r="H308" s="8">
        <f>IF($D308="VISA",$C308,0)</f>
        <v>0</v>
      </c>
      <c r="I308" s="8">
        <f>I307+J308</f>
        <v>0</v>
      </c>
      <c r="J308" s="8">
        <f>IF($D308="ACC",$C308,0)</f>
        <v>0</v>
      </c>
      <c r="K308" s="8">
        <f>K307+L308</f>
        <v>0</v>
      </c>
      <c r="L308" s="8">
        <f>IF($D308="CBB",$C308,0)</f>
        <v>0</v>
      </c>
    </row>
    <row r="309" spans="1:12" x14ac:dyDescent="0.25">
      <c r="A309" s="6">
        <v>41530</v>
      </c>
      <c r="B309" t="s">
        <v>43</v>
      </c>
      <c r="C309" s="7">
        <v>3226</v>
      </c>
      <c r="D309" t="s">
        <v>6</v>
      </c>
      <c r="E309" s="8">
        <f>E308+F309</f>
        <v>76806</v>
      </c>
      <c r="F309" s="8">
        <f>IF($D309="CR01",$C309,0)</f>
        <v>3226</v>
      </c>
      <c r="G309" s="8">
        <f>G308+H309</f>
        <v>0</v>
      </c>
      <c r="H309" s="8">
        <f>IF($D309="VISA",$C309,0)</f>
        <v>0</v>
      </c>
      <c r="I309" s="8">
        <f>I308+J309</f>
        <v>0</v>
      </c>
      <c r="J309" s="8">
        <f>IF($D309="ACC",$C309,0)</f>
        <v>0</v>
      </c>
      <c r="K309" s="8">
        <f>K308+L309</f>
        <v>0</v>
      </c>
      <c r="L309" s="8">
        <f>IF($D309="CBB",$C309,0)</f>
        <v>0</v>
      </c>
    </row>
    <row r="310" spans="1:12" x14ac:dyDescent="0.25">
      <c r="A310" s="6">
        <v>41534</v>
      </c>
      <c r="B310" t="s">
        <v>48</v>
      </c>
      <c r="C310" s="7">
        <v>-100</v>
      </c>
      <c r="D310" t="s">
        <v>6</v>
      </c>
      <c r="E310" s="8">
        <f>E309+F310</f>
        <v>76706</v>
      </c>
      <c r="F310" s="8">
        <f>IF($D310="CR01",$C310,0)</f>
        <v>-100</v>
      </c>
      <c r="G310" s="8">
        <f>G309+H310</f>
        <v>0</v>
      </c>
      <c r="H310" s="8">
        <f>IF($D310="VISA",$C310,0)</f>
        <v>0</v>
      </c>
      <c r="I310" s="8">
        <f>I309+J310</f>
        <v>0</v>
      </c>
      <c r="J310" s="8">
        <f>IF($D310="ACC",$C310,0)</f>
        <v>0</v>
      </c>
      <c r="K310" s="8">
        <f>K309+L310</f>
        <v>0</v>
      </c>
      <c r="L310" s="8">
        <f>IF($D310="CBB",$C310,0)</f>
        <v>0</v>
      </c>
    </row>
    <row r="311" spans="1:12" x14ac:dyDescent="0.25">
      <c r="A311" s="6">
        <v>41535</v>
      </c>
      <c r="B311" t="s">
        <v>47</v>
      </c>
      <c r="C311" s="7">
        <v>-120</v>
      </c>
      <c r="D311" t="s">
        <v>6</v>
      </c>
      <c r="E311" s="8">
        <f>E310+F311</f>
        <v>76586</v>
      </c>
      <c r="F311" s="8">
        <f>IF($D311="CR01",$C311,0)</f>
        <v>-120</v>
      </c>
      <c r="G311" s="8">
        <f>G310+H311</f>
        <v>0</v>
      </c>
      <c r="H311" s="8">
        <f>IF($D311="VISA",$C311,0)</f>
        <v>0</v>
      </c>
      <c r="I311" s="8">
        <f>I310+J311</f>
        <v>0</v>
      </c>
      <c r="J311" s="8">
        <f>IF($D311="ACC",$C311,0)</f>
        <v>0</v>
      </c>
      <c r="K311" s="8">
        <f>K310+L311</f>
        <v>0</v>
      </c>
      <c r="L311" s="8">
        <f>IF($D311="CBB",$C311,0)</f>
        <v>0</v>
      </c>
    </row>
    <row r="312" spans="1:12" x14ac:dyDescent="0.25">
      <c r="A312" s="6">
        <v>41536</v>
      </c>
      <c r="B312" t="s">
        <v>44</v>
      </c>
      <c r="C312" s="7">
        <v>-400</v>
      </c>
      <c r="D312" t="s">
        <v>6</v>
      </c>
      <c r="E312" s="8">
        <f>E311+F312</f>
        <v>76186</v>
      </c>
      <c r="F312" s="8">
        <f>IF($D312="CR01",$C312,0)</f>
        <v>-400</v>
      </c>
      <c r="G312" s="8">
        <f>G311+H312</f>
        <v>0</v>
      </c>
      <c r="H312" s="8">
        <f>IF($D312="VISA",$C312,0)</f>
        <v>0</v>
      </c>
      <c r="I312" s="8">
        <f>I311+J312</f>
        <v>0</v>
      </c>
      <c r="J312" s="8">
        <f>IF($D312="ACC",$C312,0)</f>
        <v>0</v>
      </c>
      <c r="K312" s="8">
        <f>K311+L312</f>
        <v>0</v>
      </c>
      <c r="L312" s="8">
        <f>IF($D312="CBB",$C312,0)</f>
        <v>0</v>
      </c>
    </row>
    <row r="313" spans="1:12" x14ac:dyDescent="0.25">
      <c r="A313" s="6">
        <v>41536</v>
      </c>
      <c r="B313" t="s">
        <v>45</v>
      </c>
      <c r="C313" s="7">
        <v>-180</v>
      </c>
      <c r="D313" t="s">
        <v>6</v>
      </c>
      <c r="E313" s="8">
        <f>E312+F313</f>
        <v>76006</v>
      </c>
      <c r="F313" s="8">
        <f>IF($D313="CR01",$C313,0)</f>
        <v>-180</v>
      </c>
      <c r="G313" s="8">
        <f>G312+H313</f>
        <v>0</v>
      </c>
      <c r="H313" s="8">
        <f>IF($D313="VISA",$C313,0)</f>
        <v>0</v>
      </c>
      <c r="I313" s="8">
        <f>I312+J313</f>
        <v>0</v>
      </c>
      <c r="J313" s="8">
        <f>IF($D313="ACC",$C313,0)</f>
        <v>0</v>
      </c>
      <c r="K313" s="8">
        <f>K312+L313</f>
        <v>0</v>
      </c>
      <c r="L313" s="8">
        <f>IF($D313="CBB",$C313,0)</f>
        <v>0</v>
      </c>
    </row>
    <row r="314" spans="1:12" x14ac:dyDescent="0.25">
      <c r="A314" s="6">
        <v>41536</v>
      </c>
      <c r="B314" t="s">
        <v>46</v>
      </c>
      <c r="C314" s="7">
        <v>-300</v>
      </c>
      <c r="D314" t="s">
        <v>6</v>
      </c>
      <c r="E314" s="8">
        <f>E313+F314</f>
        <v>75706</v>
      </c>
      <c r="F314" s="8">
        <f>IF($D314="CR01",$C314,0)</f>
        <v>-300</v>
      </c>
      <c r="G314" s="8">
        <f>G313+H314</f>
        <v>0</v>
      </c>
      <c r="H314" s="8">
        <f>IF($D314="VISA",$C314,0)</f>
        <v>0</v>
      </c>
      <c r="I314" s="8">
        <f>I313+J314</f>
        <v>0</v>
      </c>
      <c r="J314" s="8">
        <f>IF($D314="ACC",$C314,0)</f>
        <v>0</v>
      </c>
      <c r="K314" s="8">
        <f>K313+L314</f>
        <v>0</v>
      </c>
      <c r="L314" s="8">
        <f>IF($D314="CBB",$C314,0)</f>
        <v>0</v>
      </c>
    </row>
    <row r="315" spans="1:12" x14ac:dyDescent="0.25">
      <c r="A315" s="6">
        <v>41538</v>
      </c>
      <c r="B315" t="s">
        <v>67</v>
      </c>
      <c r="C315" s="7">
        <v>6800</v>
      </c>
      <c r="D315" t="s">
        <v>6</v>
      </c>
      <c r="E315" s="8">
        <f>E314+F315</f>
        <v>82506</v>
      </c>
      <c r="F315" s="8">
        <f>IF($D315="CR01",$C315,0)</f>
        <v>6800</v>
      </c>
      <c r="G315" s="8">
        <f>G314+H315</f>
        <v>0</v>
      </c>
      <c r="H315" s="8">
        <f>IF($D315="VISA",$C315,0)</f>
        <v>0</v>
      </c>
      <c r="I315" s="8">
        <f>I314+J315</f>
        <v>0</v>
      </c>
      <c r="J315" s="8">
        <f>IF($D315="ACC",$C315,0)</f>
        <v>0</v>
      </c>
      <c r="K315" s="8">
        <f>K314+L315</f>
        <v>0</v>
      </c>
      <c r="L315" s="8">
        <f>IF($D315="CBB",$C315,0)</f>
        <v>0</v>
      </c>
    </row>
    <row r="316" spans="1:12" x14ac:dyDescent="0.25">
      <c r="A316" s="6">
        <v>41541</v>
      </c>
      <c r="B316" t="s">
        <v>42</v>
      </c>
      <c r="C316" s="7">
        <v>-2806</v>
      </c>
      <c r="D316" t="s">
        <v>6</v>
      </c>
      <c r="E316" s="8">
        <f>E315+F316</f>
        <v>79700</v>
      </c>
      <c r="F316" s="8">
        <f>IF($D316="CR01",$C316,0)</f>
        <v>-2806</v>
      </c>
      <c r="G316" s="8">
        <f>G315+H316</f>
        <v>0</v>
      </c>
      <c r="H316" s="8">
        <f>IF($D316="VISA",$C316,0)</f>
        <v>0</v>
      </c>
      <c r="I316" s="8">
        <f>I315+J316</f>
        <v>0</v>
      </c>
      <c r="J316" s="8">
        <f>IF($D316="ACC",$C316,0)</f>
        <v>0</v>
      </c>
      <c r="K316" s="8">
        <f>K315+L316</f>
        <v>0</v>
      </c>
      <c r="L316" s="8">
        <f>IF($D316="CBB",$C316,0)</f>
        <v>0</v>
      </c>
    </row>
    <row r="317" spans="1:12" x14ac:dyDescent="0.25">
      <c r="A317" s="6">
        <v>41541</v>
      </c>
      <c r="B317" t="s">
        <v>48</v>
      </c>
      <c r="C317" s="7">
        <v>-100</v>
      </c>
      <c r="D317" t="s">
        <v>6</v>
      </c>
      <c r="E317" s="8">
        <f>E316+F317</f>
        <v>79600</v>
      </c>
      <c r="F317" s="8">
        <f>IF($D317="CR01",$C317,0)</f>
        <v>-100</v>
      </c>
      <c r="G317" s="8">
        <f>G316+H317</f>
        <v>0</v>
      </c>
      <c r="H317" s="8">
        <f>IF($D317="VISA",$C317,0)</f>
        <v>0</v>
      </c>
      <c r="I317" s="8">
        <f>I316+J317</f>
        <v>0</v>
      </c>
      <c r="J317" s="8">
        <f>IF($D317="ACC",$C317,0)</f>
        <v>0</v>
      </c>
      <c r="K317" s="8">
        <f>K316+L317</f>
        <v>0</v>
      </c>
      <c r="L317" s="8">
        <f>IF($D317="CBB",$C317,0)</f>
        <v>0</v>
      </c>
    </row>
    <row r="318" spans="1:12" x14ac:dyDescent="0.25">
      <c r="A318" s="6">
        <v>41542</v>
      </c>
      <c r="B318" t="s">
        <v>47</v>
      </c>
      <c r="C318" s="7">
        <v>-120</v>
      </c>
      <c r="D318" t="s">
        <v>6</v>
      </c>
      <c r="E318" s="8">
        <f>E317+F318</f>
        <v>79480</v>
      </c>
      <c r="F318" s="8">
        <f>IF($D318="CR01",$C318,0)</f>
        <v>-120</v>
      </c>
      <c r="G318" s="8">
        <f>G317+H318</f>
        <v>0</v>
      </c>
      <c r="H318" s="8">
        <f>IF($D318="VISA",$C318,0)</f>
        <v>0</v>
      </c>
      <c r="I318" s="8">
        <f>I317+J318</f>
        <v>0</v>
      </c>
      <c r="J318" s="8">
        <f>IF($D318="ACC",$C318,0)</f>
        <v>0</v>
      </c>
      <c r="K318" s="8">
        <f>K317+L318</f>
        <v>0</v>
      </c>
      <c r="L318" s="8">
        <f>IF($D318="CBB",$C318,0)</f>
        <v>0</v>
      </c>
    </row>
    <row r="319" spans="1:12" x14ac:dyDescent="0.25">
      <c r="A319" s="6">
        <v>41543</v>
      </c>
      <c r="B319" t="s">
        <v>44</v>
      </c>
      <c r="C319" s="7">
        <v>-400</v>
      </c>
      <c r="D319" t="s">
        <v>6</v>
      </c>
      <c r="E319" s="8">
        <f>E318+F319</f>
        <v>79080</v>
      </c>
      <c r="F319" s="8">
        <f>IF($D319="CR01",$C319,0)</f>
        <v>-400</v>
      </c>
      <c r="G319" s="8">
        <f>G318+H319</f>
        <v>0</v>
      </c>
      <c r="H319" s="8">
        <f>IF($D319="VISA",$C319,0)</f>
        <v>0</v>
      </c>
      <c r="I319" s="8">
        <f>I318+J319</f>
        <v>0</v>
      </c>
      <c r="J319" s="8">
        <f>IF($D319="ACC",$C319,0)</f>
        <v>0</v>
      </c>
      <c r="K319" s="8">
        <f>K318+L319</f>
        <v>0</v>
      </c>
      <c r="L319" s="8">
        <f>IF($D319="CBB",$C319,0)</f>
        <v>0</v>
      </c>
    </row>
    <row r="320" spans="1:12" x14ac:dyDescent="0.25">
      <c r="A320" s="6">
        <v>41543</v>
      </c>
      <c r="B320" t="s">
        <v>45</v>
      </c>
      <c r="C320" s="7">
        <v>-180</v>
      </c>
      <c r="D320" t="s">
        <v>6</v>
      </c>
      <c r="E320" s="8">
        <f>E319+F320</f>
        <v>78900</v>
      </c>
      <c r="F320" s="8">
        <f>IF($D320="CR01",$C320,0)</f>
        <v>-180</v>
      </c>
      <c r="G320" s="8">
        <f>G319+H320</f>
        <v>0</v>
      </c>
      <c r="H320" s="8">
        <f>IF($D320="VISA",$C320,0)</f>
        <v>0</v>
      </c>
      <c r="I320" s="8">
        <f>I319+J320</f>
        <v>0</v>
      </c>
      <c r="J320" s="8">
        <f>IF($D320="ACC",$C320,0)</f>
        <v>0</v>
      </c>
      <c r="K320" s="8">
        <f>K319+L320</f>
        <v>0</v>
      </c>
      <c r="L320" s="8">
        <f>IF($D320="CBB",$C320,0)</f>
        <v>0</v>
      </c>
    </row>
    <row r="321" spans="1:12" x14ac:dyDescent="0.25">
      <c r="A321" s="6">
        <v>41543</v>
      </c>
      <c r="B321" t="s">
        <v>46</v>
      </c>
      <c r="C321" s="7">
        <v>-300</v>
      </c>
      <c r="D321" t="s">
        <v>6</v>
      </c>
      <c r="E321" s="8">
        <f>E320+F321</f>
        <v>78600</v>
      </c>
      <c r="F321" s="8">
        <f>IF($D321="CR01",$C321,0)</f>
        <v>-300</v>
      </c>
      <c r="G321" s="8">
        <f>G320+H321</f>
        <v>0</v>
      </c>
      <c r="H321" s="8">
        <f>IF($D321="VISA",$C321,0)</f>
        <v>0</v>
      </c>
      <c r="I321" s="8">
        <f>I320+J321</f>
        <v>0</v>
      </c>
      <c r="J321" s="8">
        <f>IF($D321="ACC",$C321,0)</f>
        <v>0</v>
      </c>
      <c r="K321" s="8">
        <f>K320+L321</f>
        <v>0</v>
      </c>
      <c r="L321" s="8">
        <f>IF($D321="CBB",$C321,0)</f>
        <v>0</v>
      </c>
    </row>
    <row r="322" spans="1:12" x14ac:dyDescent="0.25">
      <c r="A322" s="6">
        <v>41544</v>
      </c>
      <c r="B322" t="s">
        <v>43</v>
      </c>
      <c r="C322" s="7">
        <v>3226</v>
      </c>
      <c r="D322" t="s">
        <v>6</v>
      </c>
      <c r="E322" s="8">
        <f>E321+F322</f>
        <v>81826</v>
      </c>
      <c r="F322" s="8">
        <f>IF($D322="CR01",$C322,0)</f>
        <v>3226</v>
      </c>
      <c r="G322" s="8">
        <f>G321+H322</f>
        <v>0</v>
      </c>
      <c r="H322" s="8">
        <f>IF($D322="VISA",$C322,0)</f>
        <v>0</v>
      </c>
      <c r="I322" s="8">
        <f>I321+J322</f>
        <v>0</v>
      </c>
      <c r="J322" s="8">
        <f>IF($D322="ACC",$C322,0)</f>
        <v>0</v>
      </c>
      <c r="K322" s="8">
        <f>K321+L322</f>
        <v>0</v>
      </c>
      <c r="L322" s="8">
        <f>IF($D322="CBB",$C322,0)</f>
        <v>0</v>
      </c>
    </row>
    <row r="323" spans="1:12" x14ac:dyDescent="0.25">
      <c r="A323" s="6">
        <v>41548</v>
      </c>
      <c r="B323" t="s">
        <v>48</v>
      </c>
      <c r="C323" s="7">
        <v>-100</v>
      </c>
      <c r="D323" t="s">
        <v>6</v>
      </c>
      <c r="E323" s="8">
        <f>E322+F323</f>
        <v>81726</v>
      </c>
      <c r="F323" s="8">
        <f>IF($D323="CR01",$C323,0)</f>
        <v>-100</v>
      </c>
      <c r="G323" s="8">
        <f>G322+H323</f>
        <v>0</v>
      </c>
      <c r="H323" s="8">
        <f>IF($D323="VISA",$C323,0)</f>
        <v>0</v>
      </c>
      <c r="I323" s="8">
        <f>I322+J323</f>
        <v>0</v>
      </c>
      <c r="J323" s="8">
        <f>IF($D323="ACC",$C323,0)</f>
        <v>0</v>
      </c>
      <c r="K323" s="8">
        <f>K322+L323</f>
        <v>0</v>
      </c>
      <c r="L323" s="8">
        <f>IF($D323="CBB",$C323,0)</f>
        <v>0</v>
      </c>
    </row>
    <row r="324" spans="1:12" x14ac:dyDescent="0.25">
      <c r="A324" s="6">
        <v>41548</v>
      </c>
      <c r="B324" t="s">
        <v>58</v>
      </c>
      <c r="C324" s="7">
        <v>-200</v>
      </c>
      <c r="D324" t="s">
        <v>6</v>
      </c>
      <c r="E324" s="8">
        <f>E323+F324</f>
        <v>81526</v>
      </c>
      <c r="F324" s="8">
        <f>IF($D324="CR01",$C324,0)</f>
        <v>-200</v>
      </c>
      <c r="G324" s="8">
        <f>G323+H324</f>
        <v>0</v>
      </c>
      <c r="H324" s="8">
        <f>IF($D324="VISA",$C324,0)</f>
        <v>0</v>
      </c>
      <c r="I324" s="8">
        <f>I323+J324</f>
        <v>0</v>
      </c>
      <c r="J324" s="8">
        <f>IF($D324="ACC",$C324,0)</f>
        <v>0</v>
      </c>
      <c r="K324" s="8">
        <f>K323+L324</f>
        <v>0</v>
      </c>
      <c r="L324" s="8">
        <f>IF($D324="CBB",$C324,0)</f>
        <v>0</v>
      </c>
    </row>
    <row r="325" spans="1:12" x14ac:dyDescent="0.25">
      <c r="A325" s="6">
        <v>41548</v>
      </c>
      <c r="B325" t="s">
        <v>60</v>
      </c>
      <c r="C325" s="7">
        <v>-400</v>
      </c>
      <c r="D325" t="s">
        <v>6</v>
      </c>
      <c r="E325" s="8">
        <f>E324+F325</f>
        <v>81126</v>
      </c>
      <c r="F325" s="8">
        <f>IF($D325="CR01",$C325,0)</f>
        <v>-400</v>
      </c>
      <c r="G325" s="8">
        <f>G324+H325</f>
        <v>0</v>
      </c>
      <c r="H325" s="8">
        <f>IF($D325="VISA",$C325,0)</f>
        <v>0</v>
      </c>
      <c r="I325" s="8">
        <f>I324+J325</f>
        <v>0</v>
      </c>
      <c r="J325" s="8">
        <f>IF($D325="ACC",$C325,0)</f>
        <v>0</v>
      </c>
      <c r="K325" s="8">
        <f>K324+L325</f>
        <v>0</v>
      </c>
      <c r="L325" s="8">
        <f>IF($D325="CBB",$C325,0)</f>
        <v>0</v>
      </c>
    </row>
    <row r="326" spans="1:12" x14ac:dyDescent="0.25">
      <c r="A326" s="6">
        <v>41548</v>
      </c>
      <c r="B326" t="s">
        <v>61</v>
      </c>
      <c r="C326" s="7">
        <v>-300</v>
      </c>
      <c r="D326" t="s">
        <v>6</v>
      </c>
      <c r="E326" s="8">
        <f>E325+F326</f>
        <v>80826</v>
      </c>
      <c r="F326" s="8">
        <f>IF($D326="CR01",$C326,0)</f>
        <v>-300</v>
      </c>
      <c r="G326" s="8">
        <f>G325+H326</f>
        <v>0</v>
      </c>
      <c r="H326" s="8">
        <f>IF($D326="VISA",$C326,0)</f>
        <v>0</v>
      </c>
      <c r="I326" s="8">
        <f>I325+J326</f>
        <v>0</v>
      </c>
      <c r="J326" s="8">
        <f>IF($D326="ACC",$C326,0)</f>
        <v>0</v>
      </c>
      <c r="K326" s="8">
        <f>K325+L326</f>
        <v>0</v>
      </c>
      <c r="L326" s="8">
        <f>IF($D326="CBB",$C326,0)</f>
        <v>0</v>
      </c>
    </row>
    <row r="327" spans="1:12" x14ac:dyDescent="0.25">
      <c r="A327" s="6">
        <v>41548</v>
      </c>
      <c r="B327" t="s">
        <v>64</v>
      </c>
      <c r="C327" s="7">
        <v>-26</v>
      </c>
      <c r="D327" t="s">
        <v>6</v>
      </c>
      <c r="E327" s="8">
        <f>E326+F327</f>
        <v>80800</v>
      </c>
      <c r="F327" s="8">
        <f>IF($D327="CR01",$C327,0)</f>
        <v>-26</v>
      </c>
      <c r="G327" s="8">
        <f>G326+H327</f>
        <v>0</v>
      </c>
      <c r="H327" s="8">
        <f>IF($D327="VISA",$C327,0)</f>
        <v>0</v>
      </c>
      <c r="I327" s="8">
        <f>I326+J327</f>
        <v>0</v>
      </c>
      <c r="J327" s="8">
        <f>IF($D327="ACC",$C327,0)</f>
        <v>0</v>
      </c>
      <c r="K327" s="8">
        <f>K326+L327</f>
        <v>0</v>
      </c>
      <c r="L327" s="8">
        <f>IF($D327="CBB",$C327,0)</f>
        <v>0</v>
      </c>
    </row>
    <row r="328" spans="1:12" x14ac:dyDescent="0.25">
      <c r="A328" s="6">
        <v>41548</v>
      </c>
      <c r="B328" t="s">
        <v>65</v>
      </c>
      <c r="C328" s="7">
        <v>-240</v>
      </c>
      <c r="D328" t="s">
        <v>6</v>
      </c>
      <c r="E328" s="8">
        <f>E327+F328</f>
        <v>80560</v>
      </c>
      <c r="F328" s="8">
        <f>IF($D328="CR01",$C328,0)</f>
        <v>-240</v>
      </c>
      <c r="G328" s="8">
        <f>G327+H328</f>
        <v>0</v>
      </c>
      <c r="H328" s="8">
        <f>IF($D328="VISA",$C328,0)</f>
        <v>0</v>
      </c>
      <c r="I328" s="8">
        <f>I327+J328</f>
        <v>0</v>
      </c>
      <c r="J328" s="8">
        <f>IF($D328="ACC",$C328,0)</f>
        <v>0</v>
      </c>
      <c r="K328" s="8">
        <f>K327+L328</f>
        <v>0</v>
      </c>
      <c r="L328" s="8">
        <f>IF($D328="CBB",$C328,0)</f>
        <v>0</v>
      </c>
    </row>
    <row r="329" spans="1:12" x14ac:dyDescent="0.25">
      <c r="A329" s="6">
        <v>41548</v>
      </c>
      <c r="B329" t="s">
        <v>66</v>
      </c>
      <c r="C329" s="7">
        <v>-120</v>
      </c>
      <c r="D329" t="s">
        <v>6</v>
      </c>
      <c r="E329" s="8">
        <f>E328+F329</f>
        <v>80440</v>
      </c>
      <c r="F329" s="8">
        <f>IF($D329="CR01",$C329,0)</f>
        <v>-120</v>
      </c>
      <c r="G329" s="8">
        <f>G328+H329</f>
        <v>0</v>
      </c>
      <c r="H329" s="8">
        <f>IF($D329="VISA",$C329,0)</f>
        <v>0</v>
      </c>
      <c r="I329" s="8">
        <f>I328+J329</f>
        <v>0</v>
      </c>
      <c r="J329" s="8">
        <f>IF($D329="ACC",$C329,0)</f>
        <v>0</v>
      </c>
      <c r="K329" s="8">
        <f>K328+L329</f>
        <v>0</v>
      </c>
      <c r="L329" s="8">
        <f>IF($D329="CBB",$C329,0)</f>
        <v>0</v>
      </c>
    </row>
    <row r="330" spans="1:12" x14ac:dyDescent="0.25">
      <c r="A330" s="6">
        <v>41549</v>
      </c>
      <c r="B330" t="s">
        <v>47</v>
      </c>
      <c r="C330" s="7">
        <v>-120</v>
      </c>
      <c r="D330" t="s">
        <v>6</v>
      </c>
      <c r="E330" s="8">
        <f>E329+F330</f>
        <v>80320</v>
      </c>
      <c r="F330" s="8">
        <f>IF($D330="CR01",$C330,0)</f>
        <v>-120</v>
      </c>
      <c r="G330" s="8">
        <f>G329+H330</f>
        <v>0</v>
      </c>
      <c r="H330" s="8">
        <f>IF($D330="VISA",$C330,0)</f>
        <v>0</v>
      </c>
      <c r="I330" s="8">
        <f>I329+J330</f>
        <v>0</v>
      </c>
      <c r="J330" s="8">
        <f>IF($D330="ACC",$C330,0)</f>
        <v>0</v>
      </c>
      <c r="K330" s="8">
        <f>K329+L330</f>
        <v>0</v>
      </c>
      <c r="L330" s="8">
        <f>IF($D330="CBB",$C330,0)</f>
        <v>0</v>
      </c>
    </row>
    <row r="331" spans="1:12" x14ac:dyDescent="0.25">
      <c r="A331" s="6">
        <v>41549</v>
      </c>
      <c r="B331" t="s">
        <v>59</v>
      </c>
      <c r="C331" s="7">
        <v>-900</v>
      </c>
      <c r="D331" t="s">
        <v>6</v>
      </c>
      <c r="E331" s="8">
        <f>E330+F331</f>
        <v>79420</v>
      </c>
      <c r="F331" s="8">
        <f>IF($D331="CR01",$C331,0)</f>
        <v>-900</v>
      </c>
      <c r="G331" s="8">
        <f>G330+H331</f>
        <v>0</v>
      </c>
      <c r="H331" s="8">
        <f>IF($D331="VISA",$C331,0)</f>
        <v>0</v>
      </c>
      <c r="I331" s="8">
        <f>I330+J331</f>
        <v>0</v>
      </c>
      <c r="J331" s="8">
        <f>IF($D331="ACC",$C331,0)</f>
        <v>0</v>
      </c>
      <c r="K331" s="8">
        <f>K330+L331</f>
        <v>0</v>
      </c>
      <c r="L331" s="8">
        <f>IF($D331="CBB",$C331,0)</f>
        <v>0</v>
      </c>
    </row>
    <row r="332" spans="1:12" x14ac:dyDescent="0.25">
      <c r="A332" s="6">
        <v>41550</v>
      </c>
      <c r="B332" t="s">
        <v>44</v>
      </c>
      <c r="C332" s="7">
        <v>-400</v>
      </c>
      <c r="D332" t="s">
        <v>6</v>
      </c>
      <c r="E332" s="8">
        <f>E331+F332</f>
        <v>79020</v>
      </c>
      <c r="F332" s="8">
        <f>IF($D332="CR01",$C332,0)</f>
        <v>-400</v>
      </c>
      <c r="G332" s="8">
        <f>G331+H332</f>
        <v>0</v>
      </c>
      <c r="H332" s="8">
        <f>IF($D332="VISA",$C332,0)</f>
        <v>0</v>
      </c>
      <c r="I332" s="8">
        <f>I331+J332</f>
        <v>0</v>
      </c>
      <c r="J332" s="8">
        <f>IF($D332="ACC",$C332,0)</f>
        <v>0</v>
      </c>
      <c r="K332" s="8">
        <f>K331+L332</f>
        <v>0</v>
      </c>
      <c r="L332" s="8">
        <f>IF($D332="CBB",$C332,0)</f>
        <v>0</v>
      </c>
    </row>
    <row r="333" spans="1:12" x14ac:dyDescent="0.25">
      <c r="A333" s="6">
        <v>41550</v>
      </c>
      <c r="B333" t="s">
        <v>45</v>
      </c>
      <c r="C333" s="7">
        <v>-180</v>
      </c>
      <c r="D333" t="s">
        <v>6</v>
      </c>
      <c r="E333" s="8">
        <f>E332+F333</f>
        <v>78840</v>
      </c>
      <c r="F333" s="8">
        <f>IF($D333="CR01",$C333,0)</f>
        <v>-180</v>
      </c>
      <c r="G333" s="8">
        <f>G332+H333</f>
        <v>0</v>
      </c>
      <c r="H333" s="8">
        <f>IF($D333="VISA",$C333,0)</f>
        <v>0</v>
      </c>
      <c r="I333" s="8">
        <f>I332+J333</f>
        <v>0</v>
      </c>
      <c r="J333" s="8">
        <f>IF($D333="ACC",$C333,0)</f>
        <v>0</v>
      </c>
      <c r="K333" s="8">
        <f>K332+L333</f>
        <v>0</v>
      </c>
      <c r="L333" s="8">
        <f>IF($D333="CBB",$C333,0)</f>
        <v>0</v>
      </c>
    </row>
    <row r="334" spans="1:12" x14ac:dyDescent="0.25">
      <c r="A334" s="6">
        <v>41550</v>
      </c>
      <c r="B334" t="s">
        <v>46</v>
      </c>
      <c r="C334" s="7">
        <v>-300</v>
      </c>
      <c r="D334" t="s">
        <v>6</v>
      </c>
      <c r="E334" s="8">
        <f>E333+F334</f>
        <v>78540</v>
      </c>
      <c r="F334" s="8">
        <f>IF($D334="CR01",$C334,0)</f>
        <v>-300</v>
      </c>
      <c r="G334" s="8">
        <f>G333+H334</f>
        <v>0</v>
      </c>
      <c r="H334" s="8">
        <f>IF($D334="VISA",$C334,0)</f>
        <v>0</v>
      </c>
      <c r="I334" s="8">
        <f>I333+J334</f>
        <v>0</v>
      </c>
      <c r="J334" s="8">
        <f>IF($D334="ACC",$C334,0)</f>
        <v>0</v>
      </c>
      <c r="K334" s="8">
        <f>K333+L334</f>
        <v>0</v>
      </c>
      <c r="L334" s="8">
        <f>IF($D334="CBB",$C334,0)</f>
        <v>0</v>
      </c>
    </row>
    <row r="335" spans="1:12" x14ac:dyDescent="0.25">
      <c r="A335" s="6">
        <v>41552</v>
      </c>
      <c r="B335" t="s">
        <v>67</v>
      </c>
      <c r="C335" s="7">
        <v>6800</v>
      </c>
      <c r="D335" t="s">
        <v>6</v>
      </c>
      <c r="E335" s="8">
        <f>E334+F335</f>
        <v>85340</v>
      </c>
      <c r="F335" s="8">
        <f>IF($D335="CR01",$C335,0)</f>
        <v>6800</v>
      </c>
      <c r="G335" s="8">
        <f>G334+H335</f>
        <v>0</v>
      </c>
      <c r="H335" s="8">
        <f>IF($D335="VISA",$C335,0)</f>
        <v>0</v>
      </c>
      <c r="I335" s="8">
        <f>I334+J335</f>
        <v>0</v>
      </c>
      <c r="J335" s="8">
        <f>IF($D335="ACC",$C335,0)</f>
        <v>0</v>
      </c>
      <c r="K335" s="8">
        <f>K334+L335</f>
        <v>0</v>
      </c>
      <c r="L335" s="8">
        <f>IF($D335="CBB",$C335,0)</f>
        <v>0</v>
      </c>
    </row>
    <row r="336" spans="1:12" x14ac:dyDescent="0.25">
      <c r="A336" s="6">
        <v>41555</v>
      </c>
      <c r="B336" t="s">
        <v>42</v>
      </c>
      <c r="C336" s="7">
        <v>-2806</v>
      </c>
      <c r="D336" t="s">
        <v>6</v>
      </c>
      <c r="E336" s="8">
        <f>E335+F336</f>
        <v>82534</v>
      </c>
      <c r="F336" s="8">
        <f>IF($D336="CR01",$C336,0)</f>
        <v>-2806</v>
      </c>
      <c r="G336" s="8">
        <f>G335+H336</f>
        <v>0</v>
      </c>
      <c r="H336" s="8">
        <f>IF($D336="VISA",$C336,0)</f>
        <v>0</v>
      </c>
      <c r="I336" s="8">
        <f>I335+J336</f>
        <v>0</v>
      </c>
      <c r="J336" s="8">
        <f>IF($D336="ACC",$C336,0)</f>
        <v>0</v>
      </c>
      <c r="K336" s="8">
        <f>K335+L336</f>
        <v>0</v>
      </c>
      <c r="L336" s="8">
        <f>IF($D336="CBB",$C336,0)</f>
        <v>0</v>
      </c>
    </row>
    <row r="337" spans="1:12" x14ac:dyDescent="0.25">
      <c r="A337" s="6">
        <v>41555</v>
      </c>
      <c r="B337" t="s">
        <v>48</v>
      </c>
      <c r="C337" s="7">
        <v>-100</v>
      </c>
      <c r="D337" t="s">
        <v>6</v>
      </c>
      <c r="E337" s="8">
        <f>E336+F337</f>
        <v>82434</v>
      </c>
      <c r="F337" s="8">
        <f>IF($D337="CR01",$C337,0)</f>
        <v>-100</v>
      </c>
      <c r="G337" s="8">
        <f>G336+H337</f>
        <v>0</v>
      </c>
      <c r="H337" s="8">
        <f>IF($D337="VISA",$C337,0)</f>
        <v>0</v>
      </c>
      <c r="I337" s="8">
        <f>I336+J337</f>
        <v>0</v>
      </c>
      <c r="J337" s="8">
        <f>IF($D337="ACC",$C337,0)</f>
        <v>0</v>
      </c>
      <c r="K337" s="8">
        <f>K336+L337</f>
        <v>0</v>
      </c>
      <c r="L337" s="8">
        <f>IF($D337="CBB",$C337,0)</f>
        <v>0</v>
      </c>
    </row>
    <row r="338" spans="1:12" x14ac:dyDescent="0.25">
      <c r="A338" s="6">
        <v>41556</v>
      </c>
      <c r="B338" t="s">
        <v>47</v>
      </c>
      <c r="C338" s="7">
        <v>-120</v>
      </c>
      <c r="D338" t="s">
        <v>6</v>
      </c>
      <c r="E338" s="8">
        <f>E337+F338</f>
        <v>82314</v>
      </c>
      <c r="F338" s="8">
        <f>IF($D338="CR01",$C338,0)</f>
        <v>-120</v>
      </c>
      <c r="G338" s="8">
        <f>G337+H338</f>
        <v>0</v>
      </c>
      <c r="H338" s="8">
        <f>IF($D338="VISA",$C338,0)</f>
        <v>0</v>
      </c>
      <c r="I338" s="8">
        <f>I337+J338</f>
        <v>0</v>
      </c>
      <c r="J338" s="8">
        <f>IF($D338="ACC",$C338,0)</f>
        <v>0</v>
      </c>
      <c r="K338" s="8">
        <f>K337+L338</f>
        <v>0</v>
      </c>
      <c r="L338" s="8">
        <f>IF($D338="CBB",$C338,0)</f>
        <v>0</v>
      </c>
    </row>
    <row r="339" spans="1:12" x14ac:dyDescent="0.25">
      <c r="A339" s="6">
        <v>41557</v>
      </c>
      <c r="B339" t="s">
        <v>44</v>
      </c>
      <c r="C339" s="7">
        <v>-400</v>
      </c>
      <c r="D339" t="s">
        <v>6</v>
      </c>
      <c r="E339" s="8">
        <f>E338+F339</f>
        <v>81914</v>
      </c>
      <c r="F339" s="8">
        <f>IF($D339="CR01",$C339,0)</f>
        <v>-400</v>
      </c>
      <c r="G339" s="8">
        <f>G338+H339</f>
        <v>0</v>
      </c>
      <c r="H339" s="8">
        <f>IF($D339="VISA",$C339,0)</f>
        <v>0</v>
      </c>
      <c r="I339" s="8">
        <f>I338+J339</f>
        <v>0</v>
      </c>
      <c r="J339" s="8">
        <f>IF($D339="ACC",$C339,0)</f>
        <v>0</v>
      </c>
      <c r="K339" s="8">
        <f>K338+L339</f>
        <v>0</v>
      </c>
      <c r="L339" s="8">
        <f>IF($D339="CBB",$C339,0)</f>
        <v>0</v>
      </c>
    </row>
    <row r="340" spans="1:12" x14ac:dyDescent="0.25">
      <c r="A340" s="6">
        <v>41557</v>
      </c>
      <c r="B340" t="s">
        <v>45</v>
      </c>
      <c r="C340" s="7">
        <v>-180</v>
      </c>
      <c r="D340" t="s">
        <v>6</v>
      </c>
      <c r="E340" s="8">
        <f>E339+F340</f>
        <v>81734</v>
      </c>
      <c r="F340" s="8">
        <f>IF($D340="CR01",$C340,0)</f>
        <v>-180</v>
      </c>
      <c r="G340" s="8">
        <f>G339+H340</f>
        <v>0</v>
      </c>
      <c r="H340" s="8">
        <f>IF($D340="VISA",$C340,0)</f>
        <v>0</v>
      </c>
      <c r="I340" s="8">
        <f>I339+J340</f>
        <v>0</v>
      </c>
      <c r="J340" s="8">
        <f>IF($D340="ACC",$C340,0)</f>
        <v>0</v>
      </c>
      <c r="K340" s="8">
        <f>K339+L340</f>
        <v>0</v>
      </c>
      <c r="L340" s="8">
        <f>IF($D340="CBB",$C340,0)</f>
        <v>0</v>
      </c>
    </row>
    <row r="341" spans="1:12" x14ac:dyDescent="0.25">
      <c r="A341" s="6">
        <v>41557</v>
      </c>
      <c r="B341" t="s">
        <v>46</v>
      </c>
      <c r="C341" s="7">
        <v>-300</v>
      </c>
      <c r="D341" t="s">
        <v>6</v>
      </c>
      <c r="E341" s="8">
        <f>E340+F341</f>
        <v>81434</v>
      </c>
      <c r="F341" s="8">
        <f>IF($D341="CR01",$C341,0)</f>
        <v>-300</v>
      </c>
      <c r="G341" s="8">
        <f>G340+H341</f>
        <v>0</v>
      </c>
      <c r="H341" s="8">
        <f>IF($D341="VISA",$C341,0)</f>
        <v>0</v>
      </c>
      <c r="I341" s="8">
        <f>I340+J341</f>
        <v>0</v>
      </c>
      <c r="J341" s="8">
        <f>IF($D341="ACC",$C341,0)</f>
        <v>0</v>
      </c>
      <c r="K341" s="8">
        <f>K340+L341</f>
        <v>0</v>
      </c>
      <c r="L341" s="8">
        <f>IF($D341="CBB",$C341,0)</f>
        <v>0</v>
      </c>
    </row>
    <row r="342" spans="1:12" x14ac:dyDescent="0.25">
      <c r="A342" s="6">
        <v>41558</v>
      </c>
      <c r="B342" t="s">
        <v>43</v>
      </c>
      <c r="C342" s="7">
        <v>3226</v>
      </c>
      <c r="D342" t="s">
        <v>6</v>
      </c>
      <c r="E342" s="8">
        <f>E341+F342</f>
        <v>84660</v>
      </c>
      <c r="F342" s="8">
        <f>IF($D342="CR01",$C342,0)</f>
        <v>3226</v>
      </c>
      <c r="G342" s="8">
        <f>G341+H342</f>
        <v>0</v>
      </c>
      <c r="H342" s="8">
        <f>IF($D342="VISA",$C342,0)</f>
        <v>0</v>
      </c>
      <c r="I342" s="8">
        <f>I341+J342</f>
        <v>0</v>
      </c>
      <c r="J342" s="8">
        <f>IF($D342="ACC",$C342,0)</f>
        <v>0</v>
      </c>
      <c r="K342" s="8">
        <f>K341+L342</f>
        <v>0</v>
      </c>
      <c r="L342" s="8">
        <f>IF($D342="CBB",$C342,0)</f>
        <v>0</v>
      </c>
    </row>
    <row r="343" spans="1:12" x14ac:dyDescent="0.25">
      <c r="A343" s="6">
        <v>41562</v>
      </c>
      <c r="B343" t="s">
        <v>48</v>
      </c>
      <c r="C343" s="7">
        <v>-100</v>
      </c>
      <c r="D343" t="s">
        <v>6</v>
      </c>
      <c r="E343" s="8">
        <f>E342+F343</f>
        <v>84560</v>
      </c>
      <c r="F343" s="8">
        <f>IF($D343="CR01",$C343,0)</f>
        <v>-100</v>
      </c>
      <c r="G343" s="8">
        <f>G342+H343</f>
        <v>0</v>
      </c>
      <c r="H343" s="8">
        <f>IF($D343="VISA",$C343,0)</f>
        <v>0</v>
      </c>
      <c r="I343" s="8">
        <f>I342+J343</f>
        <v>0</v>
      </c>
      <c r="J343" s="8">
        <f>IF($D343="ACC",$C343,0)</f>
        <v>0</v>
      </c>
      <c r="K343" s="8">
        <f>K342+L343</f>
        <v>0</v>
      </c>
      <c r="L343" s="8">
        <f>IF($D343="CBB",$C343,0)</f>
        <v>0</v>
      </c>
    </row>
    <row r="344" spans="1:12" x14ac:dyDescent="0.25">
      <c r="A344" s="6">
        <v>41563</v>
      </c>
      <c r="B344" t="s">
        <v>47</v>
      </c>
      <c r="C344" s="7">
        <v>-120</v>
      </c>
      <c r="D344" t="s">
        <v>6</v>
      </c>
      <c r="E344" s="8">
        <f>E343+F344</f>
        <v>84440</v>
      </c>
      <c r="F344" s="8">
        <f>IF($D344="CR01",$C344,0)</f>
        <v>-120</v>
      </c>
      <c r="G344" s="8">
        <f>G343+H344</f>
        <v>0</v>
      </c>
      <c r="H344" s="8">
        <f>IF($D344="VISA",$C344,0)</f>
        <v>0</v>
      </c>
      <c r="I344" s="8">
        <f>I343+J344</f>
        <v>0</v>
      </c>
      <c r="J344" s="8">
        <f>IF($D344="ACC",$C344,0)</f>
        <v>0</v>
      </c>
      <c r="K344" s="8">
        <f>K343+L344</f>
        <v>0</v>
      </c>
      <c r="L344" s="8">
        <f>IF($D344="CBB",$C344,0)</f>
        <v>0</v>
      </c>
    </row>
    <row r="345" spans="1:12" x14ac:dyDescent="0.25">
      <c r="A345" s="6">
        <v>41564</v>
      </c>
      <c r="B345" t="s">
        <v>44</v>
      </c>
      <c r="C345" s="7">
        <v>-400</v>
      </c>
      <c r="D345" t="s">
        <v>6</v>
      </c>
      <c r="E345" s="8">
        <f>E344+F345</f>
        <v>84040</v>
      </c>
      <c r="F345" s="8">
        <f>IF($D345="CR01",$C345,0)</f>
        <v>-400</v>
      </c>
      <c r="G345" s="8">
        <f>G344+H345</f>
        <v>0</v>
      </c>
      <c r="H345" s="8">
        <f>IF($D345="VISA",$C345,0)</f>
        <v>0</v>
      </c>
      <c r="I345" s="8">
        <f>I344+J345</f>
        <v>0</v>
      </c>
      <c r="J345" s="8">
        <f>IF($D345="ACC",$C345,0)</f>
        <v>0</v>
      </c>
      <c r="K345" s="8">
        <f>K344+L345</f>
        <v>0</v>
      </c>
      <c r="L345" s="8">
        <f>IF($D345="CBB",$C345,0)</f>
        <v>0</v>
      </c>
    </row>
    <row r="346" spans="1:12" x14ac:dyDescent="0.25">
      <c r="A346" s="6">
        <v>41564</v>
      </c>
      <c r="B346" t="s">
        <v>45</v>
      </c>
      <c r="C346" s="7">
        <v>-180</v>
      </c>
      <c r="D346" t="s">
        <v>6</v>
      </c>
      <c r="E346" s="8">
        <f>E345+F346</f>
        <v>83860</v>
      </c>
      <c r="F346" s="8">
        <f>IF($D346="CR01",$C346,0)</f>
        <v>-180</v>
      </c>
      <c r="G346" s="8">
        <f>G345+H346</f>
        <v>0</v>
      </c>
      <c r="H346" s="8">
        <f>IF($D346="VISA",$C346,0)</f>
        <v>0</v>
      </c>
      <c r="I346" s="8">
        <f>I345+J346</f>
        <v>0</v>
      </c>
      <c r="J346" s="8">
        <f>IF($D346="ACC",$C346,0)</f>
        <v>0</v>
      </c>
      <c r="K346" s="8">
        <f>K345+L346</f>
        <v>0</v>
      </c>
      <c r="L346" s="8">
        <f>IF($D346="CBB",$C346,0)</f>
        <v>0</v>
      </c>
    </row>
    <row r="347" spans="1:12" x14ac:dyDescent="0.25">
      <c r="A347" s="6">
        <v>41564</v>
      </c>
      <c r="B347" t="s">
        <v>46</v>
      </c>
      <c r="C347" s="7">
        <v>-300</v>
      </c>
      <c r="D347" t="s">
        <v>6</v>
      </c>
      <c r="E347" s="8">
        <f>E346+F347</f>
        <v>83560</v>
      </c>
      <c r="F347" s="8">
        <f>IF($D347="CR01",$C347,0)</f>
        <v>-300</v>
      </c>
      <c r="G347" s="8">
        <f>G346+H347</f>
        <v>0</v>
      </c>
      <c r="H347" s="8">
        <f>IF($D347="VISA",$C347,0)</f>
        <v>0</v>
      </c>
      <c r="I347" s="8">
        <f>I346+J347</f>
        <v>0</v>
      </c>
      <c r="J347" s="8">
        <f>IF($D347="ACC",$C347,0)</f>
        <v>0</v>
      </c>
      <c r="K347" s="8">
        <f>K346+L347</f>
        <v>0</v>
      </c>
      <c r="L347" s="8">
        <f>IF($D347="CBB",$C347,0)</f>
        <v>0</v>
      </c>
    </row>
    <row r="348" spans="1:12" x14ac:dyDescent="0.25">
      <c r="A348" s="6">
        <v>41566</v>
      </c>
      <c r="B348" t="s">
        <v>67</v>
      </c>
      <c r="C348" s="7">
        <v>6800</v>
      </c>
      <c r="D348" t="s">
        <v>6</v>
      </c>
      <c r="E348" s="8">
        <f>E347+F348</f>
        <v>90360</v>
      </c>
      <c r="F348" s="8">
        <f>IF($D348="CR01",$C348,0)</f>
        <v>6800</v>
      </c>
      <c r="G348" s="8">
        <f>G347+H348</f>
        <v>0</v>
      </c>
      <c r="H348" s="8">
        <f>IF($D348="VISA",$C348,0)</f>
        <v>0</v>
      </c>
      <c r="I348" s="8">
        <f>I347+J348</f>
        <v>0</v>
      </c>
      <c r="J348" s="8">
        <f>IF($D348="ACC",$C348,0)</f>
        <v>0</v>
      </c>
      <c r="K348" s="8">
        <f>K347+L348</f>
        <v>0</v>
      </c>
      <c r="L348" s="8">
        <f>IF($D348="CBB",$C348,0)</f>
        <v>0</v>
      </c>
    </row>
    <row r="349" spans="1:12" x14ac:dyDescent="0.25">
      <c r="A349" s="6">
        <v>41569</v>
      </c>
      <c r="B349" t="s">
        <v>42</v>
      </c>
      <c r="C349" s="7">
        <v>-2806</v>
      </c>
      <c r="D349" t="s">
        <v>6</v>
      </c>
      <c r="E349" s="8">
        <f>E348+F349</f>
        <v>87554</v>
      </c>
      <c r="F349" s="8">
        <f>IF($D349="CR01",$C349,0)</f>
        <v>-2806</v>
      </c>
      <c r="G349" s="8">
        <f>G348+H349</f>
        <v>0</v>
      </c>
      <c r="H349" s="8">
        <f>IF($D349="VISA",$C349,0)</f>
        <v>0</v>
      </c>
      <c r="I349" s="8">
        <f>I348+J349</f>
        <v>0</v>
      </c>
      <c r="J349" s="8">
        <f>IF($D349="ACC",$C349,0)</f>
        <v>0</v>
      </c>
      <c r="K349" s="8">
        <f>K348+L349</f>
        <v>0</v>
      </c>
      <c r="L349" s="8">
        <f>IF($D349="CBB",$C349,0)</f>
        <v>0</v>
      </c>
    </row>
    <row r="350" spans="1:12" x14ac:dyDescent="0.25">
      <c r="A350" s="6">
        <v>41569</v>
      </c>
      <c r="B350" t="s">
        <v>48</v>
      </c>
      <c r="C350" s="7">
        <v>-100</v>
      </c>
      <c r="D350" t="s">
        <v>6</v>
      </c>
      <c r="E350" s="8">
        <f>E349+F350</f>
        <v>87454</v>
      </c>
      <c r="F350" s="8">
        <f>IF($D350="CR01",$C350,0)</f>
        <v>-100</v>
      </c>
      <c r="G350" s="8">
        <f>G349+H350</f>
        <v>0</v>
      </c>
      <c r="H350" s="8">
        <f>IF($D350="VISA",$C350,0)</f>
        <v>0</v>
      </c>
      <c r="I350" s="8">
        <f>I349+J350</f>
        <v>0</v>
      </c>
      <c r="J350" s="8">
        <f>IF($D350="ACC",$C350,0)</f>
        <v>0</v>
      </c>
      <c r="K350" s="8">
        <f>K349+L350</f>
        <v>0</v>
      </c>
      <c r="L350" s="8">
        <f>IF($D350="CBB",$C350,0)</f>
        <v>0</v>
      </c>
    </row>
    <row r="351" spans="1:12" x14ac:dyDescent="0.25">
      <c r="A351" s="6">
        <v>41570</v>
      </c>
      <c r="B351" t="s">
        <v>47</v>
      </c>
      <c r="C351" s="7">
        <v>-120</v>
      </c>
      <c r="D351" t="s">
        <v>6</v>
      </c>
      <c r="E351" s="8">
        <f>E350+F351</f>
        <v>87334</v>
      </c>
      <c r="F351" s="8">
        <f>IF($D351="CR01",$C351,0)</f>
        <v>-120</v>
      </c>
      <c r="G351" s="8">
        <f>G350+H351</f>
        <v>0</v>
      </c>
      <c r="H351" s="8">
        <f>IF($D351="VISA",$C351,0)</f>
        <v>0</v>
      </c>
      <c r="I351" s="8">
        <f>I350+J351</f>
        <v>0</v>
      </c>
      <c r="J351" s="8">
        <f>IF($D351="ACC",$C351,0)</f>
        <v>0</v>
      </c>
      <c r="K351" s="8">
        <f>K350+L351</f>
        <v>0</v>
      </c>
      <c r="L351" s="8">
        <f>IF($D351="CBB",$C351,0)</f>
        <v>0</v>
      </c>
    </row>
    <row r="352" spans="1:12" x14ac:dyDescent="0.25">
      <c r="A352" s="6">
        <v>41571</v>
      </c>
      <c r="B352" t="s">
        <v>44</v>
      </c>
      <c r="C352" s="7">
        <v>-400</v>
      </c>
      <c r="D352" t="s">
        <v>6</v>
      </c>
      <c r="E352" s="8">
        <f>E351+F352</f>
        <v>86934</v>
      </c>
      <c r="F352" s="8">
        <f>IF($D352="CR01",$C352,0)</f>
        <v>-400</v>
      </c>
      <c r="G352" s="8">
        <f>G351+H352</f>
        <v>0</v>
      </c>
      <c r="H352" s="8">
        <f>IF($D352="VISA",$C352,0)</f>
        <v>0</v>
      </c>
      <c r="I352" s="8">
        <f>I351+J352</f>
        <v>0</v>
      </c>
      <c r="J352" s="8">
        <f>IF($D352="ACC",$C352,0)</f>
        <v>0</v>
      </c>
      <c r="K352" s="8">
        <f>K351+L352</f>
        <v>0</v>
      </c>
      <c r="L352" s="8">
        <f>IF($D352="CBB",$C352,0)</f>
        <v>0</v>
      </c>
    </row>
    <row r="353" spans="1:12" x14ac:dyDescent="0.25">
      <c r="A353" s="6">
        <v>41571</v>
      </c>
      <c r="B353" t="s">
        <v>45</v>
      </c>
      <c r="C353" s="7">
        <v>-180</v>
      </c>
      <c r="D353" t="s">
        <v>6</v>
      </c>
      <c r="E353" s="8">
        <f>E352+F353</f>
        <v>86754</v>
      </c>
      <c r="F353" s="8">
        <f>IF($D353="CR01",$C353,0)</f>
        <v>-180</v>
      </c>
      <c r="G353" s="8">
        <f>G352+H353</f>
        <v>0</v>
      </c>
      <c r="H353" s="8">
        <f>IF($D353="VISA",$C353,0)</f>
        <v>0</v>
      </c>
      <c r="I353" s="8">
        <f>I352+J353</f>
        <v>0</v>
      </c>
      <c r="J353" s="8">
        <f>IF($D353="ACC",$C353,0)</f>
        <v>0</v>
      </c>
      <c r="K353" s="8">
        <f>K352+L353</f>
        <v>0</v>
      </c>
      <c r="L353" s="8">
        <f>IF($D353="CBB",$C353,0)</f>
        <v>0</v>
      </c>
    </row>
    <row r="354" spans="1:12" x14ac:dyDescent="0.25">
      <c r="A354" s="6">
        <v>41571</v>
      </c>
      <c r="B354" t="s">
        <v>46</v>
      </c>
      <c r="C354" s="7">
        <v>-300</v>
      </c>
      <c r="D354" t="s">
        <v>6</v>
      </c>
      <c r="E354" s="8">
        <f>E353+F354</f>
        <v>86454</v>
      </c>
      <c r="F354" s="8">
        <f>IF($D354="CR01",$C354,0)</f>
        <v>-300</v>
      </c>
      <c r="G354" s="8">
        <f>G353+H354</f>
        <v>0</v>
      </c>
      <c r="H354" s="8">
        <f>IF($D354="VISA",$C354,0)</f>
        <v>0</v>
      </c>
      <c r="I354" s="8">
        <f>I353+J354</f>
        <v>0</v>
      </c>
      <c r="J354" s="8">
        <f>IF($D354="ACC",$C354,0)</f>
        <v>0</v>
      </c>
      <c r="K354" s="8">
        <f>K353+L354</f>
        <v>0</v>
      </c>
      <c r="L354" s="8">
        <f>IF($D354="CBB",$C354,0)</f>
        <v>0</v>
      </c>
    </row>
    <row r="355" spans="1:12" x14ac:dyDescent="0.25">
      <c r="A355" s="6">
        <v>41572</v>
      </c>
      <c r="B355" t="s">
        <v>43</v>
      </c>
      <c r="C355" s="7">
        <v>3226</v>
      </c>
      <c r="D355" t="s">
        <v>6</v>
      </c>
      <c r="E355" s="8">
        <f>E354+F355</f>
        <v>89680</v>
      </c>
      <c r="F355" s="8">
        <f>IF($D355="CR01",$C355,0)</f>
        <v>3226</v>
      </c>
      <c r="G355" s="8">
        <f>G354+H355</f>
        <v>0</v>
      </c>
      <c r="H355" s="8">
        <f>IF($D355="VISA",$C355,0)</f>
        <v>0</v>
      </c>
      <c r="I355" s="8">
        <f>I354+J355</f>
        <v>0</v>
      </c>
      <c r="J355" s="8">
        <f>IF($D355="ACC",$C355,0)</f>
        <v>0</v>
      </c>
      <c r="K355" s="8">
        <f>K354+L355</f>
        <v>0</v>
      </c>
      <c r="L355" s="8">
        <f>IF($D355="CBB",$C355,0)</f>
        <v>0</v>
      </c>
    </row>
    <row r="356" spans="1:12" x14ac:dyDescent="0.25">
      <c r="A356" s="6">
        <v>41576</v>
      </c>
      <c r="B356" t="s">
        <v>48</v>
      </c>
      <c r="C356" s="7">
        <v>-100</v>
      </c>
      <c r="D356" t="s">
        <v>6</v>
      </c>
      <c r="E356" s="8">
        <f>E355+F356</f>
        <v>89580</v>
      </c>
      <c r="F356" s="8">
        <f>IF($D356="CR01",$C356,0)</f>
        <v>-100</v>
      </c>
      <c r="G356" s="8">
        <f>G355+H356</f>
        <v>0</v>
      </c>
      <c r="H356" s="8">
        <f>IF($D356="VISA",$C356,0)</f>
        <v>0</v>
      </c>
      <c r="I356" s="8">
        <f>I355+J356</f>
        <v>0</v>
      </c>
      <c r="J356" s="8">
        <f>IF($D356="ACC",$C356,0)</f>
        <v>0</v>
      </c>
      <c r="K356" s="8">
        <f>K355+L356</f>
        <v>0</v>
      </c>
      <c r="L356" s="8">
        <f>IF($D356="CBB",$C356,0)</f>
        <v>0</v>
      </c>
    </row>
    <row r="357" spans="1:12" x14ac:dyDescent="0.25">
      <c r="A357" s="6">
        <v>41577</v>
      </c>
      <c r="B357" t="s">
        <v>47</v>
      </c>
      <c r="C357" s="7">
        <v>-120</v>
      </c>
      <c r="D357" t="s">
        <v>6</v>
      </c>
      <c r="E357" s="8">
        <f>E356+F357</f>
        <v>89460</v>
      </c>
      <c r="F357" s="8">
        <f>IF($D357="CR01",$C357,0)</f>
        <v>-120</v>
      </c>
      <c r="G357" s="8">
        <f>G356+H357</f>
        <v>0</v>
      </c>
      <c r="H357" s="8">
        <f>IF($D357="VISA",$C357,0)</f>
        <v>0</v>
      </c>
      <c r="I357" s="8">
        <f>I356+J357</f>
        <v>0</v>
      </c>
      <c r="J357" s="8">
        <f>IF($D357="ACC",$C357,0)</f>
        <v>0</v>
      </c>
      <c r="K357" s="8">
        <f>K356+L357</f>
        <v>0</v>
      </c>
      <c r="L357" s="8">
        <f>IF($D357="CBB",$C357,0)</f>
        <v>0</v>
      </c>
    </row>
    <row r="358" spans="1:12" x14ac:dyDescent="0.25">
      <c r="A358" s="6">
        <v>41578</v>
      </c>
      <c r="B358" t="s">
        <v>44</v>
      </c>
      <c r="C358" s="7">
        <v>-400</v>
      </c>
      <c r="D358" t="s">
        <v>6</v>
      </c>
      <c r="E358" s="8">
        <f>E357+F358</f>
        <v>89060</v>
      </c>
      <c r="F358" s="8">
        <f>IF($D358="CR01",$C358,0)</f>
        <v>-400</v>
      </c>
      <c r="G358" s="8">
        <f>G357+H358</f>
        <v>0</v>
      </c>
      <c r="H358" s="8">
        <f>IF($D358="VISA",$C358,0)</f>
        <v>0</v>
      </c>
      <c r="I358" s="8">
        <f>I357+J358</f>
        <v>0</v>
      </c>
      <c r="J358" s="8">
        <f>IF($D358="ACC",$C358,0)</f>
        <v>0</v>
      </c>
      <c r="K358" s="8">
        <f>K357+L358</f>
        <v>0</v>
      </c>
      <c r="L358" s="8">
        <f>IF($D358="CBB",$C358,0)</f>
        <v>0</v>
      </c>
    </row>
    <row r="359" spans="1:12" x14ac:dyDescent="0.25">
      <c r="A359" s="6">
        <v>41578</v>
      </c>
      <c r="B359" t="s">
        <v>45</v>
      </c>
      <c r="C359" s="7">
        <v>-180</v>
      </c>
      <c r="D359" t="s">
        <v>6</v>
      </c>
      <c r="E359" s="8">
        <f>E358+F359</f>
        <v>88880</v>
      </c>
      <c r="F359" s="8">
        <f>IF($D359="CR01",$C359,0)</f>
        <v>-180</v>
      </c>
      <c r="G359" s="8">
        <f>G358+H359</f>
        <v>0</v>
      </c>
      <c r="H359" s="8">
        <f>IF($D359="VISA",$C359,0)</f>
        <v>0</v>
      </c>
      <c r="I359" s="8">
        <f>I358+J359</f>
        <v>0</v>
      </c>
      <c r="J359" s="8">
        <f>IF($D359="ACC",$C359,0)</f>
        <v>0</v>
      </c>
      <c r="K359" s="8">
        <f>K358+L359</f>
        <v>0</v>
      </c>
      <c r="L359" s="8">
        <f>IF($D359="CBB",$C359,0)</f>
        <v>0</v>
      </c>
    </row>
    <row r="360" spans="1:12" x14ac:dyDescent="0.25">
      <c r="A360" s="6">
        <v>41578</v>
      </c>
      <c r="B360" t="s">
        <v>46</v>
      </c>
      <c r="C360" s="7">
        <v>-300</v>
      </c>
      <c r="D360" t="s">
        <v>6</v>
      </c>
      <c r="E360" s="8">
        <f>E359+F360</f>
        <v>88580</v>
      </c>
      <c r="F360" s="8">
        <f>IF($D360="CR01",$C360,0)</f>
        <v>-300</v>
      </c>
      <c r="G360" s="8">
        <f>G359+H360</f>
        <v>0</v>
      </c>
      <c r="H360" s="8">
        <f>IF($D360="VISA",$C360,0)</f>
        <v>0</v>
      </c>
      <c r="I360" s="8">
        <f>I359+J360</f>
        <v>0</v>
      </c>
      <c r="J360" s="8">
        <f>IF($D360="ACC",$C360,0)</f>
        <v>0</v>
      </c>
      <c r="K360" s="8">
        <f>K359+L360</f>
        <v>0</v>
      </c>
      <c r="L360" s="8">
        <f>IF($D360="CBB",$C360,0)</f>
        <v>0</v>
      </c>
    </row>
    <row r="361" spans="1:12" x14ac:dyDescent="0.25">
      <c r="A361" s="6">
        <v>41579</v>
      </c>
      <c r="B361" t="s">
        <v>58</v>
      </c>
      <c r="C361" s="7">
        <v>-200</v>
      </c>
      <c r="D361" t="s">
        <v>6</v>
      </c>
      <c r="E361" s="8">
        <f>E360+F361</f>
        <v>88380</v>
      </c>
      <c r="F361" s="8">
        <f>IF($D361="CR01",$C361,0)</f>
        <v>-200</v>
      </c>
      <c r="G361" s="8">
        <f>G360+H361</f>
        <v>0</v>
      </c>
      <c r="H361" s="8">
        <f>IF($D361="VISA",$C361,0)</f>
        <v>0</v>
      </c>
      <c r="I361" s="8">
        <f>I360+J361</f>
        <v>0</v>
      </c>
      <c r="J361" s="8">
        <f>IF($D361="ACC",$C361,0)</f>
        <v>0</v>
      </c>
      <c r="K361" s="8">
        <f>K360+L361</f>
        <v>0</v>
      </c>
      <c r="L361" s="8">
        <f>IF($D361="CBB",$C361,0)</f>
        <v>0</v>
      </c>
    </row>
    <row r="362" spans="1:12" x14ac:dyDescent="0.25">
      <c r="A362" s="6">
        <v>41579</v>
      </c>
      <c r="B362" t="s">
        <v>60</v>
      </c>
      <c r="C362" s="7">
        <v>-400</v>
      </c>
      <c r="D362" t="s">
        <v>6</v>
      </c>
      <c r="E362" s="8">
        <f>E361+F362</f>
        <v>87980</v>
      </c>
      <c r="F362" s="8">
        <f>IF($D362="CR01",$C362,0)</f>
        <v>-400</v>
      </c>
      <c r="G362" s="8">
        <f>G361+H362</f>
        <v>0</v>
      </c>
      <c r="H362" s="8">
        <f>IF($D362="VISA",$C362,0)</f>
        <v>0</v>
      </c>
      <c r="I362" s="8">
        <f>I361+J362</f>
        <v>0</v>
      </c>
      <c r="J362" s="8">
        <f>IF($D362="ACC",$C362,0)</f>
        <v>0</v>
      </c>
      <c r="K362" s="8">
        <f>K361+L362</f>
        <v>0</v>
      </c>
      <c r="L362" s="8">
        <f>IF($D362="CBB",$C362,0)</f>
        <v>0</v>
      </c>
    </row>
    <row r="363" spans="1:12" x14ac:dyDescent="0.25">
      <c r="A363" s="6">
        <v>41579</v>
      </c>
      <c r="B363" t="s">
        <v>62</v>
      </c>
      <c r="C363" s="7">
        <v>-300</v>
      </c>
      <c r="D363" t="s">
        <v>6</v>
      </c>
      <c r="E363" s="8">
        <f>E362+F363</f>
        <v>87680</v>
      </c>
      <c r="F363" s="8">
        <f>IF($D363="CR01",$C363,0)</f>
        <v>-300</v>
      </c>
      <c r="G363" s="8">
        <f>G362+H363</f>
        <v>0</v>
      </c>
      <c r="H363" s="8">
        <f>IF($D363="VISA",$C363,0)</f>
        <v>0</v>
      </c>
      <c r="I363" s="8">
        <f>I362+J363</f>
        <v>0</v>
      </c>
      <c r="J363" s="8">
        <f>IF($D363="ACC",$C363,0)</f>
        <v>0</v>
      </c>
      <c r="K363" s="8">
        <f>K362+L363</f>
        <v>0</v>
      </c>
      <c r="L363" s="8">
        <f>IF($D363="CBB",$C363,0)</f>
        <v>0</v>
      </c>
    </row>
    <row r="364" spans="1:12" x14ac:dyDescent="0.25">
      <c r="A364" s="6">
        <v>41579</v>
      </c>
      <c r="B364" t="s">
        <v>63</v>
      </c>
      <c r="C364" s="7">
        <v>-300</v>
      </c>
      <c r="D364" t="s">
        <v>6</v>
      </c>
      <c r="E364" s="8">
        <f>E363+F364</f>
        <v>87380</v>
      </c>
      <c r="F364" s="8">
        <f>IF($D364="CR01",$C364,0)</f>
        <v>-300</v>
      </c>
      <c r="G364" s="8">
        <f>G363+H364</f>
        <v>0</v>
      </c>
      <c r="H364" s="8">
        <f>IF($D364="VISA",$C364,0)</f>
        <v>0</v>
      </c>
      <c r="I364" s="8">
        <f>I363+J364</f>
        <v>0</v>
      </c>
      <c r="J364" s="8">
        <f>IF($D364="ACC",$C364,0)</f>
        <v>0</v>
      </c>
      <c r="K364" s="8">
        <f>K363+L364</f>
        <v>0</v>
      </c>
      <c r="L364" s="8">
        <f>IF($D364="CBB",$C364,0)</f>
        <v>0</v>
      </c>
    </row>
    <row r="365" spans="1:12" x14ac:dyDescent="0.25">
      <c r="A365" s="6">
        <v>41579</v>
      </c>
      <c r="B365" t="s">
        <v>64</v>
      </c>
      <c r="C365" s="7">
        <v>-26</v>
      </c>
      <c r="D365" t="s">
        <v>6</v>
      </c>
      <c r="E365" s="8">
        <f>E364+F365</f>
        <v>87354</v>
      </c>
      <c r="F365" s="8">
        <f>IF($D365="CR01",$C365,0)</f>
        <v>-26</v>
      </c>
      <c r="G365" s="8">
        <f>G364+H365</f>
        <v>0</v>
      </c>
      <c r="H365" s="8">
        <f>IF($D365="VISA",$C365,0)</f>
        <v>0</v>
      </c>
      <c r="I365" s="8">
        <f>I364+J365</f>
        <v>0</v>
      </c>
      <c r="J365" s="8">
        <f>IF($D365="ACC",$C365,0)</f>
        <v>0</v>
      </c>
      <c r="K365" s="8">
        <f>K364+L365</f>
        <v>0</v>
      </c>
      <c r="L365" s="8">
        <f>IF($D365="CBB",$C365,0)</f>
        <v>0</v>
      </c>
    </row>
    <row r="366" spans="1:12" x14ac:dyDescent="0.25">
      <c r="A366" s="6">
        <v>41579</v>
      </c>
      <c r="B366" t="s">
        <v>65</v>
      </c>
      <c r="C366" s="7">
        <v>-240</v>
      </c>
      <c r="D366" t="s">
        <v>6</v>
      </c>
      <c r="E366" s="8">
        <f>E365+F366</f>
        <v>87114</v>
      </c>
      <c r="F366" s="8">
        <f>IF($D366="CR01",$C366,0)</f>
        <v>-240</v>
      </c>
      <c r="G366" s="8">
        <f>G365+H366</f>
        <v>0</v>
      </c>
      <c r="H366" s="8">
        <f>IF($D366="VISA",$C366,0)</f>
        <v>0</v>
      </c>
      <c r="I366" s="8">
        <f>I365+J366</f>
        <v>0</v>
      </c>
      <c r="J366" s="8">
        <f>IF($D366="ACC",$C366,0)</f>
        <v>0</v>
      </c>
      <c r="K366" s="8">
        <f>K365+L366</f>
        <v>0</v>
      </c>
      <c r="L366" s="8">
        <f>IF($D366="CBB",$C366,0)</f>
        <v>0</v>
      </c>
    </row>
    <row r="367" spans="1:12" x14ac:dyDescent="0.25">
      <c r="A367" s="6">
        <v>41579</v>
      </c>
      <c r="B367" t="s">
        <v>66</v>
      </c>
      <c r="C367" s="7">
        <v>-120</v>
      </c>
      <c r="D367" t="s">
        <v>6</v>
      </c>
      <c r="E367" s="8">
        <f>E366+F367</f>
        <v>86994</v>
      </c>
      <c r="F367" s="8">
        <f>IF($D367="CR01",$C367,0)</f>
        <v>-120</v>
      </c>
      <c r="G367" s="8">
        <f>G366+H367</f>
        <v>0</v>
      </c>
      <c r="H367" s="8">
        <f>IF($D367="VISA",$C367,0)</f>
        <v>0</v>
      </c>
      <c r="I367" s="8">
        <f>I366+J367</f>
        <v>0</v>
      </c>
      <c r="J367" s="8">
        <f>IF($D367="ACC",$C367,0)</f>
        <v>0</v>
      </c>
      <c r="K367" s="8">
        <f>K366+L367</f>
        <v>0</v>
      </c>
      <c r="L367" s="8">
        <f>IF($D367="CBB",$C367,0)</f>
        <v>0</v>
      </c>
    </row>
    <row r="368" spans="1:12" x14ac:dyDescent="0.25">
      <c r="A368" s="6">
        <v>41580</v>
      </c>
      <c r="B368" t="s">
        <v>67</v>
      </c>
      <c r="C368" s="7">
        <v>6800</v>
      </c>
      <c r="D368" t="s">
        <v>6</v>
      </c>
      <c r="E368" s="8">
        <f>E367+F368</f>
        <v>93794</v>
      </c>
      <c r="F368" s="8">
        <f>IF($D368="CR01",$C368,0)</f>
        <v>6800</v>
      </c>
      <c r="G368" s="8">
        <f>G367+H368</f>
        <v>0</v>
      </c>
      <c r="H368" s="8">
        <f>IF($D368="VISA",$C368,0)</f>
        <v>0</v>
      </c>
      <c r="I368" s="8">
        <f>I367+J368</f>
        <v>0</v>
      </c>
      <c r="J368" s="8">
        <f>IF($D368="ACC",$C368,0)</f>
        <v>0</v>
      </c>
      <c r="K368" s="8">
        <f>K367+L368</f>
        <v>0</v>
      </c>
      <c r="L368" s="8">
        <f>IF($D368="CBB",$C368,0)</f>
        <v>0</v>
      </c>
    </row>
    <row r="369" spans="1:12" x14ac:dyDescent="0.25">
      <c r="A369" s="6">
        <v>41580</v>
      </c>
      <c r="B369" t="s">
        <v>59</v>
      </c>
      <c r="C369" s="7">
        <v>-900</v>
      </c>
      <c r="D369" t="s">
        <v>6</v>
      </c>
      <c r="E369" s="8">
        <f>E368+F369</f>
        <v>92894</v>
      </c>
      <c r="F369" s="8">
        <f>IF($D369="CR01",$C369,0)</f>
        <v>-900</v>
      </c>
      <c r="G369" s="8">
        <f>G368+H369</f>
        <v>0</v>
      </c>
      <c r="H369" s="8">
        <f>IF($D369="VISA",$C369,0)</f>
        <v>0</v>
      </c>
      <c r="I369" s="8">
        <f>I368+J369</f>
        <v>0</v>
      </c>
      <c r="J369" s="8">
        <f>IF($D369="ACC",$C369,0)</f>
        <v>0</v>
      </c>
      <c r="K369" s="8">
        <f>K368+L369</f>
        <v>0</v>
      </c>
      <c r="L369" s="8">
        <f>IF($D369="CBB",$C369,0)</f>
        <v>0</v>
      </c>
    </row>
    <row r="370" spans="1:12" x14ac:dyDescent="0.25">
      <c r="A370" s="6">
        <v>41583</v>
      </c>
      <c r="B370" t="s">
        <v>42</v>
      </c>
      <c r="C370" s="7">
        <v>-2806</v>
      </c>
      <c r="D370" t="s">
        <v>6</v>
      </c>
      <c r="E370" s="8">
        <f>E369+F370</f>
        <v>90088</v>
      </c>
      <c r="F370" s="8">
        <f>IF($D370="CR01",$C370,0)</f>
        <v>-2806</v>
      </c>
      <c r="G370" s="8">
        <f>G369+H370</f>
        <v>0</v>
      </c>
      <c r="H370" s="8">
        <f>IF($D370="VISA",$C370,0)</f>
        <v>0</v>
      </c>
      <c r="I370" s="8">
        <f>I369+J370</f>
        <v>0</v>
      </c>
      <c r="J370" s="8">
        <f>IF($D370="ACC",$C370,0)</f>
        <v>0</v>
      </c>
      <c r="K370" s="8">
        <f>K369+L370</f>
        <v>0</v>
      </c>
      <c r="L370" s="8">
        <f>IF($D370="CBB",$C370,0)</f>
        <v>0</v>
      </c>
    </row>
    <row r="371" spans="1:12" x14ac:dyDescent="0.25">
      <c r="A371" s="6">
        <v>41583</v>
      </c>
      <c r="B371" t="s">
        <v>48</v>
      </c>
      <c r="C371" s="7">
        <v>-100</v>
      </c>
      <c r="D371" t="s">
        <v>6</v>
      </c>
      <c r="E371" s="8">
        <f>E370+F371</f>
        <v>89988</v>
      </c>
      <c r="F371" s="8">
        <f>IF($D371="CR01",$C371,0)</f>
        <v>-100</v>
      </c>
      <c r="G371" s="8">
        <f>G370+H371</f>
        <v>0</v>
      </c>
      <c r="H371" s="8">
        <f>IF($D371="VISA",$C371,0)</f>
        <v>0</v>
      </c>
      <c r="I371" s="8">
        <f>I370+J371</f>
        <v>0</v>
      </c>
      <c r="J371" s="8">
        <f>IF($D371="ACC",$C371,0)</f>
        <v>0</v>
      </c>
      <c r="K371" s="8">
        <f>K370+L371</f>
        <v>0</v>
      </c>
      <c r="L371" s="8">
        <f>IF($D371="CBB",$C371,0)</f>
        <v>0</v>
      </c>
    </row>
    <row r="372" spans="1:12" x14ac:dyDescent="0.25">
      <c r="A372" s="6">
        <v>41584</v>
      </c>
      <c r="B372" t="s">
        <v>47</v>
      </c>
      <c r="C372" s="7">
        <v>-120</v>
      </c>
      <c r="D372" t="s">
        <v>6</v>
      </c>
      <c r="E372" s="8">
        <f>E371+F372</f>
        <v>89868</v>
      </c>
      <c r="F372" s="8">
        <f>IF($D372="CR01",$C372,0)</f>
        <v>-120</v>
      </c>
      <c r="G372" s="8">
        <f>G371+H372</f>
        <v>0</v>
      </c>
      <c r="H372" s="8">
        <f>IF($D372="VISA",$C372,0)</f>
        <v>0</v>
      </c>
      <c r="I372" s="8">
        <f>I371+J372</f>
        <v>0</v>
      </c>
      <c r="J372" s="8">
        <f>IF($D372="ACC",$C372,0)</f>
        <v>0</v>
      </c>
      <c r="K372" s="8">
        <f>K371+L372</f>
        <v>0</v>
      </c>
      <c r="L372" s="8">
        <f>IF($D372="CBB",$C372,0)</f>
        <v>0</v>
      </c>
    </row>
    <row r="373" spans="1:12" x14ac:dyDescent="0.25">
      <c r="A373" s="6">
        <v>41585</v>
      </c>
      <c r="B373" t="s">
        <v>44</v>
      </c>
      <c r="C373" s="7">
        <v>-400</v>
      </c>
      <c r="D373" t="s">
        <v>6</v>
      </c>
      <c r="E373" s="8">
        <f>E372+F373</f>
        <v>89468</v>
      </c>
      <c r="F373" s="8">
        <f>IF($D373="CR01",$C373,0)</f>
        <v>-400</v>
      </c>
      <c r="G373" s="8">
        <f>G372+H373</f>
        <v>0</v>
      </c>
      <c r="H373" s="8">
        <f>IF($D373="VISA",$C373,0)</f>
        <v>0</v>
      </c>
      <c r="I373" s="8">
        <f>I372+J373</f>
        <v>0</v>
      </c>
      <c r="J373" s="8">
        <f>IF($D373="ACC",$C373,0)</f>
        <v>0</v>
      </c>
      <c r="K373" s="8">
        <f>K372+L373</f>
        <v>0</v>
      </c>
      <c r="L373" s="8">
        <f>IF($D373="CBB",$C373,0)</f>
        <v>0</v>
      </c>
    </row>
    <row r="374" spans="1:12" x14ac:dyDescent="0.25">
      <c r="A374" s="6">
        <v>41585</v>
      </c>
      <c r="B374" t="s">
        <v>45</v>
      </c>
      <c r="C374" s="7">
        <v>-180</v>
      </c>
      <c r="D374" t="s">
        <v>6</v>
      </c>
      <c r="E374" s="8">
        <f>E373+F374</f>
        <v>89288</v>
      </c>
      <c r="F374" s="8">
        <f>IF($D374="CR01",$C374,0)</f>
        <v>-180</v>
      </c>
      <c r="G374" s="8">
        <f>G373+H374</f>
        <v>0</v>
      </c>
      <c r="H374" s="8">
        <f>IF($D374="VISA",$C374,0)</f>
        <v>0</v>
      </c>
      <c r="I374" s="8">
        <f>I373+J374</f>
        <v>0</v>
      </c>
      <c r="J374" s="8">
        <f>IF($D374="ACC",$C374,0)</f>
        <v>0</v>
      </c>
      <c r="K374" s="8">
        <f>K373+L374</f>
        <v>0</v>
      </c>
      <c r="L374" s="8">
        <f>IF($D374="CBB",$C374,0)</f>
        <v>0</v>
      </c>
    </row>
    <row r="375" spans="1:12" x14ac:dyDescent="0.25">
      <c r="A375" s="6">
        <v>41585</v>
      </c>
      <c r="B375" t="s">
        <v>46</v>
      </c>
      <c r="C375" s="7">
        <v>-300</v>
      </c>
      <c r="D375" t="s">
        <v>6</v>
      </c>
      <c r="E375" s="8">
        <f>E374+F375</f>
        <v>88988</v>
      </c>
      <c r="F375" s="8">
        <f>IF($D375="CR01",$C375,0)</f>
        <v>-300</v>
      </c>
      <c r="G375" s="8">
        <f>G374+H375</f>
        <v>0</v>
      </c>
      <c r="H375" s="8">
        <f>IF($D375="VISA",$C375,0)</f>
        <v>0</v>
      </c>
      <c r="I375" s="8">
        <f>I374+J375</f>
        <v>0</v>
      </c>
      <c r="J375" s="8">
        <f>IF($D375="ACC",$C375,0)</f>
        <v>0</v>
      </c>
      <c r="K375" s="8">
        <f>K374+L375</f>
        <v>0</v>
      </c>
      <c r="L375" s="8">
        <f>IF($D375="CBB",$C375,0)</f>
        <v>0</v>
      </c>
    </row>
    <row r="376" spans="1:12" x14ac:dyDescent="0.25">
      <c r="A376" s="6">
        <v>41586</v>
      </c>
      <c r="B376" t="s">
        <v>43</v>
      </c>
      <c r="C376" s="7">
        <v>3226</v>
      </c>
      <c r="D376" t="s">
        <v>6</v>
      </c>
      <c r="E376" s="8">
        <f>E375+F376</f>
        <v>92214</v>
      </c>
      <c r="F376" s="8">
        <f>IF($D376="CR01",$C376,0)</f>
        <v>3226</v>
      </c>
      <c r="G376" s="8">
        <f>G375+H376</f>
        <v>0</v>
      </c>
      <c r="H376" s="8">
        <f>IF($D376="VISA",$C376,0)</f>
        <v>0</v>
      </c>
      <c r="I376" s="8">
        <f>I375+J376</f>
        <v>0</v>
      </c>
      <c r="J376" s="8">
        <f>IF($D376="ACC",$C376,0)</f>
        <v>0</v>
      </c>
      <c r="K376" s="8">
        <f>K375+L376</f>
        <v>0</v>
      </c>
      <c r="L376" s="8">
        <f>IF($D376="CBB",$C376,0)</f>
        <v>0</v>
      </c>
    </row>
    <row r="377" spans="1:12" x14ac:dyDescent="0.25">
      <c r="A377" s="6">
        <v>41590</v>
      </c>
      <c r="B377" t="s">
        <v>48</v>
      </c>
      <c r="C377" s="7">
        <v>-100</v>
      </c>
      <c r="D377" t="s">
        <v>6</v>
      </c>
      <c r="E377" s="8">
        <f>E376+F377</f>
        <v>92114</v>
      </c>
      <c r="F377" s="8">
        <f>IF($D377="CR01",$C377,0)</f>
        <v>-100</v>
      </c>
      <c r="G377" s="8">
        <f>G376+H377</f>
        <v>0</v>
      </c>
      <c r="H377" s="8">
        <f>IF($D377="VISA",$C377,0)</f>
        <v>0</v>
      </c>
      <c r="I377" s="8">
        <f>I376+J377</f>
        <v>0</v>
      </c>
      <c r="J377" s="8">
        <f>IF($D377="ACC",$C377,0)</f>
        <v>0</v>
      </c>
      <c r="K377" s="8">
        <f>K376+L377</f>
        <v>0</v>
      </c>
      <c r="L377" s="8">
        <f>IF($D377="CBB",$C377,0)</f>
        <v>0</v>
      </c>
    </row>
    <row r="378" spans="1:12" x14ac:dyDescent="0.25">
      <c r="A378" s="6">
        <v>41591</v>
      </c>
      <c r="B378" t="s">
        <v>47</v>
      </c>
      <c r="C378" s="7">
        <v>-120</v>
      </c>
      <c r="D378" t="s">
        <v>6</v>
      </c>
      <c r="E378" s="8">
        <f>E377+F378</f>
        <v>91994</v>
      </c>
      <c r="F378" s="8">
        <f>IF($D378="CR01",$C378,0)</f>
        <v>-120</v>
      </c>
      <c r="G378" s="8">
        <f>G377+H378</f>
        <v>0</v>
      </c>
      <c r="H378" s="8">
        <f>IF($D378="VISA",$C378,0)</f>
        <v>0</v>
      </c>
      <c r="I378" s="8">
        <f>I377+J378</f>
        <v>0</v>
      </c>
      <c r="J378" s="8">
        <f>IF($D378="ACC",$C378,0)</f>
        <v>0</v>
      </c>
      <c r="K378" s="8">
        <f>K377+L378</f>
        <v>0</v>
      </c>
      <c r="L378" s="8">
        <f>IF($D378="CBB",$C378,0)</f>
        <v>0</v>
      </c>
    </row>
    <row r="379" spans="1:12" x14ac:dyDescent="0.25">
      <c r="A379" s="6">
        <v>41592</v>
      </c>
      <c r="B379" t="s">
        <v>44</v>
      </c>
      <c r="C379" s="7">
        <v>-400</v>
      </c>
      <c r="D379" t="s">
        <v>6</v>
      </c>
      <c r="E379" s="8">
        <f>E378+F379</f>
        <v>91594</v>
      </c>
      <c r="F379" s="8">
        <f>IF($D379="CR01",$C379,0)</f>
        <v>-400</v>
      </c>
      <c r="G379" s="8">
        <f>G378+H379</f>
        <v>0</v>
      </c>
      <c r="H379" s="8">
        <f>IF($D379="VISA",$C379,0)</f>
        <v>0</v>
      </c>
      <c r="I379" s="8">
        <f>I378+J379</f>
        <v>0</v>
      </c>
      <c r="J379" s="8">
        <f>IF($D379="ACC",$C379,0)</f>
        <v>0</v>
      </c>
      <c r="K379" s="8">
        <f>K378+L379</f>
        <v>0</v>
      </c>
      <c r="L379" s="8">
        <f>IF($D379="CBB",$C379,0)</f>
        <v>0</v>
      </c>
    </row>
    <row r="380" spans="1:12" x14ac:dyDescent="0.25">
      <c r="A380" s="6">
        <v>41592</v>
      </c>
      <c r="B380" t="s">
        <v>45</v>
      </c>
      <c r="C380" s="7">
        <v>-180</v>
      </c>
      <c r="D380" t="s">
        <v>6</v>
      </c>
      <c r="E380" s="8">
        <f>E379+F380</f>
        <v>91414</v>
      </c>
      <c r="F380" s="8">
        <f>IF($D380="CR01",$C380,0)</f>
        <v>-180</v>
      </c>
      <c r="G380" s="8">
        <f>G379+H380</f>
        <v>0</v>
      </c>
      <c r="H380" s="8">
        <f>IF($D380="VISA",$C380,0)</f>
        <v>0</v>
      </c>
      <c r="I380" s="8">
        <f>I379+J380</f>
        <v>0</v>
      </c>
      <c r="J380" s="8">
        <f>IF($D380="ACC",$C380,0)</f>
        <v>0</v>
      </c>
      <c r="K380" s="8">
        <f>K379+L380</f>
        <v>0</v>
      </c>
      <c r="L380" s="8">
        <f>IF($D380="CBB",$C380,0)</f>
        <v>0</v>
      </c>
    </row>
    <row r="381" spans="1:12" x14ac:dyDescent="0.25">
      <c r="A381" s="6">
        <v>41592</v>
      </c>
      <c r="B381" t="s">
        <v>46</v>
      </c>
      <c r="C381" s="7">
        <v>-300</v>
      </c>
      <c r="D381" t="s">
        <v>6</v>
      </c>
      <c r="E381" s="8">
        <f>E380+F381</f>
        <v>91114</v>
      </c>
      <c r="F381" s="8">
        <f>IF($D381="CR01",$C381,0)</f>
        <v>-300</v>
      </c>
      <c r="G381" s="8">
        <f>G380+H381</f>
        <v>0</v>
      </c>
      <c r="H381" s="8">
        <f>IF($D381="VISA",$C381,0)</f>
        <v>0</v>
      </c>
      <c r="I381" s="8">
        <f>I380+J381</f>
        <v>0</v>
      </c>
      <c r="J381" s="8">
        <f>IF($D381="ACC",$C381,0)</f>
        <v>0</v>
      </c>
      <c r="K381" s="8">
        <f>K380+L381</f>
        <v>0</v>
      </c>
      <c r="L381" s="8">
        <f>IF($D381="CBB",$C381,0)</f>
        <v>0</v>
      </c>
    </row>
    <row r="382" spans="1:12" x14ac:dyDescent="0.25">
      <c r="A382" s="6">
        <v>41594</v>
      </c>
      <c r="B382" t="s">
        <v>67</v>
      </c>
      <c r="C382" s="7">
        <v>6800</v>
      </c>
      <c r="D382" t="s">
        <v>6</v>
      </c>
      <c r="E382" s="8">
        <f>E381+F382</f>
        <v>97914</v>
      </c>
      <c r="F382" s="8">
        <f>IF($D382="CR01",$C382,0)</f>
        <v>6800</v>
      </c>
      <c r="G382" s="8">
        <f>G381+H382</f>
        <v>0</v>
      </c>
      <c r="H382" s="8">
        <f>IF($D382="VISA",$C382,0)</f>
        <v>0</v>
      </c>
      <c r="I382" s="8">
        <f>I381+J382</f>
        <v>0</v>
      </c>
      <c r="J382" s="8">
        <f>IF($D382="ACC",$C382,0)</f>
        <v>0</v>
      </c>
      <c r="K382" s="8">
        <f>K381+L382</f>
        <v>0</v>
      </c>
      <c r="L382" s="8">
        <f>IF($D382="CBB",$C382,0)</f>
        <v>0</v>
      </c>
    </row>
    <row r="383" spans="1:12" x14ac:dyDescent="0.25">
      <c r="A383" s="6">
        <v>41597</v>
      </c>
      <c r="B383" t="s">
        <v>42</v>
      </c>
      <c r="C383" s="7">
        <v>-2806</v>
      </c>
      <c r="D383" t="s">
        <v>6</v>
      </c>
      <c r="E383" s="8">
        <f>E382+F383</f>
        <v>95108</v>
      </c>
      <c r="F383" s="8">
        <f>IF($D383="CR01",$C383,0)</f>
        <v>-2806</v>
      </c>
      <c r="G383" s="8">
        <f>G382+H383</f>
        <v>0</v>
      </c>
      <c r="H383" s="8">
        <f>IF($D383="VISA",$C383,0)</f>
        <v>0</v>
      </c>
      <c r="I383" s="8">
        <f>I382+J383</f>
        <v>0</v>
      </c>
      <c r="J383" s="8">
        <f>IF($D383="ACC",$C383,0)</f>
        <v>0</v>
      </c>
      <c r="K383" s="8">
        <f>K382+L383</f>
        <v>0</v>
      </c>
      <c r="L383" s="8">
        <f>IF($D383="CBB",$C383,0)</f>
        <v>0</v>
      </c>
    </row>
    <row r="384" spans="1:12" x14ac:dyDescent="0.25">
      <c r="A384" s="6">
        <v>41597</v>
      </c>
      <c r="B384" t="s">
        <v>48</v>
      </c>
      <c r="C384" s="7">
        <v>-100</v>
      </c>
      <c r="D384" t="s">
        <v>6</v>
      </c>
      <c r="E384" s="8">
        <f>E383+F384</f>
        <v>95008</v>
      </c>
      <c r="F384" s="8">
        <f>IF($D384="CR01",$C384,0)</f>
        <v>-100</v>
      </c>
      <c r="G384" s="8">
        <f>G383+H384</f>
        <v>0</v>
      </c>
      <c r="H384" s="8">
        <f>IF($D384="VISA",$C384,0)</f>
        <v>0</v>
      </c>
      <c r="I384" s="8">
        <f>I383+J384</f>
        <v>0</v>
      </c>
      <c r="J384" s="8">
        <f>IF($D384="ACC",$C384,0)</f>
        <v>0</v>
      </c>
      <c r="K384" s="8">
        <f>K383+L384</f>
        <v>0</v>
      </c>
      <c r="L384" s="8">
        <f>IF($D384="CBB",$C384,0)</f>
        <v>0</v>
      </c>
    </row>
    <row r="385" spans="1:12" x14ac:dyDescent="0.25">
      <c r="A385" s="6">
        <v>41598</v>
      </c>
      <c r="B385" t="s">
        <v>47</v>
      </c>
      <c r="C385" s="7">
        <v>-120</v>
      </c>
      <c r="D385" t="s">
        <v>6</v>
      </c>
      <c r="E385" s="8">
        <f>E384+F385</f>
        <v>94888</v>
      </c>
      <c r="F385" s="8">
        <f>IF($D385="CR01",$C385,0)</f>
        <v>-120</v>
      </c>
      <c r="G385" s="8">
        <f>G384+H385</f>
        <v>0</v>
      </c>
      <c r="H385" s="8">
        <f>IF($D385="VISA",$C385,0)</f>
        <v>0</v>
      </c>
      <c r="I385" s="8">
        <f>I384+J385</f>
        <v>0</v>
      </c>
      <c r="J385" s="8">
        <f>IF($D385="ACC",$C385,0)</f>
        <v>0</v>
      </c>
      <c r="K385" s="8">
        <f>K384+L385</f>
        <v>0</v>
      </c>
      <c r="L385" s="8">
        <f>IF($D385="CBB",$C385,0)</f>
        <v>0</v>
      </c>
    </row>
    <row r="386" spans="1:12" x14ac:dyDescent="0.25">
      <c r="A386" s="6">
        <v>41599</v>
      </c>
      <c r="B386" t="s">
        <v>44</v>
      </c>
      <c r="C386" s="7">
        <v>-400</v>
      </c>
      <c r="D386" t="s">
        <v>6</v>
      </c>
      <c r="E386" s="8">
        <f>E385+F386</f>
        <v>94488</v>
      </c>
      <c r="F386" s="8">
        <f>IF($D386="CR01",$C386,0)</f>
        <v>-400</v>
      </c>
      <c r="G386" s="8">
        <f>G385+H386</f>
        <v>0</v>
      </c>
      <c r="H386" s="8">
        <f>IF($D386="VISA",$C386,0)</f>
        <v>0</v>
      </c>
      <c r="I386" s="8">
        <f>I385+J386</f>
        <v>0</v>
      </c>
      <c r="J386" s="8">
        <f>IF($D386="ACC",$C386,0)</f>
        <v>0</v>
      </c>
      <c r="K386" s="8">
        <f>K385+L386</f>
        <v>0</v>
      </c>
      <c r="L386" s="8">
        <f>IF($D386="CBB",$C386,0)</f>
        <v>0</v>
      </c>
    </row>
    <row r="387" spans="1:12" x14ac:dyDescent="0.25">
      <c r="A387" s="6">
        <v>41599</v>
      </c>
      <c r="B387" t="s">
        <v>45</v>
      </c>
      <c r="C387" s="7">
        <v>-180</v>
      </c>
      <c r="D387" t="s">
        <v>6</v>
      </c>
      <c r="E387" s="8">
        <f>E386+F387</f>
        <v>94308</v>
      </c>
      <c r="F387" s="8">
        <f>IF($D387="CR01",$C387,0)</f>
        <v>-180</v>
      </c>
      <c r="G387" s="8">
        <f>G386+H387</f>
        <v>0</v>
      </c>
      <c r="H387" s="8">
        <f>IF($D387="VISA",$C387,0)</f>
        <v>0</v>
      </c>
      <c r="I387" s="8">
        <f>I386+J387</f>
        <v>0</v>
      </c>
      <c r="J387" s="8">
        <f>IF($D387="ACC",$C387,0)</f>
        <v>0</v>
      </c>
      <c r="K387" s="8">
        <f>K386+L387</f>
        <v>0</v>
      </c>
      <c r="L387" s="8">
        <f>IF($D387="CBB",$C387,0)</f>
        <v>0</v>
      </c>
    </row>
    <row r="388" spans="1:12" x14ac:dyDescent="0.25">
      <c r="A388" s="6">
        <v>41599</v>
      </c>
      <c r="B388" t="s">
        <v>46</v>
      </c>
      <c r="C388" s="7">
        <v>-300</v>
      </c>
      <c r="D388" t="s">
        <v>6</v>
      </c>
      <c r="E388" s="8">
        <f>E387+F388</f>
        <v>94008</v>
      </c>
      <c r="F388" s="8">
        <f>IF($D388="CR01",$C388,0)</f>
        <v>-300</v>
      </c>
      <c r="G388" s="8">
        <f>G387+H388</f>
        <v>0</v>
      </c>
      <c r="H388" s="8">
        <f>IF($D388="VISA",$C388,0)</f>
        <v>0</v>
      </c>
      <c r="I388" s="8">
        <f>I387+J388</f>
        <v>0</v>
      </c>
      <c r="J388" s="8">
        <f>IF($D388="ACC",$C388,0)</f>
        <v>0</v>
      </c>
      <c r="K388" s="8">
        <f>K387+L388</f>
        <v>0</v>
      </c>
      <c r="L388" s="8">
        <f>IF($D388="CBB",$C388,0)</f>
        <v>0</v>
      </c>
    </row>
    <row r="389" spans="1:12" x14ac:dyDescent="0.25">
      <c r="A389" s="6">
        <v>41600</v>
      </c>
      <c r="B389" t="s">
        <v>43</v>
      </c>
      <c r="C389" s="7">
        <v>3226</v>
      </c>
      <c r="D389" t="s">
        <v>6</v>
      </c>
      <c r="E389" s="8">
        <f>E388+F389</f>
        <v>97234</v>
      </c>
      <c r="F389" s="8">
        <f>IF($D389="CR01",$C389,0)</f>
        <v>3226</v>
      </c>
      <c r="G389" s="8">
        <f>G388+H389</f>
        <v>0</v>
      </c>
      <c r="H389" s="8">
        <f>IF($D389="VISA",$C389,0)</f>
        <v>0</v>
      </c>
      <c r="I389" s="8">
        <f>I388+J389</f>
        <v>0</v>
      </c>
      <c r="J389" s="8">
        <f>IF($D389="ACC",$C389,0)</f>
        <v>0</v>
      </c>
      <c r="K389" s="8">
        <f>K388+L389</f>
        <v>0</v>
      </c>
      <c r="L389" s="8">
        <f>IF($D389="CBB",$C389,0)</f>
        <v>0</v>
      </c>
    </row>
    <row r="390" spans="1:12" x14ac:dyDescent="0.25">
      <c r="A390" s="6">
        <v>41604</v>
      </c>
      <c r="B390" t="s">
        <v>48</v>
      </c>
      <c r="C390" s="7">
        <v>-100</v>
      </c>
      <c r="D390" t="s">
        <v>6</v>
      </c>
      <c r="E390" s="8">
        <f>E389+F390</f>
        <v>97134</v>
      </c>
      <c r="F390" s="8">
        <f>IF($D390="CR01",$C390,0)</f>
        <v>-100</v>
      </c>
      <c r="G390" s="8">
        <f>G389+H390</f>
        <v>0</v>
      </c>
      <c r="H390" s="8">
        <f>IF($D390="VISA",$C390,0)</f>
        <v>0</v>
      </c>
      <c r="I390" s="8">
        <f>I389+J390</f>
        <v>0</v>
      </c>
      <c r="J390" s="8">
        <f>IF($D390="ACC",$C390,0)</f>
        <v>0</v>
      </c>
      <c r="K390" s="8">
        <f>K389+L390</f>
        <v>0</v>
      </c>
      <c r="L390" s="8">
        <f>IF($D390="CBB",$C390,0)</f>
        <v>0</v>
      </c>
    </row>
    <row r="391" spans="1:12" x14ac:dyDescent="0.25">
      <c r="A391" s="6">
        <v>41605</v>
      </c>
      <c r="B391" t="s">
        <v>47</v>
      </c>
      <c r="C391" s="7">
        <v>-120</v>
      </c>
      <c r="D391" t="s">
        <v>6</v>
      </c>
      <c r="E391" s="8">
        <f>E390+F391</f>
        <v>97014</v>
      </c>
      <c r="F391" s="8">
        <f>IF($D391="CR01",$C391,0)</f>
        <v>-120</v>
      </c>
      <c r="G391" s="8">
        <f>G390+H391</f>
        <v>0</v>
      </c>
      <c r="H391" s="8">
        <f>IF($D391="VISA",$C391,0)</f>
        <v>0</v>
      </c>
      <c r="I391" s="8">
        <f>I390+J391</f>
        <v>0</v>
      </c>
      <c r="J391" s="8">
        <f>IF($D391="ACC",$C391,0)</f>
        <v>0</v>
      </c>
      <c r="K391" s="8">
        <f>K390+L391</f>
        <v>0</v>
      </c>
      <c r="L391" s="8">
        <f>IF($D391="CBB",$C391,0)</f>
        <v>0</v>
      </c>
    </row>
    <row r="392" spans="1:12" x14ac:dyDescent="0.25">
      <c r="A392" s="6">
        <v>41606</v>
      </c>
      <c r="B392" t="s">
        <v>44</v>
      </c>
      <c r="C392" s="7">
        <v>-400</v>
      </c>
      <c r="D392" t="s">
        <v>6</v>
      </c>
      <c r="E392" s="8">
        <f>E391+F392</f>
        <v>96614</v>
      </c>
      <c r="F392" s="8">
        <f>IF($D392="CR01",$C392,0)</f>
        <v>-400</v>
      </c>
      <c r="G392" s="8">
        <f>G391+H392</f>
        <v>0</v>
      </c>
      <c r="H392" s="8">
        <f>IF($D392="VISA",$C392,0)</f>
        <v>0</v>
      </c>
      <c r="I392" s="8">
        <f>I391+J392</f>
        <v>0</v>
      </c>
      <c r="J392" s="8">
        <f>IF($D392="ACC",$C392,0)</f>
        <v>0</v>
      </c>
      <c r="K392" s="8">
        <f>K391+L392</f>
        <v>0</v>
      </c>
      <c r="L392" s="8">
        <f>IF($D392="CBB",$C392,0)</f>
        <v>0</v>
      </c>
    </row>
    <row r="393" spans="1:12" x14ac:dyDescent="0.25">
      <c r="A393" s="6">
        <v>41606</v>
      </c>
      <c r="B393" t="s">
        <v>45</v>
      </c>
      <c r="C393" s="7">
        <v>-180</v>
      </c>
      <c r="D393" t="s">
        <v>6</v>
      </c>
      <c r="E393" s="8">
        <f>E392+F393</f>
        <v>96434</v>
      </c>
      <c r="F393" s="8">
        <f>IF($D393="CR01",$C393,0)</f>
        <v>-180</v>
      </c>
      <c r="G393" s="8">
        <f>G392+H393</f>
        <v>0</v>
      </c>
      <c r="H393" s="8">
        <f>IF($D393="VISA",$C393,0)</f>
        <v>0</v>
      </c>
      <c r="I393" s="8">
        <f>I392+J393</f>
        <v>0</v>
      </c>
      <c r="J393" s="8">
        <f>IF($D393="ACC",$C393,0)</f>
        <v>0</v>
      </c>
      <c r="K393" s="8">
        <f>K392+L393</f>
        <v>0</v>
      </c>
      <c r="L393" s="8">
        <f>IF($D393="CBB",$C393,0)</f>
        <v>0</v>
      </c>
    </row>
    <row r="394" spans="1:12" x14ac:dyDescent="0.25">
      <c r="A394" s="6">
        <v>41606</v>
      </c>
      <c r="B394" t="s">
        <v>46</v>
      </c>
      <c r="C394" s="7">
        <v>-300</v>
      </c>
      <c r="D394" t="s">
        <v>6</v>
      </c>
      <c r="E394" s="8">
        <f>E393+F394</f>
        <v>96134</v>
      </c>
      <c r="F394" s="8">
        <f>IF($D394="CR01",$C394,0)</f>
        <v>-300</v>
      </c>
      <c r="G394" s="8">
        <f>G393+H394</f>
        <v>0</v>
      </c>
      <c r="H394" s="8">
        <f>IF($D394="VISA",$C394,0)</f>
        <v>0</v>
      </c>
      <c r="I394" s="8">
        <f>I393+J394</f>
        <v>0</v>
      </c>
      <c r="J394" s="8">
        <f>IF($D394="ACC",$C394,0)</f>
        <v>0</v>
      </c>
      <c r="K394" s="8">
        <f>K393+L394</f>
        <v>0</v>
      </c>
      <c r="L394" s="8">
        <f>IF($D394="CBB",$C394,0)</f>
        <v>0</v>
      </c>
    </row>
    <row r="395" spans="1:12" x14ac:dyDescent="0.25">
      <c r="A395" s="6">
        <v>41608</v>
      </c>
      <c r="B395" t="s">
        <v>67</v>
      </c>
      <c r="C395" s="7">
        <v>6800</v>
      </c>
      <c r="D395" t="s">
        <v>6</v>
      </c>
      <c r="E395" s="8">
        <f>E394+F395</f>
        <v>102934</v>
      </c>
      <c r="F395" s="8">
        <f>IF($D395="CR01",$C395,0)</f>
        <v>6800</v>
      </c>
      <c r="G395" s="8">
        <f>G394+H395</f>
        <v>0</v>
      </c>
      <c r="H395" s="8">
        <f>IF($D395="VISA",$C395,0)</f>
        <v>0</v>
      </c>
      <c r="I395" s="8">
        <f>I394+J395</f>
        <v>0</v>
      </c>
      <c r="J395" s="8">
        <f>IF($D395="ACC",$C395,0)</f>
        <v>0</v>
      </c>
      <c r="K395" s="8">
        <f>K394+L395</f>
        <v>0</v>
      </c>
      <c r="L395" s="8">
        <f>IF($D395="CBB",$C395,0)</f>
        <v>0</v>
      </c>
    </row>
    <row r="396" spans="1:12" x14ac:dyDescent="0.25">
      <c r="A396" s="6">
        <v>41609</v>
      </c>
      <c r="B396" t="s">
        <v>58</v>
      </c>
      <c r="C396" s="7">
        <v>-200</v>
      </c>
      <c r="D396" t="s">
        <v>6</v>
      </c>
      <c r="E396" s="8">
        <f>E395+F396</f>
        <v>102734</v>
      </c>
      <c r="F396" s="8">
        <f>IF($D396="CR01",$C396,0)</f>
        <v>-200</v>
      </c>
      <c r="G396" s="8">
        <f>G395+H396</f>
        <v>0</v>
      </c>
      <c r="H396" s="8">
        <f>IF($D396="VISA",$C396,0)</f>
        <v>0</v>
      </c>
      <c r="I396" s="8">
        <f>I395+J396</f>
        <v>0</v>
      </c>
      <c r="J396" s="8">
        <f>IF($D396="ACC",$C396,0)</f>
        <v>0</v>
      </c>
      <c r="K396" s="8">
        <f>K395+L396</f>
        <v>0</v>
      </c>
      <c r="L396" s="8">
        <f>IF($D396="CBB",$C396,0)</f>
        <v>0</v>
      </c>
    </row>
    <row r="397" spans="1:12" x14ac:dyDescent="0.25">
      <c r="A397" s="6">
        <v>41609</v>
      </c>
      <c r="B397" t="s">
        <v>60</v>
      </c>
      <c r="C397" s="7">
        <v>-400</v>
      </c>
      <c r="D397" t="s">
        <v>6</v>
      </c>
      <c r="E397" s="8">
        <f>E396+F397</f>
        <v>102334</v>
      </c>
      <c r="F397" s="8">
        <f>IF($D397="CR01",$C397,0)</f>
        <v>-400</v>
      </c>
      <c r="G397" s="8">
        <f>G396+H397</f>
        <v>0</v>
      </c>
      <c r="H397" s="8">
        <f>IF($D397="VISA",$C397,0)</f>
        <v>0</v>
      </c>
      <c r="I397" s="8">
        <f>I396+J397</f>
        <v>0</v>
      </c>
      <c r="J397" s="8">
        <f>IF($D397="ACC",$C397,0)</f>
        <v>0</v>
      </c>
      <c r="K397" s="8">
        <f>K396+L397</f>
        <v>0</v>
      </c>
      <c r="L397" s="8">
        <f>IF($D397="CBB",$C397,0)</f>
        <v>0</v>
      </c>
    </row>
    <row r="398" spans="1:12" x14ac:dyDescent="0.25">
      <c r="A398" s="6">
        <v>41609</v>
      </c>
      <c r="B398" t="s">
        <v>64</v>
      </c>
      <c r="C398" s="7">
        <v>-26</v>
      </c>
      <c r="D398" t="s">
        <v>6</v>
      </c>
      <c r="E398" s="8">
        <f>E397+F398</f>
        <v>102308</v>
      </c>
      <c r="F398" s="8">
        <f>IF($D398="CR01",$C398,0)</f>
        <v>-26</v>
      </c>
      <c r="G398" s="8">
        <f>G397+H398</f>
        <v>0</v>
      </c>
      <c r="H398" s="8">
        <f>IF($D398="VISA",$C398,0)</f>
        <v>0</v>
      </c>
      <c r="I398" s="8">
        <f>I397+J398</f>
        <v>0</v>
      </c>
      <c r="J398" s="8">
        <f>IF($D398="ACC",$C398,0)</f>
        <v>0</v>
      </c>
      <c r="K398" s="8">
        <f>K397+L398</f>
        <v>0</v>
      </c>
      <c r="L398" s="8">
        <f>IF($D398="CBB",$C398,0)</f>
        <v>0</v>
      </c>
    </row>
    <row r="399" spans="1:12" x14ac:dyDescent="0.25">
      <c r="A399" s="6">
        <v>41609</v>
      </c>
      <c r="B399" t="s">
        <v>65</v>
      </c>
      <c r="C399" s="7">
        <v>-240</v>
      </c>
      <c r="D399" t="s">
        <v>6</v>
      </c>
      <c r="E399" s="8">
        <f>E398+F399</f>
        <v>102068</v>
      </c>
      <c r="F399" s="8">
        <f>IF($D399="CR01",$C399,0)</f>
        <v>-240</v>
      </c>
      <c r="G399" s="8">
        <f>G398+H399</f>
        <v>0</v>
      </c>
      <c r="H399" s="8">
        <f>IF($D399="VISA",$C399,0)</f>
        <v>0</v>
      </c>
      <c r="I399" s="8">
        <f>I398+J399</f>
        <v>0</v>
      </c>
      <c r="J399" s="8">
        <f>IF($D399="ACC",$C399,0)</f>
        <v>0</v>
      </c>
      <c r="K399" s="8">
        <f>K398+L399</f>
        <v>0</v>
      </c>
      <c r="L399" s="8">
        <f>IF($D399="CBB",$C399,0)</f>
        <v>0</v>
      </c>
    </row>
    <row r="400" spans="1:12" x14ac:dyDescent="0.25">
      <c r="A400" s="6">
        <v>41609</v>
      </c>
      <c r="B400" t="s">
        <v>66</v>
      </c>
      <c r="C400" s="7">
        <v>-120</v>
      </c>
      <c r="D400" t="s">
        <v>6</v>
      </c>
      <c r="E400" s="8">
        <f>E399+F400</f>
        <v>101948</v>
      </c>
      <c r="F400" s="8">
        <f>IF($D400="CR01",$C400,0)</f>
        <v>-120</v>
      </c>
      <c r="G400" s="8">
        <f>G399+H400</f>
        <v>0</v>
      </c>
      <c r="H400" s="8">
        <f>IF($D400="VISA",$C400,0)</f>
        <v>0</v>
      </c>
      <c r="I400" s="8">
        <f>I399+J400</f>
        <v>0</v>
      </c>
      <c r="J400" s="8">
        <f>IF($D400="ACC",$C400,0)</f>
        <v>0</v>
      </c>
      <c r="K400" s="8">
        <f>K399+L400</f>
        <v>0</v>
      </c>
      <c r="L400" s="8">
        <f>IF($D400="CBB",$C400,0)</f>
        <v>0</v>
      </c>
    </row>
    <row r="401" spans="1:12" x14ac:dyDescent="0.25">
      <c r="A401" s="6">
        <v>41610</v>
      </c>
      <c r="B401" t="s">
        <v>59</v>
      </c>
      <c r="C401" s="7">
        <v>-900</v>
      </c>
      <c r="D401" t="s">
        <v>6</v>
      </c>
      <c r="E401" s="8">
        <f>E400+F401</f>
        <v>101048</v>
      </c>
      <c r="F401" s="8">
        <f>IF($D401="CR01",$C401,0)</f>
        <v>-900</v>
      </c>
      <c r="G401" s="8">
        <f>G400+H401</f>
        <v>0</v>
      </c>
      <c r="H401" s="8">
        <f>IF($D401="VISA",$C401,0)</f>
        <v>0</v>
      </c>
      <c r="I401" s="8">
        <f>I400+J401</f>
        <v>0</v>
      </c>
      <c r="J401" s="8">
        <f>IF($D401="ACC",$C401,0)</f>
        <v>0</v>
      </c>
      <c r="K401" s="8">
        <f>K400+L401</f>
        <v>0</v>
      </c>
      <c r="L401" s="8">
        <f>IF($D401="CBB",$C401,0)</f>
        <v>0</v>
      </c>
    </row>
    <row r="402" spans="1:12" x14ac:dyDescent="0.25">
      <c r="A402" s="6">
        <v>41611</v>
      </c>
      <c r="B402" t="s">
        <v>42</v>
      </c>
      <c r="C402" s="7">
        <v>-2806</v>
      </c>
      <c r="D402" t="s">
        <v>6</v>
      </c>
      <c r="E402" s="8">
        <f>E401+F402</f>
        <v>98242</v>
      </c>
      <c r="F402" s="8">
        <f>IF($D402="CR01",$C402,0)</f>
        <v>-2806</v>
      </c>
      <c r="G402" s="8">
        <f>G401+H402</f>
        <v>0</v>
      </c>
      <c r="H402" s="8">
        <f>IF($D402="VISA",$C402,0)</f>
        <v>0</v>
      </c>
      <c r="I402" s="8">
        <f>I401+J402</f>
        <v>0</v>
      </c>
      <c r="J402" s="8">
        <f>IF($D402="ACC",$C402,0)</f>
        <v>0</v>
      </c>
      <c r="K402" s="8">
        <f>K401+L402</f>
        <v>0</v>
      </c>
      <c r="L402" s="8">
        <f>IF($D402="CBB",$C402,0)</f>
        <v>0</v>
      </c>
    </row>
    <row r="403" spans="1:12" x14ac:dyDescent="0.25">
      <c r="A403" s="6">
        <v>41611</v>
      </c>
      <c r="B403" t="s">
        <v>48</v>
      </c>
      <c r="C403" s="7">
        <v>-100</v>
      </c>
      <c r="D403" t="s">
        <v>6</v>
      </c>
      <c r="E403" s="8">
        <f>E402+F403</f>
        <v>98142</v>
      </c>
      <c r="F403" s="8">
        <f>IF($D403="CR01",$C403,0)</f>
        <v>-100</v>
      </c>
      <c r="G403" s="8">
        <f>G402+H403</f>
        <v>0</v>
      </c>
      <c r="H403" s="8">
        <f>IF($D403="VISA",$C403,0)</f>
        <v>0</v>
      </c>
      <c r="I403" s="8">
        <f>I402+J403</f>
        <v>0</v>
      </c>
      <c r="J403" s="8">
        <f>IF($D403="ACC",$C403,0)</f>
        <v>0</v>
      </c>
      <c r="K403" s="8">
        <f>K402+L403</f>
        <v>0</v>
      </c>
      <c r="L403" s="8">
        <f>IF($D403="CBB",$C403,0)</f>
        <v>0</v>
      </c>
    </row>
    <row r="404" spans="1:12" x14ac:dyDescent="0.25">
      <c r="A404" s="6">
        <v>41612</v>
      </c>
      <c r="B404" t="s">
        <v>47</v>
      </c>
      <c r="C404" s="7">
        <v>-120</v>
      </c>
      <c r="D404" t="s">
        <v>6</v>
      </c>
      <c r="E404" s="8">
        <f>E403+F404</f>
        <v>98022</v>
      </c>
      <c r="F404" s="8">
        <f>IF($D404="CR01",$C404,0)</f>
        <v>-120</v>
      </c>
      <c r="G404" s="8">
        <f>G403+H404</f>
        <v>0</v>
      </c>
      <c r="H404" s="8">
        <f>IF($D404="VISA",$C404,0)</f>
        <v>0</v>
      </c>
      <c r="I404" s="8">
        <f>I403+J404</f>
        <v>0</v>
      </c>
      <c r="J404" s="8">
        <f>IF($D404="ACC",$C404,0)</f>
        <v>0</v>
      </c>
      <c r="K404" s="8">
        <f>K403+L404</f>
        <v>0</v>
      </c>
      <c r="L404" s="8">
        <f>IF($D404="CBB",$C404,0)</f>
        <v>0</v>
      </c>
    </row>
    <row r="405" spans="1:12" x14ac:dyDescent="0.25">
      <c r="A405" s="6">
        <v>41613</v>
      </c>
      <c r="B405" t="s">
        <v>44</v>
      </c>
      <c r="C405" s="7">
        <v>-400</v>
      </c>
      <c r="D405" t="s">
        <v>6</v>
      </c>
      <c r="E405" s="8">
        <f>E404+F405</f>
        <v>97622</v>
      </c>
      <c r="F405" s="8">
        <f>IF($D405="CR01",$C405,0)</f>
        <v>-400</v>
      </c>
      <c r="G405" s="8">
        <f>G404+H405</f>
        <v>0</v>
      </c>
      <c r="H405" s="8">
        <f>IF($D405="VISA",$C405,0)</f>
        <v>0</v>
      </c>
      <c r="I405" s="8">
        <f>I404+J405</f>
        <v>0</v>
      </c>
      <c r="J405" s="8">
        <f>IF($D405="ACC",$C405,0)</f>
        <v>0</v>
      </c>
      <c r="K405" s="8">
        <f>K404+L405</f>
        <v>0</v>
      </c>
      <c r="L405" s="8">
        <f>IF($D405="CBB",$C405,0)</f>
        <v>0</v>
      </c>
    </row>
    <row r="406" spans="1:12" x14ac:dyDescent="0.25">
      <c r="A406" s="6">
        <v>41613</v>
      </c>
      <c r="B406" t="s">
        <v>45</v>
      </c>
      <c r="C406" s="7">
        <v>-180</v>
      </c>
      <c r="D406" t="s">
        <v>6</v>
      </c>
      <c r="E406" s="8">
        <f>E405+F406</f>
        <v>97442</v>
      </c>
      <c r="F406" s="8">
        <f>IF($D406="CR01",$C406,0)</f>
        <v>-180</v>
      </c>
      <c r="G406" s="8">
        <f>G405+H406</f>
        <v>0</v>
      </c>
      <c r="H406" s="8">
        <f>IF($D406="VISA",$C406,0)</f>
        <v>0</v>
      </c>
      <c r="I406" s="8">
        <f>I405+J406</f>
        <v>0</v>
      </c>
      <c r="J406" s="8">
        <f>IF($D406="ACC",$C406,0)</f>
        <v>0</v>
      </c>
      <c r="K406" s="8">
        <f>K405+L406</f>
        <v>0</v>
      </c>
      <c r="L406" s="8">
        <f>IF($D406="CBB",$C406,0)</f>
        <v>0</v>
      </c>
    </row>
    <row r="407" spans="1:12" x14ac:dyDescent="0.25">
      <c r="A407" s="6">
        <v>41613</v>
      </c>
      <c r="B407" t="s">
        <v>46</v>
      </c>
      <c r="C407" s="7">
        <v>-300</v>
      </c>
      <c r="D407" t="s">
        <v>6</v>
      </c>
      <c r="E407" s="8">
        <f>E406+F407</f>
        <v>97142</v>
      </c>
      <c r="F407" s="8">
        <f>IF($D407="CR01",$C407,0)</f>
        <v>-300</v>
      </c>
      <c r="G407" s="8">
        <f>G406+H407</f>
        <v>0</v>
      </c>
      <c r="H407" s="8">
        <f>IF($D407="VISA",$C407,0)</f>
        <v>0</v>
      </c>
      <c r="I407" s="8">
        <f>I406+J407</f>
        <v>0</v>
      </c>
      <c r="J407" s="8">
        <f>IF($D407="ACC",$C407,0)</f>
        <v>0</v>
      </c>
      <c r="K407" s="8">
        <f>K406+L407</f>
        <v>0</v>
      </c>
      <c r="L407" s="8">
        <f>IF($D407="CBB",$C407,0)</f>
        <v>0</v>
      </c>
    </row>
    <row r="408" spans="1:12" x14ac:dyDescent="0.25">
      <c r="A408" s="6">
        <v>41614</v>
      </c>
      <c r="B408" t="s">
        <v>43</v>
      </c>
      <c r="C408" s="7">
        <v>3226</v>
      </c>
      <c r="D408" t="s">
        <v>6</v>
      </c>
      <c r="E408" s="8">
        <f>E407+F408</f>
        <v>100368</v>
      </c>
      <c r="F408" s="8">
        <f>IF($D408="CR01",$C408,0)</f>
        <v>3226</v>
      </c>
      <c r="G408" s="8">
        <f>G407+H408</f>
        <v>0</v>
      </c>
      <c r="H408" s="8">
        <f>IF($D408="VISA",$C408,0)</f>
        <v>0</v>
      </c>
      <c r="I408" s="8">
        <f>I407+J408</f>
        <v>0</v>
      </c>
      <c r="J408" s="8">
        <f>IF($D408="ACC",$C408,0)</f>
        <v>0</v>
      </c>
      <c r="K408" s="8">
        <f>K407+L408</f>
        <v>0</v>
      </c>
      <c r="L408" s="8">
        <f>IF($D408="CBB",$C408,0)</f>
        <v>0</v>
      </c>
    </row>
    <row r="409" spans="1:12" x14ac:dyDescent="0.25">
      <c r="A409" s="6">
        <v>41618</v>
      </c>
      <c r="B409" t="s">
        <v>48</v>
      </c>
      <c r="C409" s="7">
        <v>-100</v>
      </c>
      <c r="D409" t="s">
        <v>6</v>
      </c>
      <c r="E409" s="8">
        <f>E408+F409</f>
        <v>100268</v>
      </c>
      <c r="F409" s="8">
        <f>IF($D409="CR01",$C409,0)</f>
        <v>-100</v>
      </c>
      <c r="G409" s="8">
        <f>G408+H409</f>
        <v>0</v>
      </c>
      <c r="H409" s="8">
        <f>IF($D409="VISA",$C409,0)</f>
        <v>0</v>
      </c>
      <c r="I409" s="8">
        <f>I408+J409</f>
        <v>0</v>
      </c>
      <c r="J409" s="8">
        <f>IF($D409="ACC",$C409,0)</f>
        <v>0</v>
      </c>
      <c r="K409" s="8">
        <f>K408+L409</f>
        <v>0</v>
      </c>
      <c r="L409" s="8">
        <f>IF($D409="CBB",$C409,0)</f>
        <v>0</v>
      </c>
    </row>
    <row r="410" spans="1:12" x14ac:dyDescent="0.25">
      <c r="A410" s="6">
        <v>41619</v>
      </c>
      <c r="B410" t="s">
        <v>47</v>
      </c>
      <c r="C410" s="7">
        <v>-120</v>
      </c>
      <c r="D410" t="s">
        <v>6</v>
      </c>
      <c r="E410" s="8">
        <f>E409+F410</f>
        <v>100148</v>
      </c>
      <c r="F410" s="8">
        <f>IF($D410="CR01",$C410,0)</f>
        <v>-120</v>
      </c>
      <c r="G410" s="8">
        <f>G409+H410</f>
        <v>0</v>
      </c>
      <c r="H410" s="8">
        <f>IF($D410="VISA",$C410,0)</f>
        <v>0</v>
      </c>
      <c r="I410" s="8">
        <f>I409+J410</f>
        <v>0</v>
      </c>
      <c r="J410" s="8">
        <f>IF($D410="ACC",$C410,0)</f>
        <v>0</v>
      </c>
      <c r="K410" s="8">
        <f>K409+L410</f>
        <v>0</v>
      </c>
      <c r="L410" s="8">
        <f>IF($D410="CBB",$C410,0)</f>
        <v>0</v>
      </c>
    </row>
    <row r="411" spans="1:12" x14ac:dyDescent="0.25">
      <c r="A411" s="6">
        <v>41620</v>
      </c>
      <c r="B411" t="s">
        <v>44</v>
      </c>
      <c r="C411" s="7">
        <v>-400</v>
      </c>
      <c r="D411" t="s">
        <v>6</v>
      </c>
      <c r="E411" s="8">
        <f>E410+F411</f>
        <v>99748</v>
      </c>
      <c r="F411" s="8">
        <f>IF($D411="CR01",$C411,0)</f>
        <v>-400</v>
      </c>
      <c r="G411" s="8">
        <f>G410+H411</f>
        <v>0</v>
      </c>
      <c r="H411" s="8">
        <f>IF($D411="VISA",$C411,0)</f>
        <v>0</v>
      </c>
      <c r="I411" s="8">
        <f>I410+J411</f>
        <v>0</v>
      </c>
      <c r="J411" s="8">
        <f>IF($D411="ACC",$C411,0)</f>
        <v>0</v>
      </c>
      <c r="K411" s="8">
        <f>K410+L411</f>
        <v>0</v>
      </c>
      <c r="L411" s="8">
        <f>IF($D411="CBB",$C411,0)</f>
        <v>0</v>
      </c>
    </row>
    <row r="412" spans="1:12" x14ac:dyDescent="0.25">
      <c r="A412" s="6">
        <v>41620</v>
      </c>
      <c r="B412" t="s">
        <v>45</v>
      </c>
      <c r="C412" s="7">
        <v>-180</v>
      </c>
      <c r="D412" t="s">
        <v>6</v>
      </c>
      <c r="E412" s="8">
        <f>E411+F412</f>
        <v>99568</v>
      </c>
      <c r="F412" s="8">
        <f>IF($D412="CR01",$C412,0)</f>
        <v>-180</v>
      </c>
      <c r="G412" s="8">
        <f>G411+H412</f>
        <v>0</v>
      </c>
      <c r="H412" s="8">
        <f>IF($D412="VISA",$C412,0)</f>
        <v>0</v>
      </c>
      <c r="I412" s="8">
        <f>I411+J412</f>
        <v>0</v>
      </c>
      <c r="J412" s="8">
        <f>IF($D412="ACC",$C412,0)</f>
        <v>0</v>
      </c>
      <c r="K412" s="8">
        <f>K411+L412</f>
        <v>0</v>
      </c>
      <c r="L412" s="8">
        <f>IF($D412="CBB",$C412,0)</f>
        <v>0</v>
      </c>
    </row>
    <row r="413" spans="1:12" x14ac:dyDescent="0.25">
      <c r="A413" s="6">
        <v>41620</v>
      </c>
      <c r="B413" t="s">
        <v>46</v>
      </c>
      <c r="C413" s="7">
        <v>-300</v>
      </c>
      <c r="D413" t="s">
        <v>6</v>
      </c>
      <c r="E413" s="8">
        <f>E412+F413</f>
        <v>99268</v>
      </c>
      <c r="F413" s="8">
        <f>IF($D413="CR01",$C413,0)</f>
        <v>-300</v>
      </c>
      <c r="G413" s="8">
        <f>G412+H413</f>
        <v>0</v>
      </c>
      <c r="H413" s="8">
        <f>IF($D413="VISA",$C413,0)</f>
        <v>0</v>
      </c>
      <c r="I413" s="8">
        <f>I412+J413</f>
        <v>0</v>
      </c>
      <c r="J413" s="8">
        <f>IF($D413="ACC",$C413,0)</f>
        <v>0</v>
      </c>
      <c r="K413" s="8">
        <f>K412+L413</f>
        <v>0</v>
      </c>
      <c r="L413" s="8">
        <f>IF($D413="CBB",$C413,0)</f>
        <v>0</v>
      </c>
    </row>
    <row r="414" spans="1:12" x14ac:dyDescent="0.25">
      <c r="A414" s="6">
        <v>41622</v>
      </c>
      <c r="B414" t="s">
        <v>67</v>
      </c>
      <c r="C414" s="7">
        <v>6800</v>
      </c>
      <c r="D414" t="s">
        <v>6</v>
      </c>
      <c r="E414" s="8">
        <f>E413+F414</f>
        <v>106068</v>
      </c>
      <c r="F414" s="8">
        <f>IF($D414="CR01",$C414,0)</f>
        <v>6800</v>
      </c>
      <c r="G414" s="8">
        <f>G413+H414</f>
        <v>0</v>
      </c>
      <c r="H414" s="8">
        <f>IF($D414="VISA",$C414,0)</f>
        <v>0</v>
      </c>
      <c r="I414" s="8">
        <f>I413+J414</f>
        <v>0</v>
      </c>
      <c r="J414" s="8">
        <f>IF($D414="ACC",$C414,0)</f>
        <v>0</v>
      </c>
      <c r="K414" s="8">
        <f>K413+L414</f>
        <v>0</v>
      </c>
      <c r="L414" s="8">
        <f>IF($D414="CBB",$C414,0)</f>
        <v>0</v>
      </c>
    </row>
    <row r="415" spans="1:12" x14ac:dyDescent="0.25">
      <c r="A415" s="6">
        <v>41625</v>
      </c>
      <c r="B415" t="s">
        <v>42</v>
      </c>
      <c r="C415" s="7">
        <v>-2806</v>
      </c>
      <c r="D415" t="s">
        <v>6</v>
      </c>
      <c r="E415" s="8">
        <f>E414+F415</f>
        <v>103262</v>
      </c>
      <c r="F415" s="8">
        <f>IF($D415="CR01",$C415,0)</f>
        <v>-2806</v>
      </c>
      <c r="G415" s="8">
        <f>G414+H415</f>
        <v>0</v>
      </c>
      <c r="H415" s="8">
        <f>IF($D415="VISA",$C415,0)</f>
        <v>0</v>
      </c>
      <c r="I415" s="8">
        <f>I414+J415</f>
        <v>0</v>
      </c>
      <c r="J415" s="8">
        <f>IF($D415="ACC",$C415,0)</f>
        <v>0</v>
      </c>
      <c r="K415" s="8">
        <f>K414+L415</f>
        <v>0</v>
      </c>
      <c r="L415" s="8">
        <f>IF($D415="CBB",$C415,0)</f>
        <v>0</v>
      </c>
    </row>
    <row r="416" spans="1:12" x14ac:dyDescent="0.25">
      <c r="A416" s="6">
        <v>41625</v>
      </c>
      <c r="B416" t="s">
        <v>48</v>
      </c>
      <c r="C416" s="7">
        <v>-100</v>
      </c>
      <c r="D416" t="s">
        <v>6</v>
      </c>
      <c r="E416" s="8">
        <f>E415+F416</f>
        <v>103162</v>
      </c>
      <c r="F416" s="8">
        <f>IF($D416="CR01",$C416,0)</f>
        <v>-100</v>
      </c>
      <c r="G416" s="8">
        <f>G415+H416</f>
        <v>0</v>
      </c>
      <c r="H416" s="8">
        <f>IF($D416="VISA",$C416,0)</f>
        <v>0</v>
      </c>
      <c r="I416" s="8">
        <f>I415+J416</f>
        <v>0</v>
      </c>
      <c r="J416" s="8">
        <f>IF($D416="ACC",$C416,0)</f>
        <v>0</v>
      </c>
      <c r="K416" s="8">
        <f>K415+L416</f>
        <v>0</v>
      </c>
      <c r="L416" s="8">
        <f>IF($D416="CBB",$C416,0)</f>
        <v>0</v>
      </c>
    </row>
    <row r="417" spans="1:12" x14ac:dyDescent="0.25">
      <c r="A417" s="6">
        <v>41626</v>
      </c>
      <c r="B417" t="s">
        <v>47</v>
      </c>
      <c r="C417" s="7">
        <v>-120</v>
      </c>
      <c r="D417" t="s">
        <v>6</v>
      </c>
      <c r="E417" s="8">
        <f>E416+F417</f>
        <v>103042</v>
      </c>
      <c r="F417" s="8">
        <f>IF($D417="CR01",$C417,0)</f>
        <v>-120</v>
      </c>
      <c r="G417" s="8">
        <f>G416+H417</f>
        <v>0</v>
      </c>
      <c r="H417" s="8">
        <f>IF($D417="VISA",$C417,0)</f>
        <v>0</v>
      </c>
      <c r="I417" s="8">
        <f>I416+J417</f>
        <v>0</v>
      </c>
      <c r="J417" s="8">
        <f>IF($D417="ACC",$C417,0)</f>
        <v>0</v>
      </c>
      <c r="K417" s="8">
        <f>K416+L417</f>
        <v>0</v>
      </c>
      <c r="L417" s="8">
        <f>IF($D417="CBB",$C417,0)</f>
        <v>0</v>
      </c>
    </row>
    <row r="418" spans="1:12" x14ac:dyDescent="0.25">
      <c r="A418" s="6">
        <v>41627</v>
      </c>
      <c r="B418" t="s">
        <v>44</v>
      </c>
      <c r="C418" s="7">
        <v>-400</v>
      </c>
      <c r="D418" t="s">
        <v>6</v>
      </c>
      <c r="E418" s="8">
        <f>E417+F418</f>
        <v>102642</v>
      </c>
      <c r="F418" s="8">
        <f>IF($D418="CR01",$C418,0)</f>
        <v>-400</v>
      </c>
      <c r="G418" s="8">
        <f>G417+H418</f>
        <v>0</v>
      </c>
      <c r="H418" s="8">
        <f>IF($D418="VISA",$C418,0)</f>
        <v>0</v>
      </c>
      <c r="I418" s="8">
        <f>I417+J418</f>
        <v>0</v>
      </c>
      <c r="J418" s="8">
        <f>IF($D418="ACC",$C418,0)</f>
        <v>0</v>
      </c>
      <c r="K418" s="8">
        <f>K417+L418</f>
        <v>0</v>
      </c>
      <c r="L418" s="8">
        <f>IF($D418="CBB",$C418,0)</f>
        <v>0</v>
      </c>
    </row>
    <row r="419" spans="1:12" x14ac:dyDescent="0.25">
      <c r="A419" s="6">
        <v>41627</v>
      </c>
      <c r="B419" t="s">
        <v>45</v>
      </c>
      <c r="C419" s="7">
        <v>-180</v>
      </c>
      <c r="D419" t="s">
        <v>6</v>
      </c>
      <c r="E419" s="8">
        <f>E418+F419</f>
        <v>102462</v>
      </c>
      <c r="F419" s="8">
        <f>IF($D419="CR01",$C419,0)</f>
        <v>-180</v>
      </c>
      <c r="G419" s="8">
        <f>G418+H419</f>
        <v>0</v>
      </c>
      <c r="H419" s="8">
        <f>IF($D419="VISA",$C419,0)</f>
        <v>0</v>
      </c>
      <c r="I419" s="8">
        <f>I418+J419</f>
        <v>0</v>
      </c>
      <c r="J419" s="8">
        <f>IF($D419="ACC",$C419,0)</f>
        <v>0</v>
      </c>
      <c r="K419" s="8">
        <f>K418+L419</f>
        <v>0</v>
      </c>
      <c r="L419" s="8">
        <f>IF($D419="CBB",$C419,0)</f>
        <v>0</v>
      </c>
    </row>
    <row r="420" spans="1:12" x14ac:dyDescent="0.25">
      <c r="A420" s="6">
        <v>41627</v>
      </c>
      <c r="B420" t="s">
        <v>46</v>
      </c>
      <c r="C420" s="7">
        <v>-300</v>
      </c>
      <c r="D420" t="s">
        <v>6</v>
      </c>
      <c r="E420" s="8">
        <f>E419+F420</f>
        <v>102162</v>
      </c>
      <c r="F420" s="8">
        <f>IF($D420="CR01",$C420,0)</f>
        <v>-300</v>
      </c>
      <c r="G420" s="8">
        <f>G419+H420</f>
        <v>0</v>
      </c>
      <c r="H420" s="8">
        <f>IF($D420="VISA",$C420,0)</f>
        <v>0</v>
      </c>
      <c r="I420" s="8">
        <f>I419+J420</f>
        <v>0</v>
      </c>
      <c r="J420" s="8">
        <f>IF($D420="ACC",$C420,0)</f>
        <v>0</v>
      </c>
      <c r="K420" s="8">
        <f>K419+L420</f>
        <v>0</v>
      </c>
      <c r="L420" s="8">
        <f>IF($D420="CBB",$C420,0)</f>
        <v>0</v>
      </c>
    </row>
    <row r="421" spans="1:12" x14ac:dyDescent="0.25">
      <c r="A421" s="6">
        <v>41628</v>
      </c>
      <c r="B421" t="s">
        <v>43</v>
      </c>
      <c r="C421" s="7">
        <v>3226</v>
      </c>
      <c r="D421" t="s">
        <v>6</v>
      </c>
      <c r="E421" s="8">
        <f>E420+F421</f>
        <v>105388</v>
      </c>
      <c r="F421" s="8">
        <f>IF($D421="CR01",$C421,0)</f>
        <v>3226</v>
      </c>
      <c r="G421" s="8">
        <f>G420+H421</f>
        <v>0</v>
      </c>
      <c r="H421" s="8">
        <f>IF($D421="VISA",$C421,0)</f>
        <v>0</v>
      </c>
      <c r="I421" s="8">
        <f>I420+J421</f>
        <v>0</v>
      </c>
      <c r="J421" s="8">
        <f>IF($D421="ACC",$C421,0)</f>
        <v>0</v>
      </c>
      <c r="K421" s="8">
        <f>K420+L421</f>
        <v>0</v>
      </c>
      <c r="L421" s="8">
        <f>IF($D421="CBB",$C421,0)</f>
        <v>0</v>
      </c>
    </row>
    <row r="422" spans="1:12" x14ac:dyDescent="0.25">
      <c r="A422" s="6">
        <v>41632</v>
      </c>
      <c r="B422" t="s">
        <v>48</v>
      </c>
      <c r="C422" s="7">
        <v>-100</v>
      </c>
      <c r="D422" t="s">
        <v>6</v>
      </c>
      <c r="E422" s="8">
        <f>E421+F422</f>
        <v>105288</v>
      </c>
      <c r="F422" s="8">
        <f>IF($D422="CR01",$C422,0)</f>
        <v>-100</v>
      </c>
      <c r="G422" s="8">
        <f>G421+H422</f>
        <v>0</v>
      </c>
      <c r="H422" s="8">
        <f>IF($D422="VISA",$C422,0)</f>
        <v>0</v>
      </c>
      <c r="I422" s="8">
        <f>I421+J422</f>
        <v>0</v>
      </c>
      <c r="J422" s="8">
        <f>IF($D422="ACC",$C422,0)</f>
        <v>0</v>
      </c>
      <c r="K422" s="8">
        <f>K421+L422</f>
        <v>0</v>
      </c>
      <c r="L422" s="8">
        <f>IF($D422="CBB",$C422,0)</f>
        <v>0</v>
      </c>
    </row>
    <row r="423" spans="1:12" x14ac:dyDescent="0.25">
      <c r="A423" s="6">
        <v>41633</v>
      </c>
      <c r="B423" t="s">
        <v>47</v>
      </c>
      <c r="C423" s="7">
        <v>-120</v>
      </c>
      <c r="D423" t="s">
        <v>6</v>
      </c>
      <c r="E423" s="8">
        <f>E422+F423</f>
        <v>105168</v>
      </c>
      <c r="F423" s="8">
        <f>IF($D423="CR01",$C423,0)</f>
        <v>-120</v>
      </c>
      <c r="G423" s="8">
        <f>G422+H423</f>
        <v>0</v>
      </c>
      <c r="H423" s="8">
        <f>IF($D423="VISA",$C423,0)</f>
        <v>0</v>
      </c>
      <c r="I423" s="8">
        <f>I422+J423</f>
        <v>0</v>
      </c>
      <c r="J423" s="8">
        <f>IF($D423="ACC",$C423,0)</f>
        <v>0</v>
      </c>
      <c r="K423" s="8">
        <f>K422+L423</f>
        <v>0</v>
      </c>
      <c r="L423" s="8">
        <f>IF($D423="CBB",$C423,0)</f>
        <v>0</v>
      </c>
    </row>
    <row r="424" spans="1:12" x14ac:dyDescent="0.25">
      <c r="A424" s="6">
        <v>41634</v>
      </c>
      <c r="B424" t="s">
        <v>44</v>
      </c>
      <c r="C424" s="7">
        <v>-400</v>
      </c>
      <c r="D424" t="s">
        <v>6</v>
      </c>
      <c r="E424" s="8">
        <f>E423+F424</f>
        <v>104768</v>
      </c>
      <c r="F424" s="8">
        <f>IF($D424="CR01",$C424,0)</f>
        <v>-400</v>
      </c>
      <c r="G424" s="8">
        <f>G423+H424</f>
        <v>0</v>
      </c>
      <c r="H424" s="8">
        <f>IF($D424="VISA",$C424,0)</f>
        <v>0</v>
      </c>
      <c r="I424" s="8">
        <f>I423+J424</f>
        <v>0</v>
      </c>
      <c r="J424" s="8">
        <f>IF($D424="ACC",$C424,0)</f>
        <v>0</v>
      </c>
      <c r="K424" s="8">
        <f>K423+L424</f>
        <v>0</v>
      </c>
      <c r="L424" s="8">
        <f>IF($D424="CBB",$C424,0)</f>
        <v>0</v>
      </c>
    </row>
    <row r="425" spans="1:12" x14ac:dyDescent="0.25">
      <c r="A425" s="6">
        <v>41634</v>
      </c>
      <c r="B425" t="s">
        <v>45</v>
      </c>
      <c r="C425" s="7">
        <v>-180</v>
      </c>
      <c r="D425" t="s">
        <v>6</v>
      </c>
      <c r="E425" s="8">
        <f>E424+F425</f>
        <v>104588</v>
      </c>
      <c r="F425" s="8">
        <f>IF($D425="CR01",$C425,0)</f>
        <v>-180</v>
      </c>
      <c r="G425" s="8">
        <f>G424+H425</f>
        <v>0</v>
      </c>
      <c r="H425" s="8">
        <f>IF($D425="VISA",$C425,0)</f>
        <v>0</v>
      </c>
      <c r="I425" s="8">
        <f>I424+J425</f>
        <v>0</v>
      </c>
      <c r="J425" s="8">
        <f>IF($D425="ACC",$C425,0)</f>
        <v>0</v>
      </c>
      <c r="K425" s="8">
        <f>K424+L425</f>
        <v>0</v>
      </c>
      <c r="L425" s="8">
        <f>IF($D425="CBB",$C425,0)</f>
        <v>0</v>
      </c>
    </row>
    <row r="426" spans="1:12" x14ac:dyDescent="0.25">
      <c r="A426" s="6">
        <v>41634</v>
      </c>
      <c r="B426" t="s">
        <v>46</v>
      </c>
      <c r="C426" s="7">
        <v>-300</v>
      </c>
      <c r="D426" t="s">
        <v>6</v>
      </c>
      <c r="E426" s="8">
        <f>E425+F426</f>
        <v>104288</v>
      </c>
      <c r="F426" s="8">
        <f>IF($D426="CR01",$C426,0)</f>
        <v>-300</v>
      </c>
      <c r="G426" s="8">
        <f>G425+H426</f>
        <v>0</v>
      </c>
      <c r="H426" s="8">
        <f>IF($D426="VISA",$C426,0)</f>
        <v>0</v>
      </c>
      <c r="I426" s="8">
        <f>I425+J426</f>
        <v>0</v>
      </c>
      <c r="J426" s="8">
        <f>IF($D426="ACC",$C426,0)</f>
        <v>0</v>
      </c>
      <c r="K426" s="8">
        <f>K425+L426</f>
        <v>0</v>
      </c>
      <c r="L426" s="8">
        <f>IF($D426="CBB",$C426,0)</f>
        <v>0</v>
      </c>
    </row>
    <row r="427" spans="1:12" x14ac:dyDescent="0.25">
      <c r="A427" s="6">
        <v>41636</v>
      </c>
      <c r="B427" t="s">
        <v>67</v>
      </c>
      <c r="C427" s="7">
        <v>6800</v>
      </c>
      <c r="D427" t="s">
        <v>6</v>
      </c>
      <c r="E427" s="8">
        <f>E426+F427</f>
        <v>111088</v>
      </c>
      <c r="F427" s="8">
        <f>IF($D427="CR01",$C427,0)</f>
        <v>6800</v>
      </c>
      <c r="G427" s="8">
        <f>G426+H427</f>
        <v>0</v>
      </c>
      <c r="H427" s="8">
        <f>IF($D427="VISA",$C427,0)</f>
        <v>0</v>
      </c>
      <c r="I427" s="8">
        <f>I426+J427</f>
        <v>0</v>
      </c>
      <c r="J427" s="8">
        <f>IF($D427="ACC",$C427,0)</f>
        <v>0</v>
      </c>
      <c r="K427" s="8">
        <f>K426+L427</f>
        <v>0</v>
      </c>
      <c r="L427" s="8">
        <f>IF($D427="CBB",$C427,0)</f>
        <v>0</v>
      </c>
    </row>
    <row r="428" spans="1:12" x14ac:dyDescent="0.25">
      <c r="A428" s="6">
        <v>41639</v>
      </c>
      <c r="B428" t="s">
        <v>42</v>
      </c>
      <c r="C428" s="7">
        <v>-2806</v>
      </c>
      <c r="D428" t="s">
        <v>6</v>
      </c>
      <c r="E428" s="8">
        <f>E427+F428</f>
        <v>108282</v>
      </c>
      <c r="F428" s="8">
        <f>IF($D428="CR01",$C428,0)</f>
        <v>-2806</v>
      </c>
      <c r="G428" s="8">
        <f>G427+H428</f>
        <v>0</v>
      </c>
      <c r="H428" s="8">
        <f>IF($D428="VISA",$C428,0)</f>
        <v>0</v>
      </c>
      <c r="I428" s="8">
        <f>I427+J428</f>
        <v>0</v>
      </c>
      <c r="J428" s="8">
        <f>IF($D428="ACC",$C428,0)</f>
        <v>0</v>
      </c>
      <c r="K428" s="8">
        <f>K427+L428</f>
        <v>0</v>
      </c>
      <c r="L428" s="8">
        <f>IF($D428="CBB",$C428,0)</f>
        <v>0</v>
      </c>
    </row>
    <row r="429" spans="1:12" x14ac:dyDescent="0.25">
      <c r="A429" s="6">
        <v>41639</v>
      </c>
      <c r="B429" t="s">
        <v>48</v>
      </c>
      <c r="C429" s="7">
        <v>-100</v>
      </c>
      <c r="D429" t="s">
        <v>6</v>
      </c>
      <c r="E429" s="8">
        <f>E428+F429</f>
        <v>108182</v>
      </c>
      <c r="F429" s="8">
        <f>IF($D429="CR01",$C429,0)</f>
        <v>-100</v>
      </c>
      <c r="G429" s="8">
        <f>G428+H429</f>
        <v>0</v>
      </c>
      <c r="H429" s="8">
        <f>IF($D429="VISA",$C429,0)</f>
        <v>0</v>
      </c>
      <c r="I429" s="8">
        <f>I428+J429</f>
        <v>0</v>
      </c>
      <c r="J429" s="8">
        <f>IF($D429="ACC",$C429,0)</f>
        <v>0</v>
      </c>
      <c r="K429" s="8">
        <f>K428+L429</f>
        <v>0</v>
      </c>
      <c r="L429" s="8">
        <f>IF($D429="CBB",$C429,0)</f>
        <v>0</v>
      </c>
    </row>
    <row r="430" spans="1:12" x14ac:dyDescent="0.25">
      <c r="A430" s="6">
        <v>41640</v>
      </c>
      <c r="B430" t="s">
        <v>47</v>
      </c>
      <c r="C430" s="7">
        <v>-120</v>
      </c>
      <c r="D430" t="s">
        <v>6</v>
      </c>
      <c r="E430" s="8">
        <f>E429+F430</f>
        <v>108062</v>
      </c>
      <c r="F430" s="8">
        <f>IF($D430="CR01",$C430,0)</f>
        <v>-120</v>
      </c>
      <c r="G430" s="8">
        <f>G429+H430</f>
        <v>0</v>
      </c>
      <c r="H430" s="8">
        <f>IF($D430="VISA",$C430,0)</f>
        <v>0</v>
      </c>
      <c r="I430" s="8">
        <f>I429+J430</f>
        <v>0</v>
      </c>
      <c r="J430" s="8">
        <f>IF($D430="ACC",$C430,0)</f>
        <v>0</v>
      </c>
      <c r="K430" s="8">
        <f>K429+L430</f>
        <v>0</v>
      </c>
      <c r="L430" s="8">
        <f>IF($D430="CBB",$C430,0)</f>
        <v>0</v>
      </c>
    </row>
    <row r="431" spans="1:12" x14ac:dyDescent="0.25">
      <c r="A431" s="6">
        <v>41640</v>
      </c>
      <c r="B431" t="s">
        <v>58</v>
      </c>
      <c r="C431" s="7">
        <v>-200</v>
      </c>
      <c r="D431" t="s">
        <v>6</v>
      </c>
      <c r="E431" s="8">
        <f>E430+F431</f>
        <v>107862</v>
      </c>
      <c r="F431" s="8">
        <f>IF($D431="CR01",$C431,0)</f>
        <v>-200</v>
      </c>
      <c r="G431" s="8">
        <f>G430+H431</f>
        <v>0</v>
      </c>
      <c r="H431" s="8">
        <f>IF($D431="VISA",$C431,0)</f>
        <v>0</v>
      </c>
      <c r="I431" s="8">
        <f>I430+J431</f>
        <v>0</v>
      </c>
      <c r="J431" s="8">
        <f>IF($D431="ACC",$C431,0)</f>
        <v>0</v>
      </c>
      <c r="K431" s="8">
        <f>K430+L431</f>
        <v>0</v>
      </c>
      <c r="L431" s="8">
        <f>IF($D431="CBB",$C431,0)</f>
        <v>0</v>
      </c>
    </row>
    <row r="432" spans="1:12" x14ac:dyDescent="0.25">
      <c r="A432" s="6">
        <v>41640</v>
      </c>
      <c r="B432" t="s">
        <v>60</v>
      </c>
      <c r="C432" s="7">
        <v>-400</v>
      </c>
      <c r="D432" t="s">
        <v>6</v>
      </c>
      <c r="E432" s="8">
        <f>E431+F432</f>
        <v>107462</v>
      </c>
      <c r="F432" s="8">
        <f>IF($D432="CR01",$C432,0)</f>
        <v>-400</v>
      </c>
      <c r="G432" s="8">
        <f>G431+H432</f>
        <v>0</v>
      </c>
      <c r="H432" s="8">
        <f>IF($D432="VISA",$C432,0)</f>
        <v>0</v>
      </c>
      <c r="I432" s="8">
        <f>I431+J432</f>
        <v>0</v>
      </c>
      <c r="J432" s="8">
        <f>IF($D432="ACC",$C432,0)</f>
        <v>0</v>
      </c>
      <c r="K432" s="8">
        <f>K431+L432</f>
        <v>0</v>
      </c>
      <c r="L432" s="8">
        <f>IF($D432="CBB",$C432,0)</f>
        <v>0</v>
      </c>
    </row>
    <row r="433" spans="1:12" x14ac:dyDescent="0.25">
      <c r="A433" s="6">
        <v>41640</v>
      </c>
      <c r="B433" t="s">
        <v>61</v>
      </c>
      <c r="C433" s="7">
        <v>-300</v>
      </c>
      <c r="D433" t="s">
        <v>6</v>
      </c>
      <c r="E433" s="8">
        <f>E432+F433</f>
        <v>107162</v>
      </c>
      <c r="F433" s="8">
        <f>IF($D433="CR01",$C433,0)</f>
        <v>-300</v>
      </c>
      <c r="G433" s="8">
        <f>G432+H433</f>
        <v>0</v>
      </c>
      <c r="H433" s="8">
        <f>IF($D433="VISA",$C433,0)</f>
        <v>0</v>
      </c>
      <c r="I433" s="8">
        <f>I432+J433</f>
        <v>0</v>
      </c>
      <c r="J433" s="8">
        <f>IF($D433="ACC",$C433,0)</f>
        <v>0</v>
      </c>
      <c r="K433" s="8">
        <f>K432+L433</f>
        <v>0</v>
      </c>
      <c r="L433" s="8">
        <f>IF($D433="CBB",$C433,0)</f>
        <v>0</v>
      </c>
    </row>
    <row r="434" spans="1:12" x14ac:dyDescent="0.25">
      <c r="A434" s="6">
        <v>41640</v>
      </c>
      <c r="B434" t="s">
        <v>64</v>
      </c>
      <c r="C434" s="7">
        <v>-26</v>
      </c>
      <c r="D434" t="s">
        <v>6</v>
      </c>
      <c r="E434" s="8">
        <f>E433+F434</f>
        <v>107136</v>
      </c>
      <c r="F434" s="8">
        <f>IF($D434="CR01",$C434,0)</f>
        <v>-26</v>
      </c>
      <c r="G434" s="8">
        <f>G433+H434</f>
        <v>0</v>
      </c>
      <c r="H434" s="8">
        <f>IF($D434="VISA",$C434,0)</f>
        <v>0</v>
      </c>
      <c r="I434" s="8">
        <f>I433+J434</f>
        <v>0</v>
      </c>
      <c r="J434" s="8">
        <f>IF($D434="ACC",$C434,0)</f>
        <v>0</v>
      </c>
      <c r="K434" s="8">
        <f>K433+L434</f>
        <v>0</v>
      </c>
      <c r="L434" s="8">
        <f>IF($D434="CBB",$C434,0)</f>
        <v>0</v>
      </c>
    </row>
    <row r="435" spans="1:12" x14ac:dyDescent="0.25">
      <c r="A435" s="6">
        <v>41640</v>
      </c>
      <c r="B435" t="s">
        <v>65</v>
      </c>
      <c r="C435" s="7">
        <v>-240</v>
      </c>
      <c r="D435" t="s">
        <v>6</v>
      </c>
      <c r="E435" s="8">
        <f>E434+F435</f>
        <v>106896</v>
      </c>
      <c r="F435" s="8">
        <f>IF($D435="CR01",$C435,0)</f>
        <v>-240</v>
      </c>
      <c r="G435" s="8">
        <f>G434+H435</f>
        <v>0</v>
      </c>
      <c r="H435" s="8">
        <f>IF($D435="VISA",$C435,0)</f>
        <v>0</v>
      </c>
      <c r="I435" s="8">
        <f>I434+J435</f>
        <v>0</v>
      </c>
      <c r="J435" s="8">
        <f>IF($D435="ACC",$C435,0)</f>
        <v>0</v>
      </c>
      <c r="K435" s="8">
        <f>K434+L435</f>
        <v>0</v>
      </c>
      <c r="L435" s="8">
        <f>IF($D435="CBB",$C435,0)</f>
        <v>0</v>
      </c>
    </row>
    <row r="436" spans="1:12" x14ac:dyDescent="0.25">
      <c r="A436" s="6">
        <v>41640</v>
      </c>
      <c r="B436" t="s">
        <v>66</v>
      </c>
      <c r="C436" s="7">
        <v>-120</v>
      </c>
      <c r="D436" t="s">
        <v>6</v>
      </c>
      <c r="E436" s="8">
        <f>E435+F436</f>
        <v>106776</v>
      </c>
      <c r="F436" s="8">
        <f>IF($D436="CR01",$C436,0)</f>
        <v>-120</v>
      </c>
      <c r="G436" s="8">
        <f>G435+H436</f>
        <v>0</v>
      </c>
      <c r="H436" s="8">
        <f>IF($D436="VISA",$C436,0)</f>
        <v>0</v>
      </c>
      <c r="I436" s="8">
        <f>I435+J436</f>
        <v>0</v>
      </c>
      <c r="J436" s="8">
        <f>IF($D436="ACC",$C436,0)</f>
        <v>0</v>
      </c>
      <c r="K436" s="8">
        <f>K435+L436</f>
        <v>0</v>
      </c>
      <c r="L436" s="8">
        <f>IF($D436="CBB",$C436,0)</f>
        <v>0</v>
      </c>
    </row>
    <row r="437" spans="1:12" x14ac:dyDescent="0.25">
      <c r="A437" s="6">
        <v>41641</v>
      </c>
      <c r="B437" t="s">
        <v>44</v>
      </c>
      <c r="C437" s="7">
        <v>-400</v>
      </c>
      <c r="D437" t="s">
        <v>6</v>
      </c>
      <c r="E437" s="8">
        <f>E436+F437</f>
        <v>106376</v>
      </c>
      <c r="F437" s="8">
        <f>IF($D437="CR01",$C437,0)</f>
        <v>-400</v>
      </c>
      <c r="G437" s="8">
        <f>G436+H437</f>
        <v>0</v>
      </c>
      <c r="H437" s="8">
        <f>IF($D437="VISA",$C437,0)</f>
        <v>0</v>
      </c>
      <c r="I437" s="8">
        <f>I436+J437</f>
        <v>0</v>
      </c>
      <c r="J437" s="8">
        <f>IF($D437="ACC",$C437,0)</f>
        <v>0</v>
      </c>
      <c r="K437" s="8">
        <f>K436+L437</f>
        <v>0</v>
      </c>
      <c r="L437" s="8">
        <f>IF($D437="CBB",$C437,0)</f>
        <v>0</v>
      </c>
    </row>
    <row r="438" spans="1:12" x14ac:dyDescent="0.25">
      <c r="A438" s="6">
        <v>41641</v>
      </c>
      <c r="B438" t="s">
        <v>45</v>
      </c>
      <c r="C438" s="7">
        <v>-180</v>
      </c>
      <c r="D438" t="s">
        <v>6</v>
      </c>
      <c r="E438" s="8">
        <f>E437+F438</f>
        <v>106196</v>
      </c>
      <c r="F438" s="8">
        <f>IF($D438="CR01",$C438,0)</f>
        <v>-180</v>
      </c>
      <c r="G438" s="8">
        <f>G437+H438</f>
        <v>0</v>
      </c>
      <c r="H438" s="8">
        <f>IF($D438="VISA",$C438,0)</f>
        <v>0</v>
      </c>
      <c r="I438" s="8">
        <f>I437+J438</f>
        <v>0</v>
      </c>
      <c r="J438" s="8">
        <f>IF($D438="ACC",$C438,0)</f>
        <v>0</v>
      </c>
      <c r="K438" s="8">
        <f>K437+L438</f>
        <v>0</v>
      </c>
      <c r="L438" s="8">
        <f>IF($D438="CBB",$C438,0)</f>
        <v>0</v>
      </c>
    </row>
    <row r="439" spans="1:12" x14ac:dyDescent="0.25">
      <c r="A439" s="6">
        <v>41641</v>
      </c>
      <c r="B439" t="s">
        <v>46</v>
      </c>
      <c r="C439" s="7">
        <v>-300</v>
      </c>
      <c r="D439" t="s">
        <v>6</v>
      </c>
      <c r="E439" s="8">
        <f>E438+F439</f>
        <v>105896</v>
      </c>
      <c r="F439" s="8">
        <f>IF($D439="CR01",$C439,0)</f>
        <v>-300</v>
      </c>
      <c r="G439" s="8">
        <f>G438+H439</f>
        <v>0</v>
      </c>
      <c r="H439" s="8">
        <f>IF($D439="VISA",$C439,0)</f>
        <v>0</v>
      </c>
      <c r="I439" s="8">
        <f>I438+J439</f>
        <v>0</v>
      </c>
      <c r="J439" s="8">
        <f>IF($D439="ACC",$C439,0)</f>
        <v>0</v>
      </c>
      <c r="K439" s="8">
        <f>K438+L439</f>
        <v>0</v>
      </c>
      <c r="L439" s="8">
        <f>IF($D439="CBB",$C439,0)</f>
        <v>0</v>
      </c>
    </row>
    <row r="440" spans="1:12" x14ac:dyDescent="0.25">
      <c r="A440" s="6">
        <v>41641</v>
      </c>
      <c r="B440" t="s">
        <v>59</v>
      </c>
      <c r="C440" s="7">
        <v>-900</v>
      </c>
      <c r="D440" t="s">
        <v>6</v>
      </c>
      <c r="E440" s="8">
        <f>E439+F440</f>
        <v>104996</v>
      </c>
      <c r="F440" s="8">
        <f>IF($D440="CR01",$C440,0)</f>
        <v>-900</v>
      </c>
      <c r="G440" s="8">
        <f>G439+H440</f>
        <v>0</v>
      </c>
      <c r="H440" s="8">
        <f>IF($D440="VISA",$C440,0)</f>
        <v>0</v>
      </c>
      <c r="I440" s="8">
        <f>I439+J440</f>
        <v>0</v>
      </c>
      <c r="J440" s="8">
        <f>IF($D440="ACC",$C440,0)</f>
        <v>0</v>
      </c>
      <c r="K440" s="8">
        <f>K439+L440</f>
        <v>0</v>
      </c>
      <c r="L440" s="8">
        <f>IF($D440="CBB",$C440,0)</f>
        <v>0</v>
      </c>
    </row>
    <row r="441" spans="1:12" x14ac:dyDescent="0.25">
      <c r="A441" s="6">
        <v>41642</v>
      </c>
      <c r="B441" t="s">
        <v>43</v>
      </c>
      <c r="C441" s="7">
        <v>3226</v>
      </c>
      <c r="D441" t="s">
        <v>6</v>
      </c>
      <c r="E441" s="8">
        <f>E440+F441</f>
        <v>108222</v>
      </c>
      <c r="F441" s="8">
        <f>IF($D441="CR01",$C441,0)</f>
        <v>3226</v>
      </c>
      <c r="G441" s="8">
        <f>G440+H441</f>
        <v>0</v>
      </c>
      <c r="H441" s="8">
        <f>IF($D441="VISA",$C441,0)</f>
        <v>0</v>
      </c>
      <c r="I441" s="8">
        <f>I440+J441</f>
        <v>0</v>
      </c>
      <c r="J441" s="8">
        <f>IF($D441="ACC",$C441,0)</f>
        <v>0</v>
      </c>
      <c r="K441" s="8">
        <f>K440+L441</f>
        <v>0</v>
      </c>
      <c r="L441" s="8">
        <f>IF($D441="CBB",$C441,0)</f>
        <v>0</v>
      </c>
    </row>
    <row r="442" spans="1:12" x14ac:dyDescent="0.25">
      <c r="A442" s="6">
        <v>41646</v>
      </c>
      <c r="B442" t="s">
        <v>48</v>
      </c>
      <c r="C442" s="7">
        <v>-100</v>
      </c>
      <c r="D442" t="s">
        <v>6</v>
      </c>
      <c r="E442" s="8">
        <f>E441+F442</f>
        <v>108122</v>
      </c>
      <c r="F442" s="8">
        <f>IF($D442="CR01",$C442,0)</f>
        <v>-100</v>
      </c>
      <c r="G442" s="8">
        <f>G441+H442</f>
        <v>0</v>
      </c>
      <c r="H442" s="8">
        <f>IF($D442="VISA",$C442,0)</f>
        <v>0</v>
      </c>
      <c r="I442" s="8">
        <f>I441+J442</f>
        <v>0</v>
      </c>
      <c r="J442" s="8">
        <f>IF($D442="ACC",$C442,0)</f>
        <v>0</v>
      </c>
      <c r="K442" s="8">
        <f>K441+L442</f>
        <v>0</v>
      </c>
      <c r="L442" s="8">
        <f>IF($D442="CBB",$C442,0)</f>
        <v>0</v>
      </c>
    </row>
    <row r="443" spans="1:12" x14ac:dyDescent="0.25">
      <c r="A443" s="6">
        <v>41647</v>
      </c>
      <c r="B443" t="s">
        <v>47</v>
      </c>
      <c r="C443" s="7">
        <v>-120</v>
      </c>
      <c r="D443" t="s">
        <v>6</v>
      </c>
      <c r="E443" s="8">
        <f>E442+F443</f>
        <v>108002</v>
      </c>
      <c r="F443" s="8">
        <f>IF($D443="CR01",$C443,0)</f>
        <v>-120</v>
      </c>
      <c r="G443" s="8">
        <f>G442+H443</f>
        <v>0</v>
      </c>
      <c r="H443" s="8">
        <f>IF($D443="VISA",$C443,0)</f>
        <v>0</v>
      </c>
      <c r="I443" s="8">
        <f>I442+J443</f>
        <v>0</v>
      </c>
      <c r="J443" s="8">
        <f>IF($D443="ACC",$C443,0)</f>
        <v>0</v>
      </c>
      <c r="K443" s="8">
        <f>K442+L443</f>
        <v>0</v>
      </c>
      <c r="L443" s="8">
        <f>IF($D443="CBB",$C443,0)</f>
        <v>0</v>
      </c>
    </row>
    <row r="444" spans="1:12" x14ac:dyDescent="0.25">
      <c r="A444" s="6">
        <v>41648</v>
      </c>
      <c r="B444" t="s">
        <v>44</v>
      </c>
      <c r="C444" s="7">
        <v>-400</v>
      </c>
      <c r="D444" t="s">
        <v>6</v>
      </c>
      <c r="E444" s="8">
        <f>E443+F444</f>
        <v>107602</v>
      </c>
      <c r="F444" s="8">
        <f>IF($D444="CR01",$C444,0)</f>
        <v>-400</v>
      </c>
      <c r="G444" s="8">
        <f>G443+H444</f>
        <v>0</v>
      </c>
      <c r="H444" s="8">
        <f>IF($D444="VISA",$C444,0)</f>
        <v>0</v>
      </c>
      <c r="I444" s="8">
        <f>I443+J444</f>
        <v>0</v>
      </c>
      <c r="J444" s="8">
        <f>IF($D444="ACC",$C444,0)</f>
        <v>0</v>
      </c>
      <c r="K444" s="8">
        <f>K443+L444</f>
        <v>0</v>
      </c>
      <c r="L444" s="8">
        <f>IF($D444="CBB",$C444,0)</f>
        <v>0</v>
      </c>
    </row>
    <row r="445" spans="1:12" x14ac:dyDescent="0.25">
      <c r="A445" s="6">
        <v>41648</v>
      </c>
      <c r="B445" t="s">
        <v>45</v>
      </c>
      <c r="C445" s="7">
        <v>-180</v>
      </c>
      <c r="D445" t="s">
        <v>6</v>
      </c>
      <c r="E445" s="8">
        <f>E444+F445</f>
        <v>107422</v>
      </c>
      <c r="F445" s="8">
        <f>IF($D445="CR01",$C445,0)</f>
        <v>-180</v>
      </c>
      <c r="G445" s="8">
        <f>G444+H445</f>
        <v>0</v>
      </c>
      <c r="H445" s="8">
        <f>IF($D445="VISA",$C445,0)</f>
        <v>0</v>
      </c>
      <c r="I445" s="8">
        <f>I444+J445</f>
        <v>0</v>
      </c>
      <c r="J445" s="8">
        <f>IF($D445="ACC",$C445,0)</f>
        <v>0</v>
      </c>
      <c r="K445" s="8">
        <f>K444+L445</f>
        <v>0</v>
      </c>
      <c r="L445" s="8">
        <f>IF($D445="CBB",$C445,0)</f>
        <v>0</v>
      </c>
    </row>
    <row r="446" spans="1:12" x14ac:dyDescent="0.25">
      <c r="A446" s="6">
        <v>41648</v>
      </c>
      <c r="B446" t="s">
        <v>46</v>
      </c>
      <c r="C446" s="7">
        <v>-300</v>
      </c>
      <c r="D446" t="s">
        <v>6</v>
      </c>
      <c r="E446" s="8">
        <f>E445+F446</f>
        <v>107122</v>
      </c>
      <c r="F446" s="8">
        <f>IF($D446="CR01",$C446,0)</f>
        <v>-300</v>
      </c>
      <c r="G446" s="8">
        <f>G445+H446</f>
        <v>0</v>
      </c>
      <c r="H446" s="8">
        <f>IF($D446="VISA",$C446,0)</f>
        <v>0</v>
      </c>
      <c r="I446" s="8">
        <f>I445+J446</f>
        <v>0</v>
      </c>
      <c r="J446" s="8">
        <f>IF($D446="ACC",$C446,0)</f>
        <v>0</v>
      </c>
      <c r="K446" s="8">
        <f>K445+L446</f>
        <v>0</v>
      </c>
      <c r="L446" s="8">
        <f>IF($D446="CBB",$C446,0)</f>
        <v>0</v>
      </c>
    </row>
    <row r="447" spans="1:12" x14ac:dyDescent="0.25">
      <c r="A447" s="6">
        <v>41650</v>
      </c>
      <c r="B447" t="s">
        <v>67</v>
      </c>
      <c r="C447" s="7">
        <v>6800</v>
      </c>
      <c r="D447" t="s">
        <v>6</v>
      </c>
      <c r="E447" s="8">
        <f>E446+F447</f>
        <v>113922</v>
      </c>
      <c r="F447" s="8">
        <f>IF($D447="CR01",$C447,0)</f>
        <v>6800</v>
      </c>
      <c r="G447" s="8">
        <f>G446+H447</f>
        <v>0</v>
      </c>
      <c r="H447" s="8">
        <f>IF($D447="VISA",$C447,0)</f>
        <v>0</v>
      </c>
      <c r="I447" s="8">
        <f>I446+J447</f>
        <v>0</v>
      </c>
      <c r="J447" s="8">
        <f>IF($D447="ACC",$C447,0)</f>
        <v>0</v>
      </c>
      <c r="K447" s="8">
        <f>K446+L447</f>
        <v>0</v>
      </c>
      <c r="L447" s="8">
        <f>IF($D447="CBB",$C447,0)</f>
        <v>0</v>
      </c>
    </row>
    <row r="448" spans="1:12" x14ac:dyDescent="0.25">
      <c r="A448" s="6">
        <v>41653</v>
      </c>
      <c r="B448" t="s">
        <v>42</v>
      </c>
      <c r="C448" s="7">
        <v>-2806</v>
      </c>
      <c r="D448" t="s">
        <v>6</v>
      </c>
      <c r="E448" s="8">
        <f>E447+F448</f>
        <v>111116</v>
      </c>
      <c r="F448" s="8">
        <f>IF($D448="CR01",$C448,0)</f>
        <v>-2806</v>
      </c>
      <c r="G448" s="8">
        <f>G447+H448</f>
        <v>0</v>
      </c>
      <c r="H448" s="8">
        <f>IF($D448="VISA",$C448,0)</f>
        <v>0</v>
      </c>
      <c r="I448" s="8">
        <f>I447+J448</f>
        <v>0</v>
      </c>
      <c r="J448" s="8">
        <f>IF($D448="ACC",$C448,0)</f>
        <v>0</v>
      </c>
      <c r="K448" s="8">
        <f>K447+L448</f>
        <v>0</v>
      </c>
      <c r="L448" s="8">
        <f>IF($D448="CBB",$C448,0)</f>
        <v>0</v>
      </c>
    </row>
    <row r="449" spans="1:12" x14ac:dyDescent="0.25">
      <c r="A449" s="6">
        <v>41653</v>
      </c>
      <c r="B449" t="s">
        <v>48</v>
      </c>
      <c r="C449" s="7">
        <v>-100</v>
      </c>
      <c r="D449" t="s">
        <v>6</v>
      </c>
      <c r="E449" s="8">
        <f>E448+F449</f>
        <v>111016</v>
      </c>
      <c r="F449" s="8">
        <f>IF($D449="CR01",$C449,0)</f>
        <v>-100</v>
      </c>
      <c r="G449" s="8">
        <f>G448+H449</f>
        <v>0</v>
      </c>
      <c r="H449" s="8">
        <f>IF($D449="VISA",$C449,0)</f>
        <v>0</v>
      </c>
      <c r="I449" s="8">
        <f>I448+J449</f>
        <v>0</v>
      </c>
      <c r="J449" s="8">
        <f>IF($D449="ACC",$C449,0)</f>
        <v>0</v>
      </c>
      <c r="K449" s="8">
        <f>K448+L449</f>
        <v>0</v>
      </c>
      <c r="L449" s="8">
        <f>IF($D449="CBB",$C449,0)</f>
        <v>0</v>
      </c>
    </row>
    <row r="450" spans="1:12" x14ac:dyDescent="0.25">
      <c r="A450" s="6">
        <v>41654</v>
      </c>
      <c r="B450" t="s">
        <v>47</v>
      </c>
      <c r="C450" s="7">
        <v>-120</v>
      </c>
      <c r="D450" t="s">
        <v>6</v>
      </c>
      <c r="E450" s="8">
        <f>E449+F450</f>
        <v>110896</v>
      </c>
      <c r="F450" s="8">
        <f>IF($D450="CR01",$C450,0)</f>
        <v>-120</v>
      </c>
      <c r="G450" s="8">
        <f>G449+H450</f>
        <v>0</v>
      </c>
      <c r="H450" s="8">
        <f>IF($D450="VISA",$C450,0)</f>
        <v>0</v>
      </c>
      <c r="I450" s="8">
        <f>I449+J450</f>
        <v>0</v>
      </c>
      <c r="J450" s="8">
        <f>IF($D450="ACC",$C450,0)</f>
        <v>0</v>
      </c>
      <c r="K450" s="8">
        <f>K449+L450</f>
        <v>0</v>
      </c>
      <c r="L450" s="8">
        <f>IF($D450="CBB",$C450,0)</f>
        <v>0</v>
      </c>
    </row>
    <row r="451" spans="1:12" x14ac:dyDescent="0.25">
      <c r="A451" s="6">
        <v>41655</v>
      </c>
      <c r="B451" t="s">
        <v>44</v>
      </c>
      <c r="C451" s="7">
        <v>-400</v>
      </c>
      <c r="D451" t="s">
        <v>6</v>
      </c>
      <c r="E451" s="8">
        <f>E450+F451</f>
        <v>110496</v>
      </c>
      <c r="F451" s="8">
        <f>IF($D451="CR01",$C451,0)</f>
        <v>-400</v>
      </c>
      <c r="G451" s="8">
        <f>G450+H451</f>
        <v>0</v>
      </c>
      <c r="H451" s="8">
        <f>IF($D451="VISA",$C451,0)</f>
        <v>0</v>
      </c>
      <c r="I451" s="8">
        <f>I450+J451</f>
        <v>0</v>
      </c>
      <c r="J451" s="8">
        <f>IF($D451="ACC",$C451,0)</f>
        <v>0</v>
      </c>
      <c r="K451" s="8">
        <f>K450+L451</f>
        <v>0</v>
      </c>
      <c r="L451" s="8">
        <f>IF($D451="CBB",$C451,0)</f>
        <v>0</v>
      </c>
    </row>
    <row r="452" spans="1:12" x14ac:dyDescent="0.25">
      <c r="A452" s="6">
        <v>41655</v>
      </c>
      <c r="B452" t="s">
        <v>45</v>
      </c>
      <c r="C452" s="7">
        <v>-180</v>
      </c>
      <c r="D452" t="s">
        <v>6</v>
      </c>
      <c r="E452" s="8">
        <f>E451+F452</f>
        <v>110316</v>
      </c>
      <c r="F452" s="8">
        <f>IF($D452="CR01",$C452,0)</f>
        <v>-180</v>
      </c>
      <c r="G452" s="8">
        <f>G451+H452</f>
        <v>0</v>
      </c>
      <c r="H452" s="8">
        <f>IF($D452="VISA",$C452,0)</f>
        <v>0</v>
      </c>
      <c r="I452" s="8">
        <f>I451+J452</f>
        <v>0</v>
      </c>
      <c r="J452" s="8">
        <f>IF($D452="ACC",$C452,0)</f>
        <v>0</v>
      </c>
      <c r="K452" s="8">
        <f>K451+L452</f>
        <v>0</v>
      </c>
      <c r="L452" s="8">
        <f>IF($D452="CBB",$C452,0)</f>
        <v>0</v>
      </c>
    </row>
    <row r="453" spans="1:12" x14ac:dyDescent="0.25">
      <c r="A453" s="6">
        <v>41655</v>
      </c>
      <c r="B453" t="s">
        <v>46</v>
      </c>
      <c r="C453" s="7">
        <v>-300</v>
      </c>
      <c r="D453" t="s">
        <v>6</v>
      </c>
      <c r="E453" s="8">
        <f>E452+F453</f>
        <v>110016</v>
      </c>
      <c r="F453" s="8">
        <f>IF($D453="CR01",$C453,0)</f>
        <v>-300</v>
      </c>
      <c r="G453" s="8">
        <f>G452+H453</f>
        <v>0</v>
      </c>
      <c r="H453" s="8">
        <f>IF($D453="VISA",$C453,0)</f>
        <v>0</v>
      </c>
      <c r="I453" s="8">
        <f>I452+J453</f>
        <v>0</v>
      </c>
      <c r="J453" s="8">
        <f>IF($D453="ACC",$C453,0)</f>
        <v>0</v>
      </c>
      <c r="K453" s="8">
        <f>K452+L453</f>
        <v>0</v>
      </c>
      <c r="L453" s="8">
        <f>IF($D453="CBB",$C453,0)</f>
        <v>0</v>
      </c>
    </row>
    <row r="454" spans="1:12" x14ac:dyDescent="0.25">
      <c r="A454" s="6">
        <v>41656</v>
      </c>
      <c r="B454" t="s">
        <v>43</v>
      </c>
      <c r="C454" s="7">
        <v>3226</v>
      </c>
      <c r="D454" t="s">
        <v>6</v>
      </c>
      <c r="E454" s="8">
        <f>E453+F454</f>
        <v>113242</v>
      </c>
      <c r="F454" s="8">
        <f>IF($D454="CR01",$C454,0)</f>
        <v>3226</v>
      </c>
      <c r="G454" s="8">
        <f>G453+H454</f>
        <v>0</v>
      </c>
      <c r="H454" s="8">
        <f>IF($D454="VISA",$C454,0)</f>
        <v>0</v>
      </c>
      <c r="I454" s="8">
        <f>I453+J454</f>
        <v>0</v>
      </c>
      <c r="J454" s="8">
        <f>IF($D454="ACC",$C454,0)</f>
        <v>0</v>
      </c>
      <c r="K454" s="8">
        <f>K453+L454</f>
        <v>0</v>
      </c>
      <c r="L454" s="8">
        <f>IF($D454="CBB",$C454,0)</f>
        <v>0</v>
      </c>
    </row>
    <row r="455" spans="1:12" x14ac:dyDescent="0.25">
      <c r="A455" s="6">
        <v>41660</v>
      </c>
      <c r="B455" t="s">
        <v>48</v>
      </c>
      <c r="C455" s="7">
        <v>-100</v>
      </c>
      <c r="D455" t="s">
        <v>6</v>
      </c>
      <c r="E455" s="8">
        <f>E454+F455</f>
        <v>113142</v>
      </c>
      <c r="F455" s="8">
        <f>IF($D455="CR01",$C455,0)</f>
        <v>-100</v>
      </c>
      <c r="G455" s="8">
        <f>G454+H455</f>
        <v>0</v>
      </c>
      <c r="H455" s="8">
        <f>IF($D455="VISA",$C455,0)</f>
        <v>0</v>
      </c>
      <c r="I455" s="8">
        <f>I454+J455</f>
        <v>0</v>
      </c>
      <c r="J455" s="8">
        <f>IF($D455="ACC",$C455,0)</f>
        <v>0</v>
      </c>
      <c r="K455" s="8">
        <f>K454+L455</f>
        <v>0</v>
      </c>
      <c r="L455" s="8">
        <f>IF($D455="CBB",$C455,0)</f>
        <v>0</v>
      </c>
    </row>
    <row r="456" spans="1:12" x14ac:dyDescent="0.25">
      <c r="A456" s="6">
        <v>41661</v>
      </c>
      <c r="B456" t="s">
        <v>47</v>
      </c>
      <c r="C456" s="7">
        <v>-120</v>
      </c>
      <c r="D456" t="s">
        <v>6</v>
      </c>
      <c r="E456" s="8">
        <f>E455+F456</f>
        <v>113022</v>
      </c>
      <c r="F456" s="8">
        <f>IF($D456="CR01",$C456,0)</f>
        <v>-120</v>
      </c>
      <c r="G456" s="8">
        <f>G455+H456</f>
        <v>0</v>
      </c>
      <c r="H456" s="8">
        <f>IF($D456="VISA",$C456,0)</f>
        <v>0</v>
      </c>
      <c r="I456" s="8">
        <f>I455+J456</f>
        <v>0</v>
      </c>
      <c r="J456" s="8">
        <f>IF($D456="ACC",$C456,0)</f>
        <v>0</v>
      </c>
      <c r="K456" s="8">
        <f>K455+L456</f>
        <v>0</v>
      </c>
      <c r="L456" s="8">
        <f>IF($D456="CBB",$C456,0)</f>
        <v>0</v>
      </c>
    </row>
    <row r="457" spans="1:12" x14ac:dyDescent="0.25">
      <c r="A457" s="6">
        <v>41662</v>
      </c>
      <c r="B457" t="s">
        <v>44</v>
      </c>
      <c r="C457" s="7">
        <v>-400</v>
      </c>
      <c r="D457" t="s">
        <v>6</v>
      </c>
      <c r="E457" s="8">
        <f>E456+F457</f>
        <v>112622</v>
      </c>
      <c r="F457" s="8">
        <f>IF($D457="CR01",$C457,0)</f>
        <v>-400</v>
      </c>
      <c r="G457" s="8">
        <f>G456+H457</f>
        <v>0</v>
      </c>
      <c r="H457" s="8">
        <f>IF($D457="VISA",$C457,0)</f>
        <v>0</v>
      </c>
      <c r="I457" s="8">
        <f>I456+J457</f>
        <v>0</v>
      </c>
      <c r="J457" s="8">
        <f>IF($D457="ACC",$C457,0)</f>
        <v>0</v>
      </c>
      <c r="K457" s="8">
        <f>K456+L457</f>
        <v>0</v>
      </c>
      <c r="L457" s="8">
        <f>IF($D457="CBB",$C457,0)</f>
        <v>0</v>
      </c>
    </row>
    <row r="458" spans="1:12" x14ac:dyDescent="0.25">
      <c r="A458" s="6">
        <v>41662</v>
      </c>
      <c r="B458" t="s">
        <v>45</v>
      </c>
      <c r="C458" s="7">
        <v>-180</v>
      </c>
      <c r="D458" t="s">
        <v>6</v>
      </c>
      <c r="E458" s="8">
        <f>E457+F458</f>
        <v>112442</v>
      </c>
      <c r="F458" s="8">
        <f>IF($D458="CR01",$C458,0)</f>
        <v>-180</v>
      </c>
      <c r="G458" s="8">
        <f>G457+H458</f>
        <v>0</v>
      </c>
      <c r="H458" s="8">
        <f>IF($D458="VISA",$C458,0)</f>
        <v>0</v>
      </c>
      <c r="I458" s="8">
        <f>I457+J458</f>
        <v>0</v>
      </c>
      <c r="J458" s="8">
        <f>IF($D458="ACC",$C458,0)</f>
        <v>0</v>
      </c>
      <c r="K458" s="8">
        <f>K457+L458</f>
        <v>0</v>
      </c>
      <c r="L458" s="8">
        <f>IF($D458="CBB",$C458,0)</f>
        <v>0</v>
      </c>
    </row>
    <row r="459" spans="1:12" x14ac:dyDescent="0.25">
      <c r="A459" s="6">
        <v>41662</v>
      </c>
      <c r="B459" t="s">
        <v>46</v>
      </c>
      <c r="C459" s="7">
        <v>-300</v>
      </c>
      <c r="D459" t="s">
        <v>6</v>
      </c>
      <c r="E459" s="8">
        <f>E458+F459</f>
        <v>112142</v>
      </c>
      <c r="F459" s="8">
        <f>IF($D459="CR01",$C459,0)</f>
        <v>-300</v>
      </c>
      <c r="G459" s="8">
        <f>G458+H459</f>
        <v>0</v>
      </c>
      <c r="H459" s="8">
        <f>IF($D459="VISA",$C459,0)</f>
        <v>0</v>
      </c>
      <c r="I459" s="8">
        <f>I458+J459</f>
        <v>0</v>
      </c>
      <c r="J459" s="8">
        <f>IF($D459="ACC",$C459,0)</f>
        <v>0</v>
      </c>
      <c r="K459" s="8">
        <f>K458+L459</f>
        <v>0</v>
      </c>
      <c r="L459" s="8">
        <f>IF($D459="CBB",$C459,0)</f>
        <v>0</v>
      </c>
    </row>
    <row r="460" spans="1:12" x14ac:dyDescent="0.25">
      <c r="A460" s="6">
        <v>41664</v>
      </c>
      <c r="B460" t="s">
        <v>67</v>
      </c>
      <c r="C460" s="7">
        <v>6800</v>
      </c>
      <c r="D460" t="s">
        <v>6</v>
      </c>
      <c r="E460" s="8">
        <f>E459+F460</f>
        <v>118942</v>
      </c>
      <c r="F460" s="8">
        <f>IF($D460="CR01",$C460,0)</f>
        <v>6800</v>
      </c>
      <c r="G460" s="8">
        <f>G459+H460</f>
        <v>0</v>
      </c>
      <c r="H460" s="8">
        <f>IF($D460="VISA",$C460,0)</f>
        <v>0</v>
      </c>
      <c r="I460" s="8">
        <f>I459+J460</f>
        <v>0</v>
      </c>
      <c r="J460" s="8">
        <f>IF($D460="ACC",$C460,0)</f>
        <v>0</v>
      </c>
      <c r="K460" s="8">
        <f>K459+L460</f>
        <v>0</v>
      </c>
      <c r="L460" s="8">
        <f>IF($D460="CBB",$C460,0)</f>
        <v>0</v>
      </c>
    </row>
    <row r="461" spans="1:12" x14ac:dyDescent="0.25">
      <c r="A461" s="6">
        <v>41667</v>
      </c>
      <c r="B461" t="s">
        <v>42</v>
      </c>
      <c r="C461" s="7">
        <v>-2806</v>
      </c>
      <c r="D461" t="s">
        <v>6</v>
      </c>
      <c r="E461" s="8">
        <f>E460+F461</f>
        <v>116136</v>
      </c>
      <c r="F461" s="8">
        <f>IF($D461="CR01",$C461,0)</f>
        <v>-2806</v>
      </c>
      <c r="G461" s="8">
        <f>G460+H461</f>
        <v>0</v>
      </c>
      <c r="H461" s="8">
        <f>IF($D461="VISA",$C461,0)</f>
        <v>0</v>
      </c>
      <c r="I461" s="8">
        <f>I460+J461</f>
        <v>0</v>
      </c>
      <c r="J461" s="8">
        <f>IF($D461="ACC",$C461,0)</f>
        <v>0</v>
      </c>
      <c r="K461" s="8">
        <f>K460+L461</f>
        <v>0</v>
      </c>
      <c r="L461" s="8">
        <f>IF($D461="CBB",$C461,0)</f>
        <v>0</v>
      </c>
    </row>
    <row r="462" spans="1:12" x14ac:dyDescent="0.25">
      <c r="A462" s="6">
        <v>41667</v>
      </c>
      <c r="B462" t="s">
        <v>48</v>
      </c>
      <c r="C462" s="7">
        <v>-100</v>
      </c>
      <c r="D462" t="s">
        <v>6</v>
      </c>
      <c r="E462" s="8">
        <f>E461+F462</f>
        <v>116036</v>
      </c>
      <c r="F462" s="8">
        <f>IF($D462="CR01",$C462,0)</f>
        <v>-100</v>
      </c>
      <c r="G462" s="8">
        <f>G461+H462</f>
        <v>0</v>
      </c>
      <c r="H462" s="8">
        <f>IF($D462="VISA",$C462,0)</f>
        <v>0</v>
      </c>
      <c r="I462" s="8">
        <f>I461+J462</f>
        <v>0</v>
      </c>
      <c r="J462" s="8">
        <f>IF($D462="ACC",$C462,0)</f>
        <v>0</v>
      </c>
      <c r="K462" s="8">
        <f>K461+L462</f>
        <v>0</v>
      </c>
      <c r="L462" s="8">
        <f>IF($D462="CBB",$C462,0)</f>
        <v>0</v>
      </c>
    </row>
    <row r="463" spans="1:12" x14ac:dyDescent="0.25">
      <c r="A463" s="6">
        <v>41668</v>
      </c>
      <c r="B463" t="s">
        <v>47</v>
      </c>
      <c r="C463" s="7">
        <v>-120</v>
      </c>
      <c r="D463" t="s">
        <v>6</v>
      </c>
      <c r="E463" s="8">
        <f>E462+F463</f>
        <v>115916</v>
      </c>
      <c r="F463" s="8">
        <f>IF($D463="CR01",$C463,0)</f>
        <v>-120</v>
      </c>
      <c r="G463" s="8">
        <f>G462+H463</f>
        <v>0</v>
      </c>
      <c r="H463" s="8">
        <f>IF($D463="VISA",$C463,0)</f>
        <v>0</v>
      </c>
      <c r="I463" s="8">
        <f>I462+J463</f>
        <v>0</v>
      </c>
      <c r="J463" s="8">
        <f>IF($D463="ACC",$C463,0)</f>
        <v>0</v>
      </c>
      <c r="K463" s="8">
        <f>K462+L463</f>
        <v>0</v>
      </c>
      <c r="L463" s="8">
        <f>IF($D463="CBB",$C463,0)</f>
        <v>0</v>
      </c>
    </row>
    <row r="464" spans="1:12" x14ac:dyDescent="0.25">
      <c r="A464" s="6">
        <v>41669</v>
      </c>
      <c r="B464" t="s">
        <v>44</v>
      </c>
      <c r="C464" s="7">
        <v>-400</v>
      </c>
      <c r="D464" t="s">
        <v>6</v>
      </c>
      <c r="E464" s="8">
        <f>E463+F464</f>
        <v>115516</v>
      </c>
      <c r="F464" s="8">
        <f>IF($D464="CR01",$C464,0)</f>
        <v>-400</v>
      </c>
      <c r="G464" s="8">
        <f>G463+H464</f>
        <v>0</v>
      </c>
      <c r="H464" s="8">
        <f>IF($D464="VISA",$C464,0)</f>
        <v>0</v>
      </c>
      <c r="I464" s="8">
        <f>I463+J464</f>
        <v>0</v>
      </c>
      <c r="J464" s="8">
        <f>IF($D464="ACC",$C464,0)</f>
        <v>0</v>
      </c>
      <c r="K464" s="8">
        <f>K463+L464</f>
        <v>0</v>
      </c>
      <c r="L464" s="8">
        <f>IF($D464="CBB",$C464,0)</f>
        <v>0</v>
      </c>
    </row>
    <row r="465" spans="1:12" x14ac:dyDescent="0.25">
      <c r="A465" s="6">
        <v>41669</v>
      </c>
      <c r="B465" t="s">
        <v>45</v>
      </c>
      <c r="C465" s="7">
        <v>-180</v>
      </c>
      <c r="D465" t="s">
        <v>6</v>
      </c>
      <c r="E465" s="8">
        <f>E464+F465</f>
        <v>115336</v>
      </c>
      <c r="F465" s="8">
        <f>IF($D465="CR01",$C465,0)</f>
        <v>-180</v>
      </c>
      <c r="G465" s="8">
        <f>G464+H465</f>
        <v>0</v>
      </c>
      <c r="H465" s="8">
        <f>IF($D465="VISA",$C465,0)</f>
        <v>0</v>
      </c>
      <c r="I465" s="8">
        <f>I464+J465</f>
        <v>0</v>
      </c>
      <c r="J465" s="8">
        <f>IF($D465="ACC",$C465,0)</f>
        <v>0</v>
      </c>
      <c r="K465" s="8">
        <f>K464+L465</f>
        <v>0</v>
      </c>
      <c r="L465" s="8">
        <f>IF($D465="CBB",$C465,0)</f>
        <v>0</v>
      </c>
    </row>
    <row r="466" spans="1:12" x14ac:dyDescent="0.25">
      <c r="A466" s="6">
        <v>41669</v>
      </c>
      <c r="B466" t="s">
        <v>46</v>
      </c>
      <c r="C466" s="7">
        <v>-300</v>
      </c>
      <c r="D466" t="s">
        <v>6</v>
      </c>
      <c r="E466" s="8">
        <f>E465+F466</f>
        <v>115036</v>
      </c>
      <c r="F466" s="8">
        <f>IF($D466="CR01",$C466,0)</f>
        <v>-300</v>
      </c>
      <c r="G466" s="8">
        <f>G465+H466</f>
        <v>0</v>
      </c>
      <c r="H466" s="8">
        <f>IF($D466="VISA",$C466,0)</f>
        <v>0</v>
      </c>
      <c r="I466" s="8">
        <f>I465+J466</f>
        <v>0</v>
      </c>
      <c r="J466" s="8">
        <f>IF($D466="ACC",$C466,0)</f>
        <v>0</v>
      </c>
      <c r="K466" s="8">
        <f>K465+L466</f>
        <v>0</v>
      </c>
      <c r="L466" s="8">
        <f>IF($D466="CBB",$C466,0)</f>
        <v>0</v>
      </c>
    </row>
    <row r="467" spans="1:12" x14ac:dyDescent="0.25">
      <c r="A467" s="6">
        <v>41670</v>
      </c>
      <c r="B467" t="s">
        <v>43</v>
      </c>
      <c r="C467" s="7">
        <v>3226</v>
      </c>
      <c r="D467" t="s">
        <v>6</v>
      </c>
      <c r="E467" s="8">
        <f>E466+F467</f>
        <v>118262</v>
      </c>
      <c r="F467" s="8">
        <f>IF($D467="CR01",$C467,0)</f>
        <v>3226</v>
      </c>
      <c r="G467" s="8">
        <f>G466+H467</f>
        <v>0</v>
      </c>
      <c r="H467" s="8">
        <f>IF($D467="VISA",$C467,0)</f>
        <v>0</v>
      </c>
      <c r="I467" s="8">
        <f>I466+J467</f>
        <v>0</v>
      </c>
      <c r="J467" s="8">
        <f>IF($D467="ACC",$C467,0)</f>
        <v>0</v>
      </c>
      <c r="K467" s="8">
        <f>K466+L467</f>
        <v>0</v>
      </c>
      <c r="L467" s="8">
        <f>IF($D467="CBB",$C467,0)</f>
        <v>0</v>
      </c>
    </row>
    <row r="468" spans="1:12" x14ac:dyDescent="0.25">
      <c r="A468" s="6">
        <v>41671</v>
      </c>
      <c r="B468" t="s">
        <v>58</v>
      </c>
      <c r="C468" s="7">
        <v>-200</v>
      </c>
      <c r="D468" t="s">
        <v>6</v>
      </c>
      <c r="E468" s="8">
        <f>E467+F468</f>
        <v>118062</v>
      </c>
      <c r="F468" s="8">
        <f>IF($D468="CR01",$C468,0)</f>
        <v>-200</v>
      </c>
      <c r="G468" s="8">
        <f>G467+H468</f>
        <v>0</v>
      </c>
      <c r="H468" s="8">
        <f>IF($D468="VISA",$C468,0)</f>
        <v>0</v>
      </c>
      <c r="I468" s="8">
        <f>I467+J468</f>
        <v>0</v>
      </c>
      <c r="J468" s="8">
        <f>IF($D468="ACC",$C468,0)</f>
        <v>0</v>
      </c>
      <c r="K468" s="8">
        <f>K467+L468</f>
        <v>0</v>
      </c>
      <c r="L468" s="8">
        <f>IF($D468="CBB",$C468,0)</f>
        <v>0</v>
      </c>
    </row>
    <row r="469" spans="1:12" x14ac:dyDescent="0.25">
      <c r="A469" s="6">
        <v>41671</v>
      </c>
      <c r="B469" t="s">
        <v>60</v>
      </c>
      <c r="C469" s="7">
        <v>-400</v>
      </c>
      <c r="D469" t="s">
        <v>6</v>
      </c>
      <c r="E469" s="8">
        <f>E468+F469</f>
        <v>117662</v>
      </c>
      <c r="F469" s="8">
        <f>IF($D469="CR01",$C469,0)</f>
        <v>-400</v>
      </c>
      <c r="G469" s="8">
        <f>G468+H469</f>
        <v>0</v>
      </c>
      <c r="H469" s="8">
        <f>IF($D469="VISA",$C469,0)</f>
        <v>0</v>
      </c>
      <c r="I469" s="8">
        <f>I468+J469</f>
        <v>0</v>
      </c>
      <c r="J469" s="8">
        <f>IF($D469="ACC",$C469,0)</f>
        <v>0</v>
      </c>
      <c r="K469" s="8">
        <f>K468+L469</f>
        <v>0</v>
      </c>
      <c r="L469" s="8">
        <f>IF($D469="CBB",$C469,0)</f>
        <v>0</v>
      </c>
    </row>
    <row r="470" spans="1:12" x14ac:dyDescent="0.25">
      <c r="A470" s="6">
        <v>41671</v>
      </c>
      <c r="B470" t="s">
        <v>62</v>
      </c>
      <c r="C470" s="7">
        <v>-300</v>
      </c>
      <c r="D470" t="s">
        <v>6</v>
      </c>
      <c r="E470" s="8">
        <f>E469+F470</f>
        <v>117362</v>
      </c>
      <c r="F470" s="8">
        <f>IF($D470="CR01",$C470,0)</f>
        <v>-300</v>
      </c>
      <c r="G470" s="8">
        <f>G469+H470</f>
        <v>0</v>
      </c>
      <c r="H470" s="8">
        <f>IF($D470="VISA",$C470,0)</f>
        <v>0</v>
      </c>
      <c r="I470" s="8">
        <f>I469+J470</f>
        <v>0</v>
      </c>
      <c r="J470" s="8">
        <f>IF($D470="ACC",$C470,0)</f>
        <v>0</v>
      </c>
      <c r="K470" s="8">
        <f>K469+L470</f>
        <v>0</v>
      </c>
      <c r="L470" s="8">
        <f>IF($D470="CBB",$C470,0)</f>
        <v>0</v>
      </c>
    </row>
    <row r="471" spans="1:12" x14ac:dyDescent="0.25">
      <c r="A471" s="6">
        <v>41671</v>
      </c>
      <c r="B471" t="s">
        <v>63</v>
      </c>
      <c r="C471" s="7">
        <v>-300</v>
      </c>
      <c r="D471" t="s">
        <v>6</v>
      </c>
      <c r="E471" s="8">
        <f>E470+F471</f>
        <v>117062</v>
      </c>
      <c r="F471" s="8">
        <f>IF($D471="CR01",$C471,0)</f>
        <v>-300</v>
      </c>
      <c r="G471" s="8">
        <f>G470+H471</f>
        <v>0</v>
      </c>
      <c r="H471" s="8">
        <f>IF($D471="VISA",$C471,0)</f>
        <v>0</v>
      </c>
      <c r="I471" s="8">
        <f>I470+J471</f>
        <v>0</v>
      </c>
      <c r="J471" s="8">
        <f>IF($D471="ACC",$C471,0)</f>
        <v>0</v>
      </c>
      <c r="K471" s="8">
        <f>K470+L471</f>
        <v>0</v>
      </c>
      <c r="L471" s="8">
        <f>IF($D471="CBB",$C471,0)</f>
        <v>0</v>
      </c>
    </row>
    <row r="472" spans="1:12" x14ac:dyDescent="0.25">
      <c r="A472" s="6">
        <v>41671</v>
      </c>
      <c r="B472" t="s">
        <v>64</v>
      </c>
      <c r="C472" s="7">
        <v>-26</v>
      </c>
      <c r="D472" t="s">
        <v>6</v>
      </c>
      <c r="E472" s="8">
        <f>E471+F472</f>
        <v>117036</v>
      </c>
      <c r="F472" s="8">
        <f>IF($D472="CR01",$C472,0)</f>
        <v>-26</v>
      </c>
      <c r="G472" s="8">
        <f>G471+H472</f>
        <v>0</v>
      </c>
      <c r="H472" s="8">
        <f>IF($D472="VISA",$C472,0)</f>
        <v>0</v>
      </c>
      <c r="I472" s="8">
        <f>I471+J472</f>
        <v>0</v>
      </c>
      <c r="J472" s="8">
        <f>IF($D472="ACC",$C472,0)</f>
        <v>0</v>
      </c>
      <c r="K472" s="8">
        <f>K471+L472</f>
        <v>0</v>
      </c>
      <c r="L472" s="8">
        <f>IF($D472="CBB",$C472,0)</f>
        <v>0</v>
      </c>
    </row>
    <row r="473" spans="1:12" x14ac:dyDescent="0.25">
      <c r="A473" s="6">
        <v>41671</v>
      </c>
      <c r="B473" t="s">
        <v>65</v>
      </c>
      <c r="C473" s="7">
        <v>-240</v>
      </c>
      <c r="D473" t="s">
        <v>6</v>
      </c>
      <c r="E473" s="8">
        <f>E472+F473</f>
        <v>116796</v>
      </c>
      <c r="F473" s="8">
        <f>IF($D473="CR01",$C473,0)</f>
        <v>-240</v>
      </c>
      <c r="G473" s="8">
        <f>G472+H473</f>
        <v>0</v>
      </c>
      <c r="H473" s="8">
        <f>IF($D473="VISA",$C473,0)</f>
        <v>0</v>
      </c>
      <c r="I473" s="8">
        <f>I472+J473</f>
        <v>0</v>
      </c>
      <c r="J473" s="8">
        <f>IF($D473="ACC",$C473,0)</f>
        <v>0</v>
      </c>
      <c r="K473" s="8">
        <f>K472+L473</f>
        <v>0</v>
      </c>
      <c r="L473" s="8">
        <f>IF($D473="CBB",$C473,0)</f>
        <v>0</v>
      </c>
    </row>
    <row r="474" spans="1:12" x14ac:dyDescent="0.25">
      <c r="A474" s="6">
        <v>41671</v>
      </c>
      <c r="B474" t="s">
        <v>66</v>
      </c>
      <c r="C474" s="7">
        <v>-120</v>
      </c>
      <c r="D474" t="s">
        <v>6</v>
      </c>
      <c r="E474" s="8">
        <f>E473+F474</f>
        <v>116676</v>
      </c>
      <c r="F474" s="8">
        <f>IF($D474="CR01",$C474,0)</f>
        <v>-120</v>
      </c>
      <c r="G474" s="8">
        <f>G473+H474</f>
        <v>0</v>
      </c>
      <c r="H474" s="8">
        <f>IF($D474="VISA",$C474,0)</f>
        <v>0</v>
      </c>
      <c r="I474" s="8">
        <f>I473+J474</f>
        <v>0</v>
      </c>
      <c r="J474" s="8">
        <f>IF($D474="ACC",$C474,0)</f>
        <v>0</v>
      </c>
      <c r="K474" s="8">
        <f>K473+L474</f>
        <v>0</v>
      </c>
      <c r="L474" s="8">
        <f>IF($D474="CBB",$C474,0)</f>
        <v>0</v>
      </c>
    </row>
    <row r="475" spans="1:12" x14ac:dyDescent="0.25">
      <c r="A475" s="6">
        <v>41672</v>
      </c>
      <c r="B475" t="s">
        <v>59</v>
      </c>
      <c r="C475" s="7">
        <v>-900</v>
      </c>
      <c r="D475" t="s">
        <v>6</v>
      </c>
      <c r="E475" s="8">
        <f>E474+F475</f>
        <v>115776</v>
      </c>
      <c r="F475" s="8">
        <f>IF($D475="CR01",$C475,0)</f>
        <v>-900</v>
      </c>
      <c r="G475" s="8">
        <f>G474+H475</f>
        <v>0</v>
      </c>
      <c r="H475" s="8">
        <f>IF($D475="VISA",$C475,0)</f>
        <v>0</v>
      </c>
      <c r="I475" s="8">
        <f>I474+J475</f>
        <v>0</v>
      </c>
      <c r="J475" s="8">
        <f>IF($D475="ACC",$C475,0)</f>
        <v>0</v>
      </c>
      <c r="K475" s="8">
        <f>K474+L475</f>
        <v>0</v>
      </c>
      <c r="L475" s="8">
        <f>IF($D475="CBB",$C475,0)</f>
        <v>0</v>
      </c>
    </row>
    <row r="476" spans="1:12" x14ac:dyDescent="0.25">
      <c r="A476" s="6">
        <v>41674</v>
      </c>
      <c r="B476" t="s">
        <v>48</v>
      </c>
      <c r="C476" s="7">
        <v>-100</v>
      </c>
      <c r="D476" t="s">
        <v>6</v>
      </c>
      <c r="E476" s="8">
        <f>E475+F476</f>
        <v>115676</v>
      </c>
      <c r="F476" s="8">
        <f>IF($D476="CR01",$C476,0)</f>
        <v>-100</v>
      </c>
      <c r="G476" s="8">
        <f>G475+H476</f>
        <v>0</v>
      </c>
      <c r="H476" s="8">
        <f>IF($D476="VISA",$C476,0)</f>
        <v>0</v>
      </c>
      <c r="I476" s="8">
        <f>I475+J476</f>
        <v>0</v>
      </c>
      <c r="J476" s="8">
        <f>IF($D476="ACC",$C476,0)</f>
        <v>0</v>
      </c>
      <c r="K476" s="8">
        <f>K475+L476</f>
        <v>0</v>
      </c>
      <c r="L476" s="8">
        <f>IF($D476="CBB",$C476,0)</f>
        <v>0</v>
      </c>
    </row>
    <row r="477" spans="1:12" x14ac:dyDescent="0.25">
      <c r="A477" s="6">
        <v>41675</v>
      </c>
      <c r="B477" t="s">
        <v>47</v>
      </c>
      <c r="C477" s="7">
        <v>-120</v>
      </c>
      <c r="D477" t="s">
        <v>6</v>
      </c>
      <c r="E477" s="8">
        <f>E476+F477</f>
        <v>115556</v>
      </c>
      <c r="F477" s="8">
        <f>IF($D477="CR01",$C477,0)</f>
        <v>-120</v>
      </c>
      <c r="G477" s="8">
        <f>G476+H477</f>
        <v>0</v>
      </c>
      <c r="H477" s="8">
        <f>IF($D477="VISA",$C477,0)</f>
        <v>0</v>
      </c>
      <c r="I477" s="8">
        <f>I476+J477</f>
        <v>0</v>
      </c>
      <c r="J477" s="8">
        <f>IF($D477="ACC",$C477,0)</f>
        <v>0</v>
      </c>
      <c r="K477" s="8">
        <f>K476+L477</f>
        <v>0</v>
      </c>
      <c r="L477" s="8">
        <f>IF($D477="CBB",$C477,0)</f>
        <v>0</v>
      </c>
    </row>
    <row r="478" spans="1:12" x14ac:dyDescent="0.25">
      <c r="A478" s="6">
        <v>41676</v>
      </c>
      <c r="B478" t="s">
        <v>44</v>
      </c>
      <c r="C478" s="7">
        <v>-400</v>
      </c>
      <c r="D478" t="s">
        <v>6</v>
      </c>
      <c r="E478" s="8">
        <f>E477+F478</f>
        <v>115156</v>
      </c>
      <c r="F478" s="8">
        <f>IF($D478="CR01",$C478,0)</f>
        <v>-400</v>
      </c>
      <c r="G478" s="8">
        <f>G477+H478</f>
        <v>0</v>
      </c>
      <c r="H478" s="8">
        <f>IF($D478="VISA",$C478,0)</f>
        <v>0</v>
      </c>
      <c r="I478" s="8">
        <f>I477+J478</f>
        <v>0</v>
      </c>
      <c r="J478" s="8">
        <f>IF($D478="ACC",$C478,0)</f>
        <v>0</v>
      </c>
      <c r="K478" s="8">
        <f>K477+L478</f>
        <v>0</v>
      </c>
      <c r="L478" s="8">
        <f>IF($D478="CBB",$C478,0)</f>
        <v>0</v>
      </c>
    </row>
    <row r="479" spans="1:12" x14ac:dyDescent="0.25">
      <c r="A479" s="6">
        <v>41676</v>
      </c>
      <c r="B479" t="s">
        <v>45</v>
      </c>
      <c r="C479" s="7">
        <v>-180</v>
      </c>
      <c r="D479" t="s">
        <v>6</v>
      </c>
      <c r="E479" s="8">
        <f>E478+F479</f>
        <v>114976</v>
      </c>
      <c r="F479" s="8">
        <f>IF($D479="CR01",$C479,0)</f>
        <v>-180</v>
      </c>
      <c r="G479" s="8">
        <f>G478+H479</f>
        <v>0</v>
      </c>
      <c r="H479" s="8">
        <f>IF($D479="VISA",$C479,0)</f>
        <v>0</v>
      </c>
      <c r="I479" s="8">
        <f>I478+J479</f>
        <v>0</v>
      </c>
      <c r="J479" s="8">
        <f>IF($D479="ACC",$C479,0)</f>
        <v>0</v>
      </c>
      <c r="K479" s="8">
        <f>K478+L479</f>
        <v>0</v>
      </c>
      <c r="L479" s="8">
        <f>IF($D479="CBB",$C479,0)</f>
        <v>0</v>
      </c>
    </row>
    <row r="480" spans="1:12" x14ac:dyDescent="0.25">
      <c r="A480" s="6">
        <v>41676</v>
      </c>
      <c r="B480" t="s">
        <v>46</v>
      </c>
      <c r="C480" s="7">
        <v>-300</v>
      </c>
      <c r="D480" t="s">
        <v>6</v>
      </c>
      <c r="E480" s="8">
        <f>E479+F480</f>
        <v>114676</v>
      </c>
      <c r="F480" s="8">
        <f>IF($D480="CR01",$C480,0)</f>
        <v>-300</v>
      </c>
      <c r="G480" s="8">
        <f>G479+H480</f>
        <v>0</v>
      </c>
      <c r="H480" s="8">
        <f>IF($D480="VISA",$C480,0)</f>
        <v>0</v>
      </c>
      <c r="I480" s="8">
        <f>I479+J480</f>
        <v>0</v>
      </c>
      <c r="J480" s="8">
        <f>IF($D480="ACC",$C480,0)</f>
        <v>0</v>
      </c>
      <c r="K480" s="8">
        <f>K479+L480</f>
        <v>0</v>
      </c>
      <c r="L480" s="8">
        <f>IF($D480="CBB",$C480,0)</f>
        <v>0</v>
      </c>
    </row>
    <row r="481" spans="1:12" x14ac:dyDescent="0.25">
      <c r="A481" s="6">
        <v>41678</v>
      </c>
      <c r="B481" t="s">
        <v>67</v>
      </c>
      <c r="C481" s="7">
        <v>6800</v>
      </c>
      <c r="D481" t="s">
        <v>6</v>
      </c>
      <c r="E481" s="8">
        <f>E480+F481</f>
        <v>121476</v>
      </c>
      <c r="F481" s="8">
        <f>IF($D481="CR01",$C481,0)</f>
        <v>6800</v>
      </c>
      <c r="G481" s="8">
        <f>G480+H481</f>
        <v>0</v>
      </c>
      <c r="H481" s="8">
        <f>IF($D481="VISA",$C481,0)</f>
        <v>0</v>
      </c>
      <c r="I481" s="8">
        <f>I480+J481</f>
        <v>0</v>
      </c>
      <c r="J481" s="8">
        <f>IF($D481="ACC",$C481,0)</f>
        <v>0</v>
      </c>
      <c r="K481" s="8">
        <f>K480+L481</f>
        <v>0</v>
      </c>
      <c r="L481" s="8">
        <f>IF($D481="CBB",$C481,0)</f>
        <v>0</v>
      </c>
    </row>
    <row r="482" spans="1:12" x14ac:dyDescent="0.25">
      <c r="A482" s="6">
        <v>41681</v>
      </c>
      <c r="B482" t="s">
        <v>42</v>
      </c>
      <c r="C482" s="7">
        <v>-2806</v>
      </c>
      <c r="D482" t="s">
        <v>6</v>
      </c>
      <c r="E482" s="8">
        <f>E481+F482</f>
        <v>118670</v>
      </c>
      <c r="F482" s="8">
        <f>IF($D482="CR01",$C482,0)</f>
        <v>-2806</v>
      </c>
      <c r="G482" s="8">
        <f>G481+H482</f>
        <v>0</v>
      </c>
      <c r="H482" s="8">
        <f>IF($D482="VISA",$C482,0)</f>
        <v>0</v>
      </c>
      <c r="I482" s="8">
        <f>I481+J482</f>
        <v>0</v>
      </c>
      <c r="J482" s="8">
        <f>IF($D482="ACC",$C482,0)</f>
        <v>0</v>
      </c>
      <c r="K482" s="8">
        <f>K481+L482</f>
        <v>0</v>
      </c>
      <c r="L482" s="8">
        <f>IF($D482="CBB",$C482,0)</f>
        <v>0</v>
      </c>
    </row>
    <row r="483" spans="1:12" x14ac:dyDescent="0.25">
      <c r="A483" s="6">
        <v>41681</v>
      </c>
      <c r="B483" t="s">
        <v>48</v>
      </c>
      <c r="C483" s="7">
        <v>-100</v>
      </c>
      <c r="D483" t="s">
        <v>6</v>
      </c>
      <c r="E483" s="8">
        <f>E482+F483</f>
        <v>118570</v>
      </c>
      <c r="F483" s="8">
        <f>IF($D483="CR01",$C483,0)</f>
        <v>-100</v>
      </c>
      <c r="G483" s="8">
        <f>G482+H483</f>
        <v>0</v>
      </c>
      <c r="H483" s="8">
        <f>IF($D483="VISA",$C483,0)</f>
        <v>0</v>
      </c>
      <c r="I483" s="8">
        <f>I482+J483</f>
        <v>0</v>
      </c>
      <c r="J483" s="8">
        <f>IF($D483="ACC",$C483,0)</f>
        <v>0</v>
      </c>
      <c r="K483" s="8">
        <f>K482+L483</f>
        <v>0</v>
      </c>
      <c r="L483" s="8">
        <f>IF($D483="CBB",$C483,0)</f>
        <v>0</v>
      </c>
    </row>
    <row r="484" spans="1:12" x14ac:dyDescent="0.25">
      <c r="A484" s="6">
        <v>41682</v>
      </c>
      <c r="B484" t="s">
        <v>47</v>
      </c>
      <c r="C484" s="7">
        <v>-120</v>
      </c>
      <c r="D484" t="s">
        <v>6</v>
      </c>
      <c r="E484" s="8">
        <f>E483+F484</f>
        <v>118450</v>
      </c>
      <c r="F484" s="8">
        <f>IF($D484="CR01",$C484,0)</f>
        <v>-120</v>
      </c>
      <c r="G484" s="8">
        <f>G483+H484</f>
        <v>0</v>
      </c>
      <c r="H484" s="8">
        <f>IF($D484="VISA",$C484,0)</f>
        <v>0</v>
      </c>
      <c r="I484" s="8">
        <f>I483+J484</f>
        <v>0</v>
      </c>
      <c r="J484" s="8">
        <f>IF($D484="ACC",$C484,0)</f>
        <v>0</v>
      </c>
      <c r="K484" s="8">
        <f>K483+L484</f>
        <v>0</v>
      </c>
      <c r="L484" s="8">
        <f>IF($D484="CBB",$C484,0)</f>
        <v>0</v>
      </c>
    </row>
    <row r="485" spans="1:12" x14ac:dyDescent="0.25">
      <c r="A485" s="6">
        <v>41683</v>
      </c>
      <c r="B485" t="s">
        <v>44</v>
      </c>
      <c r="C485" s="7">
        <v>-400</v>
      </c>
      <c r="D485" t="s">
        <v>6</v>
      </c>
      <c r="E485" s="8">
        <f>E484+F485</f>
        <v>118050</v>
      </c>
      <c r="F485" s="8">
        <f>IF($D485="CR01",$C485,0)</f>
        <v>-400</v>
      </c>
      <c r="G485" s="8">
        <f>G484+H485</f>
        <v>0</v>
      </c>
      <c r="H485" s="8">
        <f>IF($D485="VISA",$C485,0)</f>
        <v>0</v>
      </c>
      <c r="I485" s="8">
        <f>I484+J485</f>
        <v>0</v>
      </c>
      <c r="J485" s="8">
        <f>IF($D485="ACC",$C485,0)</f>
        <v>0</v>
      </c>
      <c r="K485" s="8">
        <f>K484+L485</f>
        <v>0</v>
      </c>
      <c r="L485" s="8">
        <f>IF($D485="CBB",$C485,0)</f>
        <v>0</v>
      </c>
    </row>
    <row r="486" spans="1:12" x14ac:dyDescent="0.25">
      <c r="A486" s="6">
        <v>41683</v>
      </c>
      <c r="B486" t="s">
        <v>45</v>
      </c>
      <c r="C486" s="7">
        <v>-180</v>
      </c>
      <c r="D486" t="s">
        <v>6</v>
      </c>
      <c r="E486" s="8">
        <f>E485+F486</f>
        <v>117870</v>
      </c>
      <c r="F486" s="8">
        <f>IF($D486="CR01",$C486,0)</f>
        <v>-180</v>
      </c>
      <c r="G486" s="8">
        <f>G485+H486</f>
        <v>0</v>
      </c>
      <c r="H486" s="8">
        <f>IF($D486="VISA",$C486,0)</f>
        <v>0</v>
      </c>
      <c r="I486" s="8">
        <f>I485+J486</f>
        <v>0</v>
      </c>
      <c r="J486" s="8">
        <f>IF($D486="ACC",$C486,0)</f>
        <v>0</v>
      </c>
      <c r="K486" s="8">
        <f>K485+L486</f>
        <v>0</v>
      </c>
      <c r="L486" s="8">
        <f>IF($D486="CBB",$C486,0)</f>
        <v>0</v>
      </c>
    </row>
    <row r="487" spans="1:12" x14ac:dyDescent="0.25">
      <c r="A487" s="6">
        <v>41683</v>
      </c>
      <c r="B487" t="s">
        <v>46</v>
      </c>
      <c r="C487" s="7">
        <v>-300</v>
      </c>
      <c r="D487" t="s">
        <v>6</v>
      </c>
      <c r="E487" s="8">
        <f>E486+F487</f>
        <v>117570</v>
      </c>
      <c r="F487" s="8">
        <f>IF($D487="CR01",$C487,0)</f>
        <v>-300</v>
      </c>
      <c r="G487" s="8">
        <f>G486+H487</f>
        <v>0</v>
      </c>
      <c r="H487" s="8">
        <f>IF($D487="VISA",$C487,0)</f>
        <v>0</v>
      </c>
      <c r="I487" s="8">
        <f>I486+J487</f>
        <v>0</v>
      </c>
      <c r="J487" s="8">
        <f>IF($D487="ACC",$C487,0)</f>
        <v>0</v>
      </c>
      <c r="K487" s="8">
        <f>K486+L487</f>
        <v>0</v>
      </c>
      <c r="L487" s="8">
        <f>IF($D487="CBB",$C487,0)</f>
        <v>0</v>
      </c>
    </row>
    <row r="488" spans="1:12" x14ac:dyDescent="0.25">
      <c r="A488" s="6">
        <v>41684</v>
      </c>
      <c r="B488" t="s">
        <v>43</v>
      </c>
      <c r="C488" s="7">
        <v>3226</v>
      </c>
      <c r="D488" t="s">
        <v>6</v>
      </c>
      <c r="E488" s="8">
        <f>E487+F488</f>
        <v>120796</v>
      </c>
      <c r="F488" s="8">
        <f>IF($D488="CR01",$C488,0)</f>
        <v>3226</v>
      </c>
      <c r="G488" s="8">
        <f>G487+H488</f>
        <v>0</v>
      </c>
      <c r="H488" s="8">
        <f>IF($D488="VISA",$C488,0)</f>
        <v>0</v>
      </c>
      <c r="I488" s="8">
        <f>I487+J488</f>
        <v>0</v>
      </c>
      <c r="J488" s="8">
        <f>IF($D488="ACC",$C488,0)</f>
        <v>0</v>
      </c>
      <c r="K488" s="8">
        <f>K487+L488</f>
        <v>0</v>
      </c>
      <c r="L488" s="8">
        <f>IF($D488="CBB",$C488,0)</f>
        <v>0</v>
      </c>
    </row>
    <row r="489" spans="1:12" x14ac:dyDescent="0.25">
      <c r="A489" s="6">
        <v>41688</v>
      </c>
      <c r="B489" t="s">
        <v>48</v>
      </c>
      <c r="C489" s="7">
        <v>-100</v>
      </c>
      <c r="D489" t="s">
        <v>6</v>
      </c>
      <c r="E489" s="8">
        <f>E488+F489</f>
        <v>120696</v>
      </c>
      <c r="F489" s="8">
        <f>IF($D489="CR01",$C489,0)</f>
        <v>-100</v>
      </c>
      <c r="G489" s="8">
        <f>G488+H489</f>
        <v>0</v>
      </c>
      <c r="H489" s="8">
        <f>IF($D489="VISA",$C489,0)</f>
        <v>0</v>
      </c>
      <c r="I489" s="8">
        <f>I488+J489</f>
        <v>0</v>
      </c>
      <c r="J489" s="8">
        <f>IF($D489="ACC",$C489,0)</f>
        <v>0</v>
      </c>
      <c r="K489" s="8">
        <f>K488+L489</f>
        <v>0</v>
      </c>
      <c r="L489" s="8">
        <f>IF($D489="CBB",$C489,0)</f>
        <v>0</v>
      </c>
    </row>
    <row r="490" spans="1:12" x14ac:dyDescent="0.25">
      <c r="A490" s="6">
        <v>41689</v>
      </c>
      <c r="B490" t="s">
        <v>47</v>
      </c>
      <c r="C490" s="7">
        <v>-120</v>
      </c>
      <c r="D490" t="s">
        <v>6</v>
      </c>
      <c r="E490" s="8">
        <f>E489+F490</f>
        <v>120576</v>
      </c>
      <c r="F490" s="8">
        <f>IF($D490="CR01",$C490,0)</f>
        <v>-120</v>
      </c>
      <c r="G490" s="8">
        <f>G489+H490</f>
        <v>0</v>
      </c>
      <c r="H490" s="8">
        <f>IF($D490="VISA",$C490,0)</f>
        <v>0</v>
      </c>
      <c r="I490" s="8">
        <f>I489+J490</f>
        <v>0</v>
      </c>
      <c r="J490" s="8">
        <f>IF($D490="ACC",$C490,0)</f>
        <v>0</v>
      </c>
      <c r="K490" s="8">
        <f>K489+L490</f>
        <v>0</v>
      </c>
      <c r="L490" s="8">
        <f>IF($D490="CBB",$C490,0)</f>
        <v>0</v>
      </c>
    </row>
    <row r="491" spans="1:12" x14ac:dyDescent="0.25">
      <c r="A491" s="6">
        <v>41690</v>
      </c>
      <c r="B491" t="s">
        <v>44</v>
      </c>
      <c r="C491" s="7">
        <v>-400</v>
      </c>
      <c r="D491" t="s">
        <v>6</v>
      </c>
      <c r="E491" s="8">
        <f>E490+F491</f>
        <v>120176</v>
      </c>
      <c r="F491" s="8">
        <f>IF($D491="CR01",$C491,0)</f>
        <v>-400</v>
      </c>
      <c r="G491" s="8">
        <f>G490+H491</f>
        <v>0</v>
      </c>
      <c r="H491" s="8">
        <f>IF($D491="VISA",$C491,0)</f>
        <v>0</v>
      </c>
      <c r="I491" s="8">
        <f>I490+J491</f>
        <v>0</v>
      </c>
      <c r="J491" s="8">
        <f>IF($D491="ACC",$C491,0)</f>
        <v>0</v>
      </c>
      <c r="K491" s="8">
        <f>K490+L491</f>
        <v>0</v>
      </c>
      <c r="L491" s="8">
        <f>IF($D491="CBB",$C491,0)</f>
        <v>0</v>
      </c>
    </row>
    <row r="492" spans="1:12" x14ac:dyDescent="0.25">
      <c r="A492" s="6">
        <v>41690</v>
      </c>
      <c r="B492" t="s">
        <v>45</v>
      </c>
      <c r="C492" s="7">
        <v>-180</v>
      </c>
      <c r="D492" t="s">
        <v>6</v>
      </c>
      <c r="E492" s="8">
        <f>E491+F492</f>
        <v>119996</v>
      </c>
      <c r="F492" s="8">
        <f>IF($D492="CR01",$C492,0)</f>
        <v>-180</v>
      </c>
      <c r="G492" s="8">
        <f>G491+H492</f>
        <v>0</v>
      </c>
      <c r="H492" s="8">
        <f>IF($D492="VISA",$C492,0)</f>
        <v>0</v>
      </c>
      <c r="I492" s="8">
        <f>I491+J492</f>
        <v>0</v>
      </c>
      <c r="J492" s="8">
        <f>IF($D492="ACC",$C492,0)</f>
        <v>0</v>
      </c>
      <c r="K492" s="8">
        <f>K491+L492</f>
        <v>0</v>
      </c>
      <c r="L492" s="8">
        <f>IF($D492="CBB",$C492,0)</f>
        <v>0</v>
      </c>
    </row>
    <row r="493" spans="1:12" x14ac:dyDescent="0.25">
      <c r="A493" s="6">
        <v>41690</v>
      </c>
      <c r="B493" t="s">
        <v>46</v>
      </c>
      <c r="C493" s="7">
        <v>-300</v>
      </c>
      <c r="D493" t="s">
        <v>6</v>
      </c>
      <c r="E493" s="8">
        <f>E492+F493</f>
        <v>119696</v>
      </c>
      <c r="F493" s="8">
        <f>IF($D493="CR01",$C493,0)</f>
        <v>-300</v>
      </c>
      <c r="G493" s="8">
        <f>G492+H493</f>
        <v>0</v>
      </c>
      <c r="H493" s="8">
        <f>IF($D493="VISA",$C493,0)</f>
        <v>0</v>
      </c>
      <c r="I493" s="8">
        <f>I492+J493</f>
        <v>0</v>
      </c>
      <c r="J493" s="8">
        <f>IF($D493="ACC",$C493,0)</f>
        <v>0</v>
      </c>
      <c r="K493" s="8">
        <f>K492+L493</f>
        <v>0</v>
      </c>
      <c r="L493" s="8">
        <f>IF($D493="CBB",$C493,0)</f>
        <v>0</v>
      </c>
    </row>
    <row r="494" spans="1:12" x14ac:dyDescent="0.25">
      <c r="A494" s="6">
        <v>41692</v>
      </c>
      <c r="B494" t="s">
        <v>67</v>
      </c>
      <c r="C494" s="7">
        <v>6800</v>
      </c>
      <c r="D494" t="s">
        <v>6</v>
      </c>
      <c r="E494" s="8">
        <f>E493+F494</f>
        <v>126496</v>
      </c>
      <c r="F494" s="8">
        <f>IF($D494="CR01",$C494,0)</f>
        <v>6800</v>
      </c>
      <c r="G494" s="8">
        <f>G493+H494</f>
        <v>0</v>
      </c>
      <c r="H494" s="8">
        <f>IF($D494="VISA",$C494,0)</f>
        <v>0</v>
      </c>
      <c r="I494" s="8">
        <f>I493+J494</f>
        <v>0</v>
      </c>
      <c r="J494" s="8">
        <f>IF($D494="ACC",$C494,0)</f>
        <v>0</v>
      </c>
      <c r="K494" s="8">
        <f>K493+L494</f>
        <v>0</v>
      </c>
      <c r="L494" s="8">
        <f>IF($D494="CBB",$C494,0)</f>
        <v>0</v>
      </c>
    </row>
    <row r="495" spans="1:12" x14ac:dyDescent="0.25">
      <c r="A495" s="6">
        <v>41695</v>
      </c>
      <c r="B495" t="s">
        <v>42</v>
      </c>
      <c r="C495" s="7">
        <v>-2806</v>
      </c>
      <c r="D495" t="s">
        <v>6</v>
      </c>
      <c r="E495" s="8">
        <f>E494+F495</f>
        <v>123690</v>
      </c>
      <c r="F495" s="8">
        <f>IF($D495="CR01",$C495,0)</f>
        <v>-2806</v>
      </c>
      <c r="G495" s="8">
        <f>G494+H495</f>
        <v>0</v>
      </c>
      <c r="H495" s="8">
        <f>IF($D495="VISA",$C495,0)</f>
        <v>0</v>
      </c>
      <c r="I495" s="8">
        <f>I494+J495</f>
        <v>0</v>
      </c>
      <c r="J495" s="8">
        <f>IF($D495="ACC",$C495,0)</f>
        <v>0</v>
      </c>
      <c r="K495" s="8">
        <f>K494+L495</f>
        <v>0</v>
      </c>
      <c r="L495" s="8">
        <f>IF($D495="CBB",$C495,0)</f>
        <v>0</v>
      </c>
    </row>
    <row r="496" spans="1:12" x14ac:dyDescent="0.25">
      <c r="A496" s="6">
        <v>41695</v>
      </c>
      <c r="B496" t="s">
        <v>48</v>
      </c>
      <c r="C496" s="7">
        <v>-100</v>
      </c>
      <c r="D496" t="s">
        <v>6</v>
      </c>
      <c r="E496" s="8">
        <f>E495+F496</f>
        <v>123590</v>
      </c>
      <c r="F496" s="8">
        <f>IF($D496="CR01",$C496,0)</f>
        <v>-100</v>
      </c>
      <c r="G496" s="8">
        <f>G495+H496</f>
        <v>0</v>
      </c>
      <c r="H496" s="8">
        <f>IF($D496="VISA",$C496,0)</f>
        <v>0</v>
      </c>
      <c r="I496" s="8">
        <f>I495+J496</f>
        <v>0</v>
      </c>
      <c r="J496" s="8">
        <f>IF($D496="ACC",$C496,0)</f>
        <v>0</v>
      </c>
      <c r="K496" s="8">
        <f>K495+L496</f>
        <v>0</v>
      </c>
      <c r="L496" s="8">
        <f>IF($D496="CBB",$C496,0)</f>
        <v>0</v>
      </c>
    </row>
    <row r="497" spans="1:12" x14ac:dyDescent="0.25">
      <c r="A497" s="6">
        <v>41696</v>
      </c>
      <c r="B497" t="s">
        <v>47</v>
      </c>
      <c r="C497" s="7">
        <v>-120</v>
      </c>
      <c r="D497" t="s">
        <v>6</v>
      </c>
      <c r="E497" s="8">
        <f>E496+F497</f>
        <v>123470</v>
      </c>
      <c r="F497" s="8">
        <f>IF($D497="CR01",$C497,0)</f>
        <v>-120</v>
      </c>
      <c r="G497" s="8">
        <f>G496+H497</f>
        <v>0</v>
      </c>
      <c r="H497" s="8">
        <f>IF($D497="VISA",$C497,0)</f>
        <v>0</v>
      </c>
      <c r="I497" s="8">
        <f>I496+J497</f>
        <v>0</v>
      </c>
      <c r="J497" s="8">
        <f>IF($D497="ACC",$C497,0)</f>
        <v>0</v>
      </c>
      <c r="K497" s="8">
        <f>K496+L497</f>
        <v>0</v>
      </c>
      <c r="L497" s="8">
        <f>IF($D497="CBB",$C497,0)</f>
        <v>0</v>
      </c>
    </row>
    <row r="498" spans="1:12" x14ac:dyDescent="0.25">
      <c r="A498" s="6">
        <v>41697</v>
      </c>
      <c r="B498" t="s">
        <v>44</v>
      </c>
      <c r="C498" s="7">
        <v>-400</v>
      </c>
      <c r="D498" t="s">
        <v>6</v>
      </c>
      <c r="E498" s="8">
        <f>E497+F498</f>
        <v>123070</v>
      </c>
      <c r="F498" s="8">
        <f>IF($D498="CR01",$C498,0)</f>
        <v>-400</v>
      </c>
      <c r="G498" s="8">
        <f>G497+H498</f>
        <v>0</v>
      </c>
      <c r="H498" s="8">
        <f>IF($D498="VISA",$C498,0)</f>
        <v>0</v>
      </c>
      <c r="I498" s="8">
        <f>I497+J498</f>
        <v>0</v>
      </c>
      <c r="J498" s="8">
        <f>IF($D498="ACC",$C498,0)</f>
        <v>0</v>
      </c>
      <c r="K498" s="8">
        <f>K497+L498</f>
        <v>0</v>
      </c>
      <c r="L498" s="8">
        <f>IF($D498="CBB",$C498,0)</f>
        <v>0</v>
      </c>
    </row>
    <row r="499" spans="1:12" x14ac:dyDescent="0.25">
      <c r="A499" s="6">
        <v>41697</v>
      </c>
      <c r="B499" t="s">
        <v>45</v>
      </c>
      <c r="C499" s="7">
        <v>-180</v>
      </c>
      <c r="D499" t="s">
        <v>6</v>
      </c>
      <c r="E499" s="8">
        <f>E498+F499</f>
        <v>122890</v>
      </c>
      <c r="F499" s="8">
        <f>IF($D499="CR01",$C499,0)</f>
        <v>-180</v>
      </c>
      <c r="G499" s="8">
        <f>G498+H499</f>
        <v>0</v>
      </c>
      <c r="H499" s="8">
        <f>IF($D499="VISA",$C499,0)</f>
        <v>0</v>
      </c>
      <c r="I499" s="8">
        <f>I498+J499</f>
        <v>0</v>
      </c>
      <c r="J499" s="8">
        <f>IF($D499="ACC",$C499,0)</f>
        <v>0</v>
      </c>
      <c r="K499" s="8">
        <f>K498+L499</f>
        <v>0</v>
      </c>
      <c r="L499" s="8">
        <f>IF($D499="CBB",$C499,0)</f>
        <v>0</v>
      </c>
    </row>
    <row r="500" spans="1:12" x14ac:dyDescent="0.25">
      <c r="A500" s="6">
        <v>41697</v>
      </c>
      <c r="B500" t="s">
        <v>46</v>
      </c>
      <c r="C500" s="7">
        <v>-300</v>
      </c>
      <c r="D500" t="s">
        <v>6</v>
      </c>
      <c r="E500" s="8">
        <f>E499+F500</f>
        <v>122590</v>
      </c>
      <c r="F500" s="8">
        <f>IF($D500="CR01",$C500,0)</f>
        <v>-300</v>
      </c>
      <c r="G500" s="8">
        <f>G499+H500</f>
        <v>0</v>
      </c>
      <c r="H500" s="8">
        <f>IF($D500="VISA",$C500,0)</f>
        <v>0</v>
      </c>
      <c r="I500" s="8">
        <f>I499+J500</f>
        <v>0</v>
      </c>
      <c r="J500" s="8">
        <f>IF($D500="ACC",$C500,0)</f>
        <v>0</v>
      </c>
      <c r="K500" s="8">
        <f>K499+L500</f>
        <v>0</v>
      </c>
      <c r="L500" s="8">
        <f>IF($D500="CBB",$C500,0)</f>
        <v>0</v>
      </c>
    </row>
    <row r="501" spans="1:12" x14ac:dyDescent="0.25">
      <c r="A501" s="6">
        <v>41698</v>
      </c>
      <c r="B501" t="s">
        <v>43</v>
      </c>
      <c r="C501" s="7">
        <v>3226</v>
      </c>
      <c r="D501" t="s">
        <v>6</v>
      </c>
      <c r="E501" s="8">
        <f>E500+F501</f>
        <v>125816</v>
      </c>
      <c r="F501" s="8">
        <f>IF($D501="CR01",$C501,0)</f>
        <v>3226</v>
      </c>
      <c r="G501" s="8">
        <f>G500+H501</f>
        <v>0</v>
      </c>
      <c r="H501" s="8">
        <f>IF($D501="VISA",$C501,0)</f>
        <v>0</v>
      </c>
      <c r="I501" s="8">
        <f>I500+J501</f>
        <v>0</v>
      </c>
      <c r="J501" s="8">
        <f>IF($D501="ACC",$C501,0)</f>
        <v>0</v>
      </c>
      <c r="K501" s="8">
        <f>K500+L501</f>
        <v>0</v>
      </c>
      <c r="L501" s="8">
        <f>IF($D501="CBB",$C501,0)</f>
        <v>0</v>
      </c>
    </row>
    <row r="502" spans="1:12" x14ac:dyDescent="0.25">
      <c r="A502" s="6">
        <v>41699</v>
      </c>
      <c r="B502" t="s">
        <v>58</v>
      </c>
      <c r="C502" s="7">
        <v>-200</v>
      </c>
      <c r="D502" t="s">
        <v>6</v>
      </c>
      <c r="E502" s="8">
        <f>E501+F502</f>
        <v>125616</v>
      </c>
      <c r="F502" s="8">
        <f>IF($D502="CR01",$C502,0)</f>
        <v>-200</v>
      </c>
      <c r="G502" s="8">
        <f>G501+H502</f>
        <v>0</v>
      </c>
      <c r="H502" s="8">
        <f>IF($D502="VISA",$C502,0)</f>
        <v>0</v>
      </c>
      <c r="I502" s="8">
        <f>I501+J502</f>
        <v>0</v>
      </c>
      <c r="J502" s="8">
        <f>IF($D502="ACC",$C502,0)</f>
        <v>0</v>
      </c>
      <c r="K502" s="8">
        <f>K501+L502</f>
        <v>0</v>
      </c>
      <c r="L502" s="8">
        <f>IF($D502="CBB",$C502,0)</f>
        <v>0</v>
      </c>
    </row>
    <row r="503" spans="1:12" x14ac:dyDescent="0.25">
      <c r="A503" s="6">
        <v>41699</v>
      </c>
      <c r="B503" t="s">
        <v>60</v>
      </c>
      <c r="C503" s="7">
        <v>-400</v>
      </c>
      <c r="D503" t="s">
        <v>6</v>
      </c>
      <c r="E503" s="8">
        <f>E502+F503</f>
        <v>125216</v>
      </c>
      <c r="F503" s="8">
        <f>IF($D503="CR01",$C503,0)</f>
        <v>-400</v>
      </c>
      <c r="G503" s="8">
        <f>G502+H503</f>
        <v>0</v>
      </c>
      <c r="H503" s="8">
        <f>IF($D503="VISA",$C503,0)</f>
        <v>0</v>
      </c>
      <c r="I503" s="8">
        <f>I502+J503</f>
        <v>0</v>
      </c>
      <c r="J503" s="8">
        <f>IF($D503="ACC",$C503,0)</f>
        <v>0</v>
      </c>
      <c r="K503" s="8">
        <f>K502+L503</f>
        <v>0</v>
      </c>
      <c r="L503" s="8">
        <f>IF($D503="CBB",$C503,0)</f>
        <v>0</v>
      </c>
    </row>
    <row r="504" spans="1:12" x14ac:dyDescent="0.25">
      <c r="A504" s="6">
        <v>41699</v>
      </c>
      <c r="B504" t="s">
        <v>64</v>
      </c>
      <c r="C504" s="7">
        <v>-26</v>
      </c>
      <c r="D504" t="s">
        <v>6</v>
      </c>
      <c r="E504" s="8">
        <f>E503+F504</f>
        <v>125190</v>
      </c>
      <c r="F504" s="8">
        <f>IF($D504="CR01",$C504,0)</f>
        <v>-26</v>
      </c>
      <c r="G504" s="8">
        <f>G503+H504</f>
        <v>0</v>
      </c>
      <c r="H504" s="8">
        <f>IF($D504="VISA",$C504,0)</f>
        <v>0</v>
      </c>
      <c r="I504" s="8">
        <f>I503+J504</f>
        <v>0</v>
      </c>
      <c r="J504" s="8">
        <f>IF($D504="ACC",$C504,0)</f>
        <v>0</v>
      </c>
      <c r="K504" s="8">
        <f>K503+L504</f>
        <v>0</v>
      </c>
      <c r="L504" s="8">
        <f>IF($D504="CBB",$C504,0)</f>
        <v>0</v>
      </c>
    </row>
    <row r="505" spans="1:12" x14ac:dyDescent="0.25">
      <c r="A505" s="6">
        <v>41699</v>
      </c>
      <c r="B505" t="s">
        <v>65</v>
      </c>
      <c r="C505" s="7">
        <v>-240</v>
      </c>
      <c r="D505" t="s">
        <v>6</v>
      </c>
      <c r="E505" s="8">
        <f>E504+F505</f>
        <v>124950</v>
      </c>
      <c r="F505" s="8">
        <f>IF($D505="CR01",$C505,0)</f>
        <v>-240</v>
      </c>
      <c r="G505" s="8">
        <f>G504+H505</f>
        <v>0</v>
      </c>
      <c r="H505" s="8">
        <f>IF($D505="VISA",$C505,0)</f>
        <v>0</v>
      </c>
      <c r="I505" s="8">
        <f>I504+J505</f>
        <v>0</v>
      </c>
      <c r="J505" s="8">
        <f>IF($D505="ACC",$C505,0)</f>
        <v>0</v>
      </c>
      <c r="K505" s="8">
        <f>K504+L505</f>
        <v>0</v>
      </c>
      <c r="L505" s="8">
        <f>IF($D505="CBB",$C505,0)</f>
        <v>0</v>
      </c>
    </row>
    <row r="506" spans="1:12" x14ac:dyDescent="0.25">
      <c r="A506" s="6">
        <v>41699</v>
      </c>
      <c r="B506" t="s">
        <v>66</v>
      </c>
      <c r="C506" s="7">
        <v>-120</v>
      </c>
      <c r="D506" t="s">
        <v>6</v>
      </c>
      <c r="E506" s="8">
        <f>E505+F506</f>
        <v>124830</v>
      </c>
      <c r="F506" s="8">
        <f>IF($D506="CR01",$C506,0)</f>
        <v>-120</v>
      </c>
      <c r="G506" s="8">
        <f>G505+H506</f>
        <v>0</v>
      </c>
      <c r="H506" s="8">
        <f>IF($D506="VISA",$C506,0)</f>
        <v>0</v>
      </c>
      <c r="I506" s="8">
        <f>I505+J506</f>
        <v>0</v>
      </c>
      <c r="J506" s="8">
        <f>IF($D506="ACC",$C506,0)</f>
        <v>0</v>
      </c>
      <c r="K506" s="8">
        <f>K505+L506</f>
        <v>0</v>
      </c>
      <c r="L506" s="8">
        <f>IF($D506="CBB",$C506,0)</f>
        <v>0</v>
      </c>
    </row>
    <row r="507" spans="1:12" x14ac:dyDescent="0.25">
      <c r="A507" s="6">
        <v>41700</v>
      </c>
      <c r="B507" t="s">
        <v>59</v>
      </c>
      <c r="C507" s="7">
        <v>-900</v>
      </c>
      <c r="D507" t="s">
        <v>6</v>
      </c>
      <c r="E507" s="8">
        <f>E506+F507</f>
        <v>123930</v>
      </c>
      <c r="F507" s="8">
        <f>IF($D507="CR01",$C507,0)</f>
        <v>-900</v>
      </c>
      <c r="G507" s="8">
        <f>G506+H507</f>
        <v>0</v>
      </c>
      <c r="H507" s="8">
        <f>IF($D507="VISA",$C507,0)</f>
        <v>0</v>
      </c>
      <c r="I507" s="8">
        <f>I506+J507</f>
        <v>0</v>
      </c>
      <c r="J507" s="8">
        <f>IF($D507="ACC",$C507,0)</f>
        <v>0</v>
      </c>
      <c r="K507" s="8">
        <f>K506+L507</f>
        <v>0</v>
      </c>
      <c r="L507" s="8">
        <f>IF($D507="CBB",$C507,0)</f>
        <v>0</v>
      </c>
    </row>
    <row r="508" spans="1:12" x14ac:dyDescent="0.25">
      <c r="A508" s="6">
        <v>41702</v>
      </c>
      <c r="B508" t="s">
        <v>48</v>
      </c>
      <c r="C508" s="7">
        <v>-100</v>
      </c>
      <c r="D508" t="s">
        <v>6</v>
      </c>
      <c r="E508" s="8">
        <f>E507+F508</f>
        <v>123830</v>
      </c>
      <c r="F508" s="8">
        <f>IF($D508="CR01",$C508,0)</f>
        <v>-100</v>
      </c>
      <c r="G508" s="8">
        <f>G507+H508</f>
        <v>0</v>
      </c>
      <c r="H508" s="8">
        <f>IF($D508="VISA",$C508,0)</f>
        <v>0</v>
      </c>
      <c r="I508" s="8">
        <f>I507+J508</f>
        <v>0</v>
      </c>
      <c r="J508" s="8">
        <f>IF($D508="ACC",$C508,0)</f>
        <v>0</v>
      </c>
      <c r="K508" s="8">
        <f>K507+L508</f>
        <v>0</v>
      </c>
      <c r="L508" s="8">
        <f>IF($D508="CBB",$C508,0)</f>
        <v>0</v>
      </c>
    </row>
    <row r="509" spans="1:12" x14ac:dyDescent="0.25">
      <c r="A509" s="6">
        <v>41703</v>
      </c>
      <c r="B509" t="s">
        <v>47</v>
      </c>
      <c r="C509" s="7">
        <v>-120</v>
      </c>
      <c r="D509" t="s">
        <v>6</v>
      </c>
      <c r="E509" s="8">
        <f>E508+F509</f>
        <v>123710</v>
      </c>
      <c r="F509" s="8">
        <f>IF($D509="CR01",$C509,0)</f>
        <v>-120</v>
      </c>
      <c r="G509" s="8">
        <f>G508+H509</f>
        <v>0</v>
      </c>
      <c r="H509" s="8">
        <f>IF($D509="VISA",$C509,0)</f>
        <v>0</v>
      </c>
      <c r="I509" s="8">
        <f>I508+J509</f>
        <v>0</v>
      </c>
      <c r="J509" s="8">
        <f>IF($D509="ACC",$C509,0)</f>
        <v>0</v>
      </c>
      <c r="K509" s="8">
        <f>K508+L509</f>
        <v>0</v>
      </c>
      <c r="L509" s="8">
        <f>IF($D509="CBB",$C509,0)</f>
        <v>0</v>
      </c>
    </row>
    <row r="510" spans="1:12" x14ac:dyDescent="0.25">
      <c r="A510" s="6">
        <v>41704</v>
      </c>
      <c r="B510" t="s">
        <v>44</v>
      </c>
      <c r="C510" s="7">
        <v>-400</v>
      </c>
      <c r="D510" t="s">
        <v>6</v>
      </c>
      <c r="E510" s="8">
        <f>E509+F510</f>
        <v>123310</v>
      </c>
      <c r="F510" s="8">
        <f>IF($D510="CR01",$C510,0)</f>
        <v>-400</v>
      </c>
      <c r="G510" s="8">
        <f>G509+H510</f>
        <v>0</v>
      </c>
      <c r="H510" s="8">
        <f>IF($D510="VISA",$C510,0)</f>
        <v>0</v>
      </c>
      <c r="I510" s="8">
        <f>I509+J510</f>
        <v>0</v>
      </c>
      <c r="J510" s="8">
        <f>IF($D510="ACC",$C510,0)</f>
        <v>0</v>
      </c>
      <c r="K510" s="8">
        <f>K509+L510</f>
        <v>0</v>
      </c>
      <c r="L510" s="8">
        <f>IF($D510="CBB",$C510,0)</f>
        <v>0</v>
      </c>
    </row>
    <row r="511" spans="1:12" x14ac:dyDescent="0.25">
      <c r="A511" s="6">
        <v>41704</v>
      </c>
      <c r="B511" t="s">
        <v>45</v>
      </c>
      <c r="C511" s="7">
        <v>-180</v>
      </c>
      <c r="D511" t="s">
        <v>6</v>
      </c>
      <c r="E511" s="8">
        <f>E510+F511</f>
        <v>123130</v>
      </c>
      <c r="F511" s="8">
        <f>IF($D511="CR01",$C511,0)</f>
        <v>-180</v>
      </c>
      <c r="G511" s="8">
        <f>G510+H511</f>
        <v>0</v>
      </c>
      <c r="H511" s="8">
        <f>IF($D511="VISA",$C511,0)</f>
        <v>0</v>
      </c>
      <c r="I511" s="8">
        <f>I510+J511</f>
        <v>0</v>
      </c>
      <c r="J511" s="8">
        <f>IF($D511="ACC",$C511,0)</f>
        <v>0</v>
      </c>
      <c r="K511" s="8">
        <f>K510+L511</f>
        <v>0</v>
      </c>
      <c r="L511" s="8">
        <f>IF($D511="CBB",$C511,0)</f>
        <v>0</v>
      </c>
    </row>
    <row r="512" spans="1:12" x14ac:dyDescent="0.25">
      <c r="A512" s="6">
        <v>41704</v>
      </c>
      <c r="B512" t="s">
        <v>46</v>
      </c>
      <c r="C512" s="7">
        <v>-300</v>
      </c>
      <c r="D512" t="s">
        <v>6</v>
      </c>
      <c r="E512" s="8">
        <f>E511+F512</f>
        <v>122830</v>
      </c>
      <c r="F512" s="8">
        <f>IF($D512="CR01",$C512,0)</f>
        <v>-300</v>
      </c>
      <c r="G512" s="8">
        <f>G511+H512</f>
        <v>0</v>
      </c>
      <c r="H512" s="8">
        <f>IF($D512="VISA",$C512,0)</f>
        <v>0</v>
      </c>
      <c r="I512" s="8">
        <f>I511+J512</f>
        <v>0</v>
      </c>
      <c r="J512" s="8">
        <f>IF($D512="ACC",$C512,0)</f>
        <v>0</v>
      </c>
      <c r="K512" s="8">
        <f>K511+L512</f>
        <v>0</v>
      </c>
      <c r="L512" s="8">
        <f>IF($D512="CBB",$C512,0)</f>
        <v>0</v>
      </c>
    </row>
    <row r="513" spans="1:12" x14ac:dyDescent="0.25">
      <c r="A513" s="6">
        <v>41706</v>
      </c>
      <c r="B513" t="s">
        <v>67</v>
      </c>
      <c r="C513" s="7">
        <v>6800</v>
      </c>
      <c r="D513" t="s">
        <v>6</v>
      </c>
      <c r="E513" s="8">
        <f>E512+F513</f>
        <v>129630</v>
      </c>
      <c r="F513" s="8">
        <f>IF($D513="CR01",$C513,0)</f>
        <v>6800</v>
      </c>
      <c r="G513" s="8">
        <f>G512+H513</f>
        <v>0</v>
      </c>
      <c r="H513" s="8">
        <f>IF($D513="VISA",$C513,0)</f>
        <v>0</v>
      </c>
      <c r="I513" s="8">
        <f>I512+J513</f>
        <v>0</v>
      </c>
      <c r="J513" s="8">
        <f>IF($D513="ACC",$C513,0)</f>
        <v>0</v>
      </c>
      <c r="K513" s="8">
        <f>K512+L513</f>
        <v>0</v>
      </c>
      <c r="L513" s="8">
        <f>IF($D513="CBB",$C513,0)</f>
        <v>0</v>
      </c>
    </row>
    <row r="514" spans="1:12" x14ac:dyDescent="0.25">
      <c r="A514" s="6">
        <v>41709</v>
      </c>
      <c r="B514" t="s">
        <v>42</v>
      </c>
      <c r="C514" s="7">
        <v>-2806</v>
      </c>
      <c r="D514" t="s">
        <v>6</v>
      </c>
      <c r="E514" s="8">
        <f>E513+F514</f>
        <v>126824</v>
      </c>
      <c r="F514" s="8">
        <f>IF($D514="CR01",$C514,0)</f>
        <v>-2806</v>
      </c>
      <c r="G514" s="8">
        <f>G513+H514</f>
        <v>0</v>
      </c>
      <c r="H514" s="8">
        <f>IF($D514="VISA",$C514,0)</f>
        <v>0</v>
      </c>
      <c r="I514" s="8">
        <f>I513+J514</f>
        <v>0</v>
      </c>
      <c r="J514" s="8">
        <f>IF($D514="ACC",$C514,0)</f>
        <v>0</v>
      </c>
      <c r="K514" s="8">
        <f>K513+L514</f>
        <v>0</v>
      </c>
      <c r="L514" s="8">
        <f>IF($D514="CBB",$C514,0)</f>
        <v>0</v>
      </c>
    </row>
    <row r="515" spans="1:12" x14ac:dyDescent="0.25">
      <c r="A515" s="6">
        <v>41709</v>
      </c>
      <c r="B515" t="s">
        <v>48</v>
      </c>
      <c r="C515" s="7">
        <v>-100</v>
      </c>
      <c r="D515" t="s">
        <v>6</v>
      </c>
      <c r="E515" s="8">
        <f>E514+F515</f>
        <v>126724</v>
      </c>
      <c r="F515" s="8">
        <f>IF($D515="CR01",$C515,0)</f>
        <v>-100</v>
      </c>
      <c r="G515" s="8">
        <f>G514+H515</f>
        <v>0</v>
      </c>
      <c r="H515" s="8">
        <f>IF($D515="VISA",$C515,0)</f>
        <v>0</v>
      </c>
      <c r="I515" s="8">
        <f>I514+J515</f>
        <v>0</v>
      </c>
      <c r="J515" s="8">
        <f>IF($D515="ACC",$C515,0)</f>
        <v>0</v>
      </c>
      <c r="K515" s="8">
        <f>K514+L515</f>
        <v>0</v>
      </c>
      <c r="L515" s="8">
        <f>IF($D515="CBB",$C515,0)</f>
        <v>0</v>
      </c>
    </row>
    <row r="516" spans="1:12" x14ac:dyDescent="0.25">
      <c r="A516" s="6">
        <v>41710</v>
      </c>
      <c r="B516" t="s">
        <v>47</v>
      </c>
      <c r="C516" s="7">
        <v>-120</v>
      </c>
      <c r="D516" t="s">
        <v>6</v>
      </c>
      <c r="E516" s="8">
        <f>E515+F516</f>
        <v>126604</v>
      </c>
      <c r="F516" s="8">
        <f>IF($D516="CR01",$C516,0)</f>
        <v>-120</v>
      </c>
      <c r="G516" s="8">
        <f>G515+H516</f>
        <v>0</v>
      </c>
      <c r="H516" s="8">
        <f>IF($D516="VISA",$C516,0)</f>
        <v>0</v>
      </c>
      <c r="I516" s="8">
        <f>I515+J516</f>
        <v>0</v>
      </c>
      <c r="J516" s="8">
        <f>IF($D516="ACC",$C516,0)</f>
        <v>0</v>
      </c>
      <c r="K516" s="8">
        <f>K515+L516</f>
        <v>0</v>
      </c>
      <c r="L516" s="8">
        <f>IF($D516="CBB",$C516,0)</f>
        <v>0</v>
      </c>
    </row>
    <row r="517" spans="1:12" x14ac:dyDescent="0.25">
      <c r="A517" s="6">
        <v>41711</v>
      </c>
      <c r="B517" t="s">
        <v>44</v>
      </c>
      <c r="C517" s="7">
        <v>-400</v>
      </c>
      <c r="D517" t="s">
        <v>6</v>
      </c>
      <c r="E517" s="8">
        <f>E516+F517</f>
        <v>126204</v>
      </c>
      <c r="F517" s="8">
        <f>IF($D517="CR01",$C517,0)</f>
        <v>-400</v>
      </c>
      <c r="G517" s="8">
        <f>G516+H517</f>
        <v>0</v>
      </c>
      <c r="H517" s="8">
        <f>IF($D517="VISA",$C517,0)</f>
        <v>0</v>
      </c>
      <c r="I517" s="8">
        <f>I516+J517</f>
        <v>0</v>
      </c>
      <c r="J517" s="8">
        <f>IF($D517="ACC",$C517,0)</f>
        <v>0</v>
      </c>
      <c r="K517" s="8">
        <f>K516+L517</f>
        <v>0</v>
      </c>
      <c r="L517" s="8">
        <f>IF($D517="CBB",$C517,0)</f>
        <v>0</v>
      </c>
    </row>
    <row r="518" spans="1:12" x14ac:dyDescent="0.25">
      <c r="A518" s="6">
        <v>41711</v>
      </c>
      <c r="B518" t="s">
        <v>45</v>
      </c>
      <c r="C518" s="7">
        <v>-180</v>
      </c>
      <c r="D518" t="s">
        <v>6</v>
      </c>
      <c r="E518" s="8">
        <f>E517+F518</f>
        <v>126024</v>
      </c>
      <c r="F518" s="8">
        <f>IF($D518="CR01",$C518,0)</f>
        <v>-180</v>
      </c>
      <c r="G518" s="8">
        <f>G517+H518</f>
        <v>0</v>
      </c>
      <c r="H518" s="8">
        <f>IF($D518="VISA",$C518,0)</f>
        <v>0</v>
      </c>
      <c r="I518" s="8">
        <f>I517+J518</f>
        <v>0</v>
      </c>
      <c r="J518" s="8">
        <f>IF($D518="ACC",$C518,0)</f>
        <v>0</v>
      </c>
      <c r="K518" s="8">
        <f>K517+L518</f>
        <v>0</v>
      </c>
      <c r="L518" s="8">
        <f>IF($D518="CBB",$C518,0)</f>
        <v>0</v>
      </c>
    </row>
    <row r="519" spans="1:12" x14ac:dyDescent="0.25">
      <c r="A519" s="6">
        <v>41711</v>
      </c>
      <c r="B519" t="s">
        <v>46</v>
      </c>
      <c r="C519" s="7">
        <v>-300</v>
      </c>
      <c r="D519" t="s">
        <v>6</v>
      </c>
      <c r="E519" s="8">
        <f>E518+F519</f>
        <v>125724</v>
      </c>
      <c r="F519" s="8">
        <f>IF($D519="CR01",$C519,0)</f>
        <v>-300</v>
      </c>
      <c r="G519" s="8">
        <f>G518+H519</f>
        <v>0</v>
      </c>
      <c r="H519" s="8">
        <f>IF($D519="VISA",$C519,0)</f>
        <v>0</v>
      </c>
      <c r="I519" s="8">
        <f>I518+J519</f>
        <v>0</v>
      </c>
      <c r="J519" s="8">
        <f>IF($D519="ACC",$C519,0)</f>
        <v>0</v>
      </c>
      <c r="K519" s="8">
        <f>K518+L519</f>
        <v>0</v>
      </c>
      <c r="L519" s="8">
        <f>IF($D519="CBB",$C519,0)</f>
        <v>0</v>
      </c>
    </row>
    <row r="520" spans="1:12" x14ac:dyDescent="0.25">
      <c r="A520" s="6">
        <v>41712</v>
      </c>
      <c r="B520" t="s">
        <v>43</v>
      </c>
      <c r="C520" s="7">
        <v>3226</v>
      </c>
      <c r="D520" t="s">
        <v>6</v>
      </c>
      <c r="E520" s="8">
        <f>E519+F520</f>
        <v>128950</v>
      </c>
      <c r="F520" s="8">
        <f>IF($D520="CR01",$C520,0)</f>
        <v>3226</v>
      </c>
      <c r="G520" s="8">
        <f>G519+H520</f>
        <v>0</v>
      </c>
      <c r="H520" s="8">
        <f>IF($D520="VISA",$C520,0)</f>
        <v>0</v>
      </c>
      <c r="I520" s="8">
        <f>I519+J520</f>
        <v>0</v>
      </c>
      <c r="J520" s="8">
        <f>IF($D520="ACC",$C520,0)</f>
        <v>0</v>
      </c>
      <c r="K520" s="8">
        <f>K519+L520</f>
        <v>0</v>
      </c>
      <c r="L520" s="8">
        <f>IF($D520="CBB",$C520,0)</f>
        <v>0</v>
      </c>
    </row>
    <row r="521" spans="1:12" x14ac:dyDescent="0.25">
      <c r="A521" s="6">
        <v>41716</v>
      </c>
      <c r="B521" t="s">
        <v>48</v>
      </c>
      <c r="C521" s="7">
        <v>-100</v>
      </c>
      <c r="D521" t="s">
        <v>6</v>
      </c>
      <c r="E521" s="8">
        <f>E520+F521</f>
        <v>128850</v>
      </c>
      <c r="F521" s="8">
        <f>IF($D521="CR01",$C521,0)</f>
        <v>-100</v>
      </c>
      <c r="G521" s="8">
        <f>G520+H521</f>
        <v>0</v>
      </c>
      <c r="H521" s="8">
        <f>IF($D521="VISA",$C521,0)</f>
        <v>0</v>
      </c>
      <c r="I521" s="8">
        <f>I520+J521</f>
        <v>0</v>
      </c>
      <c r="J521" s="8">
        <f>IF($D521="ACC",$C521,0)</f>
        <v>0</v>
      </c>
      <c r="K521" s="8">
        <f>K520+L521</f>
        <v>0</v>
      </c>
      <c r="L521" s="8">
        <f>IF($D521="CBB",$C521,0)</f>
        <v>0</v>
      </c>
    </row>
    <row r="522" spans="1:12" x14ac:dyDescent="0.25">
      <c r="A522" s="6">
        <v>41717</v>
      </c>
      <c r="B522" t="s">
        <v>47</v>
      </c>
      <c r="C522" s="7">
        <v>-120</v>
      </c>
      <c r="D522" t="s">
        <v>6</v>
      </c>
      <c r="E522" s="8">
        <f>E521+F522</f>
        <v>128730</v>
      </c>
      <c r="F522" s="8">
        <f>IF($D522="CR01",$C522,0)</f>
        <v>-120</v>
      </c>
      <c r="G522" s="8">
        <f>G521+H522</f>
        <v>0</v>
      </c>
      <c r="H522" s="8">
        <f>IF($D522="VISA",$C522,0)</f>
        <v>0</v>
      </c>
      <c r="I522" s="8">
        <f>I521+J522</f>
        <v>0</v>
      </c>
      <c r="J522" s="8">
        <f>IF($D522="ACC",$C522,0)</f>
        <v>0</v>
      </c>
      <c r="K522" s="8">
        <f>K521+L522</f>
        <v>0</v>
      </c>
      <c r="L522" s="8">
        <f>IF($D522="CBB",$C522,0)</f>
        <v>0</v>
      </c>
    </row>
    <row r="523" spans="1:12" x14ac:dyDescent="0.25">
      <c r="A523" s="6">
        <v>41718</v>
      </c>
      <c r="B523" t="s">
        <v>44</v>
      </c>
      <c r="C523" s="7">
        <v>-400</v>
      </c>
      <c r="D523" t="s">
        <v>6</v>
      </c>
      <c r="E523" s="8">
        <f>E522+F523</f>
        <v>128330</v>
      </c>
      <c r="F523" s="8">
        <f>IF($D523="CR01",$C523,0)</f>
        <v>-400</v>
      </c>
      <c r="G523" s="8">
        <f>G522+H523</f>
        <v>0</v>
      </c>
      <c r="H523" s="8">
        <f>IF($D523="VISA",$C523,0)</f>
        <v>0</v>
      </c>
      <c r="I523" s="8">
        <f>I522+J523</f>
        <v>0</v>
      </c>
      <c r="J523" s="8">
        <f>IF($D523="ACC",$C523,0)</f>
        <v>0</v>
      </c>
      <c r="K523" s="8">
        <f>K522+L523</f>
        <v>0</v>
      </c>
      <c r="L523" s="8">
        <f>IF($D523="CBB",$C523,0)</f>
        <v>0</v>
      </c>
    </row>
    <row r="524" spans="1:12" x14ac:dyDescent="0.25">
      <c r="A524" s="6">
        <v>41718</v>
      </c>
      <c r="B524" t="s">
        <v>45</v>
      </c>
      <c r="C524" s="7">
        <v>-180</v>
      </c>
      <c r="D524" t="s">
        <v>6</v>
      </c>
      <c r="E524" s="8">
        <f>E523+F524</f>
        <v>128150</v>
      </c>
      <c r="F524" s="8">
        <f>IF($D524="CR01",$C524,0)</f>
        <v>-180</v>
      </c>
      <c r="G524" s="8">
        <f>G523+H524</f>
        <v>0</v>
      </c>
      <c r="H524" s="8">
        <f>IF($D524="VISA",$C524,0)</f>
        <v>0</v>
      </c>
      <c r="I524" s="8">
        <f>I523+J524</f>
        <v>0</v>
      </c>
      <c r="J524" s="8">
        <f>IF($D524="ACC",$C524,0)</f>
        <v>0</v>
      </c>
      <c r="K524" s="8">
        <f>K523+L524</f>
        <v>0</v>
      </c>
      <c r="L524" s="8">
        <f>IF($D524="CBB",$C524,0)</f>
        <v>0</v>
      </c>
    </row>
    <row r="525" spans="1:12" x14ac:dyDescent="0.25">
      <c r="A525" s="6">
        <v>41718</v>
      </c>
      <c r="B525" t="s">
        <v>46</v>
      </c>
      <c r="C525" s="7">
        <v>-300</v>
      </c>
      <c r="D525" t="s">
        <v>6</v>
      </c>
      <c r="E525" s="8">
        <f>E524+F525</f>
        <v>127850</v>
      </c>
      <c r="F525" s="8">
        <f>IF($D525="CR01",$C525,0)</f>
        <v>-300</v>
      </c>
      <c r="G525" s="8">
        <f>G524+H525</f>
        <v>0</v>
      </c>
      <c r="H525" s="8">
        <f>IF($D525="VISA",$C525,0)</f>
        <v>0</v>
      </c>
      <c r="I525" s="8">
        <f>I524+J525</f>
        <v>0</v>
      </c>
      <c r="J525" s="8">
        <f>IF($D525="ACC",$C525,0)</f>
        <v>0</v>
      </c>
      <c r="K525" s="8">
        <f>K524+L525</f>
        <v>0</v>
      </c>
      <c r="L525" s="8">
        <f>IF($D525="CBB",$C525,0)</f>
        <v>0</v>
      </c>
    </row>
    <row r="526" spans="1:12" x14ac:dyDescent="0.25">
      <c r="A526" s="6">
        <v>41720</v>
      </c>
      <c r="B526" t="s">
        <v>67</v>
      </c>
      <c r="C526" s="7">
        <v>6800</v>
      </c>
      <c r="D526" t="s">
        <v>6</v>
      </c>
      <c r="E526" s="8">
        <f>E525+F526</f>
        <v>134650</v>
      </c>
      <c r="F526" s="8">
        <f>IF($D526="CR01",$C526,0)</f>
        <v>6800</v>
      </c>
      <c r="G526" s="8">
        <f>G525+H526</f>
        <v>0</v>
      </c>
      <c r="H526" s="8">
        <f>IF($D526="VISA",$C526,0)</f>
        <v>0</v>
      </c>
      <c r="I526" s="8">
        <f>I525+J526</f>
        <v>0</v>
      </c>
      <c r="J526" s="8">
        <f>IF($D526="ACC",$C526,0)</f>
        <v>0</v>
      </c>
      <c r="K526" s="8">
        <f>K525+L526</f>
        <v>0</v>
      </c>
      <c r="L526" s="8">
        <f>IF($D526="CBB",$C526,0)</f>
        <v>0</v>
      </c>
    </row>
    <row r="527" spans="1:12" x14ac:dyDescent="0.25">
      <c r="A527" s="6">
        <v>41723</v>
      </c>
      <c r="B527" t="s">
        <v>42</v>
      </c>
      <c r="C527" s="7">
        <v>-2806</v>
      </c>
      <c r="D527" t="s">
        <v>6</v>
      </c>
      <c r="E527" s="8">
        <f>E526+F527</f>
        <v>131844</v>
      </c>
      <c r="F527" s="8">
        <f>IF($D527="CR01",$C527,0)</f>
        <v>-2806</v>
      </c>
      <c r="G527" s="8">
        <f>G526+H527</f>
        <v>0</v>
      </c>
      <c r="H527" s="8">
        <f>IF($D527="VISA",$C527,0)</f>
        <v>0</v>
      </c>
      <c r="I527" s="8">
        <f>I526+J527</f>
        <v>0</v>
      </c>
      <c r="J527" s="8">
        <f>IF($D527="ACC",$C527,0)</f>
        <v>0</v>
      </c>
      <c r="K527" s="8">
        <f>K526+L527</f>
        <v>0</v>
      </c>
      <c r="L527" s="8">
        <f>IF($D527="CBB",$C527,0)</f>
        <v>0</v>
      </c>
    </row>
    <row r="528" spans="1:12" x14ac:dyDescent="0.25">
      <c r="A528" s="6">
        <v>41723</v>
      </c>
      <c r="B528" t="s">
        <v>48</v>
      </c>
      <c r="C528" s="7">
        <v>-100</v>
      </c>
      <c r="D528" t="s">
        <v>6</v>
      </c>
      <c r="E528" s="8">
        <f>E527+F528</f>
        <v>131744</v>
      </c>
      <c r="F528" s="8">
        <f>IF($D528="CR01",$C528,0)</f>
        <v>-100</v>
      </c>
      <c r="G528" s="8">
        <f>G527+H528</f>
        <v>0</v>
      </c>
      <c r="H528" s="8">
        <f>IF($D528="VISA",$C528,0)</f>
        <v>0</v>
      </c>
      <c r="I528" s="8">
        <f>I527+J528</f>
        <v>0</v>
      </c>
      <c r="J528" s="8">
        <f>IF($D528="ACC",$C528,0)</f>
        <v>0</v>
      </c>
      <c r="K528" s="8">
        <f>K527+L528</f>
        <v>0</v>
      </c>
      <c r="L528" s="8">
        <f>IF($D528="CBB",$C528,0)</f>
        <v>0</v>
      </c>
    </row>
    <row r="529" spans="1:12" x14ac:dyDescent="0.25">
      <c r="A529" s="6">
        <v>41724</v>
      </c>
      <c r="B529" t="s">
        <v>47</v>
      </c>
      <c r="C529" s="7">
        <v>-120</v>
      </c>
      <c r="D529" t="s">
        <v>6</v>
      </c>
      <c r="E529" s="8">
        <f>E528+F529</f>
        <v>131624</v>
      </c>
      <c r="F529" s="8">
        <f>IF($D529="CR01",$C529,0)</f>
        <v>-120</v>
      </c>
      <c r="G529" s="8">
        <f>G528+H529</f>
        <v>0</v>
      </c>
      <c r="H529" s="8">
        <f>IF($D529="VISA",$C529,0)</f>
        <v>0</v>
      </c>
      <c r="I529" s="8">
        <f>I528+J529</f>
        <v>0</v>
      </c>
      <c r="J529" s="8">
        <f>IF($D529="ACC",$C529,0)</f>
        <v>0</v>
      </c>
      <c r="K529" s="8">
        <f>K528+L529</f>
        <v>0</v>
      </c>
      <c r="L529" s="8">
        <f>IF($D529="CBB",$C529,0)</f>
        <v>0</v>
      </c>
    </row>
    <row r="530" spans="1:12" x14ac:dyDescent="0.25">
      <c r="A530" s="6">
        <v>41725</v>
      </c>
      <c r="B530" t="s">
        <v>44</v>
      </c>
      <c r="C530" s="7">
        <v>-400</v>
      </c>
      <c r="D530" t="s">
        <v>6</v>
      </c>
      <c r="E530" s="8">
        <f>E529+F530</f>
        <v>131224</v>
      </c>
      <c r="F530" s="8">
        <f>IF($D530="CR01",$C530,0)</f>
        <v>-400</v>
      </c>
      <c r="G530" s="8">
        <f>G529+H530</f>
        <v>0</v>
      </c>
      <c r="H530" s="8">
        <f>IF($D530="VISA",$C530,0)</f>
        <v>0</v>
      </c>
      <c r="I530" s="8">
        <f>I529+J530</f>
        <v>0</v>
      </c>
      <c r="J530" s="8">
        <f>IF($D530="ACC",$C530,0)</f>
        <v>0</v>
      </c>
      <c r="K530" s="8">
        <f>K529+L530</f>
        <v>0</v>
      </c>
      <c r="L530" s="8">
        <f>IF($D530="CBB",$C530,0)</f>
        <v>0</v>
      </c>
    </row>
    <row r="531" spans="1:12" x14ac:dyDescent="0.25">
      <c r="A531" s="6">
        <v>41725</v>
      </c>
      <c r="B531" t="s">
        <v>45</v>
      </c>
      <c r="C531" s="7">
        <v>-180</v>
      </c>
      <c r="D531" t="s">
        <v>6</v>
      </c>
      <c r="E531" s="8">
        <f>E530+F531</f>
        <v>131044</v>
      </c>
      <c r="F531" s="8">
        <f>IF($D531="CR01",$C531,0)</f>
        <v>-180</v>
      </c>
      <c r="G531" s="8">
        <f>G530+H531</f>
        <v>0</v>
      </c>
      <c r="H531" s="8">
        <f>IF($D531="VISA",$C531,0)</f>
        <v>0</v>
      </c>
      <c r="I531" s="8">
        <f>I530+J531</f>
        <v>0</v>
      </c>
      <c r="J531" s="8">
        <f>IF($D531="ACC",$C531,0)</f>
        <v>0</v>
      </c>
      <c r="K531" s="8">
        <f>K530+L531</f>
        <v>0</v>
      </c>
      <c r="L531" s="8">
        <f>IF($D531="CBB",$C531,0)</f>
        <v>0</v>
      </c>
    </row>
    <row r="532" spans="1:12" x14ac:dyDescent="0.25">
      <c r="A532" s="6">
        <v>41725</v>
      </c>
      <c r="B532" t="s">
        <v>46</v>
      </c>
      <c r="C532" s="7">
        <v>-300</v>
      </c>
      <c r="D532" t="s">
        <v>6</v>
      </c>
      <c r="E532" s="8">
        <f>E531+F532</f>
        <v>130744</v>
      </c>
      <c r="F532" s="8">
        <f>IF($D532="CR01",$C532,0)</f>
        <v>-300</v>
      </c>
      <c r="G532" s="8">
        <f>G531+H532</f>
        <v>0</v>
      </c>
      <c r="H532" s="8">
        <f>IF($D532="VISA",$C532,0)</f>
        <v>0</v>
      </c>
      <c r="I532" s="8">
        <f>I531+J532</f>
        <v>0</v>
      </c>
      <c r="J532" s="8">
        <f>IF($D532="ACC",$C532,0)</f>
        <v>0</v>
      </c>
      <c r="K532" s="8">
        <f>K531+L532</f>
        <v>0</v>
      </c>
      <c r="L532" s="8">
        <f>IF($D532="CBB",$C532,0)</f>
        <v>0</v>
      </c>
    </row>
    <row r="533" spans="1:12" x14ac:dyDescent="0.25">
      <c r="A533" s="6">
        <v>41726</v>
      </c>
      <c r="B533" t="s">
        <v>43</v>
      </c>
      <c r="C533" s="7">
        <v>3226</v>
      </c>
      <c r="D533" t="s">
        <v>6</v>
      </c>
      <c r="E533" s="8">
        <f>E532+F533</f>
        <v>133970</v>
      </c>
      <c r="F533" s="8">
        <f>IF($D533="CR01",$C533,0)</f>
        <v>3226</v>
      </c>
      <c r="G533" s="8">
        <f>G532+H533</f>
        <v>0</v>
      </c>
      <c r="H533" s="8">
        <f>IF($D533="VISA",$C533,0)</f>
        <v>0</v>
      </c>
      <c r="I533" s="8">
        <f>I532+J533</f>
        <v>0</v>
      </c>
      <c r="J533" s="8">
        <f>IF($D533="ACC",$C533,0)</f>
        <v>0</v>
      </c>
      <c r="K533" s="8">
        <f>K532+L533</f>
        <v>0</v>
      </c>
      <c r="L533" s="8">
        <f>IF($D533="CBB",$C533,0)</f>
        <v>0</v>
      </c>
    </row>
    <row r="534" spans="1:12" x14ac:dyDescent="0.25">
      <c r="A534" s="6">
        <v>41730</v>
      </c>
      <c r="B534" t="s">
        <v>48</v>
      </c>
      <c r="C534" s="7">
        <v>-100</v>
      </c>
      <c r="D534" t="s">
        <v>6</v>
      </c>
      <c r="E534" s="8">
        <f>E533+F534</f>
        <v>133870</v>
      </c>
      <c r="F534" s="8">
        <f>IF($D534="CR01",$C534,0)</f>
        <v>-100</v>
      </c>
      <c r="G534" s="8">
        <f>G533+H534</f>
        <v>0</v>
      </c>
      <c r="H534" s="8">
        <f>IF($D534="VISA",$C534,0)</f>
        <v>0</v>
      </c>
      <c r="I534" s="8">
        <f>I533+J534</f>
        <v>0</v>
      </c>
      <c r="J534" s="8">
        <f>IF($D534="ACC",$C534,0)</f>
        <v>0</v>
      </c>
      <c r="K534" s="8">
        <f>K533+L534</f>
        <v>0</v>
      </c>
      <c r="L534" s="8">
        <f>IF($D534="CBB",$C534,0)</f>
        <v>0</v>
      </c>
    </row>
    <row r="535" spans="1:12" x14ac:dyDescent="0.25">
      <c r="A535" s="6">
        <v>41730</v>
      </c>
      <c r="B535" t="s">
        <v>58</v>
      </c>
      <c r="C535" s="7">
        <v>-200</v>
      </c>
      <c r="D535" t="s">
        <v>6</v>
      </c>
      <c r="E535" s="8">
        <f>E534+F535</f>
        <v>133670</v>
      </c>
      <c r="F535" s="8">
        <f>IF($D535="CR01",$C535,0)</f>
        <v>-200</v>
      </c>
      <c r="G535" s="8">
        <f>G534+H535</f>
        <v>0</v>
      </c>
      <c r="H535" s="8">
        <f>IF($D535="VISA",$C535,0)</f>
        <v>0</v>
      </c>
      <c r="I535" s="8">
        <f>I534+J535</f>
        <v>0</v>
      </c>
      <c r="J535" s="8">
        <f>IF($D535="ACC",$C535,0)</f>
        <v>0</v>
      </c>
      <c r="K535" s="8">
        <f>K534+L535</f>
        <v>0</v>
      </c>
      <c r="L535" s="8">
        <f>IF($D535="CBB",$C535,0)</f>
        <v>0</v>
      </c>
    </row>
    <row r="536" spans="1:12" x14ac:dyDescent="0.25">
      <c r="A536" s="6">
        <v>41730</v>
      </c>
      <c r="B536" t="s">
        <v>60</v>
      </c>
      <c r="C536" s="7">
        <v>-400</v>
      </c>
      <c r="D536" t="s">
        <v>6</v>
      </c>
      <c r="E536" s="8">
        <f>E535+F536</f>
        <v>133270</v>
      </c>
      <c r="F536" s="8">
        <f>IF($D536="CR01",$C536,0)</f>
        <v>-400</v>
      </c>
      <c r="G536" s="8">
        <f>G535+H536</f>
        <v>0</v>
      </c>
      <c r="H536" s="8">
        <f>IF($D536="VISA",$C536,0)</f>
        <v>0</v>
      </c>
      <c r="I536" s="8">
        <f>I535+J536</f>
        <v>0</v>
      </c>
      <c r="J536" s="8">
        <f>IF($D536="ACC",$C536,0)</f>
        <v>0</v>
      </c>
      <c r="K536" s="8">
        <f>K535+L536</f>
        <v>0</v>
      </c>
      <c r="L536" s="8">
        <f>IF($D536="CBB",$C536,0)</f>
        <v>0</v>
      </c>
    </row>
    <row r="537" spans="1:12" x14ac:dyDescent="0.25">
      <c r="A537" s="6">
        <v>41730</v>
      </c>
      <c r="B537" t="s">
        <v>61</v>
      </c>
      <c r="C537" s="7">
        <v>-300</v>
      </c>
      <c r="D537" t="s">
        <v>6</v>
      </c>
      <c r="E537" s="8">
        <f>E536+F537</f>
        <v>132970</v>
      </c>
      <c r="F537" s="8">
        <f>IF($D537="CR01",$C537,0)</f>
        <v>-300</v>
      </c>
      <c r="G537" s="8">
        <f>G536+H537</f>
        <v>0</v>
      </c>
      <c r="H537" s="8">
        <f>IF($D537="VISA",$C537,0)</f>
        <v>0</v>
      </c>
      <c r="I537" s="8">
        <f>I536+J537</f>
        <v>0</v>
      </c>
      <c r="J537" s="8">
        <f>IF($D537="ACC",$C537,0)</f>
        <v>0</v>
      </c>
      <c r="K537" s="8">
        <f>K536+L537</f>
        <v>0</v>
      </c>
      <c r="L537" s="8">
        <f>IF($D537="CBB",$C537,0)</f>
        <v>0</v>
      </c>
    </row>
    <row r="538" spans="1:12" x14ac:dyDescent="0.25">
      <c r="A538" s="6">
        <v>41730</v>
      </c>
      <c r="B538" t="s">
        <v>64</v>
      </c>
      <c r="C538" s="7">
        <v>-26</v>
      </c>
      <c r="D538" t="s">
        <v>6</v>
      </c>
      <c r="E538" s="8">
        <f>E537+F538</f>
        <v>132944</v>
      </c>
      <c r="F538" s="8">
        <f>IF($D538="CR01",$C538,0)</f>
        <v>-26</v>
      </c>
      <c r="G538" s="8">
        <f>G537+H538</f>
        <v>0</v>
      </c>
      <c r="H538" s="8">
        <f>IF($D538="VISA",$C538,0)</f>
        <v>0</v>
      </c>
      <c r="I538" s="8">
        <f>I537+J538</f>
        <v>0</v>
      </c>
      <c r="J538" s="8">
        <f>IF($D538="ACC",$C538,0)</f>
        <v>0</v>
      </c>
      <c r="K538" s="8">
        <f>K537+L538</f>
        <v>0</v>
      </c>
      <c r="L538" s="8">
        <f>IF($D538="CBB",$C538,0)</f>
        <v>0</v>
      </c>
    </row>
    <row r="539" spans="1:12" x14ac:dyDescent="0.25">
      <c r="A539" s="6">
        <v>41730</v>
      </c>
      <c r="B539" t="s">
        <v>65</v>
      </c>
      <c r="C539" s="7">
        <v>-240</v>
      </c>
      <c r="D539" t="s">
        <v>6</v>
      </c>
      <c r="E539" s="8">
        <f>E538+F539</f>
        <v>132704</v>
      </c>
      <c r="F539" s="8">
        <f>IF($D539="CR01",$C539,0)</f>
        <v>-240</v>
      </c>
      <c r="G539" s="8">
        <f>G538+H539</f>
        <v>0</v>
      </c>
      <c r="H539" s="8">
        <f>IF($D539="VISA",$C539,0)</f>
        <v>0</v>
      </c>
      <c r="I539" s="8">
        <f>I538+J539</f>
        <v>0</v>
      </c>
      <c r="J539" s="8">
        <f>IF($D539="ACC",$C539,0)</f>
        <v>0</v>
      </c>
      <c r="K539" s="8">
        <f>K538+L539</f>
        <v>0</v>
      </c>
      <c r="L539" s="8">
        <f>IF($D539="CBB",$C539,0)</f>
        <v>0</v>
      </c>
    </row>
    <row r="540" spans="1:12" x14ac:dyDescent="0.25">
      <c r="A540" s="6">
        <v>41730</v>
      </c>
      <c r="B540" t="s">
        <v>66</v>
      </c>
      <c r="C540" s="7">
        <v>-120</v>
      </c>
      <c r="D540" t="s">
        <v>6</v>
      </c>
      <c r="E540" s="8">
        <f>E539+F540</f>
        <v>132584</v>
      </c>
      <c r="F540" s="8">
        <f>IF($D540="CR01",$C540,0)</f>
        <v>-120</v>
      </c>
      <c r="G540" s="8">
        <f>G539+H540</f>
        <v>0</v>
      </c>
      <c r="H540" s="8">
        <f>IF($D540="VISA",$C540,0)</f>
        <v>0</v>
      </c>
      <c r="I540" s="8">
        <f>I539+J540</f>
        <v>0</v>
      </c>
      <c r="J540" s="8">
        <f>IF($D540="ACC",$C540,0)</f>
        <v>0</v>
      </c>
      <c r="K540" s="8">
        <f>K539+L540</f>
        <v>0</v>
      </c>
      <c r="L540" s="8">
        <f>IF($D540="CBB",$C540,0)</f>
        <v>0</v>
      </c>
    </row>
    <row r="541" spans="1:12" x14ac:dyDescent="0.25">
      <c r="A541" s="6">
        <v>41731</v>
      </c>
      <c r="B541" t="s">
        <v>47</v>
      </c>
      <c r="C541" s="7">
        <v>-120</v>
      </c>
      <c r="D541" t="s">
        <v>6</v>
      </c>
      <c r="E541" s="8">
        <f>E540+F541</f>
        <v>132464</v>
      </c>
      <c r="F541" s="8">
        <f>IF($D541="CR01",$C541,0)</f>
        <v>-120</v>
      </c>
      <c r="G541" s="8">
        <f>G540+H541</f>
        <v>0</v>
      </c>
      <c r="H541" s="8">
        <f>IF($D541="VISA",$C541,0)</f>
        <v>0</v>
      </c>
      <c r="I541" s="8">
        <f>I540+J541</f>
        <v>0</v>
      </c>
      <c r="J541" s="8">
        <f>IF($D541="ACC",$C541,0)</f>
        <v>0</v>
      </c>
      <c r="K541" s="8">
        <f>K540+L541</f>
        <v>0</v>
      </c>
      <c r="L541" s="8">
        <f>IF($D541="CBB",$C541,0)</f>
        <v>0</v>
      </c>
    </row>
    <row r="542" spans="1:12" x14ac:dyDescent="0.25">
      <c r="A542" s="6">
        <v>41731</v>
      </c>
      <c r="B542" t="s">
        <v>59</v>
      </c>
      <c r="C542" s="7">
        <v>-900</v>
      </c>
      <c r="D542" t="s">
        <v>6</v>
      </c>
      <c r="E542" s="8">
        <f>E541+F542</f>
        <v>131564</v>
      </c>
      <c r="F542" s="8">
        <f>IF($D542="CR01",$C542,0)</f>
        <v>-900</v>
      </c>
      <c r="G542" s="8">
        <f>G541+H542</f>
        <v>0</v>
      </c>
      <c r="H542" s="8">
        <f>IF($D542="VISA",$C542,0)</f>
        <v>0</v>
      </c>
      <c r="I542" s="8">
        <f>I541+J542</f>
        <v>0</v>
      </c>
      <c r="J542" s="8">
        <f>IF($D542="ACC",$C542,0)</f>
        <v>0</v>
      </c>
      <c r="K542" s="8">
        <f>K541+L542</f>
        <v>0</v>
      </c>
      <c r="L542" s="8">
        <f>IF($D542="CBB",$C542,0)</f>
        <v>0</v>
      </c>
    </row>
    <row r="543" spans="1:12" x14ac:dyDescent="0.25">
      <c r="A543" s="6">
        <v>41732</v>
      </c>
      <c r="B543" t="s">
        <v>44</v>
      </c>
      <c r="C543" s="7">
        <v>-400</v>
      </c>
      <c r="D543" t="s">
        <v>6</v>
      </c>
      <c r="E543" s="8">
        <f>E542+F543</f>
        <v>131164</v>
      </c>
      <c r="F543" s="8">
        <f>IF($D543="CR01",$C543,0)</f>
        <v>-400</v>
      </c>
      <c r="G543" s="8">
        <f>G542+H543</f>
        <v>0</v>
      </c>
      <c r="H543" s="8">
        <f>IF($D543="VISA",$C543,0)</f>
        <v>0</v>
      </c>
      <c r="I543" s="8">
        <f>I542+J543</f>
        <v>0</v>
      </c>
      <c r="J543" s="8">
        <f>IF($D543="ACC",$C543,0)</f>
        <v>0</v>
      </c>
      <c r="K543" s="8">
        <f>K542+L543</f>
        <v>0</v>
      </c>
      <c r="L543" s="8">
        <f>IF($D543="CBB",$C543,0)</f>
        <v>0</v>
      </c>
    </row>
    <row r="544" spans="1:12" x14ac:dyDescent="0.25">
      <c r="A544" s="6">
        <v>41732</v>
      </c>
      <c r="B544" t="s">
        <v>45</v>
      </c>
      <c r="C544" s="7">
        <v>-180</v>
      </c>
      <c r="D544" t="s">
        <v>6</v>
      </c>
      <c r="E544" s="8">
        <f>E543+F544</f>
        <v>130984</v>
      </c>
      <c r="F544" s="8">
        <f>IF($D544="CR01",$C544,0)</f>
        <v>-180</v>
      </c>
      <c r="G544" s="8">
        <f>G543+H544</f>
        <v>0</v>
      </c>
      <c r="H544" s="8">
        <f>IF($D544="VISA",$C544,0)</f>
        <v>0</v>
      </c>
      <c r="I544" s="8">
        <f>I543+J544</f>
        <v>0</v>
      </c>
      <c r="J544" s="8">
        <f>IF($D544="ACC",$C544,0)</f>
        <v>0</v>
      </c>
      <c r="K544" s="8">
        <f>K543+L544</f>
        <v>0</v>
      </c>
      <c r="L544" s="8">
        <f>IF($D544="CBB",$C544,0)</f>
        <v>0</v>
      </c>
    </row>
    <row r="545" spans="1:12" x14ac:dyDescent="0.25">
      <c r="A545" s="6">
        <v>41732</v>
      </c>
      <c r="B545" t="s">
        <v>46</v>
      </c>
      <c r="C545" s="7">
        <v>-300</v>
      </c>
      <c r="D545" t="s">
        <v>6</v>
      </c>
      <c r="E545" s="8">
        <f>E544+F545</f>
        <v>130684</v>
      </c>
      <c r="F545" s="8">
        <f>IF($D545="CR01",$C545,0)</f>
        <v>-300</v>
      </c>
      <c r="G545" s="8">
        <f>G544+H545</f>
        <v>0</v>
      </c>
      <c r="H545" s="8">
        <f>IF($D545="VISA",$C545,0)</f>
        <v>0</v>
      </c>
      <c r="I545" s="8">
        <f>I544+J545</f>
        <v>0</v>
      </c>
      <c r="J545" s="8">
        <f>IF($D545="ACC",$C545,0)</f>
        <v>0</v>
      </c>
      <c r="K545" s="8">
        <f>K544+L545</f>
        <v>0</v>
      </c>
      <c r="L545" s="8">
        <f>IF($D545="CBB",$C545,0)</f>
        <v>0</v>
      </c>
    </row>
    <row r="546" spans="1:12" x14ac:dyDescent="0.25">
      <c r="A546" s="6">
        <v>41734</v>
      </c>
      <c r="B546" t="s">
        <v>67</v>
      </c>
      <c r="C546" s="7">
        <v>6800</v>
      </c>
      <c r="D546" t="s">
        <v>6</v>
      </c>
      <c r="E546" s="8">
        <f>E545+F546</f>
        <v>137484</v>
      </c>
      <c r="F546" s="8">
        <f>IF($D546="CR01",$C546,0)</f>
        <v>6800</v>
      </c>
      <c r="G546" s="8">
        <f>G545+H546</f>
        <v>0</v>
      </c>
      <c r="H546" s="8">
        <f>IF($D546="VISA",$C546,0)</f>
        <v>0</v>
      </c>
      <c r="I546" s="8">
        <f>I545+J546</f>
        <v>0</v>
      </c>
      <c r="J546" s="8">
        <f>IF($D546="ACC",$C546,0)</f>
        <v>0</v>
      </c>
      <c r="K546" s="8">
        <f>K545+L546</f>
        <v>0</v>
      </c>
      <c r="L546" s="8">
        <f>IF($D546="CBB",$C546,0)</f>
        <v>0</v>
      </c>
    </row>
    <row r="547" spans="1:12" x14ac:dyDescent="0.25">
      <c r="A547" s="6">
        <v>41737</v>
      </c>
      <c r="B547" t="s">
        <v>42</v>
      </c>
      <c r="C547" s="7">
        <v>-2806</v>
      </c>
      <c r="D547" t="s">
        <v>6</v>
      </c>
      <c r="E547" s="8">
        <f>E546+F547</f>
        <v>134678</v>
      </c>
      <c r="F547" s="8">
        <f>IF($D547="CR01",$C547,0)</f>
        <v>-2806</v>
      </c>
      <c r="G547" s="8">
        <f>G546+H547</f>
        <v>0</v>
      </c>
      <c r="H547" s="8">
        <f>IF($D547="VISA",$C547,0)</f>
        <v>0</v>
      </c>
      <c r="I547" s="8">
        <f>I546+J547</f>
        <v>0</v>
      </c>
      <c r="J547" s="8">
        <f>IF($D547="ACC",$C547,0)</f>
        <v>0</v>
      </c>
      <c r="K547" s="8">
        <f>K546+L547</f>
        <v>0</v>
      </c>
      <c r="L547" s="8">
        <f>IF($D547="CBB",$C547,0)</f>
        <v>0</v>
      </c>
    </row>
    <row r="548" spans="1:12" x14ac:dyDescent="0.25">
      <c r="A548" s="6">
        <v>41737</v>
      </c>
      <c r="B548" t="s">
        <v>48</v>
      </c>
      <c r="C548" s="7">
        <v>-100</v>
      </c>
      <c r="D548" t="s">
        <v>6</v>
      </c>
      <c r="E548" s="8">
        <f>E547+F548</f>
        <v>134578</v>
      </c>
      <c r="F548" s="8">
        <f>IF($D548="CR01",$C548,0)</f>
        <v>-100</v>
      </c>
      <c r="G548" s="8">
        <f>G547+H548</f>
        <v>0</v>
      </c>
      <c r="H548" s="8">
        <f>IF($D548="VISA",$C548,0)</f>
        <v>0</v>
      </c>
      <c r="I548" s="8">
        <f>I547+J548</f>
        <v>0</v>
      </c>
      <c r="J548" s="8">
        <f>IF($D548="ACC",$C548,0)</f>
        <v>0</v>
      </c>
      <c r="K548" s="8">
        <f>K547+L548</f>
        <v>0</v>
      </c>
      <c r="L548" s="8">
        <f>IF($D548="CBB",$C548,0)</f>
        <v>0</v>
      </c>
    </row>
    <row r="549" spans="1:12" x14ac:dyDescent="0.25">
      <c r="A549" s="6">
        <v>41738</v>
      </c>
      <c r="B549" t="s">
        <v>47</v>
      </c>
      <c r="C549" s="7">
        <v>-120</v>
      </c>
      <c r="D549" t="s">
        <v>6</v>
      </c>
      <c r="E549" s="8">
        <f>E548+F549</f>
        <v>134458</v>
      </c>
      <c r="F549" s="8">
        <f>IF($D549="CR01",$C549,0)</f>
        <v>-120</v>
      </c>
      <c r="G549" s="8">
        <f>G548+H549</f>
        <v>0</v>
      </c>
      <c r="H549" s="8">
        <f>IF($D549="VISA",$C549,0)</f>
        <v>0</v>
      </c>
      <c r="I549" s="8">
        <f>I548+J549</f>
        <v>0</v>
      </c>
      <c r="J549" s="8">
        <f>IF($D549="ACC",$C549,0)</f>
        <v>0</v>
      </c>
      <c r="K549" s="8">
        <f>K548+L549</f>
        <v>0</v>
      </c>
      <c r="L549" s="8">
        <f>IF($D549="CBB",$C549,0)</f>
        <v>0</v>
      </c>
    </row>
    <row r="550" spans="1:12" x14ac:dyDescent="0.25">
      <c r="A550" s="6">
        <v>41739</v>
      </c>
      <c r="B550" t="s">
        <v>44</v>
      </c>
      <c r="C550" s="7">
        <v>-400</v>
      </c>
      <c r="D550" t="s">
        <v>6</v>
      </c>
      <c r="E550" s="8">
        <f>E549+F550</f>
        <v>134058</v>
      </c>
      <c r="F550" s="8">
        <f>IF($D550="CR01",$C550,0)</f>
        <v>-400</v>
      </c>
      <c r="G550" s="8">
        <f>G549+H550</f>
        <v>0</v>
      </c>
      <c r="H550" s="8">
        <f>IF($D550="VISA",$C550,0)</f>
        <v>0</v>
      </c>
      <c r="I550" s="8">
        <f>I549+J550</f>
        <v>0</v>
      </c>
      <c r="J550" s="8">
        <f>IF($D550="ACC",$C550,0)</f>
        <v>0</v>
      </c>
      <c r="K550" s="8">
        <f>K549+L550</f>
        <v>0</v>
      </c>
      <c r="L550" s="8">
        <f>IF($D550="CBB",$C550,0)</f>
        <v>0</v>
      </c>
    </row>
    <row r="551" spans="1:12" x14ac:dyDescent="0.25">
      <c r="A551" s="6">
        <v>41739</v>
      </c>
      <c r="B551" t="s">
        <v>45</v>
      </c>
      <c r="C551" s="7">
        <v>-180</v>
      </c>
      <c r="D551" t="s">
        <v>6</v>
      </c>
      <c r="E551" s="8">
        <f>E550+F551</f>
        <v>133878</v>
      </c>
      <c r="F551" s="8">
        <f>IF($D551="CR01",$C551,0)</f>
        <v>-180</v>
      </c>
      <c r="G551" s="8">
        <f>G550+H551</f>
        <v>0</v>
      </c>
      <c r="H551" s="8">
        <f>IF($D551="VISA",$C551,0)</f>
        <v>0</v>
      </c>
      <c r="I551" s="8">
        <f>I550+J551</f>
        <v>0</v>
      </c>
      <c r="J551" s="8">
        <f>IF($D551="ACC",$C551,0)</f>
        <v>0</v>
      </c>
      <c r="K551" s="8">
        <f>K550+L551</f>
        <v>0</v>
      </c>
      <c r="L551" s="8">
        <f>IF($D551="CBB",$C551,0)</f>
        <v>0</v>
      </c>
    </row>
    <row r="552" spans="1:12" x14ac:dyDescent="0.25">
      <c r="A552" s="6">
        <v>41739</v>
      </c>
      <c r="B552" t="s">
        <v>46</v>
      </c>
      <c r="C552" s="7">
        <v>-300</v>
      </c>
      <c r="D552" t="s">
        <v>6</v>
      </c>
      <c r="E552" s="8">
        <f>E551+F552</f>
        <v>133578</v>
      </c>
      <c r="F552" s="8">
        <f>IF($D552="CR01",$C552,0)</f>
        <v>-300</v>
      </c>
      <c r="G552" s="8">
        <f>G551+H552</f>
        <v>0</v>
      </c>
      <c r="H552" s="8">
        <f>IF($D552="VISA",$C552,0)</f>
        <v>0</v>
      </c>
      <c r="I552" s="8">
        <f>I551+J552</f>
        <v>0</v>
      </c>
      <c r="J552" s="8">
        <f>IF($D552="ACC",$C552,0)</f>
        <v>0</v>
      </c>
      <c r="K552" s="8">
        <f>K551+L552</f>
        <v>0</v>
      </c>
      <c r="L552" s="8">
        <f>IF($D552="CBB",$C552,0)</f>
        <v>0</v>
      </c>
    </row>
    <row r="553" spans="1:12" x14ac:dyDescent="0.25">
      <c r="A553" s="6">
        <v>41740</v>
      </c>
      <c r="B553" t="s">
        <v>43</v>
      </c>
      <c r="C553" s="7">
        <v>3226</v>
      </c>
      <c r="D553" t="s">
        <v>6</v>
      </c>
      <c r="E553" s="8">
        <f>E552+F553</f>
        <v>136804</v>
      </c>
      <c r="F553" s="8">
        <f>IF($D553="CR01",$C553,0)</f>
        <v>3226</v>
      </c>
      <c r="G553" s="8">
        <f>G552+H553</f>
        <v>0</v>
      </c>
      <c r="H553" s="8">
        <f>IF($D553="VISA",$C553,0)</f>
        <v>0</v>
      </c>
      <c r="I553" s="8">
        <f>I552+J553</f>
        <v>0</v>
      </c>
      <c r="J553" s="8">
        <f>IF($D553="ACC",$C553,0)</f>
        <v>0</v>
      </c>
      <c r="K553" s="8">
        <f>K552+L553</f>
        <v>0</v>
      </c>
      <c r="L553" s="8">
        <f>IF($D553="CBB",$C553,0)</f>
        <v>0</v>
      </c>
    </row>
    <row r="554" spans="1:12" x14ac:dyDescent="0.25">
      <c r="A554" s="6">
        <v>41744</v>
      </c>
      <c r="B554" t="s">
        <v>48</v>
      </c>
      <c r="C554" s="7">
        <v>-100</v>
      </c>
      <c r="D554" t="s">
        <v>6</v>
      </c>
      <c r="E554" s="8">
        <f>E553+F554</f>
        <v>136704</v>
      </c>
      <c r="F554" s="8">
        <f>IF($D554="CR01",$C554,0)</f>
        <v>-100</v>
      </c>
      <c r="G554" s="8">
        <f>G553+H554</f>
        <v>0</v>
      </c>
      <c r="H554" s="8">
        <f>IF($D554="VISA",$C554,0)</f>
        <v>0</v>
      </c>
      <c r="I554" s="8">
        <f>I553+J554</f>
        <v>0</v>
      </c>
      <c r="J554" s="8">
        <f>IF($D554="ACC",$C554,0)</f>
        <v>0</v>
      </c>
      <c r="K554" s="8">
        <f>K553+L554</f>
        <v>0</v>
      </c>
      <c r="L554" s="8">
        <f>IF($D554="CBB",$C554,0)</f>
        <v>0</v>
      </c>
    </row>
    <row r="555" spans="1:12" x14ac:dyDescent="0.25">
      <c r="A555" s="6">
        <v>41745</v>
      </c>
      <c r="B555" t="s">
        <v>47</v>
      </c>
      <c r="C555" s="7">
        <v>-120</v>
      </c>
      <c r="D555" t="s">
        <v>6</v>
      </c>
      <c r="E555" s="8">
        <f>E554+F555</f>
        <v>136584</v>
      </c>
      <c r="F555" s="8">
        <f>IF($D555="CR01",$C555,0)</f>
        <v>-120</v>
      </c>
      <c r="G555" s="8">
        <f>G554+H555</f>
        <v>0</v>
      </c>
      <c r="H555" s="8">
        <f>IF($D555="VISA",$C555,0)</f>
        <v>0</v>
      </c>
      <c r="I555" s="8">
        <f>I554+J555</f>
        <v>0</v>
      </c>
      <c r="J555" s="8">
        <f>IF($D555="ACC",$C555,0)</f>
        <v>0</v>
      </c>
      <c r="K555" s="8">
        <f>K554+L555</f>
        <v>0</v>
      </c>
      <c r="L555" s="8">
        <f>IF($D555="CBB",$C555,0)</f>
        <v>0</v>
      </c>
    </row>
    <row r="556" spans="1:12" x14ac:dyDescent="0.25">
      <c r="A556" s="6">
        <v>41746</v>
      </c>
      <c r="B556" t="s">
        <v>44</v>
      </c>
      <c r="C556" s="7">
        <v>-400</v>
      </c>
      <c r="D556" t="s">
        <v>6</v>
      </c>
      <c r="E556" s="8">
        <f>E555+F556</f>
        <v>136184</v>
      </c>
      <c r="F556" s="8">
        <f>IF($D556="CR01",$C556,0)</f>
        <v>-400</v>
      </c>
      <c r="G556" s="8">
        <f>G555+H556</f>
        <v>0</v>
      </c>
      <c r="H556" s="8">
        <f>IF($D556="VISA",$C556,0)</f>
        <v>0</v>
      </c>
      <c r="I556" s="8">
        <f>I555+J556</f>
        <v>0</v>
      </c>
      <c r="J556" s="8">
        <f>IF($D556="ACC",$C556,0)</f>
        <v>0</v>
      </c>
      <c r="K556" s="8">
        <f>K555+L556</f>
        <v>0</v>
      </c>
      <c r="L556" s="8">
        <f>IF($D556="CBB",$C556,0)</f>
        <v>0</v>
      </c>
    </row>
    <row r="557" spans="1:12" x14ac:dyDescent="0.25">
      <c r="A557" s="6">
        <v>41746</v>
      </c>
      <c r="B557" t="s">
        <v>45</v>
      </c>
      <c r="C557" s="7">
        <v>-180</v>
      </c>
      <c r="D557" t="s">
        <v>6</v>
      </c>
      <c r="E557" s="8">
        <f>E556+F557</f>
        <v>136004</v>
      </c>
      <c r="F557" s="8">
        <f>IF($D557="CR01",$C557,0)</f>
        <v>-180</v>
      </c>
      <c r="G557" s="8">
        <f>G556+H557</f>
        <v>0</v>
      </c>
      <c r="H557" s="8">
        <f>IF($D557="VISA",$C557,0)</f>
        <v>0</v>
      </c>
      <c r="I557" s="8">
        <f>I556+J557</f>
        <v>0</v>
      </c>
      <c r="J557" s="8">
        <f>IF($D557="ACC",$C557,0)</f>
        <v>0</v>
      </c>
      <c r="K557" s="8">
        <f>K556+L557</f>
        <v>0</v>
      </c>
      <c r="L557" s="8">
        <f>IF($D557="CBB",$C557,0)</f>
        <v>0</v>
      </c>
    </row>
    <row r="558" spans="1:12" x14ac:dyDescent="0.25">
      <c r="A558" s="6">
        <v>41746</v>
      </c>
      <c r="B558" t="s">
        <v>46</v>
      </c>
      <c r="C558" s="7">
        <v>-300</v>
      </c>
      <c r="D558" t="s">
        <v>6</v>
      </c>
      <c r="E558" s="8">
        <f>E557+F558</f>
        <v>135704</v>
      </c>
      <c r="F558" s="8">
        <f>IF($D558="CR01",$C558,0)</f>
        <v>-300</v>
      </c>
      <c r="G558" s="8">
        <f>G557+H558</f>
        <v>0</v>
      </c>
      <c r="H558" s="8">
        <f>IF($D558="VISA",$C558,0)</f>
        <v>0</v>
      </c>
      <c r="I558" s="8">
        <f>I557+J558</f>
        <v>0</v>
      </c>
      <c r="J558" s="8">
        <f>IF($D558="ACC",$C558,0)</f>
        <v>0</v>
      </c>
      <c r="K558" s="8">
        <f>K557+L558</f>
        <v>0</v>
      </c>
      <c r="L558" s="8">
        <f>IF($D558="CBB",$C558,0)</f>
        <v>0</v>
      </c>
    </row>
    <row r="559" spans="1:12" x14ac:dyDescent="0.25">
      <c r="A559" s="6">
        <v>41748</v>
      </c>
      <c r="B559" t="s">
        <v>67</v>
      </c>
      <c r="C559" s="7">
        <v>6800</v>
      </c>
      <c r="D559" t="s">
        <v>6</v>
      </c>
      <c r="E559" s="8">
        <f>E558+F559</f>
        <v>142504</v>
      </c>
      <c r="F559" s="8">
        <f>IF($D559="CR01",$C559,0)</f>
        <v>6800</v>
      </c>
      <c r="G559" s="8">
        <f>G558+H559</f>
        <v>0</v>
      </c>
      <c r="H559" s="8">
        <f>IF($D559="VISA",$C559,0)</f>
        <v>0</v>
      </c>
      <c r="I559" s="8">
        <f>I558+J559</f>
        <v>0</v>
      </c>
      <c r="J559" s="8">
        <f>IF($D559="ACC",$C559,0)</f>
        <v>0</v>
      </c>
      <c r="K559" s="8">
        <f>K558+L559</f>
        <v>0</v>
      </c>
      <c r="L559" s="8">
        <f>IF($D559="CBB",$C559,0)</f>
        <v>0</v>
      </c>
    </row>
    <row r="560" spans="1:12" x14ac:dyDescent="0.25">
      <c r="A560" s="6">
        <v>41751</v>
      </c>
      <c r="B560" t="s">
        <v>42</v>
      </c>
      <c r="C560" s="7">
        <v>-2806</v>
      </c>
      <c r="D560" t="s">
        <v>6</v>
      </c>
      <c r="E560" s="8">
        <f>E559+F560</f>
        <v>139698</v>
      </c>
      <c r="F560" s="8">
        <f>IF($D560="CR01",$C560,0)</f>
        <v>-2806</v>
      </c>
      <c r="G560" s="8">
        <f>G559+H560</f>
        <v>0</v>
      </c>
      <c r="H560" s="8">
        <f>IF($D560="VISA",$C560,0)</f>
        <v>0</v>
      </c>
      <c r="I560" s="8">
        <f>I559+J560</f>
        <v>0</v>
      </c>
      <c r="J560" s="8">
        <f>IF($D560="ACC",$C560,0)</f>
        <v>0</v>
      </c>
      <c r="K560" s="8">
        <f>K559+L560</f>
        <v>0</v>
      </c>
      <c r="L560" s="8">
        <f>IF($D560="CBB",$C560,0)</f>
        <v>0</v>
      </c>
    </row>
    <row r="561" spans="1:12" x14ac:dyDescent="0.25">
      <c r="A561" s="6">
        <v>41751</v>
      </c>
      <c r="B561" t="s">
        <v>48</v>
      </c>
      <c r="C561" s="7">
        <v>-100</v>
      </c>
      <c r="D561" t="s">
        <v>6</v>
      </c>
      <c r="E561" s="8">
        <f>E560+F561</f>
        <v>139598</v>
      </c>
      <c r="F561" s="8">
        <f>IF($D561="CR01",$C561,0)</f>
        <v>-100</v>
      </c>
      <c r="G561" s="8">
        <f>G560+H561</f>
        <v>0</v>
      </c>
      <c r="H561" s="8">
        <f>IF($D561="VISA",$C561,0)</f>
        <v>0</v>
      </c>
      <c r="I561" s="8">
        <f>I560+J561</f>
        <v>0</v>
      </c>
      <c r="J561" s="8">
        <f>IF($D561="ACC",$C561,0)</f>
        <v>0</v>
      </c>
      <c r="K561" s="8">
        <f>K560+L561</f>
        <v>0</v>
      </c>
      <c r="L561" s="8">
        <f>IF($D561="CBB",$C561,0)</f>
        <v>0</v>
      </c>
    </row>
    <row r="562" spans="1:12" x14ac:dyDescent="0.25">
      <c r="A562" s="6">
        <v>41752</v>
      </c>
      <c r="B562" t="s">
        <v>47</v>
      </c>
      <c r="C562" s="7">
        <v>-120</v>
      </c>
      <c r="D562" t="s">
        <v>6</v>
      </c>
      <c r="E562" s="8">
        <f>E561+F562</f>
        <v>139478</v>
      </c>
      <c r="F562" s="8">
        <f>IF($D562="CR01",$C562,0)</f>
        <v>-120</v>
      </c>
      <c r="G562" s="8">
        <f>G561+H562</f>
        <v>0</v>
      </c>
      <c r="H562" s="8">
        <f>IF($D562="VISA",$C562,0)</f>
        <v>0</v>
      </c>
      <c r="I562" s="8">
        <f>I561+J562</f>
        <v>0</v>
      </c>
      <c r="J562" s="8">
        <f>IF($D562="ACC",$C562,0)</f>
        <v>0</v>
      </c>
      <c r="K562" s="8">
        <f>K561+L562</f>
        <v>0</v>
      </c>
      <c r="L562" s="8">
        <f>IF($D562="CBB",$C562,0)</f>
        <v>0</v>
      </c>
    </row>
    <row r="563" spans="1:12" x14ac:dyDescent="0.25">
      <c r="A563" s="6">
        <v>41753</v>
      </c>
      <c r="B563" t="s">
        <v>44</v>
      </c>
      <c r="C563" s="7">
        <v>-400</v>
      </c>
      <c r="D563" t="s">
        <v>6</v>
      </c>
      <c r="E563" s="8">
        <f>E562+F563</f>
        <v>139078</v>
      </c>
      <c r="F563" s="8">
        <f>IF($D563="CR01",$C563,0)</f>
        <v>-400</v>
      </c>
      <c r="G563" s="8">
        <f>G562+H563</f>
        <v>0</v>
      </c>
      <c r="H563" s="8">
        <f>IF($D563="VISA",$C563,0)</f>
        <v>0</v>
      </c>
      <c r="I563" s="8">
        <f>I562+J563</f>
        <v>0</v>
      </c>
      <c r="J563" s="8">
        <f>IF($D563="ACC",$C563,0)</f>
        <v>0</v>
      </c>
      <c r="K563" s="8">
        <f>K562+L563</f>
        <v>0</v>
      </c>
      <c r="L563" s="8">
        <f>IF($D563="CBB",$C563,0)</f>
        <v>0</v>
      </c>
    </row>
    <row r="564" spans="1:12" x14ac:dyDescent="0.25">
      <c r="A564" s="6">
        <v>41753</v>
      </c>
      <c r="B564" t="s">
        <v>45</v>
      </c>
      <c r="C564" s="7">
        <v>-180</v>
      </c>
      <c r="D564" t="s">
        <v>6</v>
      </c>
      <c r="E564" s="8">
        <f>E563+F564</f>
        <v>138898</v>
      </c>
      <c r="F564" s="8">
        <f>IF($D564="CR01",$C564,0)</f>
        <v>-180</v>
      </c>
      <c r="G564" s="8">
        <f>G563+H564</f>
        <v>0</v>
      </c>
      <c r="H564" s="8">
        <f>IF($D564="VISA",$C564,0)</f>
        <v>0</v>
      </c>
      <c r="I564" s="8">
        <f>I563+J564</f>
        <v>0</v>
      </c>
      <c r="J564" s="8">
        <f>IF($D564="ACC",$C564,0)</f>
        <v>0</v>
      </c>
      <c r="K564" s="8">
        <f>K563+L564</f>
        <v>0</v>
      </c>
      <c r="L564" s="8">
        <f>IF($D564="CBB",$C564,0)</f>
        <v>0</v>
      </c>
    </row>
    <row r="565" spans="1:12" x14ac:dyDescent="0.25">
      <c r="A565" s="6">
        <v>41753</v>
      </c>
      <c r="B565" t="s">
        <v>46</v>
      </c>
      <c r="C565" s="7">
        <v>-300</v>
      </c>
      <c r="D565" t="s">
        <v>6</v>
      </c>
      <c r="E565" s="8">
        <f>E564+F565</f>
        <v>138598</v>
      </c>
      <c r="F565" s="8">
        <f>IF($D565="CR01",$C565,0)</f>
        <v>-300</v>
      </c>
      <c r="G565" s="8">
        <f>G564+H565</f>
        <v>0</v>
      </c>
      <c r="H565" s="8">
        <f>IF($D565="VISA",$C565,0)</f>
        <v>0</v>
      </c>
      <c r="I565" s="8">
        <f>I564+J565</f>
        <v>0</v>
      </c>
      <c r="J565" s="8">
        <f>IF($D565="ACC",$C565,0)</f>
        <v>0</v>
      </c>
      <c r="K565" s="8">
        <f>K564+L565</f>
        <v>0</v>
      </c>
      <c r="L565" s="8">
        <f>IF($D565="CBB",$C565,0)</f>
        <v>0</v>
      </c>
    </row>
    <row r="566" spans="1:12" x14ac:dyDescent="0.25">
      <c r="A566" s="6">
        <v>41754</v>
      </c>
      <c r="B566" t="s">
        <v>43</v>
      </c>
      <c r="C566" s="7">
        <v>3226</v>
      </c>
      <c r="D566" t="s">
        <v>6</v>
      </c>
      <c r="E566" s="8">
        <f>E565+F566</f>
        <v>141824</v>
      </c>
      <c r="F566" s="8">
        <f>IF($D566="CR01",$C566,0)</f>
        <v>3226</v>
      </c>
      <c r="G566" s="8">
        <f>G565+H566</f>
        <v>0</v>
      </c>
      <c r="H566" s="8">
        <f>IF($D566="VISA",$C566,0)</f>
        <v>0</v>
      </c>
      <c r="I566" s="8">
        <f>I565+J566</f>
        <v>0</v>
      </c>
      <c r="J566" s="8">
        <f>IF($D566="ACC",$C566,0)</f>
        <v>0</v>
      </c>
      <c r="K566" s="8">
        <f>K565+L566</f>
        <v>0</v>
      </c>
      <c r="L566" s="8">
        <f>IF($D566="CBB",$C566,0)</f>
        <v>0</v>
      </c>
    </row>
    <row r="567" spans="1:12" x14ac:dyDescent="0.25">
      <c r="A567" s="6">
        <v>41758</v>
      </c>
      <c r="B567" t="s">
        <v>48</v>
      </c>
      <c r="C567" s="7">
        <v>-100</v>
      </c>
      <c r="D567" t="s">
        <v>6</v>
      </c>
      <c r="E567" s="8">
        <f>E566+F567</f>
        <v>141724</v>
      </c>
      <c r="F567" s="8">
        <f>IF($D567="CR01",$C567,0)</f>
        <v>-100</v>
      </c>
      <c r="G567" s="8">
        <f>G566+H567</f>
        <v>0</v>
      </c>
      <c r="H567" s="8">
        <f>IF($D567="VISA",$C567,0)</f>
        <v>0</v>
      </c>
      <c r="I567" s="8">
        <f>I566+J567</f>
        <v>0</v>
      </c>
      <c r="J567" s="8">
        <f>IF($D567="ACC",$C567,0)</f>
        <v>0</v>
      </c>
      <c r="K567" s="8">
        <f>K566+L567</f>
        <v>0</v>
      </c>
      <c r="L567" s="8">
        <f>IF($D567="CBB",$C567,0)</f>
        <v>0</v>
      </c>
    </row>
    <row r="568" spans="1:12" x14ac:dyDescent="0.25">
      <c r="A568" s="6">
        <v>41759</v>
      </c>
      <c r="B568" t="s">
        <v>47</v>
      </c>
      <c r="C568" s="7">
        <v>-120</v>
      </c>
      <c r="D568" t="s">
        <v>6</v>
      </c>
      <c r="E568" s="8">
        <f>E567+F568</f>
        <v>141604</v>
      </c>
      <c r="F568" s="8">
        <f>IF($D568="CR01",$C568,0)</f>
        <v>-120</v>
      </c>
      <c r="G568" s="8">
        <f>G567+H568</f>
        <v>0</v>
      </c>
      <c r="H568" s="8">
        <f>IF($D568="VISA",$C568,0)</f>
        <v>0</v>
      </c>
      <c r="I568" s="8">
        <f>I567+J568</f>
        <v>0</v>
      </c>
      <c r="J568" s="8">
        <f>IF($D568="ACC",$C568,0)</f>
        <v>0</v>
      </c>
      <c r="K568" s="8">
        <f>K567+L568</f>
        <v>0</v>
      </c>
      <c r="L568" s="8">
        <f>IF($D568="CBB",$C568,0)</f>
        <v>0</v>
      </c>
    </row>
    <row r="569" spans="1:12" x14ac:dyDescent="0.25">
      <c r="A569" s="6">
        <v>41760</v>
      </c>
      <c r="B569" t="s">
        <v>44</v>
      </c>
      <c r="C569" s="7">
        <v>-400</v>
      </c>
      <c r="D569" t="s">
        <v>6</v>
      </c>
      <c r="E569" s="8">
        <f>E568+F569</f>
        <v>141204</v>
      </c>
      <c r="F569" s="8">
        <f>IF($D569="CR01",$C569,0)</f>
        <v>-400</v>
      </c>
      <c r="G569" s="8">
        <f>G568+H569</f>
        <v>0</v>
      </c>
      <c r="H569" s="8">
        <f>IF($D569="VISA",$C569,0)</f>
        <v>0</v>
      </c>
      <c r="I569" s="8">
        <f>I568+J569</f>
        <v>0</v>
      </c>
      <c r="J569" s="8">
        <f>IF($D569="ACC",$C569,0)</f>
        <v>0</v>
      </c>
      <c r="K569" s="8">
        <f>K568+L569</f>
        <v>0</v>
      </c>
      <c r="L569" s="8">
        <f>IF($D569="CBB",$C569,0)</f>
        <v>0</v>
      </c>
    </row>
    <row r="570" spans="1:12" x14ac:dyDescent="0.25">
      <c r="A570" s="6">
        <v>41760</v>
      </c>
      <c r="B570" t="s">
        <v>45</v>
      </c>
      <c r="C570" s="7">
        <v>-180</v>
      </c>
      <c r="D570" t="s">
        <v>6</v>
      </c>
      <c r="E570" s="8">
        <f>E569+F570</f>
        <v>141024</v>
      </c>
      <c r="F570" s="8">
        <f>IF($D570="CR01",$C570,0)</f>
        <v>-180</v>
      </c>
      <c r="G570" s="8">
        <f>G569+H570</f>
        <v>0</v>
      </c>
      <c r="H570" s="8">
        <f>IF($D570="VISA",$C570,0)</f>
        <v>0</v>
      </c>
      <c r="I570" s="8">
        <f>I569+J570</f>
        <v>0</v>
      </c>
      <c r="J570" s="8">
        <f>IF($D570="ACC",$C570,0)</f>
        <v>0</v>
      </c>
      <c r="K570" s="8">
        <f>K569+L570</f>
        <v>0</v>
      </c>
      <c r="L570" s="8">
        <f>IF($D570="CBB",$C570,0)</f>
        <v>0</v>
      </c>
    </row>
    <row r="571" spans="1:12" x14ac:dyDescent="0.25">
      <c r="A571" s="6">
        <v>41760</v>
      </c>
      <c r="B571" t="s">
        <v>46</v>
      </c>
      <c r="C571" s="7">
        <v>-300</v>
      </c>
      <c r="D571" t="s">
        <v>6</v>
      </c>
      <c r="E571" s="8">
        <f>E570+F571</f>
        <v>140724</v>
      </c>
      <c r="F571" s="8">
        <f>IF($D571="CR01",$C571,0)</f>
        <v>-300</v>
      </c>
      <c r="G571" s="8">
        <f>G570+H571</f>
        <v>0</v>
      </c>
      <c r="H571" s="8">
        <f>IF($D571="VISA",$C571,0)</f>
        <v>0</v>
      </c>
      <c r="I571" s="8">
        <f>I570+J571</f>
        <v>0</v>
      </c>
      <c r="J571" s="8">
        <f>IF($D571="ACC",$C571,0)</f>
        <v>0</v>
      </c>
      <c r="K571" s="8">
        <f>K570+L571</f>
        <v>0</v>
      </c>
      <c r="L571" s="8">
        <f>IF($D571="CBB",$C571,0)</f>
        <v>0</v>
      </c>
    </row>
    <row r="572" spans="1:12" x14ac:dyDescent="0.25">
      <c r="A572" s="6">
        <v>41760</v>
      </c>
      <c r="B572" t="s">
        <v>58</v>
      </c>
      <c r="C572" s="7">
        <v>-200</v>
      </c>
      <c r="D572" t="s">
        <v>6</v>
      </c>
      <c r="E572" s="8">
        <f>E571+F572</f>
        <v>140524</v>
      </c>
      <c r="F572" s="8">
        <f>IF($D572="CR01",$C572,0)</f>
        <v>-200</v>
      </c>
      <c r="G572" s="8">
        <f>G571+H572</f>
        <v>0</v>
      </c>
      <c r="H572" s="8">
        <f>IF($D572="VISA",$C572,0)</f>
        <v>0</v>
      </c>
      <c r="I572" s="8">
        <f>I571+J572</f>
        <v>0</v>
      </c>
      <c r="J572" s="8">
        <f>IF($D572="ACC",$C572,0)</f>
        <v>0</v>
      </c>
      <c r="K572" s="8">
        <f>K571+L572</f>
        <v>0</v>
      </c>
      <c r="L572" s="8">
        <f>IF($D572="CBB",$C572,0)</f>
        <v>0</v>
      </c>
    </row>
    <row r="573" spans="1:12" x14ac:dyDescent="0.25">
      <c r="A573" s="6">
        <v>41760</v>
      </c>
      <c r="B573" t="s">
        <v>60</v>
      </c>
      <c r="C573" s="7">
        <v>-400</v>
      </c>
      <c r="D573" t="s">
        <v>6</v>
      </c>
      <c r="E573" s="8">
        <f>E572+F573</f>
        <v>140124</v>
      </c>
      <c r="F573" s="8">
        <f>IF($D573="CR01",$C573,0)</f>
        <v>-400</v>
      </c>
      <c r="G573" s="8">
        <f>G572+H573</f>
        <v>0</v>
      </c>
      <c r="H573" s="8">
        <f>IF($D573="VISA",$C573,0)</f>
        <v>0</v>
      </c>
      <c r="I573" s="8">
        <f>I572+J573</f>
        <v>0</v>
      </c>
      <c r="J573" s="8">
        <f>IF($D573="ACC",$C573,0)</f>
        <v>0</v>
      </c>
      <c r="K573" s="8">
        <f>K572+L573</f>
        <v>0</v>
      </c>
      <c r="L573" s="8">
        <f>IF($D573="CBB",$C573,0)</f>
        <v>0</v>
      </c>
    </row>
    <row r="574" spans="1:12" x14ac:dyDescent="0.25">
      <c r="A574" s="6">
        <v>41760</v>
      </c>
      <c r="B574" t="s">
        <v>62</v>
      </c>
      <c r="C574" s="7">
        <v>-300</v>
      </c>
      <c r="D574" t="s">
        <v>6</v>
      </c>
      <c r="E574" s="8">
        <f>E573+F574</f>
        <v>139824</v>
      </c>
      <c r="F574" s="8">
        <f>IF($D574="CR01",$C574,0)</f>
        <v>-300</v>
      </c>
      <c r="G574" s="8">
        <f>G573+H574</f>
        <v>0</v>
      </c>
      <c r="H574" s="8">
        <f>IF($D574="VISA",$C574,0)</f>
        <v>0</v>
      </c>
      <c r="I574" s="8">
        <f>I573+J574</f>
        <v>0</v>
      </c>
      <c r="J574" s="8">
        <f>IF($D574="ACC",$C574,0)</f>
        <v>0</v>
      </c>
      <c r="K574" s="8">
        <f>K573+L574</f>
        <v>0</v>
      </c>
      <c r="L574" s="8">
        <f>IF($D574="CBB",$C574,0)</f>
        <v>0</v>
      </c>
    </row>
    <row r="575" spans="1:12" x14ac:dyDescent="0.25">
      <c r="A575" s="6">
        <v>41760</v>
      </c>
      <c r="B575" t="s">
        <v>63</v>
      </c>
      <c r="C575" s="7">
        <v>-300</v>
      </c>
      <c r="D575" t="s">
        <v>6</v>
      </c>
      <c r="E575" s="8">
        <f>E574+F575</f>
        <v>139524</v>
      </c>
      <c r="F575" s="8">
        <f>IF($D575="CR01",$C575,0)</f>
        <v>-300</v>
      </c>
      <c r="G575" s="8">
        <f>G574+H575</f>
        <v>0</v>
      </c>
      <c r="H575" s="8">
        <f>IF($D575="VISA",$C575,0)</f>
        <v>0</v>
      </c>
      <c r="I575" s="8">
        <f>I574+J575</f>
        <v>0</v>
      </c>
      <c r="J575" s="8">
        <f>IF($D575="ACC",$C575,0)</f>
        <v>0</v>
      </c>
      <c r="K575" s="8">
        <f>K574+L575</f>
        <v>0</v>
      </c>
      <c r="L575" s="8">
        <f>IF($D575="CBB",$C575,0)</f>
        <v>0</v>
      </c>
    </row>
    <row r="576" spans="1:12" x14ac:dyDescent="0.25">
      <c r="A576" s="6">
        <v>41760</v>
      </c>
      <c r="B576" t="s">
        <v>64</v>
      </c>
      <c r="C576" s="7">
        <v>-26</v>
      </c>
      <c r="D576" t="s">
        <v>6</v>
      </c>
      <c r="E576" s="8">
        <f>E575+F576</f>
        <v>139498</v>
      </c>
      <c r="F576" s="8">
        <f>IF($D576="CR01",$C576,0)</f>
        <v>-26</v>
      </c>
      <c r="G576" s="8">
        <f>G575+H576</f>
        <v>0</v>
      </c>
      <c r="H576" s="8">
        <f>IF($D576="VISA",$C576,0)</f>
        <v>0</v>
      </c>
      <c r="I576" s="8">
        <f>I575+J576</f>
        <v>0</v>
      </c>
      <c r="J576" s="8">
        <f>IF($D576="ACC",$C576,0)</f>
        <v>0</v>
      </c>
      <c r="K576" s="8">
        <f>K575+L576</f>
        <v>0</v>
      </c>
      <c r="L576" s="8">
        <f>IF($D576="CBB",$C576,0)</f>
        <v>0</v>
      </c>
    </row>
    <row r="577" spans="1:12" x14ac:dyDescent="0.25">
      <c r="A577" s="6">
        <v>41760</v>
      </c>
      <c r="B577" t="s">
        <v>65</v>
      </c>
      <c r="C577" s="7">
        <v>-240</v>
      </c>
      <c r="D577" t="s">
        <v>6</v>
      </c>
      <c r="E577" s="8">
        <f>E576+F577</f>
        <v>139258</v>
      </c>
      <c r="F577" s="8">
        <f>IF($D577="CR01",$C577,0)</f>
        <v>-240</v>
      </c>
      <c r="G577" s="8">
        <f>G576+H577</f>
        <v>0</v>
      </c>
      <c r="H577" s="8">
        <f>IF($D577="VISA",$C577,0)</f>
        <v>0</v>
      </c>
      <c r="I577" s="8">
        <f>I576+J577</f>
        <v>0</v>
      </c>
      <c r="J577" s="8">
        <f>IF($D577="ACC",$C577,0)</f>
        <v>0</v>
      </c>
      <c r="K577" s="8">
        <f>K576+L577</f>
        <v>0</v>
      </c>
      <c r="L577" s="8">
        <f>IF($D577="CBB",$C577,0)</f>
        <v>0</v>
      </c>
    </row>
    <row r="578" spans="1:12" x14ac:dyDescent="0.25">
      <c r="A578" s="6">
        <v>41760</v>
      </c>
      <c r="B578" t="s">
        <v>66</v>
      </c>
      <c r="C578" s="7">
        <v>-120</v>
      </c>
      <c r="D578" t="s">
        <v>6</v>
      </c>
      <c r="E578" s="8">
        <f>E577+F578</f>
        <v>139138</v>
      </c>
      <c r="F578" s="8">
        <f>IF($D578="CR01",$C578,0)</f>
        <v>-120</v>
      </c>
      <c r="G578" s="8">
        <f>G577+H578</f>
        <v>0</v>
      </c>
      <c r="H578" s="8">
        <f>IF($D578="VISA",$C578,0)</f>
        <v>0</v>
      </c>
      <c r="I578" s="8">
        <f>I577+J578</f>
        <v>0</v>
      </c>
      <c r="J578" s="8">
        <f>IF($D578="ACC",$C578,0)</f>
        <v>0</v>
      </c>
      <c r="K578" s="8">
        <f>K577+L578</f>
        <v>0</v>
      </c>
      <c r="L578" s="8">
        <f>IF($D578="CBB",$C578,0)</f>
        <v>0</v>
      </c>
    </row>
    <row r="579" spans="1:12" x14ac:dyDescent="0.25">
      <c r="A579" s="6">
        <v>41761</v>
      </c>
      <c r="B579" t="s">
        <v>59</v>
      </c>
      <c r="C579" s="7">
        <v>-900</v>
      </c>
      <c r="D579" t="s">
        <v>6</v>
      </c>
      <c r="E579" s="8">
        <f>E578+F579</f>
        <v>138238</v>
      </c>
      <c r="F579" s="8">
        <f>IF($D579="CR01",$C579,0)</f>
        <v>-900</v>
      </c>
      <c r="G579" s="8">
        <f>G578+H579</f>
        <v>0</v>
      </c>
      <c r="H579" s="8">
        <f>IF($D579="VISA",$C579,0)</f>
        <v>0</v>
      </c>
      <c r="I579" s="8">
        <f>I578+J579</f>
        <v>0</v>
      </c>
      <c r="J579" s="8">
        <f>IF($D579="ACC",$C579,0)</f>
        <v>0</v>
      </c>
      <c r="K579" s="8">
        <f>K578+L579</f>
        <v>0</v>
      </c>
      <c r="L579" s="8">
        <f>IF($D579="CBB",$C579,0)</f>
        <v>0</v>
      </c>
    </row>
    <row r="580" spans="1:12" x14ac:dyDescent="0.25">
      <c r="A580" s="6">
        <v>41762</v>
      </c>
      <c r="B580" t="s">
        <v>67</v>
      </c>
      <c r="C580" s="7">
        <v>6800</v>
      </c>
      <c r="D580" t="s">
        <v>6</v>
      </c>
      <c r="E580" s="8">
        <f>E579+F580</f>
        <v>145038</v>
      </c>
      <c r="F580" s="8">
        <f>IF($D580="CR01",$C580,0)</f>
        <v>6800</v>
      </c>
      <c r="G580" s="8">
        <f>G579+H580</f>
        <v>0</v>
      </c>
      <c r="H580" s="8">
        <f>IF($D580="VISA",$C580,0)</f>
        <v>0</v>
      </c>
      <c r="I580" s="8">
        <f>I579+J580</f>
        <v>0</v>
      </c>
      <c r="J580" s="8">
        <f>IF($D580="ACC",$C580,0)</f>
        <v>0</v>
      </c>
      <c r="K580" s="8">
        <f>K579+L580</f>
        <v>0</v>
      </c>
      <c r="L580" s="8">
        <f>IF($D580="CBB",$C580,0)</f>
        <v>0</v>
      </c>
    </row>
    <row r="581" spans="1:12" x14ac:dyDescent="0.25">
      <c r="A581" s="6">
        <v>41765</v>
      </c>
      <c r="B581" t="s">
        <v>42</v>
      </c>
      <c r="C581" s="7">
        <v>-2806</v>
      </c>
      <c r="D581" t="s">
        <v>6</v>
      </c>
      <c r="E581" s="8">
        <f>E580+F581</f>
        <v>142232</v>
      </c>
      <c r="F581" s="8">
        <f>IF($D581="CR01",$C581,0)</f>
        <v>-2806</v>
      </c>
      <c r="G581" s="8">
        <f>G580+H581</f>
        <v>0</v>
      </c>
      <c r="H581" s="8">
        <f>IF($D581="VISA",$C581,0)</f>
        <v>0</v>
      </c>
      <c r="I581" s="8">
        <f>I580+J581</f>
        <v>0</v>
      </c>
      <c r="J581" s="8">
        <f>IF($D581="ACC",$C581,0)</f>
        <v>0</v>
      </c>
      <c r="K581" s="8">
        <f>K580+L581</f>
        <v>0</v>
      </c>
      <c r="L581" s="8">
        <f>IF($D581="CBB",$C581,0)</f>
        <v>0</v>
      </c>
    </row>
    <row r="582" spans="1:12" x14ac:dyDescent="0.25">
      <c r="A582" s="6">
        <v>41765</v>
      </c>
      <c r="B582" t="s">
        <v>48</v>
      </c>
      <c r="C582" s="7">
        <v>-100</v>
      </c>
      <c r="D582" t="s">
        <v>6</v>
      </c>
      <c r="E582" s="8">
        <f>E581+F582</f>
        <v>142132</v>
      </c>
      <c r="F582" s="8">
        <f>IF($D582="CR01",$C582,0)</f>
        <v>-100</v>
      </c>
      <c r="G582" s="8">
        <f>G581+H582</f>
        <v>0</v>
      </c>
      <c r="H582" s="8">
        <f>IF($D582="VISA",$C582,0)</f>
        <v>0</v>
      </c>
      <c r="I582" s="8">
        <f>I581+J582</f>
        <v>0</v>
      </c>
      <c r="J582" s="8">
        <f>IF($D582="ACC",$C582,0)</f>
        <v>0</v>
      </c>
      <c r="K582" s="8">
        <f>K581+L582</f>
        <v>0</v>
      </c>
      <c r="L582" s="8">
        <f>IF($D582="CBB",$C582,0)</f>
        <v>0</v>
      </c>
    </row>
    <row r="583" spans="1:12" x14ac:dyDescent="0.25">
      <c r="A583" s="6">
        <v>41766</v>
      </c>
      <c r="B583" t="s">
        <v>47</v>
      </c>
      <c r="C583" s="7">
        <v>-120</v>
      </c>
      <c r="D583" t="s">
        <v>6</v>
      </c>
      <c r="E583" s="8">
        <f>E582+F583</f>
        <v>142012</v>
      </c>
      <c r="F583" s="8">
        <f>IF($D583="CR01",$C583,0)</f>
        <v>-120</v>
      </c>
      <c r="G583" s="8">
        <f>G582+H583</f>
        <v>0</v>
      </c>
      <c r="H583" s="8">
        <f>IF($D583="VISA",$C583,0)</f>
        <v>0</v>
      </c>
      <c r="I583" s="8">
        <f>I582+J583</f>
        <v>0</v>
      </c>
      <c r="J583" s="8">
        <f>IF($D583="ACC",$C583,0)</f>
        <v>0</v>
      </c>
      <c r="K583" s="8">
        <f>K582+L583</f>
        <v>0</v>
      </c>
      <c r="L583" s="8">
        <f>IF($D583="CBB",$C583,0)</f>
        <v>0</v>
      </c>
    </row>
    <row r="584" spans="1:12" x14ac:dyDescent="0.25">
      <c r="A584" s="6">
        <v>41767</v>
      </c>
      <c r="B584" t="s">
        <v>44</v>
      </c>
      <c r="C584" s="7">
        <v>-400</v>
      </c>
      <c r="D584" t="s">
        <v>6</v>
      </c>
      <c r="E584" s="8">
        <f>E583+F584</f>
        <v>141612</v>
      </c>
      <c r="F584" s="8">
        <f>IF($D584="CR01",$C584,0)</f>
        <v>-400</v>
      </c>
      <c r="G584" s="8">
        <f>G583+H584</f>
        <v>0</v>
      </c>
      <c r="H584" s="8">
        <f>IF($D584="VISA",$C584,0)</f>
        <v>0</v>
      </c>
      <c r="I584" s="8">
        <f>I583+J584</f>
        <v>0</v>
      </c>
      <c r="J584" s="8">
        <f>IF($D584="ACC",$C584,0)</f>
        <v>0</v>
      </c>
      <c r="K584" s="8">
        <f>K583+L584</f>
        <v>0</v>
      </c>
      <c r="L584" s="8">
        <f>IF($D584="CBB",$C584,0)</f>
        <v>0</v>
      </c>
    </row>
    <row r="585" spans="1:12" x14ac:dyDescent="0.25">
      <c r="A585" s="6">
        <v>41767</v>
      </c>
      <c r="B585" t="s">
        <v>45</v>
      </c>
      <c r="C585" s="7">
        <v>-180</v>
      </c>
      <c r="D585" t="s">
        <v>6</v>
      </c>
      <c r="E585" s="8">
        <f>E584+F585</f>
        <v>141432</v>
      </c>
      <c r="F585" s="8">
        <f>IF($D585="CR01",$C585,0)</f>
        <v>-180</v>
      </c>
      <c r="G585" s="8">
        <f>G584+H585</f>
        <v>0</v>
      </c>
      <c r="H585" s="8">
        <f>IF($D585="VISA",$C585,0)</f>
        <v>0</v>
      </c>
      <c r="I585" s="8">
        <f>I584+J585</f>
        <v>0</v>
      </c>
      <c r="J585" s="8">
        <f>IF($D585="ACC",$C585,0)</f>
        <v>0</v>
      </c>
      <c r="K585" s="8">
        <f>K584+L585</f>
        <v>0</v>
      </c>
      <c r="L585" s="8">
        <f>IF($D585="CBB",$C585,0)</f>
        <v>0</v>
      </c>
    </row>
    <row r="586" spans="1:12" x14ac:dyDescent="0.25">
      <c r="A586" s="6">
        <v>41767</v>
      </c>
      <c r="B586" t="s">
        <v>46</v>
      </c>
      <c r="C586" s="7">
        <v>-300</v>
      </c>
      <c r="D586" t="s">
        <v>6</v>
      </c>
      <c r="E586" s="8">
        <f>E585+F586</f>
        <v>141132</v>
      </c>
      <c r="F586" s="8">
        <f>IF($D586="CR01",$C586,0)</f>
        <v>-300</v>
      </c>
      <c r="G586" s="8">
        <f>G585+H586</f>
        <v>0</v>
      </c>
      <c r="H586" s="8">
        <f>IF($D586="VISA",$C586,0)</f>
        <v>0</v>
      </c>
      <c r="I586" s="8">
        <f>I585+J586</f>
        <v>0</v>
      </c>
      <c r="J586" s="8">
        <f>IF($D586="ACC",$C586,0)</f>
        <v>0</v>
      </c>
      <c r="K586" s="8">
        <f>K585+L586</f>
        <v>0</v>
      </c>
      <c r="L586" s="8">
        <f>IF($D586="CBB",$C586,0)</f>
        <v>0</v>
      </c>
    </row>
    <row r="587" spans="1:12" x14ac:dyDescent="0.25">
      <c r="A587" s="6">
        <v>41768</v>
      </c>
      <c r="B587" t="s">
        <v>43</v>
      </c>
      <c r="C587" s="7">
        <v>3226</v>
      </c>
      <c r="D587" t="s">
        <v>6</v>
      </c>
      <c r="E587" s="8">
        <f>E586+F587</f>
        <v>144358</v>
      </c>
      <c r="F587" s="8">
        <f>IF($D587="CR01",$C587,0)</f>
        <v>3226</v>
      </c>
      <c r="G587" s="8">
        <f>G586+H587</f>
        <v>0</v>
      </c>
      <c r="H587" s="8">
        <f>IF($D587="VISA",$C587,0)</f>
        <v>0</v>
      </c>
      <c r="I587" s="8">
        <f>I586+J587</f>
        <v>0</v>
      </c>
      <c r="J587" s="8">
        <f>IF($D587="ACC",$C587,0)</f>
        <v>0</v>
      </c>
      <c r="K587" s="8">
        <f>K586+L587</f>
        <v>0</v>
      </c>
      <c r="L587" s="8">
        <f>IF($D587="CBB",$C587,0)</f>
        <v>0</v>
      </c>
    </row>
    <row r="588" spans="1:12" x14ac:dyDescent="0.25">
      <c r="A588" s="6">
        <v>41772</v>
      </c>
      <c r="B588" t="s">
        <v>48</v>
      </c>
      <c r="C588" s="7">
        <v>-100</v>
      </c>
      <c r="D588" t="s">
        <v>6</v>
      </c>
      <c r="E588" s="8">
        <f>E587+F588</f>
        <v>144258</v>
      </c>
      <c r="F588" s="8">
        <f>IF($D588="CR01",$C588,0)</f>
        <v>-100</v>
      </c>
      <c r="G588" s="8">
        <f>G587+H588</f>
        <v>0</v>
      </c>
      <c r="H588" s="8">
        <f>IF($D588="VISA",$C588,0)</f>
        <v>0</v>
      </c>
      <c r="I588" s="8">
        <f>I587+J588</f>
        <v>0</v>
      </c>
      <c r="J588" s="8">
        <f>IF($D588="ACC",$C588,0)</f>
        <v>0</v>
      </c>
      <c r="K588" s="8">
        <f>K587+L588</f>
        <v>0</v>
      </c>
      <c r="L588" s="8">
        <f>IF($D588="CBB",$C588,0)</f>
        <v>0</v>
      </c>
    </row>
    <row r="589" spans="1:12" x14ac:dyDescent="0.25">
      <c r="A589" s="6">
        <v>41773</v>
      </c>
      <c r="B589" t="s">
        <v>47</v>
      </c>
      <c r="C589" s="7">
        <v>-120</v>
      </c>
      <c r="D589" t="s">
        <v>6</v>
      </c>
      <c r="E589" s="8">
        <f>E588+F589</f>
        <v>144138</v>
      </c>
      <c r="F589" s="8">
        <f>IF($D589="CR01",$C589,0)</f>
        <v>-120</v>
      </c>
      <c r="G589" s="8">
        <f>G588+H589</f>
        <v>0</v>
      </c>
      <c r="H589" s="8">
        <f>IF($D589="VISA",$C589,0)</f>
        <v>0</v>
      </c>
      <c r="I589" s="8">
        <f>I588+J589</f>
        <v>0</v>
      </c>
      <c r="J589" s="8">
        <f>IF($D589="ACC",$C589,0)</f>
        <v>0</v>
      </c>
      <c r="K589" s="8">
        <f>K588+L589</f>
        <v>0</v>
      </c>
      <c r="L589" s="8">
        <f>IF($D589="CBB",$C589,0)</f>
        <v>0</v>
      </c>
    </row>
    <row r="590" spans="1:12" x14ac:dyDescent="0.25">
      <c r="A590" s="6">
        <v>41774</v>
      </c>
      <c r="B590" t="s">
        <v>44</v>
      </c>
      <c r="C590" s="7">
        <v>-400</v>
      </c>
      <c r="D590" t="s">
        <v>6</v>
      </c>
      <c r="E590" s="8">
        <f>E589+F590</f>
        <v>143738</v>
      </c>
      <c r="F590" s="8">
        <f>IF($D590="CR01",$C590,0)</f>
        <v>-400</v>
      </c>
      <c r="G590" s="8">
        <f>G589+H590</f>
        <v>0</v>
      </c>
      <c r="H590" s="8">
        <f>IF($D590="VISA",$C590,0)</f>
        <v>0</v>
      </c>
      <c r="I590" s="8">
        <f>I589+J590</f>
        <v>0</v>
      </c>
      <c r="J590" s="8">
        <f>IF($D590="ACC",$C590,0)</f>
        <v>0</v>
      </c>
      <c r="K590" s="8">
        <f>K589+L590</f>
        <v>0</v>
      </c>
      <c r="L590" s="8">
        <f>IF($D590="CBB",$C590,0)</f>
        <v>0</v>
      </c>
    </row>
    <row r="591" spans="1:12" x14ac:dyDescent="0.25">
      <c r="A591" s="6">
        <v>41774</v>
      </c>
      <c r="B591" t="s">
        <v>45</v>
      </c>
      <c r="C591" s="7">
        <v>-180</v>
      </c>
      <c r="D591" t="s">
        <v>6</v>
      </c>
      <c r="E591" s="8">
        <f>E590+F591</f>
        <v>143558</v>
      </c>
      <c r="F591" s="8">
        <f>IF($D591="CR01",$C591,0)</f>
        <v>-180</v>
      </c>
      <c r="G591" s="8">
        <f>G590+H591</f>
        <v>0</v>
      </c>
      <c r="H591" s="8">
        <f>IF($D591="VISA",$C591,0)</f>
        <v>0</v>
      </c>
      <c r="I591" s="8">
        <f>I590+J591</f>
        <v>0</v>
      </c>
      <c r="J591" s="8">
        <f>IF($D591="ACC",$C591,0)</f>
        <v>0</v>
      </c>
      <c r="K591" s="8">
        <f>K590+L591</f>
        <v>0</v>
      </c>
      <c r="L591" s="8">
        <f>IF($D591="CBB",$C591,0)</f>
        <v>0</v>
      </c>
    </row>
    <row r="592" spans="1:12" x14ac:dyDescent="0.25">
      <c r="A592" s="6">
        <v>41774</v>
      </c>
      <c r="B592" t="s">
        <v>46</v>
      </c>
      <c r="C592" s="7">
        <v>-300</v>
      </c>
      <c r="D592" t="s">
        <v>6</v>
      </c>
      <c r="E592" s="8">
        <f>E591+F592</f>
        <v>143258</v>
      </c>
      <c r="F592" s="8">
        <f>IF($D592="CR01",$C592,0)</f>
        <v>-300</v>
      </c>
      <c r="G592" s="8">
        <f>G591+H592</f>
        <v>0</v>
      </c>
      <c r="H592" s="8">
        <f>IF($D592="VISA",$C592,0)</f>
        <v>0</v>
      </c>
      <c r="I592" s="8">
        <f>I591+J592</f>
        <v>0</v>
      </c>
      <c r="J592" s="8">
        <f>IF($D592="ACC",$C592,0)</f>
        <v>0</v>
      </c>
      <c r="K592" s="8">
        <f>K591+L592</f>
        <v>0</v>
      </c>
      <c r="L592" s="8">
        <f>IF($D592="CBB",$C592,0)</f>
        <v>0</v>
      </c>
    </row>
    <row r="593" spans="1:12" x14ac:dyDescent="0.25">
      <c r="A593" s="6">
        <v>41776</v>
      </c>
      <c r="B593" t="s">
        <v>67</v>
      </c>
      <c r="C593" s="7">
        <v>6800</v>
      </c>
      <c r="D593" t="s">
        <v>6</v>
      </c>
      <c r="E593" s="8">
        <f>E592+F593</f>
        <v>150058</v>
      </c>
      <c r="F593" s="8">
        <f>IF($D593="CR01",$C593,0)</f>
        <v>6800</v>
      </c>
      <c r="G593" s="8">
        <f>G592+H593</f>
        <v>0</v>
      </c>
      <c r="H593" s="8">
        <f>IF($D593="VISA",$C593,0)</f>
        <v>0</v>
      </c>
      <c r="I593" s="8">
        <f>I592+J593</f>
        <v>0</v>
      </c>
      <c r="J593" s="8">
        <f>IF($D593="ACC",$C593,0)</f>
        <v>0</v>
      </c>
      <c r="K593" s="8">
        <f>K592+L593</f>
        <v>0</v>
      </c>
      <c r="L593" s="8">
        <f>IF($D593="CBB",$C593,0)</f>
        <v>0</v>
      </c>
    </row>
    <row r="594" spans="1:12" x14ac:dyDescent="0.25">
      <c r="A594" s="6">
        <v>41779</v>
      </c>
      <c r="B594" t="s">
        <v>42</v>
      </c>
      <c r="C594" s="7">
        <v>-2806</v>
      </c>
      <c r="D594" t="s">
        <v>6</v>
      </c>
      <c r="E594" s="8">
        <f>E593+F594</f>
        <v>147252</v>
      </c>
      <c r="F594" s="8">
        <f>IF($D594="CR01",$C594,0)</f>
        <v>-2806</v>
      </c>
      <c r="G594" s="8">
        <f>G593+H594</f>
        <v>0</v>
      </c>
      <c r="H594" s="8">
        <f>IF($D594="VISA",$C594,0)</f>
        <v>0</v>
      </c>
      <c r="I594" s="8">
        <f>I593+J594</f>
        <v>0</v>
      </c>
      <c r="J594" s="8">
        <f>IF($D594="ACC",$C594,0)</f>
        <v>0</v>
      </c>
      <c r="K594" s="8">
        <f>K593+L594</f>
        <v>0</v>
      </c>
      <c r="L594" s="8">
        <f>IF($D594="CBB",$C594,0)</f>
        <v>0</v>
      </c>
    </row>
    <row r="595" spans="1:12" x14ac:dyDescent="0.25">
      <c r="A595" s="6">
        <v>41779</v>
      </c>
      <c r="B595" t="s">
        <v>48</v>
      </c>
      <c r="C595" s="7">
        <v>-100</v>
      </c>
      <c r="D595" t="s">
        <v>6</v>
      </c>
      <c r="E595" s="8">
        <f>E594+F595</f>
        <v>147152</v>
      </c>
      <c r="F595" s="8">
        <f>IF($D595="CR01",$C595,0)</f>
        <v>-100</v>
      </c>
      <c r="G595" s="8">
        <f>G594+H595</f>
        <v>0</v>
      </c>
      <c r="H595" s="8">
        <f>IF($D595="VISA",$C595,0)</f>
        <v>0</v>
      </c>
      <c r="I595" s="8">
        <f>I594+J595</f>
        <v>0</v>
      </c>
      <c r="J595" s="8">
        <f>IF($D595="ACC",$C595,0)</f>
        <v>0</v>
      </c>
      <c r="K595" s="8">
        <f>K594+L595</f>
        <v>0</v>
      </c>
      <c r="L595" s="8">
        <f>IF($D595="CBB",$C595,0)</f>
        <v>0</v>
      </c>
    </row>
    <row r="596" spans="1:12" x14ac:dyDescent="0.25">
      <c r="A596" s="6">
        <v>41780</v>
      </c>
      <c r="B596" t="s">
        <v>47</v>
      </c>
      <c r="C596" s="7">
        <v>-120</v>
      </c>
      <c r="D596" t="s">
        <v>6</v>
      </c>
      <c r="E596" s="8">
        <f>E595+F596</f>
        <v>147032</v>
      </c>
      <c r="F596" s="8">
        <f>IF($D596="CR01",$C596,0)</f>
        <v>-120</v>
      </c>
      <c r="G596" s="8">
        <f>G595+H596</f>
        <v>0</v>
      </c>
      <c r="H596" s="8">
        <f>IF($D596="VISA",$C596,0)</f>
        <v>0</v>
      </c>
      <c r="I596" s="8">
        <f>I595+J596</f>
        <v>0</v>
      </c>
      <c r="J596" s="8">
        <f>IF($D596="ACC",$C596,0)</f>
        <v>0</v>
      </c>
      <c r="K596" s="8">
        <f>K595+L596</f>
        <v>0</v>
      </c>
      <c r="L596" s="8">
        <f>IF($D596="CBB",$C596,0)</f>
        <v>0</v>
      </c>
    </row>
    <row r="597" spans="1:12" x14ac:dyDescent="0.25">
      <c r="A597" s="6">
        <v>41781</v>
      </c>
      <c r="B597" t="s">
        <v>44</v>
      </c>
      <c r="C597" s="7">
        <v>-400</v>
      </c>
      <c r="D597" t="s">
        <v>6</v>
      </c>
      <c r="E597" s="8">
        <f>E596+F597</f>
        <v>146632</v>
      </c>
      <c r="F597" s="8">
        <f>IF($D597="CR01",$C597,0)</f>
        <v>-400</v>
      </c>
      <c r="G597" s="8">
        <f>G596+H597</f>
        <v>0</v>
      </c>
      <c r="H597" s="8">
        <f>IF($D597="VISA",$C597,0)</f>
        <v>0</v>
      </c>
      <c r="I597" s="8">
        <f>I596+J597</f>
        <v>0</v>
      </c>
      <c r="J597" s="8">
        <f>IF($D597="ACC",$C597,0)</f>
        <v>0</v>
      </c>
      <c r="K597" s="8">
        <f>K596+L597</f>
        <v>0</v>
      </c>
      <c r="L597" s="8">
        <f>IF($D597="CBB",$C597,0)</f>
        <v>0</v>
      </c>
    </row>
    <row r="598" spans="1:12" x14ac:dyDescent="0.25">
      <c r="A598" s="6">
        <v>41781</v>
      </c>
      <c r="B598" t="s">
        <v>45</v>
      </c>
      <c r="C598" s="7">
        <v>-180</v>
      </c>
      <c r="D598" t="s">
        <v>6</v>
      </c>
      <c r="E598" s="8">
        <f>E597+F598</f>
        <v>146452</v>
      </c>
      <c r="F598" s="8">
        <f>IF($D598="CR01",$C598,0)</f>
        <v>-180</v>
      </c>
      <c r="G598" s="8">
        <f>G597+H598</f>
        <v>0</v>
      </c>
      <c r="H598" s="8">
        <f>IF($D598="VISA",$C598,0)</f>
        <v>0</v>
      </c>
      <c r="I598" s="8">
        <f>I597+J598</f>
        <v>0</v>
      </c>
      <c r="J598" s="8">
        <f>IF($D598="ACC",$C598,0)</f>
        <v>0</v>
      </c>
      <c r="K598" s="8">
        <f>K597+L598</f>
        <v>0</v>
      </c>
      <c r="L598" s="8">
        <f>IF($D598="CBB",$C598,0)</f>
        <v>0</v>
      </c>
    </row>
    <row r="599" spans="1:12" x14ac:dyDescent="0.25">
      <c r="A599" s="6">
        <v>41781</v>
      </c>
      <c r="B599" t="s">
        <v>46</v>
      </c>
      <c r="C599" s="7">
        <v>-300</v>
      </c>
      <c r="D599" t="s">
        <v>6</v>
      </c>
      <c r="E599" s="8">
        <f>E598+F599</f>
        <v>146152</v>
      </c>
      <c r="F599" s="8">
        <f>IF($D599="CR01",$C599,0)</f>
        <v>-300</v>
      </c>
      <c r="G599" s="8">
        <f>G598+H599</f>
        <v>0</v>
      </c>
      <c r="H599" s="8">
        <f>IF($D599="VISA",$C599,0)</f>
        <v>0</v>
      </c>
      <c r="I599" s="8">
        <f>I598+J599</f>
        <v>0</v>
      </c>
      <c r="J599" s="8">
        <f>IF($D599="ACC",$C599,0)</f>
        <v>0</v>
      </c>
      <c r="K599" s="8">
        <f>K598+L599</f>
        <v>0</v>
      </c>
      <c r="L599" s="8">
        <f>IF($D599="CBB",$C599,0)</f>
        <v>0</v>
      </c>
    </row>
    <row r="600" spans="1:12" x14ac:dyDescent="0.25">
      <c r="A600" s="6">
        <v>41782</v>
      </c>
      <c r="B600" t="s">
        <v>43</v>
      </c>
      <c r="C600" s="7">
        <v>3226</v>
      </c>
      <c r="D600" t="s">
        <v>6</v>
      </c>
      <c r="E600" s="8">
        <f>E599+F600</f>
        <v>149378</v>
      </c>
      <c r="F600" s="8">
        <f>IF($D600="CR01",$C600,0)</f>
        <v>3226</v>
      </c>
      <c r="G600" s="8">
        <f>G599+H600</f>
        <v>0</v>
      </c>
      <c r="H600" s="8">
        <f>IF($D600="VISA",$C600,0)</f>
        <v>0</v>
      </c>
      <c r="I600" s="8">
        <f>I599+J600</f>
        <v>0</v>
      </c>
      <c r="J600" s="8">
        <f>IF($D600="ACC",$C600,0)</f>
        <v>0</v>
      </c>
      <c r="K600" s="8">
        <f>K599+L600</f>
        <v>0</v>
      </c>
      <c r="L600" s="8">
        <f>IF($D600="CBB",$C600,0)</f>
        <v>0</v>
      </c>
    </row>
    <row r="601" spans="1:12" x14ac:dyDescent="0.25">
      <c r="A601" s="6">
        <v>41786</v>
      </c>
      <c r="B601" t="s">
        <v>48</v>
      </c>
      <c r="C601" s="7">
        <v>-100</v>
      </c>
      <c r="D601" t="s">
        <v>6</v>
      </c>
      <c r="E601" s="8">
        <f>E600+F601</f>
        <v>149278</v>
      </c>
      <c r="F601" s="8">
        <f>IF($D601="CR01",$C601,0)</f>
        <v>-100</v>
      </c>
      <c r="G601" s="8">
        <f>G600+H601</f>
        <v>0</v>
      </c>
      <c r="H601" s="8">
        <f>IF($D601="VISA",$C601,0)</f>
        <v>0</v>
      </c>
      <c r="I601" s="8">
        <f>I600+J601</f>
        <v>0</v>
      </c>
      <c r="J601" s="8">
        <f>IF($D601="ACC",$C601,0)</f>
        <v>0</v>
      </c>
      <c r="K601" s="8">
        <f>K600+L601</f>
        <v>0</v>
      </c>
      <c r="L601" s="8">
        <f>IF($D601="CBB",$C601,0)</f>
        <v>0</v>
      </c>
    </row>
    <row r="602" spans="1:12" x14ac:dyDescent="0.25">
      <c r="A602" s="6">
        <v>41787</v>
      </c>
      <c r="B602" t="s">
        <v>47</v>
      </c>
      <c r="C602" s="7">
        <v>-120</v>
      </c>
      <c r="D602" t="s">
        <v>6</v>
      </c>
      <c r="E602" s="8">
        <f>E601+F602</f>
        <v>149158</v>
      </c>
      <c r="F602" s="8">
        <f>IF($D602="CR01",$C602,0)</f>
        <v>-120</v>
      </c>
      <c r="G602" s="8">
        <f>G601+H602</f>
        <v>0</v>
      </c>
      <c r="H602" s="8">
        <f>IF($D602="VISA",$C602,0)</f>
        <v>0</v>
      </c>
      <c r="I602" s="8">
        <f>I601+J602</f>
        <v>0</v>
      </c>
      <c r="J602" s="8">
        <f>IF($D602="ACC",$C602,0)</f>
        <v>0</v>
      </c>
      <c r="K602" s="8">
        <f>K601+L602</f>
        <v>0</v>
      </c>
      <c r="L602" s="8">
        <f>IF($D602="CBB",$C602,0)</f>
        <v>0</v>
      </c>
    </row>
    <row r="603" spans="1:12" x14ac:dyDescent="0.25">
      <c r="A603" s="6">
        <v>41788</v>
      </c>
      <c r="B603" t="s">
        <v>44</v>
      </c>
      <c r="C603" s="7">
        <v>-400</v>
      </c>
      <c r="D603" t="s">
        <v>6</v>
      </c>
      <c r="E603" s="8">
        <f>E602+F603</f>
        <v>148758</v>
      </c>
      <c r="F603" s="8">
        <f>IF($D603="CR01",$C603,0)</f>
        <v>-400</v>
      </c>
      <c r="G603" s="8">
        <f>G602+H603</f>
        <v>0</v>
      </c>
      <c r="H603" s="8">
        <f>IF($D603="VISA",$C603,0)</f>
        <v>0</v>
      </c>
      <c r="I603" s="8">
        <f>I602+J603</f>
        <v>0</v>
      </c>
      <c r="J603" s="8">
        <f>IF($D603="ACC",$C603,0)</f>
        <v>0</v>
      </c>
      <c r="K603" s="8">
        <f>K602+L603</f>
        <v>0</v>
      </c>
      <c r="L603" s="8">
        <f>IF($D603="CBB",$C603,0)</f>
        <v>0</v>
      </c>
    </row>
    <row r="604" spans="1:12" x14ac:dyDescent="0.25">
      <c r="A604" s="6">
        <v>41788</v>
      </c>
      <c r="B604" t="s">
        <v>45</v>
      </c>
      <c r="C604" s="7">
        <v>-180</v>
      </c>
      <c r="D604" t="s">
        <v>6</v>
      </c>
      <c r="E604" s="8">
        <f>E603+F604</f>
        <v>148578</v>
      </c>
      <c r="F604" s="8">
        <f>IF($D604="CR01",$C604,0)</f>
        <v>-180</v>
      </c>
      <c r="G604" s="8">
        <f>G603+H604</f>
        <v>0</v>
      </c>
      <c r="H604" s="8">
        <f>IF($D604="VISA",$C604,0)</f>
        <v>0</v>
      </c>
      <c r="I604" s="8">
        <f>I603+J604</f>
        <v>0</v>
      </c>
      <c r="J604" s="8">
        <f>IF($D604="ACC",$C604,0)</f>
        <v>0</v>
      </c>
      <c r="K604" s="8">
        <f>K603+L604</f>
        <v>0</v>
      </c>
      <c r="L604" s="8">
        <f>IF($D604="CBB",$C604,0)</f>
        <v>0</v>
      </c>
    </row>
    <row r="605" spans="1:12" x14ac:dyDescent="0.25">
      <c r="A605" s="6">
        <v>41788</v>
      </c>
      <c r="B605" t="s">
        <v>46</v>
      </c>
      <c r="C605" s="7">
        <v>-300</v>
      </c>
      <c r="D605" t="s">
        <v>6</v>
      </c>
      <c r="E605" s="8">
        <f>E604+F605</f>
        <v>148278</v>
      </c>
      <c r="F605" s="8">
        <f>IF($D605="CR01",$C605,0)</f>
        <v>-300</v>
      </c>
      <c r="G605" s="8">
        <f>G604+H605</f>
        <v>0</v>
      </c>
      <c r="H605" s="8">
        <f>IF($D605="VISA",$C605,0)</f>
        <v>0</v>
      </c>
      <c r="I605" s="8">
        <f>I604+J605</f>
        <v>0</v>
      </c>
      <c r="J605" s="8">
        <f>IF($D605="ACC",$C605,0)</f>
        <v>0</v>
      </c>
      <c r="K605" s="8">
        <f>K604+L605</f>
        <v>0</v>
      </c>
      <c r="L605" s="8">
        <f>IF($D605="CBB",$C605,0)</f>
        <v>0</v>
      </c>
    </row>
    <row r="606" spans="1:12" x14ac:dyDescent="0.25">
      <c r="A606" s="6">
        <v>41790</v>
      </c>
      <c r="B606" t="s">
        <v>67</v>
      </c>
      <c r="C606" s="7">
        <v>6800</v>
      </c>
      <c r="D606" t="s">
        <v>6</v>
      </c>
      <c r="E606" s="8">
        <f>E605+F606</f>
        <v>155078</v>
      </c>
      <c r="F606" s="8">
        <f>IF($D606="CR01",$C606,0)</f>
        <v>6800</v>
      </c>
      <c r="G606" s="8">
        <f>G605+H606</f>
        <v>0</v>
      </c>
      <c r="H606" s="8">
        <f>IF($D606="VISA",$C606,0)</f>
        <v>0</v>
      </c>
      <c r="I606" s="8">
        <f>I605+J606</f>
        <v>0</v>
      </c>
      <c r="J606" s="8">
        <f>IF($D606="ACC",$C606,0)</f>
        <v>0</v>
      </c>
      <c r="K606" s="8">
        <f>K605+L606</f>
        <v>0</v>
      </c>
      <c r="L606" s="8">
        <f>IF($D606="CBB",$C606,0)</f>
        <v>0</v>
      </c>
    </row>
    <row r="607" spans="1:12" x14ac:dyDescent="0.25">
      <c r="A607" s="6">
        <v>41791</v>
      </c>
      <c r="B607" t="s">
        <v>58</v>
      </c>
      <c r="C607" s="7">
        <v>-200</v>
      </c>
      <c r="D607" t="s">
        <v>6</v>
      </c>
      <c r="E607" s="8">
        <f>E606+F607</f>
        <v>154878</v>
      </c>
      <c r="F607" s="8">
        <f>IF($D607="CR01",$C607,0)</f>
        <v>-200</v>
      </c>
      <c r="G607" s="8">
        <f>G606+H607</f>
        <v>0</v>
      </c>
      <c r="H607" s="8">
        <f>IF($D607="VISA",$C607,0)</f>
        <v>0</v>
      </c>
      <c r="I607" s="8">
        <f>I606+J607</f>
        <v>0</v>
      </c>
      <c r="J607" s="8">
        <f>IF($D607="ACC",$C607,0)</f>
        <v>0</v>
      </c>
      <c r="K607" s="8">
        <f>K606+L607</f>
        <v>0</v>
      </c>
      <c r="L607" s="8">
        <f>IF($D607="CBB",$C607,0)</f>
        <v>0</v>
      </c>
    </row>
    <row r="608" spans="1:12" x14ac:dyDescent="0.25">
      <c r="A608" s="6">
        <v>41791</v>
      </c>
      <c r="B608" t="s">
        <v>60</v>
      </c>
      <c r="C608" s="7">
        <v>-400</v>
      </c>
      <c r="D608" t="s">
        <v>6</v>
      </c>
      <c r="E608" s="8">
        <f>E607+F608</f>
        <v>154478</v>
      </c>
      <c r="F608" s="8">
        <f>IF($D608="CR01",$C608,0)</f>
        <v>-400</v>
      </c>
      <c r="G608" s="8">
        <f>G607+H608</f>
        <v>0</v>
      </c>
      <c r="H608" s="8">
        <f>IF($D608="VISA",$C608,0)</f>
        <v>0</v>
      </c>
      <c r="I608" s="8">
        <f>I607+J608</f>
        <v>0</v>
      </c>
      <c r="J608" s="8">
        <f>IF($D608="ACC",$C608,0)</f>
        <v>0</v>
      </c>
      <c r="K608" s="8">
        <f>K607+L608</f>
        <v>0</v>
      </c>
      <c r="L608" s="8">
        <f>IF($D608="CBB",$C608,0)</f>
        <v>0</v>
      </c>
    </row>
    <row r="609" spans="1:12" x14ac:dyDescent="0.25">
      <c r="A609" s="6">
        <v>41791</v>
      </c>
      <c r="B609" t="s">
        <v>64</v>
      </c>
      <c r="C609" s="7">
        <v>-26</v>
      </c>
      <c r="D609" t="s">
        <v>6</v>
      </c>
      <c r="E609" s="8">
        <f>E608+F609</f>
        <v>154452</v>
      </c>
      <c r="F609" s="8">
        <f>IF($D609="CR01",$C609,0)</f>
        <v>-26</v>
      </c>
      <c r="G609" s="8">
        <f>G608+H609</f>
        <v>0</v>
      </c>
      <c r="H609" s="8">
        <f>IF($D609="VISA",$C609,0)</f>
        <v>0</v>
      </c>
      <c r="I609" s="8">
        <f>I608+J609</f>
        <v>0</v>
      </c>
      <c r="J609" s="8">
        <f>IF($D609="ACC",$C609,0)</f>
        <v>0</v>
      </c>
      <c r="K609" s="8">
        <f>K608+L609</f>
        <v>0</v>
      </c>
      <c r="L609" s="8">
        <f>IF($D609="CBB",$C609,0)</f>
        <v>0</v>
      </c>
    </row>
    <row r="610" spans="1:12" x14ac:dyDescent="0.25">
      <c r="A610" s="6">
        <v>41791</v>
      </c>
      <c r="B610" t="s">
        <v>65</v>
      </c>
      <c r="C610" s="7">
        <v>-240</v>
      </c>
      <c r="D610" t="s">
        <v>6</v>
      </c>
      <c r="E610" s="8">
        <f>E609+F610</f>
        <v>154212</v>
      </c>
      <c r="F610" s="8">
        <f>IF($D610="CR01",$C610,0)</f>
        <v>-240</v>
      </c>
      <c r="G610" s="8">
        <f>G609+H610</f>
        <v>0</v>
      </c>
      <c r="H610" s="8">
        <f>IF($D610="VISA",$C610,0)</f>
        <v>0</v>
      </c>
      <c r="I610" s="8">
        <f>I609+J610</f>
        <v>0</v>
      </c>
      <c r="J610" s="8">
        <f>IF($D610="ACC",$C610,0)</f>
        <v>0</v>
      </c>
      <c r="K610" s="8">
        <f>K609+L610</f>
        <v>0</v>
      </c>
      <c r="L610" s="8">
        <f>IF($D610="CBB",$C610,0)</f>
        <v>0</v>
      </c>
    </row>
    <row r="611" spans="1:12" x14ac:dyDescent="0.25">
      <c r="A611" s="6">
        <v>41791</v>
      </c>
      <c r="B611" t="s">
        <v>66</v>
      </c>
      <c r="C611" s="7">
        <v>-120</v>
      </c>
      <c r="D611" t="s">
        <v>6</v>
      </c>
      <c r="E611" s="8">
        <f>E610+F611</f>
        <v>154092</v>
      </c>
      <c r="F611" s="8">
        <f>IF($D611="CR01",$C611,0)</f>
        <v>-120</v>
      </c>
      <c r="G611" s="8">
        <f>G610+H611</f>
        <v>0</v>
      </c>
      <c r="H611" s="8">
        <f>IF($D611="VISA",$C611,0)</f>
        <v>0</v>
      </c>
      <c r="I611" s="8">
        <f>I610+J611</f>
        <v>0</v>
      </c>
      <c r="J611" s="8">
        <f>IF($D611="ACC",$C611,0)</f>
        <v>0</v>
      </c>
      <c r="K611" s="8">
        <f>K610+L611</f>
        <v>0</v>
      </c>
      <c r="L611" s="8">
        <f>IF($D611="CBB",$C611,0)</f>
        <v>0</v>
      </c>
    </row>
    <row r="612" spans="1:12" x14ac:dyDescent="0.25">
      <c r="A612" s="6">
        <v>41792</v>
      </c>
      <c r="B612" t="s">
        <v>59</v>
      </c>
      <c r="C612" s="7">
        <v>-900</v>
      </c>
      <c r="D612" t="s">
        <v>6</v>
      </c>
      <c r="E612" s="8">
        <f>E611+F612</f>
        <v>153192</v>
      </c>
      <c r="F612" s="8">
        <f>IF($D612="CR01",$C612,0)</f>
        <v>-900</v>
      </c>
      <c r="G612" s="8">
        <f>G611+H612</f>
        <v>0</v>
      </c>
      <c r="H612" s="8">
        <f>IF($D612="VISA",$C612,0)</f>
        <v>0</v>
      </c>
      <c r="I612" s="8">
        <f>I611+J612</f>
        <v>0</v>
      </c>
      <c r="J612" s="8">
        <f>IF($D612="ACC",$C612,0)</f>
        <v>0</v>
      </c>
      <c r="K612" s="8">
        <f>K611+L612</f>
        <v>0</v>
      </c>
      <c r="L612" s="8">
        <f>IF($D612="CBB",$C612,0)</f>
        <v>0</v>
      </c>
    </row>
    <row r="613" spans="1:12" x14ac:dyDescent="0.25">
      <c r="A613" s="6">
        <v>41793</v>
      </c>
      <c r="B613" t="s">
        <v>42</v>
      </c>
      <c r="C613" s="7">
        <v>-2806</v>
      </c>
      <c r="D613" t="s">
        <v>6</v>
      </c>
      <c r="E613" s="8">
        <f>E612+F613</f>
        <v>150386</v>
      </c>
      <c r="F613" s="8">
        <f>IF($D613="CR01",$C613,0)</f>
        <v>-2806</v>
      </c>
      <c r="G613" s="8">
        <f>G612+H613</f>
        <v>0</v>
      </c>
      <c r="H613" s="8">
        <f>IF($D613="VISA",$C613,0)</f>
        <v>0</v>
      </c>
      <c r="I613" s="8">
        <f>I612+J613</f>
        <v>0</v>
      </c>
      <c r="J613" s="8">
        <f>IF($D613="ACC",$C613,0)</f>
        <v>0</v>
      </c>
      <c r="K613" s="8">
        <f>K612+L613</f>
        <v>0</v>
      </c>
      <c r="L613" s="8">
        <f>IF($D613="CBB",$C613,0)</f>
        <v>0</v>
      </c>
    </row>
    <row r="614" spans="1:12" x14ac:dyDescent="0.25">
      <c r="A614" s="6">
        <v>41793</v>
      </c>
      <c r="B614" t="s">
        <v>48</v>
      </c>
      <c r="C614" s="7">
        <v>-100</v>
      </c>
      <c r="D614" t="s">
        <v>6</v>
      </c>
      <c r="E614" s="8">
        <f>E613+F614</f>
        <v>150286</v>
      </c>
      <c r="F614" s="8">
        <f>IF($D614="CR01",$C614,0)</f>
        <v>-100</v>
      </c>
      <c r="G614" s="8">
        <f>G613+H614</f>
        <v>0</v>
      </c>
      <c r="H614" s="8">
        <f>IF($D614="VISA",$C614,0)</f>
        <v>0</v>
      </c>
      <c r="I614" s="8">
        <f>I613+J614</f>
        <v>0</v>
      </c>
      <c r="J614" s="8">
        <f>IF($D614="ACC",$C614,0)</f>
        <v>0</v>
      </c>
      <c r="K614" s="8">
        <f>K613+L614</f>
        <v>0</v>
      </c>
      <c r="L614" s="8">
        <f>IF($D614="CBB",$C614,0)</f>
        <v>0</v>
      </c>
    </row>
    <row r="615" spans="1:12" x14ac:dyDescent="0.25">
      <c r="A615" s="6">
        <v>41794</v>
      </c>
      <c r="B615" t="s">
        <v>47</v>
      </c>
      <c r="C615" s="7">
        <v>-120</v>
      </c>
      <c r="D615" t="s">
        <v>6</v>
      </c>
      <c r="E615" s="8">
        <f>E614+F615</f>
        <v>150166</v>
      </c>
      <c r="F615" s="8">
        <f>IF($D615="CR01",$C615,0)</f>
        <v>-120</v>
      </c>
      <c r="G615" s="8">
        <f>G614+H615</f>
        <v>0</v>
      </c>
      <c r="H615" s="8">
        <f>IF($D615="VISA",$C615,0)</f>
        <v>0</v>
      </c>
      <c r="I615" s="8">
        <f>I614+J615</f>
        <v>0</v>
      </c>
      <c r="J615" s="8">
        <f>IF($D615="ACC",$C615,0)</f>
        <v>0</v>
      </c>
      <c r="K615" s="8">
        <f>K614+L615</f>
        <v>0</v>
      </c>
      <c r="L615" s="8">
        <f>IF($D615="CBB",$C615,0)</f>
        <v>0</v>
      </c>
    </row>
    <row r="616" spans="1:12" x14ac:dyDescent="0.25">
      <c r="A616" s="6">
        <v>41795</v>
      </c>
      <c r="B616" t="s">
        <v>44</v>
      </c>
      <c r="C616" s="7">
        <v>-400</v>
      </c>
      <c r="D616" t="s">
        <v>6</v>
      </c>
      <c r="E616" s="8">
        <f>E615+F616</f>
        <v>149766</v>
      </c>
      <c r="F616" s="8">
        <f>IF($D616="CR01",$C616,0)</f>
        <v>-400</v>
      </c>
      <c r="G616" s="8">
        <f>G615+H616</f>
        <v>0</v>
      </c>
      <c r="H616" s="8">
        <f>IF($D616="VISA",$C616,0)</f>
        <v>0</v>
      </c>
      <c r="I616" s="8">
        <f>I615+J616</f>
        <v>0</v>
      </c>
      <c r="J616" s="8">
        <f>IF($D616="ACC",$C616,0)</f>
        <v>0</v>
      </c>
      <c r="K616" s="8">
        <f>K615+L616</f>
        <v>0</v>
      </c>
      <c r="L616" s="8">
        <f>IF($D616="CBB",$C616,0)</f>
        <v>0</v>
      </c>
    </row>
    <row r="617" spans="1:12" x14ac:dyDescent="0.25">
      <c r="A617" s="6">
        <v>41795</v>
      </c>
      <c r="B617" t="s">
        <v>45</v>
      </c>
      <c r="C617" s="7">
        <v>-180</v>
      </c>
      <c r="D617" t="s">
        <v>6</v>
      </c>
      <c r="E617" s="8">
        <f>E616+F617</f>
        <v>149586</v>
      </c>
      <c r="F617" s="8">
        <f>IF($D617="CR01",$C617,0)</f>
        <v>-180</v>
      </c>
      <c r="G617" s="8">
        <f>G616+H617</f>
        <v>0</v>
      </c>
      <c r="H617" s="8">
        <f>IF($D617="VISA",$C617,0)</f>
        <v>0</v>
      </c>
      <c r="I617" s="8">
        <f>I616+J617</f>
        <v>0</v>
      </c>
      <c r="J617" s="8">
        <f>IF($D617="ACC",$C617,0)</f>
        <v>0</v>
      </c>
      <c r="K617" s="8">
        <f>K616+L617</f>
        <v>0</v>
      </c>
      <c r="L617" s="8">
        <f>IF($D617="CBB",$C617,0)</f>
        <v>0</v>
      </c>
    </row>
    <row r="618" spans="1:12" x14ac:dyDescent="0.25">
      <c r="A618" s="6">
        <v>41795</v>
      </c>
      <c r="B618" t="s">
        <v>46</v>
      </c>
      <c r="C618" s="7">
        <v>-300</v>
      </c>
      <c r="D618" t="s">
        <v>6</v>
      </c>
      <c r="E618" s="8">
        <f>E617+F618</f>
        <v>149286</v>
      </c>
      <c r="F618" s="8">
        <f>IF($D618="CR01",$C618,0)</f>
        <v>-300</v>
      </c>
      <c r="G618" s="8">
        <f>G617+H618</f>
        <v>0</v>
      </c>
      <c r="H618" s="8">
        <f>IF($D618="VISA",$C618,0)</f>
        <v>0</v>
      </c>
      <c r="I618" s="8">
        <f>I617+J618</f>
        <v>0</v>
      </c>
      <c r="J618" s="8">
        <f>IF($D618="ACC",$C618,0)</f>
        <v>0</v>
      </c>
      <c r="K618" s="8">
        <f>K617+L618</f>
        <v>0</v>
      </c>
      <c r="L618" s="8">
        <f>IF($D618="CBB",$C618,0)</f>
        <v>0</v>
      </c>
    </row>
    <row r="619" spans="1:12" x14ac:dyDescent="0.25">
      <c r="A619" s="6">
        <v>41796</v>
      </c>
      <c r="B619" t="s">
        <v>43</v>
      </c>
      <c r="C619" s="7">
        <v>3226</v>
      </c>
      <c r="D619" t="s">
        <v>6</v>
      </c>
      <c r="E619" s="8">
        <f>E618+F619</f>
        <v>152512</v>
      </c>
      <c r="F619" s="8">
        <f>IF($D619="CR01",$C619,0)</f>
        <v>3226</v>
      </c>
      <c r="G619" s="8">
        <f>G618+H619</f>
        <v>0</v>
      </c>
      <c r="H619" s="8">
        <f>IF($D619="VISA",$C619,0)</f>
        <v>0</v>
      </c>
      <c r="I619" s="8">
        <f>I618+J619</f>
        <v>0</v>
      </c>
      <c r="J619" s="8">
        <f>IF($D619="ACC",$C619,0)</f>
        <v>0</v>
      </c>
      <c r="K619" s="8">
        <f>K618+L619</f>
        <v>0</v>
      </c>
      <c r="L619" s="8">
        <f>IF($D619="CBB",$C619,0)</f>
        <v>0</v>
      </c>
    </row>
    <row r="620" spans="1:12" x14ac:dyDescent="0.25">
      <c r="A620" s="6">
        <v>41800</v>
      </c>
      <c r="B620" t="s">
        <v>48</v>
      </c>
      <c r="C620" s="7">
        <v>-100</v>
      </c>
      <c r="D620" t="s">
        <v>6</v>
      </c>
      <c r="E620" s="8">
        <f>E619+F620</f>
        <v>152412</v>
      </c>
      <c r="F620" s="8">
        <f>IF($D620="CR01",$C620,0)</f>
        <v>-100</v>
      </c>
      <c r="G620" s="8">
        <f>G619+H620</f>
        <v>0</v>
      </c>
      <c r="H620" s="8">
        <f>IF($D620="VISA",$C620,0)</f>
        <v>0</v>
      </c>
      <c r="I620" s="8">
        <f>I619+J620</f>
        <v>0</v>
      </c>
      <c r="J620" s="8">
        <f>IF($D620="ACC",$C620,0)</f>
        <v>0</v>
      </c>
      <c r="K620" s="8">
        <f>K619+L620</f>
        <v>0</v>
      </c>
      <c r="L620" s="8">
        <f>IF($D620="CBB",$C620,0)</f>
        <v>0</v>
      </c>
    </row>
    <row r="621" spans="1:12" x14ac:dyDescent="0.25">
      <c r="A621" s="6">
        <v>41801</v>
      </c>
      <c r="B621" t="s">
        <v>47</v>
      </c>
      <c r="C621" s="7">
        <v>-120</v>
      </c>
      <c r="D621" t="s">
        <v>6</v>
      </c>
      <c r="E621" s="8">
        <f>E620+F621</f>
        <v>152292</v>
      </c>
      <c r="F621" s="8">
        <f>IF($D621="CR01",$C621,0)</f>
        <v>-120</v>
      </c>
      <c r="G621" s="8">
        <f>G620+H621</f>
        <v>0</v>
      </c>
      <c r="H621" s="8">
        <f>IF($D621="VISA",$C621,0)</f>
        <v>0</v>
      </c>
      <c r="I621" s="8">
        <f>I620+J621</f>
        <v>0</v>
      </c>
      <c r="J621" s="8">
        <f>IF($D621="ACC",$C621,0)</f>
        <v>0</v>
      </c>
      <c r="K621" s="8">
        <f>K620+L621</f>
        <v>0</v>
      </c>
      <c r="L621" s="8">
        <f>IF($D621="CBB",$C621,0)</f>
        <v>0</v>
      </c>
    </row>
    <row r="622" spans="1:12" x14ac:dyDescent="0.25">
      <c r="A622" s="6">
        <v>41802</v>
      </c>
      <c r="B622" t="s">
        <v>44</v>
      </c>
      <c r="C622" s="7">
        <v>-400</v>
      </c>
      <c r="D622" t="s">
        <v>6</v>
      </c>
      <c r="E622" s="8">
        <f>E621+F622</f>
        <v>151892</v>
      </c>
      <c r="F622" s="8">
        <f>IF($D622="CR01",$C622,0)</f>
        <v>-400</v>
      </c>
      <c r="G622" s="8">
        <f>G621+H622</f>
        <v>0</v>
      </c>
      <c r="H622" s="8">
        <f>IF($D622="VISA",$C622,0)</f>
        <v>0</v>
      </c>
      <c r="I622" s="8">
        <f>I621+J622</f>
        <v>0</v>
      </c>
      <c r="J622" s="8">
        <f>IF($D622="ACC",$C622,0)</f>
        <v>0</v>
      </c>
      <c r="K622" s="8">
        <f>K621+L622</f>
        <v>0</v>
      </c>
      <c r="L622" s="8">
        <f>IF($D622="CBB",$C622,0)</f>
        <v>0</v>
      </c>
    </row>
    <row r="623" spans="1:12" x14ac:dyDescent="0.25">
      <c r="A623" s="6">
        <v>41802</v>
      </c>
      <c r="B623" t="s">
        <v>45</v>
      </c>
      <c r="C623" s="7">
        <v>-180</v>
      </c>
      <c r="D623" t="s">
        <v>6</v>
      </c>
      <c r="E623" s="8">
        <f>E622+F623</f>
        <v>151712</v>
      </c>
      <c r="F623" s="8">
        <f>IF($D623="CR01",$C623,0)</f>
        <v>-180</v>
      </c>
      <c r="G623" s="8">
        <f>G622+H623</f>
        <v>0</v>
      </c>
      <c r="H623" s="8">
        <f>IF($D623="VISA",$C623,0)</f>
        <v>0</v>
      </c>
      <c r="I623" s="8">
        <f>I622+J623</f>
        <v>0</v>
      </c>
      <c r="J623" s="8">
        <f>IF($D623="ACC",$C623,0)</f>
        <v>0</v>
      </c>
      <c r="K623" s="8">
        <f>K622+L623</f>
        <v>0</v>
      </c>
      <c r="L623" s="8">
        <f>IF($D623="CBB",$C623,0)</f>
        <v>0</v>
      </c>
    </row>
    <row r="624" spans="1:12" x14ac:dyDescent="0.25">
      <c r="A624" s="6">
        <v>41802</v>
      </c>
      <c r="B624" t="s">
        <v>46</v>
      </c>
      <c r="C624" s="7">
        <v>-300</v>
      </c>
      <c r="D624" t="s">
        <v>6</v>
      </c>
      <c r="E624" s="8">
        <f>E623+F624</f>
        <v>151412</v>
      </c>
      <c r="F624" s="8">
        <f>IF($D624="CR01",$C624,0)</f>
        <v>-300</v>
      </c>
      <c r="G624" s="8">
        <f>G623+H624</f>
        <v>0</v>
      </c>
      <c r="H624" s="8">
        <f>IF($D624="VISA",$C624,0)</f>
        <v>0</v>
      </c>
      <c r="I624" s="8">
        <f>I623+J624</f>
        <v>0</v>
      </c>
      <c r="J624" s="8">
        <f>IF($D624="ACC",$C624,0)</f>
        <v>0</v>
      </c>
      <c r="K624" s="8">
        <f>K623+L624</f>
        <v>0</v>
      </c>
      <c r="L624" s="8">
        <f>IF($D624="CBB",$C624,0)</f>
        <v>0</v>
      </c>
    </row>
    <row r="625" spans="1:12" x14ac:dyDescent="0.25">
      <c r="A625" s="6">
        <v>41804</v>
      </c>
      <c r="B625" t="s">
        <v>67</v>
      </c>
      <c r="C625" s="7">
        <v>6800</v>
      </c>
      <c r="D625" t="s">
        <v>6</v>
      </c>
      <c r="E625" s="8">
        <f>E624+F625</f>
        <v>158212</v>
      </c>
      <c r="F625" s="8">
        <f>IF($D625="CR01",$C625,0)</f>
        <v>6800</v>
      </c>
      <c r="G625" s="8">
        <f>G624+H625</f>
        <v>0</v>
      </c>
      <c r="H625" s="8">
        <f>IF($D625="VISA",$C625,0)</f>
        <v>0</v>
      </c>
      <c r="I625" s="8">
        <f>I624+J625</f>
        <v>0</v>
      </c>
      <c r="J625" s="8">
        <f>IF($D625="ACC",$C625,0)</f>
        <v>0</v>
      </c>
      <c r="K625" s="8">
        <f>K624+L625</f>
        <v>0</v>
      </c>
      <c r="L625" s="8">
        <f>IF($D625="CBB",$C625,0)</f>
        <v>0</v>
      </c>
    </row>
    <row r="626" spans="1:12" x14ac:dyDescent="0.25">
      <c r="A626" s="6">
        <v>41807</v>
      </c>
      <c r="B626" t="s">
        <v>42</v>
      </c>
      <c r="C626" s="7">
        <v>-2806</v>
      </c>
      <c r="D626" t="s">
        <v>6</v>
      </c>
      <c r="E626" s="8">
        <f>E625+F626</f>
        <v>155406</v>
      </c>
      <c r="F626" s="8">
        <f>IF($D626="CR01",$C626,0)</f>
        <v>-2806</v>
      </c>
      <c r="G626" s="8">
        <f>G625+H626</f>
        <v>0</v>
      </c>
      <c r="H626" s="8">
        <f>IF($D626="VISA",$C626,0)</f>
        <v>0</v>
      </c>
      <c r="I626" s="8">
        <f>I625+J626</f>
        <v>0</v>
      </c>
      <c r="J626" s="8">
        <f>IF($D626="ACC",$C626,0)</f>
        <v>0</v>
      </c>
      <c r="K626" s="8">
        <f>K625+L626</f>
        <v>0</v>
      </c>
      <c r="L626" s="8">
        <f>IF($D626="CBB",$C626,0)</f>
        <v>0</v>
      </c>
    </row>
    <row r="627" spans="1:12" x14ac:dyDescent="0.25">
      <c r="A627" s="6">
        <v>41807</v>
      </c>
      <c r="B627" t="s">
        <v>48</v>
      </c>
      <c r="C627" s="7">
        <v>-100</v>
      </c>
      <c r="D627" t="s">
        <v>6</v>
      </c>
      <c r="E627" s="8">
        <f>E626+F627</f>
        <v>155306</v>
      </c>
      <c r="F627" s="8">
        <f>IF($D627="CR01",$C627,0)</f>
        <v>-100</v>
      </c>
      <c r="G627" s="8">
        <f>G626+H627</f>
        <v>0</v>
      </c>
      <c r="H627" s="8">
        <f>IF($D627="VISA",$C627,0)</f>
        <v>0</v>
      </c>
      <c r="I627" s="8">
        <f>I626+J627</f>
        <v>0</v>
      </c>
      <c r="J627" s="8">
        <f>IF($D627="ACC",$C627,0)</f>
        <v>0</v>
      </c>
      <c r="K627" s="8">
        <f>K626+L627</f>
        <v>0</v>
      </c>
      <c r="L627" s="8">
        <f>IF($D627="CBB",$C627,0)</f>
        <v>0</v>
      </c>
    </row>
    <row r="628" spans="1:12" x14ac:dyDescent="0.25">
      <c r="A628" s="6">
        <v>41808</v>
      </c>
      <c r="B628" t="s">
        <v>47</v>
      </c>
      <c r="C628" s="7">
        <v>-120</v>
      </c>
      <c r="D628" t="s">
        <v>6</v>
      </c>
      <c r="E628" s="8">
        <f>E627+F628</f>
        <v>155186</v>
      </c>
      <c r="F628" s="8">
        <f>IF($D628="CR01",$C628,0)</f>
        <v>-120</v>
      </c>
      <c r="G628" s="8">
        <f>G627+H628</f>
        <v>0</v>
      </c>
      <c r="H628" s="8">
        <f>IF($D628="VISA",$C628,0)</f>
        <v>0</v>
      </c>
      <c r="I628" s="8">
        <f>I627+J628</f>
        <v>0</v>
      </c>
      <c r="J628" s="8">
        <f>IF($D628="ACC",$C628,0)</f>
        <v>0</v>
      </c>
      <c r="K628" s="8">
        <f>K627+L628</f>
        <v>0</v>
      </c>
      <c r="L628" s="8">
        <f>IF($D628="CBB",$C628,0)</f>
        <v>0</v>
      </c>
    </row>
    <row r="629" spans="1:12" x14ac:dyDescent="0.25">
      <c r="A629" s="6">
        <v>41809</v>
      </c>
      <c r="B629" t="s">
        <v>44</v>
      </c>
      <c r="C629" s="7">
        <v>-400</v>
      </c>
      <c r="D629" t="s">
        <v>6</v>
      </c>
      <c r="E629" s="8">
        <f>E628+F629</f>
        <v>154786</v>
      </c>
      <c r="F629" s="8">
        <f>IF($D629="CR01",$C629,0)</f>
        <v>-400</v>
      </c>
      <c r="G629" s="8">
        <f>G628+H629</f>
        <v>0</v>
      </c>
      <c r="H629" s="8">
        <f>IF($D629="VISA",$C629,0)</f>
        <v>0</v>
      </c>
      <c r="I629" s="8">
        <f>I628+J629</f>
        <v>0</v>
      </c>
      <c r="J629" s="8">
        <f>IF($D629="ACC",$C629,0)</f>
        <v>0</v>
      </c>
      <c r="K629" s="8">
        <f>K628+L629</f>
        <v>0</v>
      </c>
      <c r="L629" s="8">
        <f>IF($D629="CBB",$C629,0)</f>
        <v>0</v>
      </c>
    </row>
    <row r="630" spans="1:12" x14ac:dyDescent="0.25">
      <c r="A630" s="6">
        <v>41809</v>
      </c>
      <c r="B630" t="s">
        <v>45</v>
      </c>
      <c r="C630" s="7">
        <v>-180</v>
      </c>
      <c r="D630" t="s">
        <v>6</v>
      </c>
      <c r="E630" s="8">
        <f>E629+F630</f>
        <v>154606</v>
      </c>
      <c r="F630" s="8">
        <f>IF($D630="CR01",$C630,0)</f>
        <v>-180</v>
      </c>
      <c r="G630" s="8">
        <f>G629+H630</f>
        <v>0</v>
      </c>
      <c r="H630" s="8">
        <f>IF($D630="VISA",$C630,0)</f>
        <v>0</v>
      </c>
      <c r="I630" s="8">
        <f>I629+J630</f>
        <v>0</v>
      </c>
      <c r="J630" s="8">
        <f>IF($D630="ACC",$C630,0)</f>
        <v>0</v>
      </c>
      <c r="K630" s="8">
        <f>K629+L630</f>
        <v>0</v>
      </c>
      <c r="L630" s="8">
        <f>IF($D630="CBB",$C630,0)</f>
        <v>0</v>
      </c>
    </row>
    <row r="631" spans="1:12" x14ac:dyDescent="0.25">
      <c r="A631" s="6">
        <v>41809</v>
      </c>
      <c r="B631" t="s">
        <v>46</v>
      </c>
      <c r="C631" s="7">
        <v>-300</v>
      </c>
      <c r="D631" t="s">
        <v>6</v>
      </c>
      <c r="E631" s="8">
        <f>E630+F631</f>
        <v>154306</v>
      </c>
      <c r="F631" s="8">
        <f>IF($D631="CR01",$C631,0)</f>
        <v>-300</v>
      </c>
      <c r="G631" s="8">
        <f>G630+H631</f>
        <v>0</v>
      </c>
      <c r="H631" s="8">
        <f>IF($D631="VISA",$C631,0)</f>
        <v>0</v>
      </c>
      <c r="I631" s="8">
        <f>I630+J631</f>
        <v>0</v>
      </c>
      <c r="J631" s="8">
        <f>IF($D631="ACC",$C631,0)</f>
        <v>0</v>
      </c>
      <c r="K631" s="8">
        <f>K630+L631</f>
        <v>0</v>
      </c>
      <c r="L631" s="8">
        <f>IF($D631="CBB",$C631,0)</f>
        <v>0</v>
      </c>
    </row>
    <row r="632" spans="1:12" x14ac:dyDescent="0.25">
      <c r="A632" s="6">
        <v>41810</v>
      </c>
      <c r="B632" t="s">
        <v>43</v>
      </c>
      <c r="C632" s="7">
        <v>3226</v>
      </c>
      <c r="D632" t="s">
        <v>6</v>
      </c>
      <c r="E632" s="8">
        <f>E631+F632</f>
        <v>157532</v>
      </c>
      <c r="F632" s="8">
        <f>IF($D632="CR01",$C632,0)</f>
        <v>3226</v>
      </c>
      <c r="G632" s="8">
        <f>G631+H632</f>
        <v>0</v>
      </c>
      <c r="H632" s="8">
        <f>IF($D632="VISA",$C632,0)</f>
        <v>0</v>
      </c>
      <c r="I632" s="8">
        <f>I631+J632</f>
        <v>0</v>
      </c>
      <c r="J632" s="8">
        <f>IF($D632="ACC",$C632,0)</f>
        <v>0</v>
      </c>
      <c r="K632" s="8">
        <f>K631+L632</f>
        <v>0</v>
      </c>
      <c r="L632" s="8">
        <f>IF($D632="CBB",$C632,0)</f>
        <v>0</v>
      </c>
    </row>
    <row r="633" spans="1:12" x14ac:dyDescent="0.25">
      <c r="A633" s="6">
        <v>41814</v>
      </c>
      <c r="B633" t="s">
        <v>48</v>
      </c>
      <c r="C633" s="7">
        <v>-100</v>
      </c>
      <c r="D633" t="s">
        <v>6</v>
      </c>
      <c r="E633" s="8">
        <f>E632+F633</f>
        <v>157432</v>
      </c>
      <c r="F633" s="8">
        <f>IF($D633="CR01",$C633,0)</f>
        <v>-100</v>
      </c>
      <c r="G633" s="8">
        <f>G632+H633</f>
        <v>0</v>
      </c>
      <c r="H633" s="8">
        <f>IF($D633="VISA",$C633,0)</f>
        <v>0</v>
      </c>
      <c r="I633" s="8">
        <f>I632+J633</f>
        <v>0</v>
      </c>
      <c r="J633" s="8">
        <f>IF($D633="ACC",$C633,0)</f>
        <v>0</v>
      </c>
      <c r="K633" s="8">
        <f>K632+L633</f>
        <v>0</v>
      </c>
      <c r="L633" s="8">
        <f>IF($D633="CBB",$C633,0)</f>
        <v>0</v>
      </c>
    </row>
    <row r="634" spans="1:12" x14ac:dyDescent="0.25">
      <c r="A634" s="6">
        <v>41815</v>
      </c>
      <c r="B634" t="s">
        <v>47</v>
      </c>
      <c r="C634" s="7">
        <v>-120</v>
      </c>
      <c r="D634" t="s">
        <v>6</v>
      </c>
      <c r="E634" s="8">
        <f>E633+F634</f>
        <v>157312</v>
      </c>
      <c r="F634" s="8">
        <f>IF($D634="CR01",$C634,0)</f>
        <v>-120</v>
      </c>
      <c r="G634" s="8">
        <f>G633+H634</f>
        <v>0</v>
      </c>
      <c r="H634" s="8">
        <f>IF($D634="VISA",$C634,0)</f>
        <v>0</v>
      </c>
      <c r="I634" s="8">
        <f>I633+J634</f>
        <v>0</v>
      </c>
      <c r="J634" s="8">
        <f>IF($D634="ACC",$C634,0)</f>
        <v>0</v>
      </c>
      <c r="K634" s="8">
        <f>K633+L634</f>
        <v>0</v>
      </c>
      <c r="L634" s="8">
        <f>IF($D634="CBB",$C634,0)</f>
        <v>0</v>
      </c>
    </row>
    <row r="635" spans="1:12" x14ac:dyDescent="0.25">
      <c r="A635" s="6">
        <v>41816</v>
      </c>
      <c r="B635" t="s">
        <v>44</v>
      </c>
      <c r="C635" s="7">
        <v>-400</v>
      </c>
      <c r="D635" t="s">
        <v>6</v>
      </c>
      <c r="E635" s="8">
        <f>E634+F635</f>
        <v>156912</v>
      </c>
      <c r="F635" s="8">
        <f>IF($D635="CR01",$C635,0)</f>
        <v>-400</v>
      </c>
      <c r="G635" s="8">
        <f>G634+H635</f>
        <v>0</v>
      </c>
      <c r="H635" s="8">
        <f>IF($D635="VISA",$C635,0)</f>
        <v>0</v>
      </c>
      <c r="I635" s="8">
        <f>I634+J635</f>
        <v>0</v>
      </c>
      <c r="J635" s="8">
        <f>IF($D635="ACC",$C635,0)</f>
        <v>0</v>
      </c>
      <c r="K635" s="8">
        <f>K634+L635</f>
        <v>0</v>
      </c>
      <c r="L635" s="8">
        <f>IF($D635="CBB",$C635,0)</f>
        <v>0</v>
      </c>
    </row>
    <row r="636" spans="1:12" x14ac:dyDescent="0.25">
      <c r="A636" s="6">
        <v>41816</v>
      </c>
      <c r="B636" t="s">
        <v>45</v>
      </c>
      <c r="C636" s="7">
        <v>-180</v>
      </c>
      <c r="D636" t="s">
        <v>6</v>
      </c>
      <c r="E636" s="8">
        <f>E635+F636</f>
        <v>156732</v>
      </c>
      <c r="F636" s="8">
        <f>IF($D636="CR01",$C636,0)</f>
        <v>-180</v>
      </c>
      <c r="G636" s="8">
        <f>G635+H636</f>
        <v>0</v>
      </c>
      <c r="H636" s="8">
        <f>IF($D636="VISA",$C636,0)</f>
        <v>0</v>
      </c>
      <c r="I636" s="8">
        <f>I635+J636</f>
        <v>0</v>
      </c>
      <c r="J636" s="8">
        <f>IF($D636="ACC",$C636,0)</f>
        <v>0</v>
      </c>
      <c r="K636" s="8">
        <f>K635+L636</f>
        <v>0</v>
      </c>
      <c r="L636" s="8">
        <f>IF($D636="CBB",$C636,0)</f>
        <v>0</v>
      </c>
    </row>
    <row r="637" spans="1:12" x14ac:dyDescent="0.25">
      <c r="A637" s="6">
        <v>41816</v>
      </c>
      <c r="B637" t="s">
        <v>46</v>
      </c>
      <c r="C637" s="7">
        <v>-300</v>
      </c>
      <c r="D637" t="s">
        <v>6</v>
      </c>
      <c r="E637" s="8">
        <f>E636+F637</f>
        <v>156432</v>
      </c>
      <c r="F637" s="8">
        <f>IF($D637="CR01",$C637,0)</f>
        <v>-300</v>
      </c>
      <c r="G637" s="8">
        <f>G636+H637</f>
        <v>0</v>
      </c>
      <c r="H637" s="8">
        <f>IF($D637="VISA",$C637,0)</f>
        <v>0</v>
      </c>
      <c r="I637" s="8">
        <f>I636+J637</f>
        <v>0</v>
      </c>
      <c r="J637" s="8">
        <f>IF($D637="ACC",$C637,0)</f>
        <v>0</v>
      </c>
      <c r="K637" s="8">
        <f>K636+L637</f>
        <v>0</v>
      </c>
      <c r="L637" s="8">
        <f>IF($D637="CBB",$C637,0)</f>
        <v>0</v>
      </c>
    </row>
    <row r="638" spans="1:12" x14ac:dyDescent="0.25">
      <c r="A638" s="6">
        <v>41818</v>
      </c>
      <c r="B638" t="s">
        <v>67</v>
      </c>
      <c r="C638" s="7">
        <v>6800</v>
      </c>
      <c r="D638" t="s">
        <v>6</v>
      </c>
      <c r="E638" s="8">
        <f>E637+F638</f>
        <v>163232</v>
      </c>
      <c r="F638" s="8">
        <f>IF($D638="CR01",$C638,0)</f>
        <v>6800</v>
      </c>
      <c r="G638" s="8">
        <f>G637+H638</f>
        <v>0</v>
      </c>
      <c r="H638" s="8">
        <f>IF($D638="VISA",$C638,0)</f>
        <v>0</v>
      </c>
      <c r="I638" s="8">
        <f>I637+J638</f>
        <v>0</v>
      </c>
      <c r="J638" s="8">
        <f>IF($D638="ACC",$C638,0)</f>
        <v>0</v>
      </c>
      <c r="K638" s="8">
        <f>K637+L638</f>
        <v>0</v>
      </c>
      <c r="L638" s="8">
        <f>IF($D638="CBB",$C638,0)</f>
        <v>0</v>
      </c>
    </row>
    <row r="639" spans="1:12" x14ac:dyDescent="0.25">
      <c r="A639" s="6">
        <v>41821</v>
      </c>
      <c r="B639" t="s">
        <v>42</v>
      </c>
      <c r="C639" s="7">
        <v>-2806</v>
      </c>
      <c r="D639" t="s">
        <v>6</v>
      </c>
      <c r="E639" s="8">
        <f>E638+F639</f>
        <v>160426</v>
      </c>
      <c r="F639" s="8">
        <f>IF($D639="CR01",$C639,0)</f>
        <v>-2806</v>
      </c>
      <c r="G639" s="8">
        <f>G638+H639</f>
        <v>0</v>
      </c>
      <c r="H639" s="8">
        <f>IF($D639="VISA",$C639,0)</f>
        <v>0</v>
      </c>
      <c r="I639" s="8">
        <f>I638+J639</f>
        <v>0</v>
      </c>
      <c r="J639" s="8">
        <f>IF($D639="ACC",$C639,0)</f>
        <v>0</v>
      </c>
      <c r="K639" s="8">
        <f>K638+L639</f>
        <v>0</v>
      </c>
      <c r="L639" s="8">
        <f>IF($D639="CBB",$C639,0)</f>
        <v>0</v>
      </c>
    </row>
    <row r="640" spans="1:12" x14ac:dyDescent="0.25">
      <c r="A640" s="6">
        <v>41821</v>
      </c>
      <c r="B640" t="s">
        <v>48</v>
      </c>
      <c r="C640" s="7">
        <v>-100</v>
      </c>
      <c r="D640" t="s">
        <v>6</v>
      </c>
      <c r="E640" s="8">
        <f>E639+F640</f>
        <v>160326</v>
      </c>
      <c r="F640" s="8">
        <f>IF($D640="CR01",$C640,0)</f>
        <v>-100</v>
      </c>
      <c r="G640" s="8">
        <f>G639+H640</f>
        <v>0</v>
      </c>
      <c r="H640" s="8">
        <f>IF($D640="VISA",$C640,0)</f>
        <v>0</v>
      </c>
      <c r="I640" s="8">
        <f>I639+J640</f>
        <v>0</v>
      </c>
      <c r="J640" s="8">
        <f>IF($D640="ACC",$C640,0)</f>
        <v>0</v>
      </c>
      <c r="K640" s="8">
        <f>K639+L640</f>
        <v>0</v>
      </c>
      <c r="L640" s="8">
        <f>IF($D640="CBB",$C640,0)</f>
        <v>0</v>
      </c>
    </row>
    <row r="641" spans="1:12" x14ac:dyDescent="0.25">
      <c r="A641" s="6">
        <v>41821</v>
      </c>
      <c r="B641" t="s">
        <v>58</v>
      </c>
      <c r="C641" s="7">
        <v>-200</v>
      </c>
      <c r="D641" t="s">
        <v>6</v>
      </c>
      <c r="E641" s="8">
        <f>E640+F641</f>
        <v>160126</v>
      </c>
      <c r="F641" s="8">
        <f>IF($D641="CR01",$C641,0)</f>
        <v>-200</v>
      </c>
      <c r="G641" s="8">
        <f>G640+H641</f>
        <v>0</v>
      </c>
      <c r="H641" s="8">
        <f>IF($D641="VISA",$C641,0)</f>
        <v>0</v>
      </c>
      <c r="I641" s="8">
        <f>I640+J641</f>
        <v>0</v>
      </c>
      <c r="J641" s="8">
        <f>IF($D641="ACC",$C641,0)</f>
        <v>0</v>
      </c>
      <c r="K641" s="8">
        <f>K640+L641</f>
        <v>0</v>
      </c>
      <c r="L641" s="8">
        <f>IF($D641="CBB",$C641,0)</f>
        <v>0</v>
      </c>
    </row>
    <row r="642" spans="1:12" x14ac:dyDescent="0.25">
      <c r="A642" s="6">
        <v>41821</v>
      </c>
      <c r="B642" t="s">
        <v>60</v>
      </c>
      <c r="C642" s="7">
        <v>-400</v>
      </c>
      <c r="D642" t="s">
        <v>6</v>
      </c>
      <c r="E642" s="8">
        <f>E641+F642</f>
        <v>159726</v>
      </c>
      <c r="F642" s="8">
        <f>IF($D642="CR01",$C642,0)</f>
        <v>-400</v>
      </c>
      <c r="G642" s="8">
        <f>G641+H642</f>
        <v>0</v>
      </c>
      <c r="H642" s="8">
        <f>IF($D642="VISA",$C642,0)</f>
        <v>0</v>
      </c>
      <c r="I642" s="8">
        <f>I641+J642</f>
        <v>0</v>
      </c>
      <c r="J642" s="8">
        <f>IF($D642="ACC",$C642,0)</f>
        <v>0</v>
      </c>
      <c r="K642" s="8">
        <f>K641+L642</f>
        <v>0</v>
      </c>
      <c r="L642" s="8">
        <f>IF($D642="CBB",$C642,0)</f>
        <v>0</v>
      </c>
    </row>
    <row r="643" spans="1:12" x14ac:dyDescent="0.25">
      <c r="A643" s="6">
        <v>41821</v>
      </c>
      <c r="B643" t="s">
        <v>61</v>
      </c>
      <c r="C643" s="7">
        <v>-300</v>
      </c>
      <c r="D643" t="s">
        <v>6</v>
      </c>
      <c r="E643" s="8">
        <f>E642+F643</f>
        <v>159426</v>
      </c>
      <c r="F643" s="8">
        <f>IF($D643="CR01",$C643,0)</f>
        <v>-300</v>
      </c>
      <c r="G643" s="8">
        <f>G642+H643</f>
        <v>0</v>
      </c>
      <c r="H643" s="8">
        <f>IF($D643="VISA",$C643,0)</f>
        <v>0</v>
      </c>
      <c r="I643" s="8">
        <f>I642+J643</f>
        <v>0</v>
      </c>
      <c r="J643" s="8">
        <f>IF($D643="ACC",$C643,0)</f>
        <v>0</v>
      </c>
      <c r="K643" s="8">
        <f>K642+L643</f>
        <v>0</v>
      </c>
      <c r="L643" s="8">
        <f>IF($D643="CBB",$C643,0)</f>
        <v>0</v>
      </c>
    </row>
    <row r="644" spans="1:12" x14ac:dyDescent="0.25">
      <c r="A644" s="6">
        <v>41821</v>
      </c>
      <c r="B644" t="s">
        <v>64</v>
      </c>
      <c r="C644" s="7">
        <v>-26</v>
      </c>
      <c r="D644" t="s">
        <v>6</v>
      </c>
      <c r="E644" s="8">
        <f>E643+F644</f>
        <v>159400</v>
      </c>
      <c r="F644" s="8">
        <f>IF($D644="CR01",$C644,0)</f>
        <v>-26</v>
      </c>
      <c r="G644" s="8">
        <f>G643+H644</f>
        <v>0</v>
      </c>
      <c r="H644" s="8">
        <f>IF($D644="VISA",$C644,0)</f>
        <v>0</v>
      </c>
      <c r="I644" s="8">
        <f>I643+J644</f>
        <v>0</v>
      </c>
      <c r="J644" s="8">
        <f>IF($D644="ACC",$C644,0)</f>
        <v>0</v>
      </c>
      <c r="K644" s="8">
        <f>K643+L644</f>
        <v>0</v>
      </c>
      <c r="L644" s="8">
        <f>IF($D644="CBB",$C644,0)</f>
        <v>0</v>
      </c>
    </row>
    <row r="645" spans="1:12" x14ac:dyDescent="0.25">
      <c r="A645" s="6">
        <v>41821</v>
      </c>
      <c r="B645" t="s">
        <v>65</v>
      </c>
      <c r="C645" s="7">
        <v>-240</v>
      </c>
      <c r="D645" t="s">
        <v>6</v>
      </c>
      <c r="E645" s="8">
        <f>E644+F645</f>
        <v>159160</v>
      </c>
      <c r="F645" s="8">
        <f>IF($D645="CR01",$C645,0)</f>
        <v>-240</v>
      </c>
      <c r="G645" s="8">
        <f>G644+H645</f>
        <v>0</v>
      </c>
      <c r="H645" s="8">
        <f>IF($D645="VISA",$C645,0)</f>
        <v>0</v>
      </c>
      <c r="I645" s="8">
        <f>I644+J645</f>
        <v>0</v>
      </c>
      <c r="J645" s="8">
        <f>IF($D645="ACC",$C645,0)</f>
        <v>0</v>
      </c>
      <c r="K645" s="8">
        <f>K644+L645</f>
        <v>0</v>
      </c>
      <c r="L645" s="8">
        <f>IF($D645="CBB",$C645,0)</f>
        <v>0</v>
      </c>
    </row>
    <row r="646" spans="1:12" x14ac:dyDescent="0.25">
      <c r="A646" s="6">
        <v>41821</v>
      </c>
      <c r="B646" t="s">
        <v>66</v>
      </c>
      <c r="C646" s="7">
        <v>-120</v>
      </c>
      <c r="D646" t="s">
        <v>6</v>
      </c>
      <c r="E646" s="8">
        <f>E645+F646</f>
        <v>159040</v>
      </c>
      <c r="F646" s="8">
        <f>IF($D646="CR01",$C646,0)</f>
        <v>-120</v>
      </c>
      <c r="G646" s="8">
        <f>G645+H646</f>
        <v>0</v>
      </c>
      <c r="H646" s="8">
        <f>IF($D646="VISA",$C646,0)</f>
        <v>0</v>
      </c>
      <c r="I646" s="8">
        <f>I645+J646</f>
        <v>0</v>
      </c>
      <c r="J646" s="8">
        <f>IF($D646="ACC",$C646,0)</f>
        <v>0</v>
      </c>
      <c r="K646" s="8">
        <f>K645+L646</f>
        <v>0</v>
      </c>
      <c r="L646" s="8">
        <f>IF($D646="CBB",$C646,0)</f>
        <v>0</v>
      </c>
    </row>
    <row r="647" spans="1:12" x14ac:dyDescent="0.25">
      <c r="A647" s="6">
        <v>41822</v>
      </c>
      <c r="B647" t="s">
        <v>47</v>
      </c>
      <c r="C647" s="7">
        <v>-120</v>
      </c>
      <c r="D647" t="s">
        <v>6</v>
      </c>
      <c r="E647" s="8">
        <f>E646+F647</f>
        <v>158920</v>
      </c>
      <c r="F647" s="8">
        <f>IF($D647="CR01",$C647,0)</f>
        <v>-120</v>
      </c>
      <c r="G647" s="8">
        <f>G646+H647</f>
        <v>0</v>
      </c>
      <c r="H647" s="8">
        <f>IF($D647="VISA",$C647,0)</f>
        <v>0</v>
      </c>
      <c r="I647" s="8">
        <f>I646+J647</f>
        <v>0</v>
      </c>
      <c r="J647" s="8">
        <f>IF($D647="ACC",$C647,0)</f>
        <v>0</v>
      </c>
      <c r="K647" s="8">
        <f>K646+L647</f>
        <v>0</v>
      </c>
      <c r="L647" s="8">
        <f>IF($D647="CBB",$C647,0)</f>
        <v>0</v>
      </c>
    </row>
    <row r="648" spans="1:12" x14ac:dyDescent="0.25">
      <c r="A648" s="6">
        <v>41822</v>
      </c>
      <c r="B648" t="s">
        <v>59</v>
      </c>
      <c r="C648" s="7">
        <v>-900</v>
      </c>
      <c r="D648" t="s">
        <v>6</v>
      </c>
      <c r="E648" s="8">
        <f>E647+F648</f>
        <v>158020</v>
      </c>
      <c r="F648" s="8">
        <f>IF($D648="CR01",$C648,0)</f>
        <v>-900</v>
      </c>
      <c r="G648" s="8">
        <f>G647+H648</f>
        <v>0</v>
      </c>
      <c r="H648" s="8">
        <f>IF($D648="VISA",$C648,0)</f>
        <v>0</v>
      </c>
      <c r="I648" s="8">
        <f>I647+J648</f>
        <v>0</v>
      </c>
      <c r="J648" s="8">
        <f>IF($D648="ACC",$C648,0)</f>
        <v>0</v>
      </c>
      <c r="K648" s="8">
        <f>K647+L648</f>
        <v>0</v>
      </c>
      <c r="L648" s="8">
        <f>IF($D648="CBB",$C648,0)</f>
        <v>0</v>
      </c>
    </row>
    <row r="649" spans="1:12" x14ac:dyDescent="0.25">
      <c r="A649" s="6">
        <v>41823</v>
      </c>
      <c r="B649" t="s">
        <v>44</v>
      </c>
      <c r="C649" s="7">
        <v>-400</v>
      </c>
      <c r="D649" t="s">
        <v>6</v>
      </c>
      <c r="E649" s="8">
        <f>E648+F649</f>
        <v>157620</v>
      </c>
      <c r="F649" s="8">
        <f>IF($D649="CR01",$C649,0)</f>
        <v>-400</v>
      </c>
      <c r="G649" s="8">
        <f>G648+H649</f>
        <v>0</v>
      </c>
      <c r="H649" s="8">
        <f>IF($D649="VISA",$C649,0)</f>
        <v>0</v>
      </c>
      <c r="I649" s="8">
        <f>I648+J649</f>
        <v>0</v>
      </c>
      <c r="J649" s="8">
        <f>IF($D649="ACC",$C649,0)</f>
        <v>0</v>
      </c>
      <c r="K649" s="8">
        <f>K648+L649</f>
        <v>0</v>
      </c>
      <c r="L649" s="8">
        <f>IF($D649="CBB",$C649,0)</f>
        <v>0</v>
      </c>
    </row>
    <row r="650" spans="1:12" x14ac:dyDescent="0.25">
      <c r="A650" s="6">
        <v>41823</v>
      </c>
      <c r="B650" t="s">
        <v>45</v>
      </c>
      <c r="C650" s="7">
        <v>-180</v>
      </c>
      <c r="D650" t="s">
        <v>6</v>
      </c>
      <c r="E650" s="8">
        <f>E649+F650</f>
        <v>157440</v>
      </c>
      <c r="F650" s="8">
        <f>IF($D650="CR01",$C650,0)</f>
        <v>-180</v>
      </c>
      <c r="G650" s="8">
        <f>G649+H650</f>
        <v>0</v>
      </c>
      <c r="H650" s="8">
        <f>IF($D650="VISA",$C650,0)</f>
        <v>0</v>
      </c>
      <c r="I650" s="8">
        <f>I649+J650</f>
        <v>0</v>
      </c>
      <c r="J650" s="8">
        <f>IF($D650="ACC",$C650,0)</f>
        <v>0</v>
      </c>
      <c r="K650" s="8">
        <f>K649+L650</f>
        <v>0</v>
      </c>
      <c r="L650" s="8">
        <f>IF($D650="CBB",$C650,0)</f>
        <v>0</v>
      </c>
    </row>
    <row r="651" spans="1:12" x14ac:dyDescent="0.25">
      <c r="A651" s="6">
        <v>41823</v>
      </c>
      <c r="B651" t="s">
        <v>46</v>
      </c>
      <c r="C651" s="7">
        <v>-300</v>
      </c>
      <c r="D651" t="s">
        <v>6</v>
      </c>
      <c r="E651" s="8">
        <f>E650+F651</f>
        <v>157140</v>
      </c>
      <c r="F651" s="8">
        <f>IF($D651="CR01",$C651,0)</f>
        <v>-300</v>
      </c>
      <c r="G651" s="8">
        <f>G650+H651</f>
        <v>0</v>
      </c>
      <c r="H651" s="8">
        <f>IF($D651="VISA",$C651,0)</f>
        <v>0</v>
      </c>
      <c r="I651" s="8">
        <f>I650+J651</f>
        <v>0</v>
      </c>
      <c r="J651" s="8">
        <f>IF($D651="ACC",$C651,0)</f>
        <v>0</v>
      </c>
      <c r="K651" s="8">
        <f>K650+L651</f>
        <v>0</v>
      </c>
      <c r="L651" s="8">
        <f>IF($D651="CBB",$C651,0)</f>
        <v>0</v>
      </c>
    </row>
    <row r="652" spans="1:12" x14ac:dyDescent="0.25">
      <c r="A652" s="6">
        <v>41824</v>
      </c>
      <c r="B652" t="s">
        <v>43</v>
      </c>
      <c r="C652" s="7">
        <v>3226</v>
      </c>
      <c r="D652" t="s">
        <v>6</v>
      </c>
      <c r="E652" s="8">
        <f>E651+F652</f>
        <v>160366</v>
      </c>
      <c r="F652" s="8">
        <f>IF($D652="CR01",$C652,0)</f>
        <v>3226</v>
      </c>
      <c r="G652" s="8">
        <f>G651+H652</f>
        <v>0</v>
      </c>
      <c r="H652" s="8">
        <f>IF($D652="VISA",$C652,0)</f>
        <v>0</v>
      </c>
      <c r="I652" s="8">
        <f>I651+J652</f>
        <v>0</v>
      </c>
      <c r="J652" s="8">
        <f>IF($D652="ACC",$C652,0)</f>
        <v>0</v>
      </c>
      <c r="K652" s="8">
        <f>K651+L652</f>
        <v>0</v>
      </c>
      <c r="L652" s="8">
        <f>IF($D652="CBB",$C652,0)</f>
        <v>0</v>
      </c>
    </row>
    <row r="653" spans="1:12" x14ac:dyDescent="0.25">
      <c r="A653" s="6">
        <v>41828</v>
      </c>
      <c r="B653" t="s">
        <v>48</v>
      </c>
      <c r="C653" s="7">
        <v>-100</v>
      </c>
      <c r="D653" t="s">
        <v>6</v>
      </c>
      <c r="E653" s="8">
        <f>E652+F653</f>
        <v>160266</v>
      </c>
      <c r="F653" s="8">
        <f>IF($D653="CR01",$C653,0)</f>
        <v>-100</v>
      </c>
      <c r="G653" s="8">
        <f>G652+H653</f>
        <v>0</v>
      </c>
      <c r="H653" s="8">
        <f>IF($D653="VISA",$C653,0)</f>
        <v>0</v>
      </c>
      <c r="I653" s="8">
        <f>I652+J653</f>
        <v>0</v>
      </c>
      <c r="J653" s="8">
        <f>IF($D653="ACC",$C653,0)</f>
        <v>0</v>
      </c>
      <c r="K653" s="8">
        <f>K652+L653</f>
        <v>0</v>
      </c>
      <c r="L653" s="8">
        <f>IF($D653="CBB",$C653,0)</f>
        <v>0</v>
      </c>
    </row>
    <row r="654" spans="1:12" x14ac:dyDescent="0.25">
      <c r="A654" s="6">
        <v>41829</v>
      </c>
      <c r="B654" t="s">
        <v>47</v>
      </c>
      <c r="C654" s="7">
        <v>-120</v>
      </c>
      <c r="D654" t="s">
        <v>6</v>
      </c>
      <c r="E654" s="8">
        <f>E653+F654</f>
        <v>160146</v>
      </c>
      <c r="F654" s="8">
        <f>IF($D654="CR01",$C654,0)</f>
        <v>-120</v>
      </c>
      <c r="G654" s="8">
        <f>G653+H654</f>
        <v>0</v>
      </c>
      <c r="H654" s="8">
        <f>IF($D654="VISA",$C654,0)</f>
        <v>0</v>
      </c>
      <c r="I654" s="8">
        <f>I653+J654</f>
        <v>0</v>
      </c>
      <c r="J654" s="8">
        <f>IF($D654="ACC",$C654,0)</f>
        <v>0</v>
      </c>
      <c r="K654" s="8">
        <f>K653+L654</f>
        <v>0</v>
      </c>
      <c r="L654" s="8">
        <f>IF($D654="CBB",$C654,0)</f>
        <v>0</v>
      </c>
    </row>
    <row r="655" spans="1:12" x14ac:dyDescent="0.25">
      <c r="A655" s="6">
        <v>41830</v>
      </c>
      <c r="B655" t="s">
        <v>44</v>
      </c>
      <c r="C655" s="7">
        <v>-400</v>
      </c>
      <c r="D655" t="s">
        <v>6</v>
      </c>
      <c r="E655" s="8">
        <f>E654+F655</f>
        <v>159746</v>
      </c>
      <c r="F655" s="8">
        <f>IF($D655="CR01",$C655,0)</f>
        <v>-400</v>
      </c>
      <c r="G655" s="8">
        <f>G654+H655</f>
        <v>0</v>
      </c>
      <c r="H655" s="8">
        <f>IF($D655="VISA",$C655,0)</f>
        <v>0</v>
      </c>
      <c r="I655" s="8">
        <f>I654+J655</f>
        <v>0</v>
      </c>
      <c r="J655" s="8">
        <f>IF($D655="ACC",$C655,0)</f>
        <v>0</v>
      </c>
      <c r="K655" s="8">
        <f>K654+L655</f>
        <v>0</v>
      </c>
      <c r="L655" s="8">
        <f>IF($D655="CBB",$C655,0)</f>
        <v>0</v>
      </c>
    </row>
    <row r="656" spans="1:12" x14ac:dyDescent="0.25">
      <c r="A656" s="6">
        <v>41830</v>
      </c>
      <c r="B656" t="s">
        <v>45</v>
      </c>
      <c r="C656" s="7">
        <v>-180</v>
      </c>
      <c r="D656" t="s">
        <v>6</v>
      </c>
      <c r="E656" s="8">
        <f>E655+F656</f>
        <v>159566</v>
      </c>
      <c r="F656" s="8">
        <f>IF($D656="CR01",$C656,0)</f>
        <v>-180</v>
      </c>
      <c r="G656" s="8">
        <f>G655+H656</f>
        <v>0</v>
      </c>
      <c r="H656" s="8">
        <f>IF($D656="VISA",$C656,0)</f>
        <v>0</v>
      </c>
      <c r="I656" s="8">
        <f>I655+J656</f>
        <v>0</v>
      </c>
      <c r="J656" s="8">
        <f>IF($D656="ACC",$C656,0)</f>
        <v>0</v>
      </c>
      <c r="K656" s="8">
        <f>K655+L656</f>
        <v>0</v>
      </c>
      <c r="L656" s="8">
        <f>IF($D656="CBB",$C656,0)</f>
        <v>0</v>
      </c>
    </row>
    <row r="657" spans="1:12" x14ac:dyDescent="0.25">
      <c r="A657" s="6">
        <v>41830</v>
      </c>
      <c r="B657" t="s">
        <v>46</v>
      </c>
      <c r="C657" s="7">
        <v>-300</v>
      </c>
      <c r="D657" t="s">
        <v>6</v>
      </c>
      <c r="E657" s="8">
        <f>E656+F657</f>
        <v>159266</v>
      </c>
      <c r="F657" s="8">
        <f>IF($D657="CR01",$C657,0)</f>
        <v>-300</v>
      </c>
      <c r="G657" s="8">
        <f>G656+H657</f>
        <v>0</v>
      </c>
      <c r="H657" s="8">
        <f>IF($D657="VISA",$C657,0)</f>
        <v>0</v>
      </c>
      <c r="I657" s="8">
        <f>I656+J657</f>
        <v>0</v>
      </c>
      <c r="J657" s="8">
        <f>IF($D657="ACC",$C657,0)</f>
        <v>0</v>
      </c>
      <c r="K657" s="8">
        <f>K656+L657</f>
        <v>0</v>
      </c>
      <c r="L657" s="8">
        <f>IF($D657="CBB",$C657,0)</f>
        <v>0</v>
      </c>
    </row>
    <row r="658" spans="1:12" x14ac:dyDescent="0.25">
      <c r="A658" s="6">
        <v>41832</v>
      </c>
      <c r="B658" t="s">
        <v>67</v>
      </c>
      <c r="C658" s="7">
        <v>6800</v>
      </c>
      <c r="D658" t="s">
        <v>6</v>
      </c>
      <c r="E658" s="8">
        <f>E657+F658</f>
        <v>166066</v>
      </c>
      <c r="F658" s="8">
        <f>IF($D658="CR01",$C658,0)</f>
        <v>6800</v>
      </c>
      <c r="G658" s="8">
        <f>G657+H658</f>
        <v>0</v>
      </c>
      <c r="H658" s="8">
        <f>IF($D658="VISA",$C658,0)</f>
        <v>0</v>
      </c>
      <c r="I658" s="8">
        <f>I657+J658</f>
        <v>0</v>
      </c>
      <c r="J658" s="8">
        <f>IF($D658="ACC",$C658,0)</f>
        <v>0</v>
      </c>
      <c r="K658" s="8">
        <f>K657+L658</f>
        <v>0</v>
      </c>
      <c r="L658" s="8">
        <f>IF($D658="CBB",$C658,0)</f>
        <v>0</v>
      </c>
    </row>
    <row r="659" spans="1:12" x14ac:dyDescent="0.25">
      <c r="A659" s="6">
        <v>41835</v>
      </c>
      <c r="B659" t="s">
        <v>42</v>
      </c>
      <c r="C659" s="7">
        <v>-2806</v>
      </c>
      <c r="D659" t="s">
        <v>6</v>
      </c>
      <c r="E659" s="8">
        <f>E658+F659</f>
        <v>163260</v>
      </c>
      <c r="F659" s="8">
        <f>IF($D659="CR01",$C659,0)</f>
        <v>-2806</v>
      </c>
      <c r="G659" s="8">
        <f>G658+H659</f>
        <v>0</v>
      </c>
      <c r="H659" s="8">
        <f>IF($D659="VISA",$C659,0)</f>
        <v>0</v>
      </c>
      <c r="I659" s="8">
        <f>I658+J659</f>
        <v>0</v>
      </c>
      <c r="J659" s="8">
        <f>IF($D659="ACC",$C659,0)</f>
        <v>0</v>
      </c>
      <c r="K659" s="8">
        <f>K658+L659</f>
        <v>0</v>
      </c>
      <c r="L659" s="8">
        <f>IF($D659="CBB",$C659,0)</f>
        <v>0</v>
      </c>
    </row>
    <row r="660" spans="1:12" x14ac:dyDescent="0.25">
      <c r="A660" s="6">
        <v>41835</v>
      </c>
      <c r="B660" t="s">
        <v>48</v>
      </c>
      <c r="C660" s="7">
        <v>-100</v>
      </c>
      <c r="D660" t="s">
        <v>6</v>
      </c>
      <c r="E660" s="8">
        <f>E659+F660</f>
        <v>163160</v>
      </c>
      <c r="F660" s="8">
        <f>IF($D660="CR01",$C660,0)</f>
        <v>-100</v>
      </c>
      <c r="G660" s="8">
        <f>G659+H660</f>
        <v>0</v>
      </c>
      <c r="H660" s="8">
        <f>IF($D660="VISA",$C660,0)</f>
        <v>0</v>
      </c>
      <c r="I660" s="8">
        <f>I659+J660</f>
        <v>0</v>
      </c>
      <c r="J660" s="8">
        <f>IF($D660="ACC",$C660,0)</f>
        <v>0</v>
      </c>
      <c r="K660" s="8">
        <f>K659+L660</f>
        <v>0</v>
      </c>
      <c r="L660" s="8">
        <f>IF($D660="CBB",$C660,0)</f>
        <v>0</v>
      </c>
    </row>
    <row r="661" spans="1:12" x14ac:dyDescent="0.25">
      <c r="A661" s="6">
        <v>41836</v>
      </c>
      <c r="B661" t="s">
        <v>47</v>
      </c>
      <c r="C661" s="7">
        <v>-120</v>
      </c>
      <c r="D661" t="s">
        <v>6</v>
      </c>
      <c r="E661" s="8">
        <f>E660+F661</f>
        <v>163040</v>
      </c>
      <c r="F661" s="8">
        <f>IF($D661="CR01",$C661,0)</f>
        <v>-120</v>
      </c>
      <c r="G661" s="8">
        <f>G660+H661</f>
        <v>0</v>
      </c>
      <c r="H661" s="8">
        <f>IF($D661="VISA",$C661,0)</f>
        <v>0</v>
      </c>
      <c r="I661" s="8">
        <f>I660+J661</f>
        <v>0</v>
      </c>
      <c r="J661" s="8">
        <f>IF($D661="ACC",$C661,0)</f>
        <v>0</v>
      </c>
      <c r="K661" s="8">
        <f>K660+L661</f>
        <v>0</v>
      </c>
      <c r="L661" s="8">
        <f>IF($D661="CBB",$C661,0)</f>
        <v>0</v>
      </c>
    </row>
    <row r="662" spans="1:12" x14ac:dyDescent="0.25">
      <c r="A662" s="6">
        <v>41837</v>
      </c>
      <c r="B662" t="s">
        <v>44</v>
      </c>
      <c r="C662" s="7">
        <v>-400</v>
      </c>
      <c r="D662" t="s">
        <v>6</v>
      </c>
      <c r="E662" s="8">
        <f>E661+F662</f>
        <v>162640</v>
      </c>
      <c r="F662" s="8">
        <f>IF($D662="CR01",$C662,0)</f>
        <v>-400</v>
      </c>
      <c r="G662" s="8">
        <f>G661+H662</f>
        <v>0</v>
      </c>
      <c r="H662" s="8">
        <f>IF($D662="VISA",$C662,0)</f>
        <v>0</v>
      </c>
      <c r="I662" s="8">
        <f>I661+J662</f>
        <v>0</v>
      </c>
      <c r="J662" s="8">
        <f>IF($D662="ACC",$C662,0)</f>
        <v>0</v>
      </c>
      <c r="K662" s="8">
        <f>K661+L662</f>
        <v>0</v>
      </c>
      <c r="L662" s="8">
        <f>IF($D662="CBB",$C662,0)</f>
        <v>0</v>
      </c>
    </row>
    <row r="663" spans="1:12" x14ac:dyDescent="0.25">
      <c r="A663" s="6">
        <v>41837</v>
      </c>
      <c r="B663" t="s">
        <v>45</v>
      </c>
      <c r="C663" s="7">
        <v>-180</v>
      </c>
      <c r="D663" t="s">
        <v>6</v>
      </c>
      <c r="E663" s="8">
        <f>E662+F663</f>
        <v>162460</v>
      </c>
      <c r="F663" s="8">
        <f>IF($D663="CR01",$C663,0)</f>
        <v>-180</v>
      </c>
      <c r="G663" s="8">
        <f>G662+H663</f>
        <v>0</v>
      </c>
      <c r="H663" s="8">
        <f>IF($D663="VISA",$C663,0)</f>
        <v>0</v>
      </c>
      <c r="I663" s="8">
        <f>I662+J663</f>
        <v>0</v>
      </c>
      <c r="J663" s="8">
        <f>IF($D663="ACC",$C663,0)</f>
        <v>0</v>
      </c>
      <c r="K663" s="8">
        <f>K662+L663</f>
        <v>0</v>
      </c>
      <c r="L663" s="8">
        <f>IF($D663="CBB",$C663,0)</f>
        <v>0</v>
      </c>
    </row>
    <row r="664" spans="1:12" x14ac:dyDescent="0.25">
      <c r="A664" s="6">
        <v>41837</v>
      </c>
      <c r="B664" t="s">
        <v>46</v>
      </c>
      <c r="C664" s="7">
        <v>-300</v>
      </c>
      <c r="D664" t="s">
        <v>6</v>
      </c>
      <c r="E664" s="8">
        <f>E663+F664</f>
        <v>162160</v>
      </c>
      <c r="F664" s="8">
        <f>IF($D664="CR01",$C664,0)</f>
        <v>-300</v>
      </c>
      <c r="G664" s="8">
        <f>G663+H664</f>
        <v>0</v>
      </c>
      <c r="H664" s="8">
        <f>IF($D664="VISA",$C664,0)</f>
        <v>0</v>
      </c>
      <c r="I664" s="8">
        <f>I663+J664</f>
        <v>0</v>
      </c>
      <c r="J664" s="8">
        <f>IF($D664="ACC",$C664,0)</f>
        <v>0</v>
      </c>
      <c r="K664" s="8">
        <f>K663+L664</f>
        <v>0</v>
      </c>
      <c r="L664" s="8">
        <f>IF($D664="CBB",$C664,0)</f>
        <v>0</v>
      </c>
    </row>
    <row r="665" spans="1:12" x14ac:dyDescent="0.25">
      <c r="A665" s="6">
        <v>41838</v>
      </c>
      <c r="B665" t="s">
        <v>43</v>
      </c>
      <c r="C665" s="7">
        <v>3226</v>
      </c>
      <c r="D665" t="s">
        <v>6</v>
      </c>
      <c r="E665" s="8">
        <f>E664+F665</f>
        <v>165386</v>
      </c>
      <c r="F665" s="8">
        <f>IF($D665="CR01",$C665,0)</f>
        <v>3226</v>
      </c>
      <c r="G665" s="8">
        <f>G664+H665</f>
        <v>0</v>
      </c>
      <c r="H665" s="8">
        <f>IF($D665="VISA",$C665,0)</f>
        <v>0</v>
      </c>
      <c r="I665" s="8">
        <f>I664+J665</f>
        <v>0</v>
      </c>
      <c r="J665" s="8">
        <f>IF($D665="ACC",$C665,0)</f>
        <v>0</v>
      </c>
      <c r="K665" s="8">
        <f>K664+L665</f>
        <v>0</v>
      </c>
      <c r="L665" s="8">
        <f>IF($D665="CBB",$C665,0)</f>
        <v>0</v>
      </c>
    </row>
    <row r="666" spans="1:12" x14ac:dyDescent="0.25">
      <c r="A666" s="6">
        <v>41842</v>
      </c>
      <c r="B666" t="s">
        <v>48</v>
      </c>
      <c r="C666" s="7">
        <v>-100</v>
      </c>
      <c r="D666" t="s">
        <v>6</v>
      </c>
      <c r="E666" s="8">
        <f>E665+F666</f>
        <v>165286</v>
      </c>
      <c r="F666" s="8">
        <f>IF($D666="CR01",$C666,0)</f>
        <v>-100</v>
      </c>
      <c r="G666" s="8">
        <f>G665+H666</f>
        <v>0</v>
      </c>
      <c r="H666" s="8">
        <f>IF($D666="VISA",$C666,0)</f>
        <v>0</v>
      </c>
      <c r="I666" s="8">
        <f>I665+J666</f>
        <v>0</v>
      </c>
      <c r="J666" s="8">
        <f>IF($D666="ACC",$C666,0)</f>
        <v>0</v>
      </c>
      <c r="K666" s="8">
        <f>K665+L666</f>
        <v>0</v>
      </c>
      <c r="L666" s="8">
        <f>IF($D666="CBB",$C666,0)</f>
        <v>0</v>
      </c>
    </row>
    <row r="667" spans="1:12" x14ac:dyDescent="0.25">
      <c r="A667" s="6">
        <v>41843</v>
      </c>
      <c r="B667" t="s">
        <v>47</v>
      </c>
      <c r="C667" s="7">
        <v>-120</v>
      </c>
      <c r="D667" t="s">
        <v>6</v>
      </c>
      <c r="E667" s="8">
        <f>E666+F667</f>
        <v>165166</v>
      </c>
      <c r="F667" s="8">
        <f>IF($D667="CR01",$C667,0)</f>
        <v>-120</v>
      </c>
      <c r="G667" s="8">
        <f>G666+H667</f>
        <v>0</v>
      </c>
      <c r="H667" s="8">
        <f>IF($D667="VISA",$C667,0)</f>
        <v>0</v>
      </c>
      <c r="I667" s="8">
        <f>I666+J667</f>
        <v>0</v>
      </c>
      <c r="J667" s="8">
        <f>IF($D667="ACC",$C667,0)</f>
        <v>0</v>
      </c>
      <c r="K667" s="8">
        <f>K666+L667</f>
        <v>0</v>
      </c>
      <c r="L667" s="8">
        <f>IF($D667="CBB",$C667,0)</f>
        <v>0</v>
      </c>
    </row>
    <row r="668" spans="1:12" x14ac:dyDescent="0.25">
      <c r="A668" s="6">
        <v>41844</v>
      </c>
      <c r="B668" t="s">
        <v>44</v>
      </c>
      <c r="C668" s="7">
        <v>-400</v>
      </c>
      <c r="D668" t="s">
        <v>6</v>
      </c>
      <c r="E668" s="8">
        <f>E667+F668</f>
        <v>164766</v>
      </c>
      <c r="F668" s="8">
        <f>IF($D668="CR01",$C668,0)</f>
        <v>-400</v>
      </c>
      <c r="G668" s="8">
        <f>G667+H668</f>
        <v>0</v>
      </c>
      <c r="H668" s="8">
        <f>IF($D668="VISA",$C668,0)</f>
        <v>0</v>
      </c>
      <c r="I668" s="8">
        <f>I667+J668</f>
        <v>0</v>
      </c>
      <c r="J668" s="8">
        <f>IF($D668="ACC",$C668,0)</f>
        <v>0</v>
      </c>
      <c r="K668" s="8">
        <f>K667+L668</f>
        <v>0</v>
      </c>
      <c r="L668" s="8">
        <f>IF($D668="CBB",$C668,0)</f>
        <v>0</v>
      </c>
    </row>
    <row r="669" spans="1:12" x14ac:dyDescent="0.25">
      <c r="A669" s="6">
        <v>41844</v>
      </c>
      <c r="B669" t="s">
        <v>45</v>
      </c>
      <c r="C669" s="7">
        <v>-180</v>
      </c>
      <c r="D669" t="s">
        <v>6</v>
      </c>
      <c r="E669" s="8">
        <f>E668+F669</f>
        <v>164586</v>
      </c>
      <c r="F669" s="8">
        <f>IF($D669="CR01",$C669,0)</f>
        <v>-180</v>
      </c>
      <c r="G669" s="8">
        <f>G668+H669</f>
        <v>0</v>
      </c>
      <c r="H669" s="8">
        <f>IF($D669="VISA",$C669,0)</f>
        <v>0</v>
      </c>
      <c r="I669" s="8">
        <f>I668+J669</f>
        <v>0</v>
      </c>
      <c r="J669" s="8">
        <f>IF($D669="ACC",$C669,0)</f>
        <v>0</v>
      </c>
      <c r="K669" s="8">
        <f>K668+L669</f>
        <v>0</v>
      </c>
      <c r="L669" s="8">
        <f>IF($D669="CBB",$C669,0)</f>
        <v>0</v>
      </c>
    </row>
    <row r="670" spans="1:12" x14ac:dyDescent="0.25">
      <c r="A670" s="6">
        <v>41844</v>
      </c>
      <c r="B670" t="s">
        <v>46</v>
      </c>
      <c r="C670" s="7">
        <v>-300</v>
      </c>
      <c r="D670" t="s">
        <v>6</v>
      </c>
      <c r="E670" s="8">
        <f>E669+F670</f>
        <v>164286</v>
      </c>
      <c r="F670" s="8">
        <f>IF($D670="CR01",$C670,0)</f>
        <v>-300</v>
      </c>
      <c r="G670" s="8">
        <f>G669+H670</f>
        <v>0</v>
      </c>
      <c r="H670" s="8">
        <f>IF($D670="VISA",$C670,0)</f>
        <v>0</v>
      </c>
      <c r="I670" s="8">
        <f>I669+J670</f>
        <v>0</v>
      </c>
      <c r="J670" s="8">
        <f>IF($D670="ACC",$C670,0)</f>
        <v>0</v>
      </c>
      <c r="K670" s="8">
        <f>K669+L670</f>
        <v>0</v>
      </c>
      <c r="L670" s="8">
        <f>IF($D670="CBB",$C670,0)</f>
        <v>0</v>
      </c>
    </row>
    <row r="671" spans="1:12" x14ac:dyDescent="0.25">
      <c r="A671" s="6">
        <v>41846</v>
      </c>
      <c r="B671" t="s">
        <v>67</v>
      </c>
      <c r="C671" s="7">
        <v>6800</v>
      </c>
      <c r="D671" t="s">
        <v>6</v>
      </c>
      <c r="E671" s="8">
        <f>E670+F671</f>
        <v>171086</v>
      </c>
      <c r="F671" s="8">
        <f>IF($D671="CR01",$C671,0)</f>
        <v>6800</v>
      </c>
      <c r="G671" s="8">
        <f>G670+H671</f>
        <v>0</v>
      </c>
      <c r="H671" s="8">
        <f>IF($D671="VISA",$C671,0)</f>
        <v>0</v>
      </c>
      <c r="I671" s="8">
        <f>I670+J671</f>
        <v>0</v>
      </c>
      <c r="J671" s="8">
        <f>IF($D671="ACC",$C671,0)</f>
        <v>0</v>
      </c>
      <c r="K671" s="8">
        <f>K670+L671</f>
        <v>0</v>
      </c>
      <c r="L671" s="8">
        <f>IF($D671="CBB",$C671,0)</f>
        <v>0</v>
      </c>
    </row>
    <row r="672" spans="1:12" x14ac:dyDescent="0.25">
      <c r="A672" s="6">
        <v>41849</v>
      </c>
      <c r="B672" t="s">
        <v>42</v>
      </c>
      <c r="C672" s="7">
        <v>-2806</v>
      </c>
      <c r="D672" t="s">
        <v>6</v>
      </c>
      <c r="E672" s="8">
        <f>E671+F672</f>
        <v>168280</v>
      </c>
      <c r="F672" s="8">
        <f>IF($D672="CR01",$C672,0)</f>
        <v>-2806</v>
      </c>
      <c r="G672" s="8">
        <f>G671+H672</f>
        <v>0</v>
      </c>
      <c r="H672" s="8">
        <f>IF($D672="VISA",$C672,0)</f>
        <v>0</v>
      </c>
      <c r="I672" s="8">
        <f>I671+J672</f>
        <v>0</v>
      </c>
      <c r="J672" s="8">
        <f>IF($D672="ACC",$C672,0)</f>
        <v>0</v>
      </c>
      <c r="K672" s="8">
        <f>K671+L672</f>
        <v>0</v>
      </c>
      <c r="L672" s="8">
        <f>IF($D672="CBB",$C672,0)</f>
        <v>0</v>
      </c>
    </row>
    <row r="673" spans="1:12" x14ac:dyDescent="0.25">
      <c r="A673" s="6">
        <v>41849</v>
      </c>
      <c r="B673" t="s">
        <v>48</v>
      </c>
      <c r="C673" s="7">
        <v>-100</v>
      </c>
      <c r="D673" t="s">
        <v>6</v>
      </c>
      <c r="E673" s="8">
        <f>E672+F673</f>
        <v>168180</v>
      </c>
      <c r="F673" s="8">
        <f>IF($D673="CR01",$C673,0)</f>
        <v>-100</v>
      </c>
      <c r="G673" s="8">
        <f>G672+H673</f>
        <v>0</v>
      </c>
      <c r="H673" s="8">
        <f>IF($D673="VISA",$C673,0)</f>
        <v>0</v>
      </c>
      <c r="I673" s="8">
        <f>I672+J673</f>
        <v>0</v>
      </c>
      <c r="J673" s="8">
        <f>IF($D673="ACC",$C673,0)</f>
        <v>0</v>
      </c>
      <c r="K673" s="8">
        <f>K672+L673</f>
        <v>0</v>
      </c>
      <c r="L673" s="8">
        <f>IF($D673="CBB",$C673,0)</f>
        <v>0</v>
      </c>
    </row>
    <row r="674" spans="1:12" x14ac:dyDescent="0.25">
      <c r="A674" s="6">
        <v>41850</v>
      </c>
      <c r="B674" t="s">
        <v>47</v>
      </c>
      <c r="C674" s="7">
        <v>-120</v>
      </c>
      <c r="D674" t="s">
        <v>6</v>
      </c>
      <c r="E674" s="8">
        <f>E673+F674</f>
        <v>168060</v>
      </c>
      <c r="F674" s="8">
        <f>IF($D674="CR01",$C674,0)</f>
        <v>-120</v>
      </c>
      <c r="G674" s="8">
        <f>G673+H674</f>
        <v>0</v>
      </c>
      <c r="H674" s="8">
        <f>IF($D674="VISA",$C674,0)</f>
        <v>0</v>
      </c>
      <c r="I674" s="8">
        <f>I673+J674</f>
        <v>0</v>
      </c>
      <c r="J674" s="8">
        <f>IF($D674="ACC",$C674,0)</f>
        <v>0</v>
      </c>
      <c r="K674" s="8">
        <f>K673+L674</f>
        <v>0</v>
      </c>
      <c r="L674" s="8">
        <f>IF($D674="CBB",$C674,0)</f>
        <v>0</v>
      </c>
    </row>
    <row r="675" spans="1:12" x14ac:dyDescent="0.25">
      <c r="A675" s="6">
        <v>41851</v>
      </c>
      <c r="B675" t="s">
        <v>44</v>
      </c>
      <c r="C675" s="7">
        <v>-400</v>
      </c>
      <c r="D675" t="s">
        <v>6</v>
      </c>
      <c r="E675" s="8">
        <f>E674+F675</f>
        <v>167660</v>
      </c>
      <c r="F675" s="8">
        <f>IF($D675="CR01",$C675,0)</f>
        <v>-400</v>
      </c>
      <c r="G675" s="8">
        <f>G674+H675</f>
        <v>0</v>
      </c>
      <c r="H675" s="8">
        <f>IF($D675="VISA",$C675,0)</f>
        <v>0</v>
      </c>
      <c r="I675" s="8">
        <f>I674+J675</f>
        <v>0</v>
      </c>
      <c r="J675" s="8">
        <f>IF($D675="ACC",$C675,0)</f>
        <v>0</v>
      </c>
      <c r="K675" s="8">
        <f>K674+L675</f>
        <v>0</v>
      </c>
      <c r="L675" s="8">
        <f>IF($D675="CBB",$C675,0)</f>
        <v>0</v>
      </c>
    </row>
    <row r="676" spans="1:12" x14ac:dyDescent="0.25">
      <c r="A676" s="6">
        <v>41851</v>
      </c>
      <c r="B676" t="s">
        <v>45</v>
      </c>
      <c r="C676" s="7">
        <v>-180</v>
      </c>
      <c r="D676" t="s">
        <v>6</v>
      </c>
      <c r="E676" s="8">
        <f>E675+F676</f>
        <v>167480</v>
      </c>
      <c r="F676" s="8">
        <f>IF($D676="CR01",$C676,0)</f>
        <v>-180</v>
      </c>
      <c r="G676" s="8">
        <f>G675+H676</f>
        <v>0</v>
      </c>
      <c r="H676" s="8">
        <f>IF($D676="VISA",$C676,0)</f>
        <v>0</v>
      </c>
      <c r="I676" s="8">
        <f>I675+J676</f>
        <v>0</v>
      </c>
      <c r="J676" s="8">
        <f>IF($D676="ACC",$C676,0)</f>
        <v>0</v>
      </c>
      <c r="K676" s="8">
        <f>K675+L676</f>
        <v>0</v>
      </c>
      <c r="L676" s="8">
        <f>IF($D676="CBB",$C676,0)</f>
        <v>0</v>
      </c>
    </row>
    <row r="677" spans="1:12" x14ac:dyDescent="0.25">
      <c r="A677" s="6">
        <v>41851</v>
      </c>
      <c r="B677" t="s">
        <v>46</v>
      </c>
      <c r="C677" s="7">
        <v>-300</v>
      </c>
      <c r="D677" t="s">
        <v>6</v>
      </c>
      <c r="E677" s="8">
        <f>E676+F677</f>
        <v>167180</v>
      </c>
      <c r="F677" s="8">
        <f>IF($D677="CR01",$C677,0)</f>
        <v>-300</v>
      </c>
      <c r="G677" s="8">
        <f>G676+H677</f>
        <v>0</v>
      </c>
      <c r="H677" s="8">
        <f>IF($D677="VISA",$C677,0)</f>
        <v>0</v>
      </c>
      <c r="I677" s="8">
        <f>I676+J677</f>
        <v>0</v>
      </c>
      <c r="J677" s="8">
        <f>IF($D677="ACC",$C677,0)</f>
        <v>0</v>
      </c>
      <c r="K677" s="8">
        <f>K676+L677</f>
        <v>0</v>
      </c>
      <c r="L677" s="8">
        <f>IF($D677="CBB",$C677,0)</f>
        <v>0</v>
      </c>
    </row>
    <row r="678" spans="1:12" x14ac:dyDescent="0.25">
      <c r="A678" s="6">
        <v>41852</v>
      </c>
      <c r="B678" t="s">
        <v>43</v>
      </c>
      <c r="C678" s="7">
        <v>3226</v>
      </c>
      <c r="D678" t="s">
        <v>6</v>
      </c>
      <c r="E678" s="8">
        <f>E677+F678</f>
        <v>170406</v>
      </c>
      <c r="F678" s="8">
        <f>IF($D678="CR01",$C678,0)</f>
        <v>3226</v>
      </c>
      <c r="G678" s="8">
        <f>G677+H678</f>
        <v>0</v>
      </c>
      <c r="H678" s="8">
        <f>IF($D678="VISA",$C678,0)</f>
        <v>0</v>
      </c>
      <c r="I678" s="8">
        <f>I677+J678</f>
        <v>0</v>
      </c>
      <c r="J678" s="8">
        <f>IF($D678="ACC",$C678,0)</f>
        <v>0</v>
      </c>
      <c r="K678" s="8">
        <f>K677+L678</f>
        <v>0</v>
      </c>
      <c r="L678" s="8">
        <f>IF($D678="CBB",$C678,0)</f>
        <v>0</v>
      </c>
    </row>
    <row r="679" spans="1:12" x14ac:dyDescent="0.25">
      <c r="A679" s="6">
        <v>41852</v>
      </c>
      <c r="B679" t="s">
        <v>58</v>
      </c>
      <c r="C679" s="7">
        <v>-200</v>
      </c>
      <c r="D679" t="s">
        <v>6</v>
      </c>
      <c r="E679" s="8">
        <f>E678+F679</f>
        <v>170206</v>
      </c>
      <c r="F679" s="8">
        <f>IF($D679="CR01",$C679,0)</f>
        <v>-200</v>
      </c>
      <c r="G679" s="8">
        <f>G678+H679</f>
        <v>0</v>
      </c>
      <c r="H679" s="8">
        <f>IF($D679="VISA",$C679,0)</f>
        <v>0</v>
      </c>
      <c r="I679" s="8">
        <f>I678+J679</f>
        <v>0</v>
      </c>
      <c r="J679" s="8">
        <f>IF($D679="ACC",$C679,0)</f>
        <v>0</v>
      </c>
      <c r="K679" s="8">
        <f>K678+L679</f>
        <v>0</v>
      </c>
      <c r="L679" s="8">
        <f>IF($D679="CBB",$C679,0)</f>
        <v>0</v>
      </c>
    </row>
    <row r="680" spans="1:12" x14ac:dyDescent="0.25">
      <c r="A680" s="6">
        <v>41852</v>
      </c>
      <c r="B680" t="s">
        <v>60</v>
      </c>
      <c r="C680" s="7">
        <v>-400</v>
      </c>
      <c r="D680" t="s">
        <v>6</v>
      </c>
      <c r="E680" s="8">
        <f>E679+F680</f>
        <v>169806</v>
      </c>
      <c r="F680" s="8">
        <f>IF($D680="CR01",$C680,0)</f>
        <v>-400</v>
      </c>
      <c r="G680" s="8">
        <f>G679+H680</f>
        <v>0</v>
      </c>
      <c r="H680" s="8">
        <f>IF($D680="VISA",$C680,0)</f>
        <v>0</v>
      </c>
      <c r="I680" s="8">
        <f>I679+J680</f>
        <v>0</v>
      </c>
      <c r="J680" s="8">
        <f>IF($D680="ACC",$C680,0)</f>
        <v>0</v>
      </c>
      <c r="K680" s="8">
        <f>K679+L680</f>
        <v>0</v>
      </c>
      <c r="L680" s="8">
        <f>IF($D680="CBB",$C680,0)</f>
        <v>0</v>
      </c>
    </row>
    <row r="681" spans="1:12" x14ac:dyDescent="0.25">
      <c r="A681" s="6">
        <v>41852</v>
      </c>
      <c r="B681" t="s">
        <v>62</v>
      </c>
      <c r="C681" s="7">
        <v>-300</v>
      </c>
      <c r="D681" t="s">
        <v>6</v>
      </c>
      <c r="E681" s="8">
        <f>E680+F681</f>
        <v>169506</v>
      </c>
      <c r="F681" s="8">
        <f>IF($D681="CR01",$C681,0)</f>
        <v>-300</v>
      </c>
      <c r="G681" s="8">
        <f>G680+H681</f>
        <v>0</v>
      </c>
      <c r="H681" s="8">
        <f>IF($D681="VISA",$C681,0)</f>
        <v>0</v>
      </c>
      <c r="I681" s="8">
        <f>I680+J681</f>
        <v>0</v>
      </c>
      <c r="J681" s="8">
        <f>IF($D681="ACC",$C681,0)</f>
        <v>0</v>
      </c>
      <c r="K681" s="8">
        <f>K680+L681</f>
        <v>0</v>
      </c>
      <c r="L681" s="8">
        <f>IF($D681="CBB",$C681,0)</f>
        <v>0</v>
      </c>
    </row>
    <row r="682" spans="1:12" x14ac:dyDescent="0.25">
      <c r="A682" s="6">
        <v>41852</v>
      </c>
      <c r="B682" t="s">
        <v>63</v>
      </c>
      <c r="C682" s="7">
        <v>-300</v>
      </c>
      <c r="D682" t="s">
        <v>6</v>
      </c>
      <c r="E682" s="8">
        <f>E681+F682</f>
        <v>169206</v>
      </c>
      <c r="F682" s="8">
        <f>IF($D682="CR01",$C682,0)</f>
        <v>-300</v>
      </c>
      <c r="G682" s="8">
        <f>G681+H682</f>
        <v>0</v>
      </c>
      <c r="H682" s="8">
        <f>IF($D682="VISA",$C682,0)</f>
        <v>0</v>
      </c>
      <c r="I682" s="8">
        <f>I681+J682</f>
        <v>0</v>
      </c>
      <c r="J682" s="8">
        <f>IF($D682="ACC",$C682,0)</f>
        <v>0</v>
      </c>
      <c r="K682" s="8">
        <f>K681+L682</f>
        <v>0</v>
      </c>
      <c r="L682" s="8">
        <f>IF($D682="CBB",$C682,0)</f>
        <v>0</v>
      </c>
    </row>
    <row r="683" spans="1:12" x14ac:dyDescent="0.25">
      <c r="A683" s="6">
        <v>41852</v>
      </c>
      <c r="B683" t="s">
        <v>64</v>
      </c>
      <c r="C683" s="7">
        <v>-26</v>
      </c>
      <c r="D683" t="s">
        <v>6</v>
      </c>
      <c r="E683" s="8">
        <f>E682+F683</f>
        <v>169180</v>
      </c>
      <c r="F683" s="8">
        <f>IF($D683="CR01",$C683,0)</f>
        <v>-26</v>
      </c>
      <c r="G683" s="8">
        <f>G682+H683</f>
        <v>0</v>
      </c>
      <c r="H683" s="8">
        <f>IF($D683="VISA",$C683,0)</f>
        <v>0</v>
      </c>
      <c r="I683" s="8">
        <f>I682+J683</f>
        <v>0</v>
      </c>
      <c r="J683" s="8">
        <f>IF($D683="ACC",$C683,0)</f>
        <v>0</v>
      </c>
      <c r="K683" s="8">
        <f>K682+L683</f>
        <v>0</v>
      </c>
      <c r="L683" s="8">
        <f>IF($D683="CBB",$C683,0)</f>
        <v>0</v>
      </c>
    </row>
    <row r="684" spans="1:12" x14ac:dyDescent="0.25">
      <c r="A684" s="6">
        <v>41852</v>
      </c>
      <c r="B684" t="s">
        <v>65</v>
      </c>
      <c r="C684" s="7">
        <v>-240</v>
      </c>
      <c r="D684" t="s">
        <v>6</v>
      </c>
      <c r="E684" s="8">
        <f>E683+F684</f>
        <v>168940</v>
      </c>
      <c r="F684" s="8">
        <f>IF($D684="CR01",$C684,0)</f>
        <v>-240</v>
      </c>
      <c r="G684" s="8">
        <f>G683+H684</f>
        <v>0</v>
      </c>
      <c r="H684" s="8">
        <f>IF($D684="VISA",$C684,0)</f>
        <v>0</v>
      </c>
      <c r="I684" s="8">
        <f>I683+J684</f>
        <v>0</v>
      </c>
      <c r="J684" s="8">
        <f>IF($D684="ACC",$C684,0)</f>
        <v>0</v>
      </c>
      <c r="K684" s="8">
        <f>K683+L684</f>
        <v>0</v>
      </c>
      <c r="L684" s="8">
        <f>IF($D684="CBB",$C684,0)</f>
        <v>0</v>
      </c>
    </row>
    <row r="685" spans="1:12" x14ac:dyDescent="0.25">
      <c r="A685" s="6">
        <v>41852</v>
      </c>
      <c r="B685" t="s">
        <v>66</v>
      </c>
      <c r="C685" s="7">
        <v>-120</v>
      </c>
      <c r="D685" t="s">
        <v>6</v>
      </c>
      <c r="E685" s="8">
        <f>E684+F685</f>
        <v>168820</v>
      </c>
      <c r="F685" s="8">
        <f>IF($D685="CR01",$C685,0)</f>
        <v>-120</v>
      </c>
      <c r="G685" s="8">
        <f>G684+H685</f>
        <v>0</v>
      </c>
      <c r="H685" s="8">
        <f>IF($D685="VISA",$C685,0)</f>
        <v>0</v>
      </c>
      <c r="I685" s="8">
        <f>I684+J685</f>
        <v>0</v>
      </c>
      <c r="J685" s="8">
        <f>IF($D685="ACC",$C685,0)</f>
        <v>0</v>
      </c>
      <c r="K685" s="8">
        <f>K684+L685</f>
        <v>0</v>
      </c>
      <c r="L685" s="8">
        <f>IF($D685="CBB",$C685,0)</f>
        <v>0</v>
      </c>
    </row>
    <row r="686" spans="1:12" x14ac:dyDescent="0.25">
      <c r="A686" s="6">
        <v>41853</v>
      </c>
      <c r="B686" t="s">
        <v>59</v>
      </c>
      <c r="C686" s="7">
        <v>-900</v>
      </c>
      <c r="D686" t="s">
        <v>6</v>
      </c>
      <c r="E686" s="8">
        <f>E685+F686</f>
        <v>167920</v>
      </c>
      <c r="F686" s="8">
        <f>IF($D686="CR01",$C686,0)</f>
        <v>-900</v>
      </c>
      <c r="G686" s="8">
        <f>G685+H686</f>
        <v>0</v>
      </c>
      <c r="H686" s="8">
        <f>IF($D686="VISA",$C686,0)</f>
        <v>0</v>
      </c>
      <c r="I686" s="8">
        <f>I685+J686</f>
        <v>0</v>
      </c>
      <c r="J686" s="8">
        <f>IF($D686="ACC",$C686,0)</f>
        <v>0</v>
      </c>
      <c r="K686" s="8">
        <f>K685+L686</f>
        <v>0</v>
      </c>
      <c r="L686" s="8">
        <f>IF($D686="CBB",$C686,0)</f>
        <v>0</v>
      </c>
    </row>
    <row r="687" spans="1:12" x14ac:dyDescent="0.25">
      <c r="A687" s="6">
        <v>41856</v>
      </c>
      <c r="B687" t="s">
        <v>48</v>
      </c>
      <c r="C687" s="7">
        <v>-100</v>
      </c>
      <c r="D687" t="s">
        <v>6</v>
      </c>
      <c r="E687" s="8">
        <f>E686+F687</f>
        <v>167820</v>
      </c>
      <c r="F687" s="8">
        <f>IF($D687="CR01",$C687,0)</f>
        <v>-100</v>
      </c>
      <c r="G687" s="8">
        <f>G686+H687</f>
        <v>0</v>
      </c>
      <c r="H687" s="8">
        <f>IF($D687="VISA",$C687,0)</f>
        <v>0</v>
      </c>
      <c r="I687" s="8">
        <f>I686+J687</f>
        <v>0</v>
      </c>
      <c r="J687" s="8">
        <f>IF($D687="ACC",$C687,0)</f>
        <v>0</v>
      </c>
      <c r="K687" s="8">
        <f>K686+L687</f>
        <v>0</v>
      </c>
      <c r="L687" s="8">
        <f>IF($D687="CBB",$C687,0)</f>
        <v>0</v>
      </c>
    </row>
    <row r="688" spans="1:12" x14ac:dyDescent="0.25">
      <c r="A688" s="6">
        <v>41857</v>
      </c>
      <c r="B688" t="s">
        <v>47</v>
      </c>
      <c r="C688" s="7">
        <v>-120</v>
      </c>
      <c r="D688" t="s">
        <v>6</v>
      </c>
      <c r="E688" s="8">
        <f>E687+F688</f>
        <v>167700</v>
      </c>
      <c r="F688" s="8">
        <f>IF($D688="CR01",$C688,0)</f>
        <v>-120</v>
      </c>
      <c r="G688" s="8">
        <f>G687+H688</f>
        <v>0</v>
      </c>
      <c r="H688" s="8">
        <f>IF($D688="VISA",$C688,0)</f>
        <v>0</v>
      </c>
      <c r="I688" s="8">
        <f>I687+J688</f>
        <v>0</v>
      </c>
      <c r="J688" s="8">
        <f>IF($D688="ACC",$C688,0)</f>
        <v>0</v>
      </c>
      <c r="K688" s="8">
        <f>K687+L688</f>
        <v>0</v>
      </c>
      <c r="L688" s="8">
        <f>IF($D688="CBB",$C688,0)</f>
        <v>0</v>
      </c>
    </row>
    <row r="689" spans="1:12" x14ac:dyDescent="0.25">
      <c r="A689" s="6">
        <v>41858</v>
      </c>
      <c r="B689" t="s">
        <v>44</v>
      </c>
      <c r="C689" s="7">
        <v>-400</v>
      </c>
      <c r="D689" t="s">
        <v>6</v>
      </c>
      <c r="E689" s="8">
        <f>E688+F689</f>
        <v>167300</v>
      </c>
      <c r="F689" s="8">
        <f>IF($D689="CR01",$C689,0)</f>
        <v>-400</v>
      </c>
      <c r="G689" s="8">
        <f>G688+H689</f>
        <v>0</v>
      </c>
      <c r="H689" s="8">
        <f>IF($D689="VISA",$C689,0)</f>
        <v>0</v>
      </c>
      <c r="I689" s="8">
        <f>I688+J689</f>
        <v>0</v>
      </c>
      <c r="J689" s="8">
        <f>IF($D689="ACC",$C689,0)</f>
        <v>0</v>
      </c>
      <c r="K689" s="8">
        <f>K688+L689</f>
        <v>0</v>
      </c>
      <c r="L689" s="8">
        <f>IF($D689="CBB",$C689,0)</f>
        <v>0</v>
      </c>
    </row>
    <row r="690" spans="1:12" x14ac:dyDescent="0.25">
      <c r="A690" s="6">
        <v>41858</v>
      </c>
      <c r="B690" t="s">
        <v>45</v>
      </c>
      <c r="C690" s="7">
        <v>-180</v>
      </c>
      <c r="D690" t="s">
        <v>6</v>
      </c>
      <c r="E690" s="8">
        <f>E689+F690</f>
        <v>167120</v>
      </c>
      <c r="F690" s="8">
        <f>IF($D690="CR01",$C690,0)</f>
        <v>-180</v>
      </c>
      <c r="G690" s="8">
        <f>G689+H690</f>
        <v>0</v>
      </c>
      <c r="H690" s="8">
        <f>IF($D690="VISA",$C690,0)</f>
        <v>0</v>
      </c>
      <c r="I690" s="8">
        <f>I689+J690</f>
        <v>0</v>
      </c>
      <c r="J690" s="8">
        <f>IF($D690="ACC",$C690,0)</f>
        <v>0</v>
      </c>
      <c r="K690" s="8">
        <f>K689+L690</f>
        <v>0</v>
      </c>
      <c r="L690" s="8">
        <f>IF($D690="CBB",$C690,0)</f>
        <v>0</v>
      </c>
    </row>
    <row r="691" spans="1:12" x14ac:dyDescent="0.25">
      <c r="A691" s="6">
        <v>41858</v>
      </c>
      <c r="B691" t="s">
        <v>46</v>
      </c>
      <c r="C691" s="7">
        <v>-300</v>
      </c>
      <c r="D691" t="s">
        <v>6</v>
      </c>
      <c r="E691" s="8">
        <f>E690+F691</f>
        <v>166820</v>
      </c>
      <c r="F691" s="8">
        <f>IF($D691="CR01",$C691,0)</f>
        <v>-300</v>
      </c>
      <c r="G691" s="8">
        <f>G690+H691</f>
        <v>0</v>
      </c>
      <c r="H691" s="8">
        <f>IF($D691="VISA",$C691,0)</f>
        <v>0</v>
      </c>
      <c r="I691" s="8">
        <f>I690+J691</f>
        <v>0</v>
      </c>
      <c r="J691" s="8">
        <f>IF($D691="ACC",$C691,0)</f>
        <v>0</v>
      </c>
      <c r="K691" s="8">
        <f>K690+L691</f>
        <v>0</v>
      </c>
      <c r="L691" s="8">
        <f>IF($D691="CBB",$C691,0)</f>
        <v>0</v>
      </c>
    </row>
    <row r="692" spans="1:12" x14ac:dyDescent="0.25">
      <c r="A692" s="6">
        <v>41860</v>
      </c>
      <c r="B692" t="s">
        <v>67</v>
      </c>
      <c r="C692" s="7">
        <v>6800</v>
      </c>
      <c r="D692" t="s">
        <v>6</v>
      </c>
      <c r="E692" s="8">
        <f>E691+F692</f>
        <v>173620</v>
      </c>
      <c r="F692" s="8">
        <f>IF($D692="CR01",$C692,0)</f>
        <v>6800</v>
      </c>
      <c r="G692" s="8">
        <f>G691+H692</f>
        <v>0</v>
      </c>
      <c r="H692" s="8">
        <f>IF($D692="VISA",$C692,0)</f>
        <v>0</v>
      </c>
      <c r="I692" s="8">
        <f>I691+J692</f>
        <v>0</v>
      </c>
      <c r="J692" s="8">
        <f>IF($D692="ACC",$C692,0)</f>
        <v>0</v>
      </c>
      <c r="K692" s="8">
        <f>K691+L692</f>
        <v>0</v>
      </c>
      <c r="L692" s="8">
        <f>IF($D692="CBB",$C692,0)</f>
        <v>0</v>
      </c>
    </row>
    <row r="693" spans="1:12" x14ac:dyDescent="0.25">
      <c r="A693" s="6">
        <v>41863</v>
      </c>
      <c r="B693" t="s">
        <v>42</v>
      </c>
      <c r="C693" s="7">
        <v>-2806</v>
      </c>
      <c r="D693" t="s">
        <v>6</v>
      </c>
      <c r="E693" s="8">
        <f>E692+F693</f>
        <v>170814</v>
      </c>
      <c r="F693" s="8">
        <f>IF($D693="CR01",$C693,0)</f>
        <v>-2806</v>
      </c>
      <c r="G693" s="8">
        <f>G692+H693</f>
        <v>0</v>
      </c>
      <c r="H693" s="8">
        <f>IF($D693="VISA",$C693,0)</f>
        <v>0</v>
      </c>
      <c r="I693" s="8">
        <f>I692+J693</f>
        <v>0</v>
      </c>
      <c r="J693" s="8">
        <f>IF($D693="ACC",$C693,0)</f>
        <v>0</v>
      </c>
      <c r="K693" s="8">
        <f>K692+L693</f>
        <v>0</v>
      </c>
      <c r="L693" s="8">
        <f>IF($D693="CBB",$C693,0)</f>
        <v>0</v>
      </c>
    </row>
    <row r="694" spans="1:12" x14ac:dyDescent="0.25">
      <c r="A694" s="6">
        <v>41863</v>
      </c>
      <c r="B694" t="s">
        <v>48</v>
      </c>
      <c r="C694" s="7">
        <v>-100</v>
      </c>
      <c r="D694" t="s">
        <v>6</v>
      </c>
      <c r="E694" s="8">
        <f>E693+F694</f>
        <v>170714</v>
      </c>
      <c r="F694" s="8">
        <f>IF($D694="CR01",$C694,0)</f>
        <v>-100</v>
      </c>
      <c r="G694" s="8">
        <f>G693+H694</f>
        <v>0</v>
      </c>
      <c r="H694" s="8">
        <f>IF($D694="VISA",$C694,0)</f>
        <v>0</v>
      </c>
      <c r="I694" s="8">
        <f>I693+J694</f>
        <v>0</v>
      </c>
      <c r="J694" s="8">
        <f>IF($D694="ACC",$C694,0)</f>
        <v>0</v>
      </c>
      <c r="K694" s="8">
        <f>K693+L694</f>
        <v>0</v>
      </c>
      <c r="L694" s="8">
        <f>IF($D694="CBB",$C694,0)</f>
        <v>0</v>
      </c>
    </row>
    <row r="695" spans="1:12" x14ac:dyDescent="0.25">
      <c r="A695" s="6">
        <v>41864</v>
      </c>
      <c r="B695" t="s">
        <v>47</v>
      </c>
      <c r="C695" s="7">
        <v>-120</v>
      </c>
      <c r="D695" t="s">
        <v>6</v>
      </c>
      <c r="E695" s="8">
        <f>E694+F695</f>
        <v>170594</v>
      </c>
      <c r="F695" s="8">
        <f>IF($D695="CR01",$C695,0)</f>
        <v>-120</v>
      </c>
      <c r="G695" s="8">
        <f>G694+H695</f>
        <v>0</v>
      </c>
      <c r="H695" s="8">
        <f>IF($D695="VISA",$C695,0)</f>
        <v>0</v>
      </c>
      <c r="I695" s="8">
        <f>I694+J695</f>
        <v>0</v>
      </c>
      <c r="J695" s="8">
        <f>IF($D695="ACC",$C695,0)</f>
        <v>0</v>
      </c>
      <c r="K695" s="8">
        <f>K694+L695</f>
        <v>0</v>
      </c>
      <c r="L695" s="8">
        <f>IF($D695="CBB",$C695,0)</f>
        <v>0</v>
      </c>
    </row>
    <row r="696" spans="1:12" x14ac:dyDescent="0.25">
      <c r="A696" s="6">
        <v>41865</v>
      </c>
      <c r="B696" t="s">
        <v>44</v>
      </c>
      <c r="C696" s="7">
        <v>-400</v>
      </c>
      <c r="D696" t="s">
        <v>6</v>
      </c>
      <c r="E696" s="8">
        <f>E695+F696</f>
        <v>170194</v>
      </c>
      <c r="F696" s="8">
        <f>IF($D696="CR01",$C696,0)</f>
        <v>-400</v>
      </c>
      <c r="G696" s="8">
        <f>G695+H696</f>
        <v>0</v>
      </c>
      <c r="H696" s="8">
        <f>IF($D696="VISA",$C696,0)</f>
        <v>0</v>
      </c>
      <c r="I696" s="8">
        <f>I695+J696</f>
        <v>0</v>
      </c>
      <c r="J696" s="8">
        <f>IF($D696="ACC",$C696,0)</f>
        <v>0</v>
      </c>
      <c r="K696" s="8">
        <f>K695+L696</f>
        <v>0</v>
      </c>
      <c r="L696" s="8">
        <f>IF($D696="CBB",$C696,0)</f>
        <v>0</v>
      </c>
    </row>
    <row r="697" spans="1:12" x14ac:dyDescent="0.25">
      <c r="A697" s="6">
        <v>41865</v>
      </c>
      <c r="B697" t="s">
        <v>45</v>
      </c>
      <c r="C697" s="7">
        <v>-180</v>
      </c>
      <c r="D697" t="s">
        <v>6</v>
      </c>
      <c r="E697" s="8">
        <f>E696+F697</f>
        <v>170014</v>
      </c>
      <c r="F697" s="8">
        <f>IF($D697="CR01",$C697,0)</f>
        <v>-180</v>
      </c>
      <c r="G697" s="8">
        <f>G696+H697</f>
        <v>0</v>
      </c>
      <c r="H697" s="8">
        <f>IF($D697="VISA",$C697,0)</f>
        <v>0</v>
      </c>
      <c r="I697" s="8">
        <f>I696+J697</f>
        <v>0</v>
      </c>
      <c r="J697" s="8">
        <f>IF($D697="ACC",$C697,0)</f>
        <v>0</v>
      </c>
      <c r="K697" s="8">
        <f>K696+L697</f>
        <v>0</v>
      </c>
      <c r="L697" s="8">
        <f>IF($D697="CBB",$C697,0)</f>
        <v>0</v>
      </c>
    </row>
    <row r="698" spans="1:12" x14ac:dyDescent="0.25">
      <c r="A698" s="6">
        <v>41865</v>
      </c>
      <c r="B698" t="s">
        <v>46</v>
      </c>
      <c r="C698" s="7">
        <v>-300</v>
      </c>
      <c r="D698" t="s">
        <v>6</v>
      </c>
      <c r="E698" s="8">
        <f>E697+F698</f>
        <v>169714</v>
      </c>
      <c r="F698" s="8">
        <f>IF($D698="CR01",$C698,0)</f>
        <v>-300</v>
      </c>
      <c r="G698" s="8">
        <f>G697+H698</f>
        <v>0</v>
      </c>
      <c r="H698" s="8">
        <f>IF($D698="VISA",$C698,0)</f>
        <v>0</v>
      </c>
      <c r="I698" s="8">
        <f>I697+J698</f>
        <v>0</v>
      </c>
      <c r="J698" s="8">
        <f>IF($D698="ACC",$C698,0)</f>
        <v>0</v>
      </c>
      <c r="K698" s="8">
        <f>K697+L698</f>
        <v>0</v>
      </c>
      <c r="L698" s="8">
        <f>IF($D698="CBB",$C698,0)</f>
        <v>0</v>
      </c>
    </row>
    <row r="699" spans="1:12" x14ac:dyDescent="0.25">
      <c r="A699" s="6">
        <v>41866</v>
      </c>
      <c r="B699" t="s">
        <v>43</v>
      </c>
      <c r="C699" s="7">
        <v>3226</v>
      </c>
      <c r="D699" t="s">
        <v>6</v>
      </c>
      <c r="E699" s="8">
        <f>E698+F699</f>
        <v>172940</v>
      </c>
      <c r="F699" s="8">
        <f>IF($D699="CR01",$C699,0)</f>
        <v>3226</v>
      </c>
      <c r="G699" s="8">
        <f>G698+H699</f>
        <v>0</v>
      </c>
      <c r="H699" s="8">
        <f>IF($D699="VISA",$C699,0)</f>
        <v>0</v>
      </c>
      <c r="I699" s="8">
        <f>I698+J699</f>
        <v>0</v>
      </c>
      <c r="J699" s="8">
        <f>IF($D699="ACC",$C699,0)</f>
        <v>0</v>
      </c>
      <c r="K699" s="8">
        <f>K698+L699</f>
        <v>0</v>
      </c>
      <c r="L699" s="8">
        <f>IF($D699="CBB",$C699,0)</f>
        <v>0</v>
      </c>
    </row>
    <row r="700" spans="1:12" x14ac:dyDescent="0.25">
      <c r="A700" s="6">
        <v>41870</v>
      </c>
      <c r="B700" t="s">
        <v>48</v>
      </c>
      <c r="C700" s="7">
        <v>-100</v>
      </c>
      <c r="D700" t="s">
        <v>6</v>
      </c>
      <c r="E700" s="8">
        <f>E699+F700</f>
        <v>172840</v>
      </c>
      <c r="F700" s="8">
        <f>IF($D700="CR01",$C700,0)</f>
        <v>-100</v>
      </c>
      <c r="G700" s="8">
        <f>G699+H700</f>
        <v>0</v>
      </c>
      <c r="H700" s="8">
        <f>IF($D700="VISA",$C700,0)</f>
        <v>0</v>
      </c>
      <c r="I700" s="8">
        <f>I699+J700</f>
        <v>0</v>
      </c>
      <c r="J700" s="8">
        <f>IF($D700="ACC",$C700,0)</f>
        <v>0</v>
      </c>
      <c r="K700" s="8">
        <f>K699+L700</f>
        <v>0</v>
      </c>
      <c r="L700" s="8">
        <f>IF($D700="CBB",$C700,0)</f>
        <v>0</v>
      </c>
    </row>
    <row r="701" spans="1:12" x14ac:dyDescent="0.25">
      <c r="A701" s="6">
        <v>41871</v>
      </c>
      <c r="B701" t="s">
        <v>47</v>
      </c>
      <c r="C701" s="7">
        <v>-120</v>
      </c>
      <c r="D701" t="s">
        <v>6</v>
      </c>
      <c r="E701" s="8">
        <f>E700+F701</f>
        <v>172720</v>
      </c>
      <c r="F701" s="8">
        <f>IF($D701="CR01",$C701,0)</f>
        <v>-120</v>
      </c>
      <c r="G701" s="8">
        <f>G700+H701</f>
        <v>0</v>
      </c>
      <c r="H701" s="8">
        <f>IF($D701="VISA",$C701,0)</f>
        <v>0</v>
      </c>
      <c r="I701" s="8">
        <f>I700+J701</f>
        <v>0</v>
      </c>
      <c r="J701" s="8">
        <f>IF($D701="ACC",$C701,0)</f>
        <v>0</v>
      </c>
      <c r="K701" s="8">
        <f>K700+L701</f>
        <v>0</v>
      </c>
      <c r="L701" s="8">
        <f>IF($D701="CBB",$C701,0)</f>
        <v>0</v>
      </c>
    </row>
    <row r="702" spans="1:12" x14ac:dyDescent="0.25">
      <c r="A702" s="6">
        <v>41872</v>
      </c>
      <c r="B702" t="s">
        <v>44</v>
      </c>
      <c r="C702" s="7">
        <v>-400</v>
      </c>
      <c r="D702" t="s">
        <v>6</v>
      </c>
      <c r="E702" s="8">
        <f>E701+F702</f>
        <v>172320</v>
      </c>
      <c r="F702" s="8">
        <f>IF($D702="CR01",$C702,0)</f>
        <v>-400</v>
      </c>
      <c r="G702" s="8">
        <f>G701+H702</f>
        <v>0</v>
      </c>
      <c r="H702" s="8">
        <f>IF($D702="VISA",$C702,0)</f>
        <v>0</v>
      </c>
      <c r="I702" s="8">
        <f>I701+J702</f>
        <v>0</v>
      </c>
      <c r="J702" s="8">
        <f>IF($D702="ACC",$C702,0)</f>
        <v>0</v>
      </c>
      <c r="K702" s="8">
        <f>K701+L702</f>
        <v>0</v>
      </c>
      <c r="L702" s="8">
        <f>IF($D702="CBB",$C702,0)</f>
        <v>0</v>
      </c>
    </row>
    <row r="703" spans="1:12" x14ac:dyDescent="0.25">
      <c r="A703" s="6">
        <v>41872</v>
      </c>
      <c r="B703" t="s">
        <v>45</v>
      </c>
      <c r="C703" s="7">
        <v>-180</v>
      </c>
      <c r="D703" t="s">
        <v>6</v>
      </c>
      <c r="E703" s="8">
        <f>E702+F703</f>
        <v>172140</v>
      </c>
      <c r="F703" s="8">
        <f>IF($D703="CR01",$C703,0)</f>
        <v>-180</v>
      </c>
      <c r="G703" s="8">
        <f>G702+H703</f>
        <v>0</v>
      </c>
      <c r="H703" s="8">
        <f>IF($D703="VISA",$C703,0)</f>
        <v>0</v>
      </c>
      <c r="I703" s="8">
        <f>I702+J703</f>
        <v>0</v>
      </c>
      <c r="J703" s="8">
        <f>IF($D703="ACC",$C703,0)</f>
        <v>0</v>
      </c>
      <c r="K703" s="8">
        <f>K702+L703</f>
        <v>0</v>
      </c>
      <c r="L703" s="8">
        <f>IF($D703="CBB",$C703,0)</f>
        <v>0</v>
      </c>
    </row>
    <row r="704" spans="1:12" x14ac:dyDescent="0.25">
      <c r="A704" s="6">
        <v>41872</v>
      </c>
      <c r="B704" t="s">
        <v>46</v>
      </c>
      <c r="C704" s="7">
        <v>-300</v>
      </c>
      <c r="D704" t="s">
        <v>6</v>
      </c>
      <c r="E704" s="8">
        <f>E703+F704</f>
        <v>171840</v>
      </c>
      <c r="F704" s="8">
        <f>IF($D704="CR01",$C704,0)</f>
        <v>-300</v>
      </c>
      <c r="G704" s="8">
        <f>G703+H704</f>
        <v>0</v>
      </c>
      <c r="H704" s="8">
        <f>IF($D704="VISA",$C704,0)</f>
        <v>0</v>
      </c>
      <c r="I704" s="8">
        <f>I703+J704</f>
        <v>0</v>
      </c>
      <c r="J704" s="8">
        <f>IF($D704="ACC",$C704,0)</f>
        <v>0</v>
      </c>
      <c r="K704" s="8">
        <f>K703+L704</f>
        <v>0</v>
      </c>
      <c r="L704" s="8">
        <f>IF($D704="CBB",$C704,0)</f>
        <v>0</v>
      </c>
    </row>
    <row r="705" spans="1:12" x14ac:dyDescent="0.25">
      <c r="A705" s="6">
        <v>41874</v>
      </c>
      <c r="B705" t="s">
        <v>67</v>
      </c>
      <c r="C705" s="7">
        <v>6800</v>
      </c>
      <c r="D705" t="s">
        <v>6</v>
      </c>
      <c r="E705" s="8">
        <f>E704+F705</f>
        <v>178640</v>
      </c>
      <c r="F705" s="8">
        <f>IF($D705="CR01",$C705,0)</f>
        <v>6800</v>
      </c>
      <c r="G705" s="8">
        <f>G704+H705</f>
        <v>0</v>
      </c>
      <c r="H705" s="8">
        <f>IF($D705="VISA",$C705,0)</f>
        <v>0</v>
      </c>
      <c r="I705" s="8">
        <f>I704+J705</f>
        <v>0</v>
      </c>
      <c r="J705" s="8">
        <f>IF($D705="ACC",$C705,0)</f>
        <v>0</v>
      </c>
      <c r="K705" s="8">
        <f>K704+L705</f>
        <v>0</v>
      </c>
      <c r="L705" s="8">
        <f>IF($D705="CBB",$C705,0)</f>
        <v>0</v>
      </c>
    </row>
    <row r="706" spans="1:12" x14ac:dyDescent="0.25">
      <c r="A706" s="6">
        <v>41877</v>
      </c>
      <c r="B706" t="s">
        <v>42</v>
      </c>
      <c r="C706" s="7">
        <v>-2806</v>
      </c>
      <c r="D706" t="s">
        <v>6</v>
      </c>
      <c r="E706" s="8">
        <f>E705+F706</f>
        <v>175834</v>
      </c>
      <c r="F706" s="8">
        <f>IF($D706="CR01",$C706,0)</f>
        <v>-2806</v>
      </c>
      <c r="G706" s="8">
        <f>G705+H706</f>
        <v>0</v>
      </c>
      <c r="H706" s="8">
        <f>IF($D706="VISA",$C706,0)</f>
        <v>0</v>
      </c>
      <c r="I706" s="8">
        <f>I705+J706</f>
        <v>0</v>
      </c>
      <c r="J706" s="8">
        <f>IF($D706="ACC",$C706,0)</f>
        <v>0</v>
      </c>
      <c r="K706" s="8">
        <f>K705+L706</f>
        <v>0</v>
      </c>
      <c r="L706" s="8">
        <f>IF($D706="CBB",$C706,0)</f>
        <v>0</v>
      </c>
    </row>
    <row r="707" spans="1:12" x14ac:dyDescent="0.25">
      <c r="A707" s="6">
        <v>41877</v>
      </c>
      <c r="B707" t="s">
        <v>48</v>
      </c>
      <c r="C707" s="7">
        <v>-100</v>
      </c>
      <c r="D707" t="s">
        <v>6</v>
      </c>
      <c r="E707" s="8">
        <f>E706+F707</f>
        <v>175734</v>
      </c>
      <c r="F707" s="8">
        <f>IF($D707="CR01",$C707,0)</f>
        <v>-100</v>
      </c>
      <c r="G707" s="8">
        <f>G706+H707</f>
        <v>0</v>
      </c>
      <c r="H707" s="8">
        <f>IF($D707="VISA",$C707,0)</f>
        <v>0</v>
      </c>
      <c r="I707" s="8">
        <f>I706+J707</f>
        <v>0</v>
      </c>
      <c r="J707" s="8">
        <f>IF($D707="ACC",$C707,0)</f>
        <v>0</v>
      </c>
      <c r="K707" s="8">
        <f>K706+L707</f>
        <v>0</v>
      </c>
      <c r="L707" s="8">
        <f>IF($D707="CBB",$C707,0)</f>
        <v>0</v>
      </c>
    </row>
    <row r="708" spans="1:12" x14ac:dyDescent="0.25">
      <c r="A708" s="6">
        <v>41878</v>
      </c>
      <c r="B708" t="s">
        <v>47</v>
      </c>
      <c r="C708" s="7">
        <v>-120</v>
      </c>
      <c r="D708" t="s">
        <v>6</v>
      </c>
      <c r="E708" s="8">
        <f>E707+F708</f>
        <v>175614</v>
      </c>
      <c r="F708" s="8">
        <f>IF($D708="CR01",$C708,0)</f>
        <v>-120</v>
      </c>
      <c r="G708" s="8">
        <f>G707+H708</f>
        <v>0</v>
      </c>
      <c r="H708" s="8">
        <f>IF($D708="VISA",$C708,0)</f>
        <v>0</v>
      </c>
      <c r="I708" s="8">
        <f>I707+J708</f>
        <v>0</v>
      </c>
      <c r="J708" s="8">
        <f>IF($D708="ACC",$C708,0)</f>
        <v>0</v>
      </c>
      <c r="K708" s="8">
        <f>K707+L708</f>
        <v>0</v>
      </c>
      <c r="L708" s="8">
        <f>IF($D708="CBB",$C708,0)</f>
        <v>0</v>
      </c>
    </row>
    <row r="709" spans="1:12" x14ac:dyDescent="0.25">
      <c r="A709" s="6">
        <v>41879</v>
      </c>
      <c r="B709" t="s">
        <v>44</v>
      </c>
      <c r="C709" s="7">
        <v>-400</v>
      </c>
      <c r="D709" t="s">
        <v>6</v>
      </c>
      <c r="E709" s="8">
        <f>E708+F709</f>
        <v>175214</v>
      </c>
      <c r="F709" s="8">
        <f>IF($D709="CR01",$C709,0)</f>
        <v>-400</v>
      </c>
      <c r="G709" s="8">
        <f>G708+H709</f>
        <v>0</v>
      </c>
      <c r="H709" s="8">
        <f>IF($D709="VISA",$C709,0)</f>
        <v>0</v>
      </c>
      <c r="I709" s="8">
        <f>I708+J709</f>
        <v>0</v>
      </c>
      <c r="J709" s="8">
        <f>IF($D709="ACC",$C709,0)</f>
        <v>0</v>
      </c>
      <c r="K709" s="8">
        <f>K708+L709</f>
        <v>0</v>
      </c>
      <c r="L709" s="8">
        <f>IF($D709="CBB",$C709,0)</f>
        <v>0</v>
      </c>
    </row>
    <row r="710" spans="1:12" x14ac:dyDescent="0.25">
      <c r="A710" s="6">
        <v>41879</v>
      </c>
      <c r="B710" t="s">
        <v>45</v>
      </c>
      <c r="C710" s="7">
        <v>-180</v>
      </c>
      <c r="D710" t="s">
        <v>6</v>
      </c>
      <c r="E710" s="8">
        <f>E709+F710</f>
        <v>175034</v>
      </c>
      <c r="F710" s="8">
        <f>IF($D710="CR01",$C710,0)</f>
        <v>-180</v>
      </c>
      <c r="G710" s="8">
        <f>G709+H710</f>
        <v>0</v>
      </c>
      <c r="H710" s="8">
        <f>IF($D710="VISA",$C710,0)</f>
        <v>0</v>
      </c>
      <c r="I710" s="8">
        <f>I709+J710</f>
        <v>0</v>
      </c>
      <c r="J710" s="8">
        <f>IF($D710="ACC",$C710,0)</f>
        <v>0</v>
      </c>
      <c r="K710" s="8">
        <f>K709+L710</f>
        <v>0</v>
      </c>
      <c r="L710" s="8">
        <f>IF($D710="CBB",$C710,0)</f>
        <v>0</v>
      </c>
    </row>
    <row r="711" spans="1:12" x14ac:dyDescent="0.25">
      <c r="A711" s="6">
        <v>41879</v>
      </c>
      <c r="B711" t="s">
        <v>46</v>
      </c>
      <c r="C711" s="7">
        <v>-300</v>
      </c>
      <c r="D711" t="s">
        <v>6</v>
      </c>
      <c r="E711" s="8">
        <f>E710+F711</f>
        <v>174734</v>
      </c>
      <c r="F711" s="8">
        <f>IF($D711="CR01",$C711,0)</f>
        <v>-300</v>
      </c>
      <c r="G711" s="8">
        <f>G710+H711</f>
        <v>0</v>
      </c>
      <c r="H711" s="8">
        <f>IF($D711="VISA",$C711,0)</f>
        <v>0</v>
      </c>
      <c r="I711" s="8">
        <f>I710+J711</f>
        <v>0</v>
      </c>
      <c r="J711" s="8">
        <f>IF($D711="ACC",$C711,0)</f>
        <v>0</v>
      </c>
      <c r="K711" s="8">
        <f>K710+L711</f>
        <v>0</v>
      </c>
      <c r="L711" s="8">
        <f>IF($D711="CBB",$C711,0)</f>
        <v>0</v>
      </c>
    </row>
    <row r="712" spans="1:12" x14ac:dyDescent="0.25">
      <c r="A712" s="6">
        <v>41880</v>
      </c>
      <c r="B712" t="s">
        <v>43</v>
      </c>
      <c r="C712" s="7">
        <v>3226</v>
      </c>
      <c r="D712" t="s">
        <v>6</v>
      </c>
      <c r="E712" s="8">
        <f>E711+F712</f>
        <v>177960</v>
      </c>
      <c r="F712" s="8">
        <f>IF($D712="CR01",$C712,0)</f>
        <v>3226</v>
      </c>
      <c r="G712" s="8">
        <f>G711+H712</f>
        <v>0</v>
      </c>
      <c r="H712" s="8">
        <f>IF($D712="VISA",$C712,0)</f>
        <v>0</v>
      </c>
      <c r="I712" s="8">
        <f>I711+J712</f>
        <v>0</v>
      </c>
      <c r="J712" s="8">
        <f>IF($D712="ACC",$C712,0)</f>
        <v>0</v>
      </c>
      <c r="K712" s="8">
        <f>K711+L712</f>
        <v>0</v>
      </c>
      <c r="L712" s="8">
        <f>IF($D712="CBB",$C712,0)</f>
        <v>0</v>
      </c>
    </row>
    <row r="713" spans="1:12" x14ac:dyDescent="0.25">
      <c r="A713" s="6">
        <v>41883</v>
      </c>
      <c r="B713" t="s">
        <v>58</v>
      </c>
      <c r="C713" s="7">
        <v>-200</v>
      </c>
      <c r="D713" t="s">
        <v>6</v>
      </c>
      <c r="E713" s="8">
        <f>E712+F713</f>
        <v>177760</v>
      </c>
      <c r="F713" s="8">
        <f>IF($D713="CR01",$C713,0)</f>
        <v>-200</v>
      </c>
      <c r="G713" s="8">
        <f>G712+H713</f>
        <v>0</v>
      </c>
      <c r="H713" s="8">
        <f>IF($D713="VISA",$C713,0)</f>
        <v>0</v>
      </c>
      <c r="I713" s="8">
        <f>I712+J713</f>
        <v>0</v>
      </c>
      <c r="J713" s="8">
        <f>IF($D713="ACC",$C713,0)</f>
        <v>0</v>
      </c>
      <c r="K713" s="8">
        <f>K712+L713</f>
        <v>0</v>
      </c>
      <c r="L713" s="8">
        <f>IF($D713="CBB",$C713,0)</f>
        <v>0</v>
      </c>
    </row>
    <row r="714" spans="1:12" x14ac:dyDescent="0.25">
      <c r="A714" s="6">
        <v>41883</v>
      </c>
      <c r="B714" t="s">
        <v>60</v>
      </c>
      <c r="C714" s="7">
        <v>-400</v>
      </c>
      <c r="D714" t="s">
        <v>6</v>
      </c>
      <c r="E714" s="8">
        <f>E713+F714</f>
        <v>177360</v>
      </c>
      <c r="F714" s="8">
        <f>IF($D714="CR01",$C714,0)</f>
        <v>-400</v>
      </c>
      <c r="G714" s="8">
        <f>G713+H714</f>
        <v>0</v>
      </c>
      <c r="H714" s="8">
        <f>IF($D714="VISA",$C714,0)</f>
        <v>0</v>
      </c>
      <c r="I714" s="8">
        <f>I713+J714</f>
        <v>0</v>
      </c>
      <c r="J714" s="8">
        <f>IF($D714="ACC",$C714,0)</f>
        <v>0</v>
      </c>
      <c r="K714" s="8">
        <f>K713+L714</f>
        <v>0</v>
      </c>
      <c r="L714" s="8">
        <f>IF($D714="CBB",$C714,0)</f>
        <v>0</v>
      </c>
    </row>
    <row r="715" spans="1:12" x14ac:dyDescent="0.25">
      <c r="A715" s="6">
        <v>41883</v>
      </c>
      <c r="B715" t="s">
        <v>64</v>
      </c>
      <c r="C715" s="7">
        <v>-26</v>
      </c>
      <c r="D715" t="s">
        <v>6</v>
      </c>
      <c r="E715" s="8">
        <f>E714+F715</f>
        <v>177334</v>
      </c>
      <c r="F715" s="8">
        <f>IF($D715="CR01",$C715,0)</f>
        <v>-26</v>
      </c>
      <c r="G715" s="8">
        <f>G714+H715</f>
        <v>0</v>
      </c>
      <c r="H715" s="8">
        <f>IF($D715="VISA",$C715,0)</f>
        <v>0</v>
      </c>
      <c r="I715" s="8">
        <f>I714+J715</f>
        <v>0</v>
      </c>
      <c r="J715" s="8">
        <f>IF($D715="ACC",$C715,0)</f>
        <v>0</v>
      </c>
      <c r="K715" s="8">
        <f>K714+L715</f>
        <v>0</v>
      </c>
      <c r="L715" s="8">
        <f>IF($D715="CBB",$C715,0)</f>
        <v>0</v>
      </c>
    </row>
    <row r="716" spans="1:12" x14ac:dyDescent="0.25">
      <c r="A716" s="6">
        <v>41883</v>
      </c>
      <c r="B716" t="s">
        <v>65</v>
      </c>
      <c r="C716" s="7">
        <v>-240</v>
      </c>
      <c r="D716" t="s">
        <v>6</v>
      </c>
      <c r="E716" s="8">
        <f>E715+F716</f>
        <v>177094</v>
      </c>
      <c r="F716" s="8">
        <f>IF($D716="CR01",$C716,0)</f>
        <v>-240</v>
      </c>
      <c r="G716" s="8">
        <f>G715+H716</f>
        <v>0</v>
      </c>
      <c r="H716" s="8">
        <f>IF($D716="VISA",$C716,0)</f>
        <v>0</v>
      </c>
      <c r="I716" s="8">
        <f>I715+J716</f>
        <v>0</v>
      </c>
      <c r="J716" s="8">
        <f>IF($D716="ACC",$C716,0)</f>
        <v>0</v>
      </c>
      <c r="K716" s="8">
        <f>K715+L716</f>
        <v>0</v>
      </c>
      <c r="L716" s="8">
        <f>IF($D716="CBB",$C716,0)</f>
        <v>0</v>
      </c>
    </row>
    <row r="717" spans="1:12" x14ac:dyDescent="0.25">
      <c r="A717" s="6">
        <v>41883</v>
      </c>
      <c r="B717" t="s">
        <v>66</v>
      </c>
      <c r="C717" s="7">
        <v>-120</v>
      </c>
      <c r="D717" t="s">
        <v>6</v>
      </c>
      <c r="E717" s="8">
        <f>E716+F717</f>
        <v>176974</v>
      </c>
      <c r="F717" s="8">
        <f>IF($D717="CR01",$C717,0)</f>
        <v>-120</v>
      </c>
      <c r="G717" s="8">
        <f>G716+H717</f>
        <v>0</v>
      </c>
      <c r="H717" s="8">
        <f>IF($D717="VISA",$C717,0)</f>
        <v>0</v>
      </c>
      <c r="I717" s="8">
        <f>I716+J717</f>
        <v>0</v>
      </c>
      <c r="J717" s="8">
        <f>IF($D717="ACC",$C717,0)</f>
        <v>0</v>
      </c>
      <c r="K717" s="8">
        <f>K716+L717</f>
        <v>0</v>
      </c>
      <c r="L717" s="8">
        <f>IF($D717="CBB",$C717,0)</f>
        <v>0</v>
      </c>
    </row>
    <row r="718" spans="1:12" x14ac:dyDescent="0.25">
      <c r="A718" s="6">
        <v>41884</v>
      </c>
      <c r="B718" t="s">
        <v>48</v>
      </c>
      <c r="C718" s="7">
        <v>-100</v>
      </c>
      <c r="D718" t="s">
        <v>6</v>
      </c>
      <c r="E718" s="8">
        <f>E717+F718</f>
        <v>176874</v>
      </c>
      <c r="F718" s="8">
        <f>IF($D718="CR01",$C718,0)</f>
        <v>-100</v>
      </c>
      <c r="G718" s="8">
        <f>G717+H718</f>
        <v>0</v>
      </c>
      <c r="H718" s="8">
        <f>IF($D718="VISA",$C718,0)</f>
        <v>0</v>
      </c>
      <c r="I718" s="8">
        <f>I717+J718</f>
        <v>0</v>
      </c>
      <c r="J718" s="8">
        <f>IF($D718="ACC",$C718,0)</f>
        <v>0</v>
      </c>
      <c r="K718" s="8">
        <f>K717+L718</f>
        <v>0</v>
      </c>
      <c r="L718" s="8">
        <f>IF($D718="CBB",$C718,0)</f>
        <v>0</v>
      </c>
    </row>
    <row r="719" spans="1:12" x14ac:dyDescent="0.25">
      <c r="A719" s="6">
        <v>41884</v>
      </c>
      <c r="B719" t="s">
        <v>59</v>
      </c>
      <c r="C719" s="7">
        <v>-900</v>
      </c>
      <c r="D719" t="s">
        <v>6</v>
      </c>
      <c r="E719" s="8">
        <f>E718+F719</f>
        <v>175974</v>
      </c>
      <c r="F719" s="8">
        <f>IF($D719="CR01",$C719,0)</f>
        <v>-900</v>
      </c>
      <c r="G719" s="8">
        <f>G718+H719</f>
        <v>0</v>
      </c>
      <c r="H719" s="8">
        <f>IF($D719="VISA",$C719,0)</f>
        <v>0</v>
      </c>
      <c r="I719" s="8">
        <f>I718+J719</f>
        <v>0</v>
      </c>
      <c r="J719" s="8">
        <f>IF($D719="ACC",$C719,0)</f>
        <v>0</v>
      </c>
      <c r="K719" s="8">
        <f>K718+L719</f>
        <v>0</v>
      </c>
      <c r="L719" s="8">
        <f>IF($D719="CBB",$C719,0)</f>
        <v>0</v>
      </c>
    </row>
    <row r="720" spans="1:12" x14ac:dyDescent="0.25">
      <c r="A720" s="6">
        <v>41885</v>
      </c>
      <c r="B720" t="s">
        <v>47</v>
      </c>
      <c r="C720" s="7">
        <v>-120</v>
      </c>
      <c r="D720" t="s">
        <v>6</v>
      </c>
      <c r="E720" s="8">
        <f>E719+F720</f>
        <v>175854</v>
      </c>
      <c r="F720" s="8">
        <f>IF($D720="CR01",$C720,0)</f>
        <v>-120</v>
      </c>
      <c r="G720" s="8">
        <f>G719+H720</f>
        <v>0</v>
      </c>
      <c r="H720" s="8">
        <f>IF($D720="VISA",$C720,0)</f>
        <v>0</v>
      </c>
      <c r="I720" s="8">
        <f>I719+J720</f>
        <v>0</v>
      </c>
      <c r="J720" s="8">
        <f>IF($D720="ACC",$C720,0)</f>
        <v>0</v>
      </c>
      <c r="K720" s="8">
        <f>K719+L720</f>
        <v>0</v>
      </c>
      <c r="L720" s="8">
        <f>IF($D720="CBB",$C720,0)</f>
        <v>0</v>
      </c>
    </row>
    <row r="721" spans="1:12" x14ac:dyDescent="0.25">
      <c r="A721" s="6">
        <v>41886</v>
      </c>
      <c r="B721" t="s">
        <v>44</v>
      </c>
      <c r="C721" s="7">
        <v>-400</v>
      </c>
      <c r="D721" t="s">
        <v>6</v>
      </c>
      <c r="E721" s="8">
        <f>E720+F721</f>
        <v>175454</v>
      </c>
      <c r="F721" s="8">
        <f>IF($D721="CR01",$C721,0)</f>
        <v>-400</v>
      </c>
      <c r="G721" s="8">
        <f>G720+H721</f>
        <v>0</v>
      </c>
      <c r="H721" s="8">
        <f>IF($D721="VISA",$C721,0)</f>
        <v>0</v>
      </c>
      <c r="I721" s="8">
        <f>I720+J721</f>
        <v>0</v>
      </c>
      <c r="J721" s="8">
        <f>IF($D721="ACC",$C721,0)</f>
        <v>0</v>
      </c>
      <c r="K721" s="8">
        <f>K720+L721</f>
        <v>0</v>
      </c>
      <c r="L721" s="8">
        <f>IF($D721="CBB",$C721,0)</f>
        <v>0</v>
      </c>
    </row>
    <row r="722" spans="1:12" x14ac:dyDescent="0.25">
      <c r="A722" s="6">
        <v>41886</v>
      </c>
      <c r="B722" t="s">
        <v>45</v>
      </c>
      <c r="C722" s="7">
        <v>-180</v>
      </c>
      <c r="D722" t="s">
        <v>6</v>
      </c>
      <c r="E722" s="8">
        <f>E721+F722</f>
        <v>175274</v>
      </c>
      <c r="F722" s="8">
        <f>IF($D722="CR01",$C722,0)</f>
        <v>-180</v>
      </c>
      <c r="G722" s="8">
        <f>G721+H722</f>
        <v>0</v>
      </c>
      <c r="H722" s="8">
        <f>IF($D722="VISA",$C722,0)</f>
        <v>0</v>
      </c>
      <c r="I722" s="8">
        <f>I721+J722</f>
        <v>0</v>
      </c>
      <c r="J722" s="8">
        <f>IF($D722="ACC",$C722,0)</f>
        <v>0</v>
      </c>
      <c r="K722" s="8">
        <f>K721+L722</f>
        <v>0</v>
      </c>
      <c r="L722" s="8">
        <f>IF($D722="CBB",$C722,0)</f>
        <v>0</v>
      </c>
    </row>
    <row r="723" spans="1:12" x14ac:dyDescent="0.25">
      <c r="A723" s="6">
        <v>41886</v>
      </c>
      <c r="B723" t="s">
        <v>46</v>
      </c>
      <c r="C723" s="7">
        <v>-300</v>
      </c>
      <c r="D723" t="s">
        <v>6</v>
      </c>
      <c r="E723" s="8">
        <f>E722+F723</f>
        <v>174974</v>
      </c>
      <c r="F723" s="8">
        <f>IF($D723="CR01",$C723,0)</f>
        <v>-300</v>
      </c>
      <c r="G723" s="8">
        <f>G722+H723</f>
        <v>0</v>
      </c>
      <c r="H723" s="8">
        <f>IF($D723="VISA",$C723,0)</f>
        <v>0</v>
      </c>
      <c r="I723" s="8">
        <f>I722+J723</f>
        <v>0</v>
      </c>
      <c r="J723" s="8">
        <f>IF($D723="ACC",$C723,0)</f>
        <v>0</v>
      </c>
      <c r="K723" s="8">
        <f>K722+L723</f>
        <v>0</v>
      </c>
      <c r="L723" s="8">
        <f>IF($D723="CBB",$C723,0)</f>
        <v>0</v>
      </c>
    </row>
    <row r="724" spans="1:12" x14ac:dyDescent="0.25">
      <c r="A724" s="6">
        <v>41888</v>
      </c>
      <c r="B724" t="s">
        <v>67</v>
      </c>
      <c r="C724" s="7">
        <v>6800</v>
      </c>
      <c r="D724" t="s">
        <v>6</v>
      </c>
      <c r="E724" s="8">
        <f>E723+F724</f>
        <v>181774</v>
      </c>
      <c r="F724" s="8">
        <f>IF($D724="CR01",$C724,0)</f>
        <v>6800</v>
      </c>
      <c r="G724" s="8">
        <f>G723+H724</f>
        <v>0</v>
      </c>
      <c r="H724" s="8">
        <f>IF($D724="VISA",$C724,0)</f>
        <v>0</v>
      </c>
      <c r="I724" s="8">
        <f>I723+J724</f>
        <v>0</v>
      </c>
      <c r="J724" s="8">
        <f>IF($D724="ACC",$C724,0)</f>
        <v>0</v>
      </c>
      <c r="K724" s="8">
        <f>K723+L724</f>
        <v>0</v>
      </c>
      <c r="L724" s="8">
        <f>IF($D724="CBB",$C724,0)</f>
        <v>0</v>
      </c>
    </row>
    <row r="725" spans="1:12" x14ac:dyDescent="0.25">
      <c r="A725" s="6">
        <v>41891</v>
      </c>
      <c r="B725" t="s">
        <v>42</v>
      </c>
      <c r="C725" s="7">
        <v>-2806</v>
      </c>
      <c r="D725" t="s">
        <v>6</v>
      </c>
      <c r="E725" s="8">
        <f>E724+F725</f>
        <v>178968</v>
      </c>
      <c r="F725" s="8">
        <f>IF($D725="CR01",$C725,0)</f>
        <v>-2806</v>
      </c>
      <c r="G725" s="8">
        <f>G724+H725</f>
        <v>0</v>
      </c>
      <c r="H725" s="8">
        <f>IF($D725="VISA",$C725,0)</f>
        <v>0</v>
      </c>
      <c r="I725" s="8">
        <f>I724+J725</f>
        <v>0</v>
      </c>
      <c r="J725" s="8">
        <f>IF($D725="ACC",$C725,0)</f>
        <v>0</v>
      </c>
      <c r="K725" s="8">
        <f>K724+L725</f>
        <v>0</v>
      </c>
      <c r="L725" s="8">
        <f>IF($D725="CBB",$C725,0)</f>
        <v>0</v>
      </c>
    </row>
    <row r="726" spans="1:12" x14ac:dyDescent="0.25">
      <c r="A726" s="6">
        <v>41891</v>
      </c>
      <c r="B726" t="s">
        <v>48</v>
      </c>
      <c r="C726" s="7">
        <v>-100</v>
      </c>
      <c r="D726" t="s">
        <v>6</v>
      </c>
      <c r="E726" s="8">
        <f>E725+F726</f>
        <v>178868</v>
      </c>
      <c r="F726" s="8">
        <f>IF($D726="CR01",$C726,0)</f>
        <v>-100</v>
      </c>
      <c r="G726" s="8">
        <f>G725+H726</f>
        <v>0</v>
      </c>
      <c r="H726" s="8">
        <f>IF($D726="VISA",$C726,0)</f>
        <v>0</v>
      </c>
      <c r="I726" s="8">
        <f>I725+J726</f>
        <v>0</v>
      </c>
      <c r="J726" s="8">
        <f>IF($D726="ACC",$C726,0)</f>
        <v>0</v>
      </c>
      <c r="K726" s="8">
        <f>K725+L726</f>
        <v>0</v>
      </c>
      <c r="L726" s="8">
        <f>IF($D726="CBB",$C726,0)</f>
        <v>0</v>
      </c>
    </row>
    <row r="727" spans="1:12" x14ac:dyDescent="0.25">
      <c r="A727" s="6">
        <v>41892</v>
      </c>
      <c r="B727" t="s">
        <v>47</v>
      </c>
      <c r="C727" s="7">
        <v>-120</v>
      </c>
      <c r="D727" t="s">
        <v>6</v>
      </c>
      <c r="E727" s="8">
        <f>E726+F727</f>
        <v>178748</v>
      </c>
      <c r="F727" s="8">
        <f>IF($D727="CR01",$C727,0)</f>
        <v>-120</v>
      </c>
      <c r="G727" s="8">
        <f>G726+H727</f>
        <v>0</v>
      </c>
      <c r="H727" s="8">
        <f>IF($D727="VISA",$C727,0)</f>
        <v>0</v>
      </c>
      <c r="I727" s="8">
        <f>I726+J727</f>
        <v>0</v>
      </c>
      <c r="J727" s="8">
        <f>IF($D727="ACC",$C727,0)</f>
        <v>0</v>
      </c>
      <c r="K727" s="8">
        <f>K726+L727</f>
        <v>0</v>
      </c>
      <c r="L727" s="8">
        <f>IF($D727="CBB",$C727,0)</f>
        <v>0</v>
      </c>
    </row>
    <row r="728" spans="1:12" x14ac:dyDescent="0.25">
      <c r="A728" s="6">
        <v>41893</v>
      </c>
      <c r="B728" t="s">
        <v>44</v>
      </c>
      <c r="C728" s="7">
        <v>-400</v>
      </c>
      <c r="D728" t="s">
        <v>6</v>
      </c>
      <c r="E728" s="8">
        <f>E727+F728</f>
        <v>178348</v>
      </c>
      <c r="F728" s="8">
        <f>IF($D728="CR01",$C728,0)</f>
        <v>-400</v>
      </c>
      <c r="G728" s="8">
        <f>G727+H728</f>
        <v>0</v>
      </c>
      <c r="H728" s="8">
        <f>IF($D728="VISA",$C728,0)</f>
        <v>0</v>
      </c>
      <c r="I728" s="8">
        <f>I727+J728</f>
        <v>0</v>
      </c>
      <c r="J728" s="8">
        <f>IF($D728="ACC",$C728,0)</f>
        <v>0</v>
      </c>
      <c r="K728" s="8">
        <f>K727+L728</f>
        <v>0</v>
      </c>
      <c r="L728" s="8">
        <f>IF($D728="CBB",$C728,0)</f>
        <v>0</v>
      </c>
    </row>
    <row r="729" spans="1:12" x14ac:dyDescent="0.25">
      <c r="A729" s="6">
        <v>41893</v>
      </c>
      <c r="B729" t="s">
        <v>45</v>
      </c>
      <c r="C729" s="7">
        <v>-180</v>
      </c>
      <c r="D729" t="s">
        <v>6</v>
      </c>
      <c r="E729" s="8">
        <f>E728+F729</f>
        <v>178168</v>
      </c>
      <c r="F729" s="8">
        <f>IF($D729="CR01",$C729,0)</f>
        <v>-180</v>
      </c>
      <c r="G729" s="8">
        <f>G728+H729</f>
        <v>0</v>
      </c>
      <c r="H729" s="8">
        <f>IF($D729="VISA",$C729,0)</f>
        <v>0</v>
      </c>
      <c r="I729" s="8">
        <f>I728+J729</f>
        <v>0</v>
      </c>
      <c r="J729" s="8">
        <f>IF($D729="ACC",$C729,0)</f>
        <v>0</v>
      </c>
      <c r="K729" s="8">
        <f>K728+L729</f>
        <v>0</v>
      </c>
      <c r="L729" s="8">
        <f>IF($D729="CBB",$C729,0)</f>
        <v>0</v>
      </c>
    </row>
    <row r="730" spans="1:12" x14ac:dyDescent="0.25">
      <c r="A730" s="6">
        <v>41893</v>
      </c>
      <c r="B730" t="s">
        <v>46</v>
      </c>
      <c r="C730" s="7">
        <v>-300</v>
      </c>
      <c r="D730" t="s">
        <v>6</v>
      </c>
      <c r="E730" s="8">
        <f>E729+F730</f>
        <v>177868</v>
      </c>
      <c r="F730" s="8">
        <f>IF($D730="CR01",$C730,0)</f>
        <v>-300</v>
      </c>
      <c r="G730" s="8">
        <f>G729+H730</f>
        <v>0</v>
      </c>
      <c r="H730" s="8">
        <f>IF($D730="VISA",$C730,0)</f>
        <v>0</v>
      </c>
      <c r="I730" s="8">
        <f>I729+J730</f>
        <v>0</v>
      </c>
      <c r="J730" s="8">
        <f>IF($D730="ACC",$C730,0)</f>
        <v>0</v>
      </c>
      <c r="K730" s="8">
        <f>K729+L730</f>
        <v>0</v>
      </c>
      <c r="L730" s="8">
        <f>IF($D730="CBB",$C730,0)</f>
        <v>0</v>
      </c>
    </row>
    <row r="731" spans="1:12" x14ac:dyDescent="0.25">
      <c r="A731" s="6">
        <v>41894</v>
      </c>
      <c r="B731" t="s">
        <v>43</v>
      </c>
      <c r="C731" s="7">
        <v>3226</v>
      </c>
      <c r="D731" t="s">
        <v>6</v>
      </c>
      <c r="E731" s="8">
        <f>E730+F731</f>
        <v>181094</v>
      </c>
      <c r="F731" s="8">
        <f>IF($D731="CR01",$C731,0)</f>
        <v>3226</v>
      </c>
      <c r="G731" s="8">
        <f>G730+H731</f>
        <v>0</v>
      </c>
      <c r="H731" s="8">
        <f>IF($D731="VISA",$C731,0)</f>
        <v>0</v>
      </c>
      <c r="I731" s="8">
        <f>I730+J731</f>
        <v>0</v>
      </c>
      <c r="J731" s="8">
        <f>IF($D731="ACC",$C731,0)</f>
        <v>0</v>
      </c>
      <c r="K731" s="8">
        <f>K730+L731</f>
        <v>0</v>
      </c>
      <c r="L731" s="8">
        <f>IF($D731="CBB",$C731,0)</f>
        <v>0</v>
      </c>
    </row>
    <row r="732" spans="1:12" x14ac:dyDescent="0.25">
      <c r="A732" s="6">
        <v>41898</v>
      </c>
      <c r="B732" t="s">
        <v>48</v>
      </c>
      <c r="C732" s="7">
        <v>-100</v>
      </c>
      <c r="D732" t="s">
        <v>6</v>
      </c>
      <c r="E732" s="8">
        <f>E731+F732</f>
        <v>180994</v>
      </c>
      <c r="F732" s="8">
        <f>IF($D732="CR01",$C732,0)</f>
        <v>-100</v>
      </c>
      <c r="G732" s="8">
        <f>G731+H732</f>
        <v>0</v>
      </c>
      <c r="H732" s="8">
        <f>IF($D732="VISA",$C732,0)</f>
        <v>0</v>
      </c>
      <c r="I732" s="8">
        <f>I731+J732</f>
        <v>0</v>
      </c>
      <c r="J732" s="8">
        <f>IF($D732="ACC",$C732,0)</f>
        <v>0</v>
      </c>
      <c r="K732" s="8">
        <f>K731+L732</f>
        <v>0</v>
      </c>
      <c r="L732" s="8">
        <f>IF($D732="CBB",$C732,0)</f>
        <v>0</v>
      </c>
    </row>
    <row r="733" spans="1:12" x14ac:dyDescent="0.25">
      <c r="A733" s="6">
        <v>41899</v>
      </c>
      <c r="B733" t="s">
        <v>47</v>
      </c>
      <c r="C733" s="7">
        <v>-120</v>
      </c>
      <c r="D733" t="s">
        <v>6</v>
      </c>
      <c r="E733" s="8">
        <f>E732+F733</f>
        <v>180874</v>
      </c>
      <c r="F733" s="8">
        <f>IF($D733="CR01",$C733,0)</f>
        <v>-120</v>
      </c>
      <c r="G733" s="8">
        <f>G732+H733</f>
        <v>0</v>
      </c>
      <c r="H733" s="8">
        <f>IF($D733="VISA",$C733,0)</f>
        <v>0</v>
      </c>
      <c r="I733" s="8">
        <f>I732+J733</f>
        <v>0</v>
      </c>
      <c r="J733" s="8">
        <f>IF($D733="ACC",$C733,0)</f>
        <v>0</v>
      </c>
      <c r="K733" s="8">
        <f>K732+L733</f>
        <v>0</v>
      </c>
      <c r="L733" s="8">
        <f>IF($D733="CBB",$C733,0)</f>
        <v>0</v>
      </c>
    </row>
    <row r="734" spans="1:12" x14ac:dyDescent="0.25">
      <c r="A734" s="6">
        <v>41900</v>
      </c>
      <c r="B734" t="s">
        <v>44</v>
      </c>
      <c r="C734" s="7">
        <v>-400</v>
      </c>
      <c r="D734" t="s">
        <v>6</v>
      </c>
      <c r="E734" s="8">
        <f>E733+F734</f>
        <v>180474</v>
      </c>
      <c r="F734" s="8">
        <f>IF($D734="CR01",$C734,0)</f>
        <v>-400</v>
      </c>
      <c r="G734" s="8">
        <f>G733+H734</f>
        <v>0</v>
      </c>
      <c r="H734" s="8">
        <f>IF($D734="VISA",$C734,0)</f>
        <v>0</v>
      </c>
      <c r="I734" s="8">
        <f>I733+J734</f>
        <v>0</v>
      </c>
      <c r="J734" s="8">
        <f>IF($D734="ACC",$C734,0)</f>
        <v>0</v>
      </c>
      <c r="K734" s="8">
        <f>K733+L734</f>
        <v>0</v>
      </c>
      <c r="L734" s="8">
        <f>IF($D734="CBB",$C734,0)</f>
        <v>0</v>
      </c>
    </row>
    <row r="735" spans="1:12" x14ac:dyDescent="0.25">
      <c r="A735" s="6">
        <v>41900</v>
      </c>
      <c r="B735" t="s">
        <v>45</v>
      </c>
      <c r="C735" s="7">
        <v>-180</v>
      </c>
      <c r="D735" t="s">
        <v>6</v>
      </c>
      <c r="E735" s="8">
        <f>E734+F735</f>
        <v>180294</v>
      </c>
      <c r="F735" s="8">
        <f>IF($D735="CR01",$C735,0)</f>
        <v>-180</v>
      </c>
      <c r="G735" s="8">
        <f>G734+H735</f>
        <v>0</v>
      </c>
      <c r="H735" s="8">
        <f>IF($D735="VISA",$C735,0)</f>
        <v>0</v>
      </c>
      <c r="I735" s="8">
        <f>I734+J735</f>
        <v>0</v>
      </c>
      <c r="J735" s="8">
        <f>IF($D735="ACC",$C735,0)</f>
        <v>0</v>
      </c>
      <c r="K735" s="8">
        <f>K734+L735</f>
        <v>0</v>
      </c>
      <c r="L735" s="8">
        <f>IF($D735="CBB",$C735,0)</f>
        <v>0</v>
      </c>
    </row>
    <row r="736" spans="1:12" x14ac:dyDescent="0.25">
      <c r="A736" s="6">
        <v>41900</v>
      </c>
      <c r="B736" t="s">
        <v>46</v>
      </c>
      <c r="C736" s="7">
        <v>-300</v>
      </c>
      <c r="D736" t="s">
        <v>6</v>
      </c>
      <c r="E736" s="8">
        <f>E735+F736</f>
        <v>179994</v>
      </c>
      <c r="F736" s="8">
        <f>IF($D736="CR01",$C736,0)</f>
        <v>-300</v>
      </c>
      <c r="G736" s="8">
        <f>G735+H736</f>
        <v>0</v>
      </c>
      <c r="H736" s="8">
        <f>IF($D736="VISA",$C736,0)</f>
        <v>0</v>
      </c>
      <c r="I736" s="8">
        <f>I735+J736</f>
        <v>0</v>
      </c>
      <c r="J736" s="8">
        <f>IF($D736="ACC",$C736,0)</f>
        <v>0</v>
      </c>
      <c r="K736" s="8">
        <f>K735+L736</f>
        <v>0</v>
      </c>
      <c r="L736" s="8">
        <f>IF($D736="CBB",$C736,0)</f>
        <v>0</v>
      </c>
    </row>
    <row r="737" spans="1:12" x14ac:dyDescent="0.25">
      <c r="A737" s="6">
        <v>41902</v>
      </c>
      <c r="B737" t="s">
        <v>67</v>
      </c>
      <c r="C737" s="7">
        <v>6800</v>
      </c>
      <c r="D737" t="s">
        <v>6</v>
      </c>
      <c r="E737" s="8">
        <f>E736+F737</f>
        <v>186794</v>
      </c>
      <c r="F737" s="8">
        <f>IF($D737="CR01",$C737,0)</f>
        <v>6800</v>
      </c>
      <c r="G737" s="8">
        <f>G736+H737</f>
        <v>0</v>
      </c>
      <c r="H737" s="8">
        <f>IF($D737="VISA",$C737,0)</f>
        <v>0</v>
      </c>
      <c r="I737" s="8">
        <f>I736+J737</f>
        <v>0</v>
      </c>
      <c r="J737" s="8">
        <f>IF($D737="ACC",$C737,0)</f>
        <v>0</v>
      </c>
      <c r="K737" s="8">
        <f>K736+L737</f>
        <v>0</v>
      </c>
      <c r="L737" s="8">
        <f>IF($D737="CBB",$C737,0)</f>
        <v>0</v>
      </c>
    </row>
    <row r="738" spans="1:12" x14ac:dyDescent="0.25">
      <c r="A738" s="6">
        <v>41905</v>
      </c>
      <c r="B738" t="s">
        <v>42</v>
      </c>
      <c r="C738" s="7">
        <v>-2806</v>
      </c>
      <c r="D738" t="s">
        <v>6</v>
      </c>
      <c r="E738" s="8">
        <f>E737+F738</f>
        <v>183988</v>
      </c>
      <c r="F738" s="8">
        <f>IF($D738="CR01",$C738,0)</f>
        <v>-2806</v>
      </c>
      <c r="G738" s="8">
        <f>G737+H738</f>
        <v>0</v>
      </c>
      <c r="H738" s="8">
        <f>IF($D738="VISA",$C738,0)</f>
        <v>0</v>
      </c>
      <c r="I738" s="8">
        <f>I737+J738</f>
        <v>0</v>
      </c>
      <c r="J738" s="8">
        <f>IF($D738="ACC",$C738,0)</f>
        <v>0</v>
      </c>
      <c r="K738" s="8">
        <f>K737+L738</f>
        <v>0</v>
      </c>
      <c r="L738" s="8">
        <f>IF($D738="CBB",$C738,0)</f>
        <v>0</v>
      </c>
    </row>
    <row r="739" spans="1:12" x14ac:dyDescent="0.25">
      <c r="A739" s="6">
        <v>41905</v>
      </c>
      <c r="B739" t="s">
        <v>48</v>
      </c>
      <c r="C739" s="7">
        <v>-100</v>
      </c>
      <c r="D739" t="s">
        <v>6</v>
      </c>
      <c r="E739" s="8">
        <f>E738+F739</f>
        <v>183888</v>
      </c>
      <c r="F739" s="8">
        <f>IF($D739="CR01",$C739,0)</f>
        <v>-100</v>
      </c>
      <c r="G739" s="8">
        <f>G738+H739</f>
        <v>0</v>
      </c>
      <c r="H739" s="8">
        <f>IF($D739="VISA",$C739,0)</f>
        <v>0</v>
      </c>
      <c r="I739" s="8">
        <f>I738+J739</f>
        <v>0</v>
      </c>
      <c r="J739" s="8">
        <f>IF($D739="ACC",$C739,0)</f>
        <v>0</v>
      </c>
      <c r="K739" s="8">
        <f>K738+L739</f>
        <v>0</v>
      </c>
      <c r="L739" s="8">
        <f>IF($D739="CBB",$C739,0)</f>
        <v>0</v>
      </c>
    </row>
    <row r="740" spans="1:12" x14ac:dyDescent="0.25">
      <c r="A740" s="6">
        <v>41906</v>
      </c>
      <c r="B740" t="s">
        <v>47</v>
      </c>
      <c r="C740" s="7">
        <v>-120</v>
      </c>
      <c r="D740" t="s">
        <v>6</v>
      </c>
      <c r="E740" s="8">
        <f>E739+F740</f>
        <v>183768</v>
      </c>
      <c r="F740" s="8">
        <f>IF($D740="CR01",$C740,0)</f>
        <v>-120</v>
      </c>
      <c r="G740" s="8">
        <f>G739+H740</f>
        <v>0</v>
      </c>
      <c r="H740" s="8">
        <f>IF($D740="VISA",$C740,0)</f>
        <v>0</v>
      </c>
      <c r="I740" s="8">
        <f>I739+J740</f>
        <v>0</v>
      </c>
      <c r="J740" s="8">
        <f>IF($D740="ACC",$C740,0)</f>
        <v>0</v>
      </c>
      <c r="K740" s="8">
        <f>K739+L740</f>
        <v>0</v>
      </c>
      <c r="L740" s="8">
        <f>IF($D740="CBB",$C740,0)</f>
        <v>0</v>
      </c>
    </row>
    <row r="741" spans="1:12" x14ac:dyDescent="0.25">
      <c r="A741" s="6">
        <v>41907</v>
      </c>
      <c r="B741" t="s">
        <v>44</v>
      </c>
      <c r="C741" s="7">
        <v>-400</v>
      </c>
      <c r="D741" t="s">
        <v>6</v>
      </c>
      <c r="E741" s="8">
        <f>E740+F741</f>
        <v>183368</v>
      </c>
      <c r="F741" s="8">
        <f>IF($D741="CR01",$C741,0)</f>
        <v>-400</v>
      </c>
      <c r="G741" s="8">
        <f>G740+H741</f>
        <v>0</v>
      </c>
      <c r="H741" s="8">
        <f>IF($D741="VISA",$C741,0)</f>
        <v>0</v>
      </c>
      <c r="I741" s="8">
        <f>I740+J741</f>
        <v>0</v>
      </c>
      <c r="J741" s="8">
        <f>IF($D741="ACC",$C741,0)</f>
        <v>0</v>
      </c>
      <c r="K741" s="8">
        <f>K740+L741</f>
        <v>0</v>
      </c>
      <c r="L741" s="8">
        <f>IF($D741="CBB",$C741,0)</f>
        <v>0</v>
      </c>
    </row>
    <row r="742" spans="1:12" x14ac:dyDescent="0.25">
      <c r="A742" s="6">
        <v>41907</v>
      </c>
      <c r="B742" t="s">
        <v>45</v>
      </c>
      <c r="C742" s="7">
        <v>-180</v>
      </c>
      <c r="D742" t="s">
        <v>6</v>
      </c>
      <c r="E742" s="8">
        <f>E741+F742</f>
        <v>183188</v>
      </c>
      <c r="F742" s="8">
        <f>IF($D742="CR01",$C742,0)</f>
        <v>-180</v>
      </c>
      <c r="G742" s="8">
        <f>G741+H742</f>
        <v>0</v>
      </c>
      <c r="H742" s="8">
        <f>IF($D742="VISA",$C742,0)</f>
        <v>0</v>
      </c>
      <c r="I742" s="8">
        <f>I741+J742</f>
        <v>0</v>
      </c>
      <c r="J742" s="8">
        <f>IF($D742="ACC",$C742,0)</f>
        <v>0</v>
      </c>
      <c r="K742" s="8">
        <f>K741+L742</f>
        <v>0</v>
      </c>
      <c r="L742" s="8">
        <f>IF($D742="CBB",$C742,0)</f>
        <v>0</v>
      </c>
    </row>
    <row r="743" spans="1:12" x14ac:dyDescent="0.25">
      <c r="A743" s="6">
        <v>41907</v>
      </c>
      <c r="B743" t="s">
        <v>46</v>
      </c>
      <c r="C743" s="7">
        <v>-300</v>
      </c>
      <c r="D743" t="s">
        <v>6</v>
      </c>
      <c r="E743" s="8">
        <f>E742+F743</f>
        <v>182888</v>
      </c>
      <c r="F743" s="8">
        <f>IF($D743="CR01",$C743,0)</f>
        <v>-300</v>
      </c>
      <c r="G743" s="8">
        <f>G742+H743</f>
        <v>0</v>
      </c>
      <c r="H743" s="8">
        <f>IF($D743="VISA",$C743,0)</f>
        <v>0</v>
      </c>
      <c r="I743" s="8">
        <f>I742+J743</f>
        <v>0</v>
      </c>
      <c r="J743" s="8">
        <f>IF($D743="ACC",$C743,0)</f>
        <v>0</v>
      </c>
      <c r="K743" s="8">
        <f>K742+L743</f>
        <v>0</v>
      </c>
      <c r="L743" s="8">
        <f>IF($D743="CBB",$C743,0)</f>
        <v>0</v>
      </c>
    </row>
    <row r="744" spans="1:12" x14ac:dyDescent="0.25">
      <c r="A744" s="6">
        <v>41908</v>
      </c>
      <c r="B744" t="s">
        <v>43</v>
      </c>
      <c r="C744" s="7">
        <v>3226</v>
      </c>
      <c r="D744" t="s">
        <v>6</v>
      </c>
      <c r="E744" s="8">
        <f>E743+F744</f>
        <v>186114</v>
      </c>
      <c r="F744" s="8">
        <f>IF($D744="CR01",$C744,0)</f>
        <v>3226</v>
      </c>
      <c r="G744" s="8">
        <f>G743+H744</f>
        <v>0</v>
      </c>
      <c r="H744" s="8">
        <f>IF($D744="VISA",$C744,0)</f>
        <v>0</v>
      </c>
      <c r="I744" s="8">
        <f>I743+J744</f>
        <v>0</v>
      </c>
      <c r="J744" s="8">
        <f>IF($D744="ACC",$C744,0)</f>
        <v>0</v>
      </c>
      <c r="K744" s="8">
        <f>K743+L744</f>
        <v>0</v>
      </c>
      <c r="L744" s="8">
        <f>IF($D744="CBB",$C744,0)</f>
        <v>0</v>
      </c>
    </row>
    <row r="745" spans="1:12" x14ac:dyDescent="0.25">
      <c r="A745" s="6">
        <v>41912</v>
      </c>
      <c r="B745" t="s">
        <v>48</v>
      </c>
      <c r="C745" s="7">
        <v>-100</v>
      </c>
      <c r="D745" t="s">
        <v>6</v>
      </c>
      <c r="E745" s="8">
        <f>E744+F745</f>
        <v>186014</v>
      </c>
      <c r="F745" s="8">
        <f>IF($D745="CR01",$C745,0)</f>
        <v>-100</v>
      </c>
      <c r="G745" s="8">
        <f>G744+H745</f>
        <v>0</v>
      </c>
      <c r="H745" s="8">
        <f>IF($D745="VISA",$C745,0)</f>
        <v>0</v>
      </c>
      <c r="I745" s="8">
        <f>I744+J745</f>
        <v>0</v>
      </c>
      <c r="J745" s="8">
        <f>IF($D745="ACC",$C745,0)</f>
        <v>0</v>
      </c>
      <c r="K745" s="8">
        <f>K744+L745</f>
        <v>0</v>
      </c>
      <c r="L745" s="8">
        <f>IF($D745="CBB",$C745,0)</f>
        <v>0</v>
      </c>
    </row>
    <row r="746" spans="1:12" x14ac:dyDescent="0.25">
      <c r="A746" s="6">
        <v>41913</v>
      </c>
      <c r="B746" t="s">
        <v>47</v>
      </c>
      <c r="C746" s="7">
        <v>-120</v>
      </c>
      <c r="D746" t="s">
        <v>6</v>
      </c>
      <c r="E746" s="8">
        <f>E745+F746</f>
        <v>185894</v>
      </c>
      <c r="F746" s="8">
        <f>IF($D746="CR01",$C746,0)</f>
        <v>-120</v>
      </c>
      <c r="G746" s="8">
        <f>G745+H746</f>
        <v>0</v>
      </c>
      <c r="H746" s="8">
        <f>IF($D746="VISA",$C746,0)</f>
        <v>0</v>
      </c>
      <c r="I746" s="8">
        <f>I745+J746</f>
        <v>0</v>
      </c>
      <c r="J746" s="8">
        <f>IF($D746="ACC",$C746,0)</f>
        <v>0</v>
      </c>
      <c r="K746" s="8">
        <f>K745+L746</f>
        <v>0</v>
      </c>
      <c r="L746" s="8">
        <f>IF($D746="CBB",$C746,0)</f>
        <v>0</v>
      </c>
    </row>
    <row r="747" spans="1:12" x14ac:dyDescent="0.25">
      <c r="A747" s="6">
        <v>41913</v>
      </c>
      <c r="B747" t="s">
        <v>58</v>
      </c>
      <c r="C747" s="7">
        <v>-200</v>
      </c>
      <c r="D747" t="s">
        <v>6</v>
      </c>
      <c r="E747" s="8">
        <f>E746+F747</f>
        <v>185694</v>
      </c>
      <c r="F747" s="8">
        <f>IF($D747="CR01",$C747,0)</f>
        <v>-200</v>
      </c>
      <c r="G747" s="8">
        <f>G746+H747</f>
        <v>0</v>
      </c>
      <c r="H747" s="8">
        <f>IF($D747="VISA",$C747,0)</f>
        <v>0</v>
      </c>
      <c r="I747" s="8">
        <f>I746+J747</f>
        <v>0</v>
      </c>
      <c r="J747" s="8">
        <f>IF($D747="ACC",$C747,0)</f>
        <v>0</v>
      </c>
      <c r="K747" s="8">
        <f>K746+L747</f>
        <v>0</v>
      </c>
      <c r="L747" s="8">
        <f>IF($D747="CBB",$C747,0)</f>
        <v>0</v>
      </c>
    </row>
    <row r="748" spans="1:12" x14ac:dyDescent="0.25">
      <c r="A748" s="6">
        <v>41913</v>
      </c>
      <c r="B748" t="s">
        <v>60</v>
      </c>
      <c r="C748" s="7">
        <v>-400</v>
      </c>
      <c r="D748" t="s">
        <v>6</v>
      </c>
      <c r="E748" s="8">
        <f>E747+F748</f>
        <v>185294</v>
      </c>
      <c r="F748" s="8">
        <f>IF($D748="CR01",$C748,0)</f>
        <v>-400</v>
      </c>
      <c r="G748" s="8">
        <f>G747+H748</f>
        <v>0</v>
      </c>
      <c r="H748" s="8">
        <f>IF($D748="VISA",$C748,0)</f>
        <v>0</v>
      </c>
      <c r="I748" s="8">
        <f>I747+J748</f>
        <v>0</v>
      </c>
      <c r="J748" s="8">
        <f>IF($D748="ACC",$C748,0)</f>
        <v>0</v>
      </c>
      <c r="K748" s="8">
        <f>K747+L748</f>
        <v>0</v>
      </c>
      <c r="L748" s="8">
        <f>IF($D748="CBB",$C748,0)</f>
        <v>0</v>
      </c>
    </row>
    <row r="749" spans="1:12" x14ac:dyDescent="0.25">
      <c r="A749" s="6">
        <v>41913</v>
      </c>
      <c r="B749" t="s">
        <v>61</v>
      </c>
      <c r="C749" s="7">
        <v>-300</v>
      </c>
      <c r="D749" t="s">
        <v>6</v>
      </c>
      <c r="E749" s="8">
        <f>E748+F749</f>
        <v>184994</v>
      </c>
      <c r="F749" s="8">
        <f>IF($D749="CR01",$C749,0)</f>
        <v>-300</v>
      </c>
      <c r="G749" s="8">
        <f>G748+H749</f>
        <v>0</v>
      </c>
      <c r="H749" s="8">
        <f>IF($D749="VISA",$C749,0)</f>
        <v>0</v>
      </c>
      <c r="I749" s="8">
        <f>I748+J749</f>
        <v>0</v>
      </c>
      <c r="J749" s="8">
        <f>IF($D749="ACC",$C749,0)</f>
        <v>0</v>
      </c>
      <c r="K749" s="8">
        <f>K748+L749</f>
        <v>0</v>
      </c>
      <c r="L749" s="8">
        <f>IF($D749="CBB",$C749,0)</f>
        <v>0</v>
      </c>
    </row>
    <row r="750" spans="1:12" x14ac:dyDescent="0.25">
      <c r="A750" s="6">
        <v>41913</v>
      </c>
      <c r="B750" t="s">
        <v>64</v>
      </c>
      <c r="C750" s="7">
        <v>-26</v>
      </c>
      <c r="D750" t="s">
        <v>6</v>
      </c>
      <c r="E750" s="8">
        <f>E749+F750</f>
        <v>184968</v>
      </c>
      <c r="F750" s="8">
        <f>IF($D750="CR01",$C750,0)</f>
        <v>-26</v>
      </c>
      <c r="G750" s="8">
        <f>G749+H750</f>
        <v>0</v>
      </c>
      <c r="H750" s="8">
        <f>IF($D750="VISA",$C750,0)</f>
        <v>0</v>
      </c>
      <c r="I750" s="8">
        <f>I749+J750</f>
        <v>0</v>
      </c>
      <c r="J750" s="8">
        <f>IF($D750="ACC",$C750,0)</f>
        <v>0</v>
      </c>
      <c r="K750" s="8">
        <f>K749+L750</f>
        <v>0</v>
      </c>
      <c r="L750" s="8">
        <f>IF($D750="CBB",$C750,0)</f>
        <v>0</v>
      </c>
    </row>
    <row r="751" spans="1:12" x14ac:dyDescent="0.25">
      <c r="A751" s="6">
        <v>41913</v>
      </c>
      <c r="B751" t="s">
        <v>65</v>
      </c>
      <c r="C751" s="7">
        <v>-240</v>
      </c>
      <c r="D751" t="s">
        <v>6</v>
      </c>
      <c r="E751" s="8">
        <f>E750+F751</f>
        <v>184728</v>
      </c>
      <c r="F751" s="8">
        <f>IF($D751="CR01",$C751,0)</f>
        <v>-240</v>
      </c>
      <c r="G751" s="8">
        <f>G750+H751</f>
        <v>0</v>
      </c>
      <c r="H751" s="8">
        <f>IF($D751="VISA",$C751,0)</f>
        <v>0</v>
      </c>
      <c r="I751" s="8">
        <f>I750+J751</f>
        <v>0</v>
      </c>
      <c r="J751" s="8">
        <f>IF($D751="ACC",$C751,0)</f>
        <v>0</v>
      </c>
      <c r="K751" s="8">
        <f>K750+L751</f>
        <v>0</v>
      </c>
      <c r="L751" s="8">
        <f>IF($D751="CBB",$C751,0)</f>
        <v>0</v>
      </c>
    </row>
    <row r="752" spans="1:12" x14ac:dyDescent="0.25">
      <c r="A752" s="6">
        <v>41913</v>
      </c>
      <c r="B752" t="s">
        <v>66</v>
      </c>
      <c r="C752" s="7">
        <v>-120</v>
      </c>
      <c r="D752" t="s">
        <v>6</v>
      </c>
      <c r="E752" s="8">
        <f>E751+F752</f>
        <v>184608</v>
      </c>
      <c r="F752" s="8">
        <f>IF($D752="CR01",$C752,0)</f>
        <v>-120</v>
      </c>
      <c r="G752" s="8">
        <f>G751+H752</f>
        <v>0</v>
      </c>
      <c r="H752" s="8">
        <f>IF($D752="VISA",$C752,0)</f>
        <v>0</v>
      </c>
      <c r="I752" s="8">
        <f>I751+J752</f>
        <v>0</v>
      </c>
      <c r="J752" s="8">
        <f>IF($D752="ACC",$C752,0)</f>
        <v>0</v>
      </c>
      <c r="K752" s="8">
        <f>K751+L752</f>
        <v>0</v>
      </c>
      <c r="L752" s="8">
        <f>IF($D752="CBB",$C752,0)</f>
        <v>0</v>
      </c>
    </row>
    <row r="753" spans="1:12" x14ac:dyDescent="0.25">
      <c r="A753" s="6">
        <v>41914</v>
      </c>
      <c r="B753" t="s">
        <v>44</v>
      </c>
      <c r="C753" s="7">
        <v>-400</v>
      </c>
      <c r="D753" t="s">
        <v>6</v>
      </c>
      <c r="E753" s="8">
        <f>E752+F753</f>
        <v>184208</v>
      </c>
      <c r="F753" s="8">
        <f>IF($D753="CR01",$C753,0)</f>
        <v>-400</v>
      </c>
      <c r="G753" s="8">
        <f>G752+H753</f>
        <v>0</v>
      </c>
      <c r="H753" s="8">
        <f>IF($D753="VISA",$C753,0)</f>
        <v>0</v>
      </c>
      <c r="I753" s="8">
        <f>I752+J753</f>
        <v>0</v>
      </c>
      <c r="J753" s="8">
        <f>IF($D753="ACC",$C753,0)</f>
        <v>0</v>
      </c>
      <c r="K753" s="8">
        <f>K752+L753</f>
        <v>0</v>
      </c>
      <c r="L753" s="8">
        <f>IF($D753="CBB",$C753,0)</f>
        <v>0</v>
      </c>
    </row>
    <row r="754" spans="1:12" x14ac:dyDescent="0.25">
      <c r="A754" s="6">
        <v>41914</v>
      </c>
      <c r="B754" t="s">
        <v>45</v>
      </c>
      <c r="C754" s="7">
        <v>-180</v>
      </c>
      <c r="D754" t="s">
        <v>6</v>
      </c>
      <c r="E754" s="8">
        <f>E753+F754</f>
        <v>184028</v>
      </c>
      <c r="F754" s="8">
        <f>IF($D754="CR01",$C754,0)</f>
        <v>-180</v>
      </c>
      <c r="G754" s="8">
        <f>G753+H754</f>
        <v>0</v>
      </c>
      <c r="H754" s="8">
        <f>IF($D754="VISA",$C754,0)</f>
        <v>0</v>
      </c>
      <c r="I754" s="8">
        <f>I753+J754</f>
        <v>0</v>
      </c>
      <c r="J754" s="8">
        <f>IF($D754="ACC",$C754,0)</f>
        <v>0</v>
      </c>
      <c r="K754" s="8">
        <f>K753+L754</f>
        <v>0</v>
      </c>
      <c r="L754" s="8">
        <f>IF($D754="CBB",$C754,0)</f>
        <v>0</v>
      </c>
    </row>
    <row r="755" spans="1:12" x14ac:dyDescent="0.25">
      <c r="A755" s="6">
        <v>41914</v>
      </c>
      <c r="B755" t="s">
        <v>46</v>
      </c>
      <c r="C755" s="7">
        <v>-300</v>
      </c>
      <c r="D755" t="s">
        <v>6</v>
      </c>
      <c r="E755" s="8">
        <f>E754+F755</f>
        <v>183728</v>
      </c>
      <c r="F755" s="8">
        <f>IF($D755="CR01",$C755,0)</f>
        <v>-300</v>
      </c>
      <c r="G755" s="8">
        <f>G754+H755</f>
        <v>0</v>
      </c>
      <c r="H755" s="8">
        <f>IF($D755="VISA",$C755,0)</f>
        <v>0</v>
      </c>
      <c r="I755" s="8">
        <f>I754+J755</f>
        <v>0</v>
      </c>
      <c r="J755" s="8">
        <f>IF($D755="ACC",$C755,0)</f>
        <v>0</v>
      </c>
      <c r="K755" s="8">
        <f>K754+L755</f>
        <v>0</v>
      </c>
      <c r="L755" s="8">
        <f>IF($D755="CBB",$C755,0)</f>
        <v>0</v>
      </c>
    </row>
    <row r="756" spans="1:12" x14ac:dyDescent="0.25">
      <c r="A756" s="6">
        <v>41914</v>
      </c>
      <c r="B756" t="s">
        <v>59</v>
      </c>
      <c r="C756" s="7">
        <v>-900</v>
      </c>
      <c r="D756" t="s">
        <v>6</v>
      </c>
      <c r="E756" s="8">
        <f>E755+F756</f>
        <v>182828</v>
      </c>
      <c r="F756" s="8">
        <f>IF($D756="CR01",$C756,0)</f>
        <v>-900</v>
      </c>
      <c r="G756" s="8">
        <f>G755+H756</f>
        <v>0</v>
      </c>
      <c r="H756" s="8">
        <f>IF($D756="VISA",$C756,0)</f>
        <v>0</v>
      </c>
      <c r="I756" s="8">
        <f>I755+J756</f>
        <v>0</v>
      </c>
      <c r="J756" s="8">
        <f>IF($D756="ACC",$C756,0)</f>
        <v>0</v>
      </c>
      <c r="K756" s="8">
        <f>K755+L756</f>
        <v>0</v>
      </c>
      <c r="L756" s="8">
        <f>IF($D756="CBB",$C756,0)</f>
        <v>0</v>
      </c>
    </row>
    <row r="757" spans="1:12" x14ac:dyDescent="0.25">
      <c r="A757" s="6">
        <v>41916</v>
      </c>
      <c r="B757" t="s">
        <v>67</v>
      </c>
      <c r="C757" s="7">
        <v>6800</v>
      </c>
      <c r="D757" t="s">
        <v>6</v>
      </c>
      <c r="E757" s="8">
        <f>E756+F757</f>
        <v>189628</v>
      </c>
      <c r="F757" s="8">
        <f>IF($D757="CR01",$C757,0)</f>
        <v>6800</v>
      </c>
      <c r="G757" s="8">
        <f>G756+H757</f>
        <v>0</v>
      </c>
      <c r="H757" s="8">
        <f>IF($D757="VISA",$C757,0)</f>
        <v>0</v>
      </c>
      <c r="I757" s="8">
        <f>I756+J757</f>
        <v>0</v>
      </c>
      <c r="J757" s="8">
        <f>IF($D757="ACC",$C757,0)</f>
        <v>0</v>
      </c>
      <c r="K757" s="8">
        <f>K756+L757</f>
        <v>0</v>
      </c>
      <c r="L757" s="8">
        <f>IF($D757="CBB",$C757,0)</f>
        <v>0</v>
      </c>
    </row>
    <row r="758" spans="1:12" x14ac:dyDescent="0.25">
      <c r="A758" s="6">
        <v>41919</v>
      </c>
      <c r="B758" t="s">
        <v>42</v>
      </c>
      <c r="C758" s="7">
        <v>-2806</v>
      </c>
      <c r="D758" t="s">
        <v>6</v>
      </c>
      <c r="E758" s="8">
        <f>E757+F758</f>
        <v>186822</v>
      </c>
      <c r="F758" s="8">
        <f>IF($D758="CR01",$C758,0)</f>
        <v>-2806</v>
      </c>
      <c r="G758" s="8">
        <f>G757+H758</f>
        <v>0</v>
      </c>
      <c r="H758" s="8">
        <f>IF($D758="VISA",$C758,0)</f>
        <v>0</v>
      </c>
      <c r="I758" s="8">
        <f>I757+J758</f>
        <v>0</v>
      </c>
      <c r="J758" s="8">
        <f>IF($D758="ACC",$C758,0)</f>
        <v>0</v>
      </c>
      <c r="K758" s="8">
        <f>K757+L758</f>
        <v>0</v>
      </c>
      <c r="L758" s="8">
        <f>IF($D758="CBB",$C758,0)</f>
        <v>0</v>
      </c>
    </row>
    <row r="759" spans="1:12" x14ac:dyDescent="0.25">
      <c r="A759" s="6">
        <v>41919</v>
      </c>
      <c r="B759" t="s">
        <v>48</v>
      </c>
      <c r="C759" s="7">
        <v>-100</v>
      </c>
      <c r="D759" t="s">
        <v>6</v>
      </c>
      <c r="E759" s="8">
        <f>E758+F759</f>
        <v>186722</v>
      </c>
      <c r="F759" s="8">
        <f>IF($D759="CR01",$C759,0)</f>
        <v>-100</v>
      </c>
      <c r="G759" s="8">
        <f>G758+H759</f>
        <v>0</v>
      </c>
      <c r="H759" s="8">
        <f>IF($D759="VISA",$C759,0)</f>
        <v>0</v>
      </c>
      <c r="I759" s="8">
        <f>I758+J759</f>
        <v>0</v>
      </c>
      <c r="J759" s="8">
        <f>IF($D759="ACC",$C759,0)</f>
        <v>0</v>
      </c>
      <c r="K759" s="8">
        <f>K758+L759</f>
        <v>0</v>
      </c>
      <c r="L759" s="8">
        <f>IF($D759="CBB",$C759,0)</f>
        <v>0</v>
      </c>
    </row>
    <row r="760" spans="1:12" x14ac:dyDescent="0.25">
      <c r="A760" s="6">
        <v>41920</v>
      </c>
      <c r="B760" t="s">
        <v>47</v>
      </c>
      <c r="C760" s="7">
        <v>-120</v>
      </c>
      <c r="D760" t="s">
        <v>6</v>
      </c>
      <c r="E760" s="8">
        <f>E759+F760</f>
        <v>186602</v>
      </c>
      <c r="F760" s="8">
        <f>IF($D760="CR01",$C760,0)</f>
        <v>-120</v>
      </c>
      <c r="G760" s="8">
        <f>G759+H760</f>
        <v>0</v>
      </c>
      <c r="H760" s="8">
        <f>IF($D760="VISA",$C760,0)</f>
        <v>0</v>
      </c>
      <c r="I760" s="8">
        <f>I759+J760</f>
        <v>0</v>
      </c>
      <c r="J760" s="8">
        <f>IF($D760="ACC",$C760,0)</f>
        <v>0</v>
      </c>
      <c r="K760" s="8">
        <f>K759+L760</f>
        <v>0</v>
      </c>
      <c r="L760" s="8">
        <f>IF($D760="CBB",$C760,0)</f>
        <v>0</v>
      </c>
    </row>
    <row r="761" spans="1:12" x14ac:dyDescent="0.25">
      <c r="A761" s="6">
        <v>41921</v>
      </c>
      <c r="B761" t="s">
        <v>44</v>
      </c>
      <c r="C761" s="7">
        <v>-400</v>
      </c>
      <c r="D761" t="s">
        <v>6</v>
      </c>
      <c r="E761" s="8">
        <f>E760+F761</f>
        <v>186202</v>
      </c>
      <c r="F761" s="8">
        <f>IF($D761="CR01",$C761,0)</f>
        <v>-400</v>
      </c>
      <c r="G761" s="8">
        <f>G760+H761</f>
        <v>0</v>
      </c>
      <c r="H761" s="8">
        <f>IF($D761="VISA",$C761,0)</f>
        <v>0</v>
      </c>
      <c r="I761" s="8">
        <f>I760+J761</f>
        <v>0</v>
      </c>
      <c r="J761" s="8">
        <f>IF($D761="ACC",$C761,0)</f>
        <v>0</v>
      </c>
      <c r="K761" s="8">
        <f>K760+L761</f>
        <v>0</v>
      </c>
      <c r="L761" s="8">
        <f>IF($D761="CBB",$C761,0)</f>
        <v>0</v>
      </c>
    </row>
    <row r="762" spans="1:12" x14ac:dyDescent="0.25">
      <c r="A762" s="6">
        <v>41921</v>
      </c>
      <c r="B762" t="s">
        <v>45</v>
      </c>
      <c r="C762" s="7">
        <v>-180</v>
      </c>
      <c r="D762" t="s">
        <v>6</v>
      </c>
      <c r="E762" s="8">
        <f>E761+F762</f>
        <v>186022</v>
      </c>
      <c r="F762" s="8">
        <f>IF($D762="CR01",$C762,0)</f>
        <v>-180</v>
      </c>
      <c r="G762" s="8">
        <f>G761+H762</f>
        <v>0</v>
      </c>
      <c r="H762" s="8">
        <f>IF($D762="VISA",$C762,0)</f>
        <v>0</v>
      </c>
      <c r="I762" s="8">
        <f>I761+J762</f>
        <v>0</v>
      </c>
      <c r="J762" s="8">
        <f>IF($D762="ACC",$C762,0)</f>
        <v>0</v>
      </c>
      <c r="K762" s="8">
        <f>K761+L762</f>
        <v>0</v>
      </c>
      <c r="L762" s="8">
        <f>IF($D762="CBB",$C762,0)</f>
        <v>0</v>
      </c>
    </row>
    <row r="763" spans="1:12" x14ac:dyDescent="0.25">
      <c r="A763" s="6">
        <v>41921</v>
      </c>
      <c r="B763" t="s">
        <v>46</v>
      </c>
      <c r="C763" s="7">
        <v>-300</v>
      </c>
      <c r="D763" t="s">
        <v>6</v>
      </c>
      <c r="E763" s="8">
        <f>E762+F763</f>
        <v>185722</v>
      </c>
      <c r="F763" s="8">
        <f>IF($D763="CR01",$C763,0)</f>
        <v>-300</v>
      </c>
      <c r="G763" s="8">
        <f>G762+H763</f>
        <v>0</v>
      </c>
      <c r="H763" s="8">
        <f>IF($D763="VISA",$C763,0)</f>
        <v>0</v>
      </c>
      <c r="I763" s="8">
        <f>I762+J763</f>
        <v>0</v>
      </c>
      <c r="J763" s="8">
        <f>IF($D763="ACC",$C763,0)</f>
        <v>0</v>
      </c>
      <c r="K763" s="8">
        <f>K762+L763</f>
        <v>0</v>
      </c>
      <c r="L763" s="8">
        <f>IF($D763="CBB",$C763,0)</f>
        <v>0</v>
      </c>
    </row>
    <row r="764" spans="1:12" x14ac:dyDescent="0.25">
      <c r="A764" s="6">
        <v>41922</v>
      </c>
      <c r="B764" t="s">
        <v>43</v>
      </c>
      <c r="C764" s="7">
        <v>3226</v>
      </c>
      <c r="D764" t="s">
        <v>6</v>
      </c>
      <c r="E764" s="8">
        <f>E763+F764</f>
        <v>188948</v>
      </c>
      <c r="F764" s="8">
        <f>IF($D764="CR01",$C764,0)</f>
        <v>3226</v>
      </c>
      <c r="G764" s="8">
        <f>G763+H764</f>
        <v>0</v>
      </c>
      <c r="H764" s="8">
        <f>IF($D764="VISA",$C764,0)</f>
        <v>0</v>
      </c>
      <c r="I764" s="8">
        <f>I763+J764</f>
        <v>0</v>
      </c>
      <c r="J764" s="8">
        <f>IF($D764="ACC",$C764,0)</f>
        <v>0</v>
      </c>
      <c r="K764" s="8">
        <f>K763+L764</f>
        <v>0</v>
      </c>
      <c r="L764" s="8">
        <f>IF($D764="CBB",$C764,0)</f>
        <v>0</v>
      </c>
    </row>
    <row r="765" spans="1:12" x14ac:dyDescent="0.25">
      <c r="A765" s="6">
        <v>41926</v>
      </c>
      <c r="B765" t="s">
        <v>48</v>
      </c>
      <c r="C765" s="7">
        <v>-100</v>
      </c>
      <c r="D765" t="s">
        <v>6</v>
      </c>
      <c r="E765" s="8">
        <f>E764+F765</f>
        <v>188848</v>
      </c>
      <c r="F765" s="8">
        <f>IF($D765="CR01",$C765,0)</f>
        <v>-100</v>
      </c>
      <c r="G765" s="8">
        <f>G764+H765</f>
        <v>0</v>
      </c>
      <c r="H765" s="8">
        <f>IF($D765="VISA",$C765,0)</f>
        <v>0</v>
      </c>
      <c r="I765" s="8">
        <f>I764+J765</f>
        <v>0</v>
      </c>
      <c r="J765" s="8">
        <f>IF($D765="ACC",$C765,0)</f>
        <v>0</v>
      </c>
      <c r="K765" s="8">
        <f>K764+L765</f>
        <v>0</v>
      </c>
      <c r="L765" s="8">
        <f>IF($D765="CBB",$C765,0)</f>
        <v>0</v>
      </c>
    </row>
    <row r="766" spans="1:12" x14ac:dyDescent="0.25">
      <c r="A766" s="6">
        <v>41927</v>
      </c>
      <c r="B766" t="s">
        <v>47</v>
      </c>
      <c r="C766" s="7">
        <v>-120</v>
      </c>
      <c r="D766" t="s">
        <v>6</v>
      </c>
      <c r="E766" s="8">
        <f>E765+F766</f>
        <v>188728</v>
      </c>
      <c r="F766" s="8">
        <f>IF($D766="CR01",$C766,0)</f>
        <v>-120</v>
      </c>
      <c r="G766" s="8">
        <f>G765+H766</f>
        <v>0</v>
      </c>
      <c r="H766" s="8">
        <f>IF($D766="VISA",$C766,0)</f>
        <v>0</v>
      </c>
      <c r="I766" s="8">
        <f>I765+J766</f>
        <v>0</v>
      </c>
      <c r="J766" s="8">
        <f>IF($D766="ACC",$C766,0)</f>
        <v>0</v>
      </c>
      <c r="K766" s="8">
        <f>K765+L766</f>
        <v>0</v>
      </c>
      <c r="L766" s="8">
        <f>IF($D766="CBB",$C766,0)</f>
        <v>0</v>
      </c>
    </row>
    <row r="767" spans="1:12" x14ac:dyDescent="0.25">
      <c r="A767" s="6">
        <v>41928</v>
      </c>
      <c r="B767" t="s">
        <v>44</v>
      </c>
      <c r="C767" s="7">
        <v>-400</v>
      </c>
      <c r="D767" t="s">
        <v>6</v>
      </c>
      <c r="E767" s="8">
        <f>E766+F767</f>
        <v>188328</v>
      </c>
      <c r="F767" s="8">
        <f>IF($D767="CR01",$C767,0)</f>
        <v>-400</v>
      </c>
      <c r="G767" s="8">
        <f>G766+H767</f>
        <v>0</v>
      </c>
      <c r="H767" s="8">
        <f>IF($D767="VISA",$C767,0)</f>
        <v>0</v>
      </c>
      <c r="I767" s="8">
        <f>I766+J767</f>
        <v>0</v>
      </c>
      <c r="J767" s="8">
        <f>IF($D767="ACC",$C767,0)</f>
        <v>0</v>
      </c>
      <c r="K767" s="8">
        <f>K766+L767</f>
        <v>0</v>
      </c>
      <c r="L767" s="8">
        <f>IF($D767="CBB",$C767,0)</f>
        <v>0</v>
      </c>
    </row>
    <row r="768" spans="1:12" x14ac:dyDescent="0.25">
      <c r="A768" s="6">
        <v>41928</v>
      </c>
      <c r="B768" t="s">
        <v>45</v>
      </c>
      <c r="C768" s="7">
        <v>-180</v>
      </c>
      <c r="D768" t="s">
        <v>6</v>
      </c>
      <c r="E768" s="8">
        <f>E767+F768</f>
        <v>188148</v>
      </c>
      <c r="F768" s="8">
        <f>IF($D768="CR01",$C768,0)</f>
        <v>-180</v>
      </c>
      <c r="G768" s="8">
        <f>G767+H768</f>
        <v>0</v>
      </c>
      <c r="H768" s="8">
        <f>IF($D768="VISA",$C768,0)</f>
        <v>0</v>
      </c>
      <c r="I768" s="8">
        <f>I767+J768</f>
        <v>0</v>
      </c>
      <c r="J768" s="8">
        <f>IF($D768="ACC",$C768,0)</f>
        <v>0</v>
      </c>
      <c r="K768" s="8">
        <f>K767+L768</f>
        <v>0</v>
      </c>
      <c r="L768" s="8">
        <f>IF($D768="CBB",$C768,0)</f>
        <v>0</v>
      </c>
    </row>
    <row r="769" spans="1:12" x14ac:dyDescent="0.25">
      <c r="A769" s="6">
        <v>41928</v>
      </c>
      <c r="B769" t="s">
        <v>46</v>
      </c>
      <c r="C769" s="7">
        <v>-300</v>
      </c>
      <c r="D769" t="s">
        <v>6</v>
      </c>
      <c r="E769" s="8">
        <f>E768+F769</f>
        <v>187848</v>
      </c>
      <c r="F769" s="8">
        <f>IF($D769="CR01",$C769,0)</f>
        <v>-300</v>
      </c>
      <c r="G769" s="8">
        <f>G768+H769</f>
        <v>0</v>
      </c>
      <c r="H769" s="8">
        <f>IF($D769="VISA",$C769,0)</f>
        <v>0</v>
      </c>
      <c r="I769" s="8">
        <f>I768+J769</f>
        <v>0</v>
      </c>
      <c r="J769" s="8">
        <f>IF($D769="ACC",$C769,0)</f>
        <v>0</v>
      </c>
      <c r="K769" s="8">
        <f>K768+L769</f>
        <v>0</v>
      </c>
      <c r="L769" s="8">
        <f>IF($D769="CBB",$C769,0)</f>
        <v>0</v>
      </c>
    </row>
    <row r="770" spans="1:12" x14ac:dyDescent="0.25">
      <c r="A770" s="6">
        <v>41930</v>
      </c>
      <c r="B770" t="s">
        <v>67</v>
      </c>
      <c r="C770" s="7">
        <v>6800</v>
      </c>
      <c r="D770" t="s">
        <v>6</v>
      </c>
      <c r="E770" s="8">
        <f>E769+F770</f>
        <v>194648</v>
      </c>
      <c r="F770" s="8">
        <f>IF($D770="CR01",$C770,0)</f>
        <v>6800</v>
      </c>
      <c r="G770" s="8">
        <f>G769+H770</f>
        <v>0</v>
      </c>
      <c r="H770" s="8">
        <f>IF($D770="VISA",$C770,0)</f>
        <v>0</v>
      </c>
      <c r="I770" s="8">
        <f>I769+J770</f>
        <v>0</v>
      </c>
      <c r="J770" s="8">
        <f>IF($D770="ACC",$C770,0)</f>
        <v>0</v>
      </c>
      <c r="K770" s="8">
        <f>K769+L770</f>
        <v>0</v>
      </c>
      <c r="L770" s="8">
        <f>IF($D770="CBB",$C770,0)</f>
        <v>0</v>
      </c>
    </row>
    <row r="771" spans="1:12" x14ac:dyDescent="0.25">
      <c r="A771" s="6">
        <v>41933</v>
      </c>
      <c r="B771" t="s">
        <v>42</v>
      </c>
      <c r="C771" s="7">
        <v>-2806</v>
      </c>
      <c r="D771" t="s">
        <v>6</v>
      </c>
      <c r="E771" s="8">
        <f>E770+F771</f>
        <v>191842</v>
      </c>
      <c r="F771" s="8">
        <f>IF($D771="CR01",$C771,0)</f>
        <v>-2806</v>
      </c>
      <c r="G771" s="8">
        <f>G770+H771</f>
        <v>0</v>
      </c>
      <c r="H771" s="8">
        <f>IF($D771="VISA",$C771,0)</f>
        <v>0</v>
      </c>
      <c r="I771" s="8">
        <f>I770+J771</f>
        <v>0</v>
      </c>
      <c r="J771" s="8">
        <f>IF($D771="ACC",$C771,0)</f>
        <v>0</v>
      </c>
      <c r="K771" s="8">
        <f>K770+L771</f>
        <v>0</v>
      </c>
      <c r="L771" s="8">
        <f>IF($D771="CBB",$C771,0)</f>
        <v>0</v>
      </c>
    </row>
    <row r="772" spans="1:12" x14ac:dyDescent="0.25">
      <c r="A772" s="6">
        <v>41933</v>
      </c>
      <c r="B772" t="s">
        <v>48</v>
      </c>
      <c r="C772" s="7">
        <v>-100</v>
      </c>
      <c r="D772" t="s">
        <v>6</v>
      </c>
      <c r="E772" s="8">
        <f>E771+F772</f>
        <v>191742</v>
      </c>
      <c r="F772" s="8">
        <f>IF($D772="CR01",$C772,0)</f>
        <v>-100</v>
      </c>
      <c r="G772" s="8">
        <f>G771+H772</f>
        <v>0</v>
      </c>
      <c r="H772" s="8">
        <f>IF($D772="VISA",$C772,0)</f>
        <v>0</v>
      </c>
      <c r="I772" s="8">
        <f>I771+J772</f>
        <v>0</v>
      </c>
      <c r="J772" s="8">
        <f>IF($D772="ACC",$C772,0)</f>
        <v>0</v>
      </c>
      <c r="K772" s="8">
        <f>K771+L772</f>
        <v>0</v>
      </c>
      <c r="L772" s="8">
        <f>IF($D772="CBB",$C772,0)</f>
        <v>0</v>
      </c>
    </row>
    <row r="773" spans="1:12" x14ac:dyDescent="0.25">
      <c r="A773" s="6">
        <v>41934</v>
      </c>
      <c r="B773" t="s">
        <v>47</v>
      </c>
      <c r="C773" s="7">
        <v>-120</v>
      </c>
      <c r="D773" t="s">
        <v>6</v>
      </c>
      <c r="E773" s="8">
        <f>E772+F773</f>
        <v>191622</v>
      </c>
      <c r="F773" s="8">
        <f>IF($D773="CR01",$C773,0)</f>
        <v>-120</v>
      </c>
      <c r="G773" s="8">
        <f>G772+H773</f>
        <v>0</v>
      </c>
      <c r="H773" s="8">
        <f>IF($D773="VISA",$C773,0)</f>
        <v>0</v>
      </c>
      <c r="I773" s="8">
        <f>I772+J773</f>
        <v>0</v>
      </c>
      <c r="J773" s="8">
        <f>IF($D773="ACC",$C773,0)</f>
        <v>0</v>
      </c>
      <c r="K773" s="8">
        <f>K772+L773</f>
        <v>0</v>
      </c>
      <c r="L773" s="8">
        <f>IF($D773="CBB",$C773,0)</f>
        <v>0</v>
      </c>
    </row>
    <row r="774" spans="1:12" x14ac:dyDescent="0.25">
      <c r="A774" s="6">
        <v>41935</v>
      </c>
      <c r="B774" t="s">
        <v>44</v>
      </c>
      <c r="C774" s="7">
        <v>-400</v>
      </c>
      <c r="D774" t="s">
        <v>6</v>
      </c>
      <c r="E774" s="8">
        <f>E773+F774</f>
        <v>191222</v>
      </c>
      <c r="F774" s="8">
        <f>IF($D774="CR01",$C774,0)</f>
        <v>-400</v>
      </c>
      <c r="G774" s="8">
        <f>G773+H774</f>
        <v>0</v>
      </c>
      <c r="H774" s="8">
        <f>IF($D774="VISA",$C774,0)</f>
        <v>0</v>
      </c>
      <c r="I774" s="8">
        <f>I773+J774</f>
        <v>0</v>
      </c>
      <c r="J774" s="8">
        <f>IF($D774="ACC",$C774,0)</f>
        <v>0</v>
      </c>
      <c r="K774" s="8">
        <f>K773+L774</f>
        <v>0</v>
      </c>
      <c r="L774" s="8">
        <f>IF($D774="CBB",$C774,0)</f>
        <v>0</v>
      </c>
    </row>
    <row r="775" spans="1:12" x14ac:dyDescent="0.25">
      <c r="A775" s="6">
        <v>41935</v>
      </c>
      <c r="B775" t="s">
        <v>45</v>
      </c>
      <c r="C775" s="7">
        <v>-180</v>
      </c>
      <c r="D775" t="s">
        <v>6</v>
      </c>
      <c r="E775" s="8">
        <f>E774+F775</f>
        <v>191042</v>
      </c>
      <c r="F775" s="8">
        <f>IF($D775="CR01",$C775,0)</f>
        <v>-180</v>
      </c>
      <c r="G775" s="8">
        <f>G774+H775</f>
        <v>0</v>
      </c>
      <c r="H775" s="8">
        <f>IF($D775="VISA",$C775,0)</f>
        <v>0</v>
      </c>
      <c r="I775" s="8">
        <f>I774+J775</f>
        <v>0</v>
      </c>
      <c r="J775" s="8">
        <f>IF($D775="ACC",$C775,0)</f>
        <v>0</v>
      </c>
      <c r="K775" s="8">
        <f>K774+L775</f>
        <v>0</v>
      </c>
      <c r="L775" s="8">
        <f>IF($D775="CBB",$C775,0)</f>
        <v>0</v>
      </c>
    </row>
    <row r="776" spans="1:12" x14ac:dyDescent="0.25">
      <c r="A776" s="6">
        <v>41935</v>
      </c>
      <c r="B776" t="s">
        <v>46</v>
      </c>
      <c r="C776" s="7">
        <v>-300</v>
      </c>
      <c r="D776" t="s">
        <v>6</v>
      </c>
      <c r="E776" s="8">
        <f>E775+F776</f>
        <v>190742</v>
      </c>
      <c r="F776" s="8">
        <f>IF($D776="CR01",$C776,0)</f>
        <v>-300</v>
      </c>
      <c r="G776" s="8">
        <f>G775+H776</f>
        <v>0</v>
      </c>
      <c r="H776" s="8">
        <f>IF($D776="VISA",$C776,0)</f>
        <v>0</v>
      </c>
      <c r="I776" s="8">
        <f>I775+J776</f>
        <v>0</v>
      </c>
      <c r="J776" s="8">
        <f>IF($D776="ACC",$C776,0)</f>
        <v>0</v>
      </c>
      <c r="K776" s="8">
        <f>K775+L776</f>
        <v>0</v>
      </c>
      <c r="L776" s="8">
        <f>IF($D776="CBB",$C776,0)</f>
        <v>0</v>
      </c>
    </row>
    <row r="777" spans="1:12" x14ac:dyDescent="0.25">
      <c r="A777" s="6">
        <v>41936</v>
      </c>
      <c r="B777" t="s">
        <v>43</v>
      </c>
      <c r="C777" s="7">
        <v>3226</v>
      </c>
      <c r="D777" t="s">
        <v>6</v>
      </c>
      <c r="E777" s="8">
        <f>E776+F777</f>
        <v>193968</v>
      </c>
      <c r="F777" s="8">
        <f>IF($D777="CR01",$C777,0)</f>
        <v>3226</v>
      </c>
      <c r="G777" s="8">
        <f>G776+H777</f>
        <v>0</v>
      </c>
      <c r="H777" s="8">
        <f>IF($D777="VISA",$C777,0)</f>
        <v>0</v>
      </c>
      <c r="I777" s="8">
        <f>I776+J777</f>
        <v>0</v>
      </c>
      <c r="J777" s="8">
        <f>IF($D777="ACC",$C777,0)</f>
        <v>0</v>
      </c>
      <c r="K777" s="8">
        <f>K776+L777</f>
        <v>0</v>
      </c>
      <c r="L777" s="8">
        <f>IF($D777="CBB",$C777,0)</f>
        <v>0</v>
      </c>
    </row>
    <row r="778" spans="1:12" x14ac:dyDescent="0.25">
      <c r="A778" s="6">
        <v>41940</v>
      </c>
      <c r="B778" t="s">
        <v>48</v>
      </c>
      <c r="C778" s="7">
        <v>-100</v>
      </c>
      <c r="D778" t="s">
        <v>6</v>
      </c>
      <c r="E778" s="8">
        <f>E777+F778</f>
        <v>193868</v>
      </c>
      <c r="F778" s="8">
        <f>IF($D778="CR01",$C778,0)</f>
        <v>-100</v>
      </c>
      <c r="G778" s="8">
        <f>G777+H778</f>
        <v>0</v>
      </c>
      <c r="H778" s="8">
        <f>IF($D778="VISA",$C778,0)</f>
        <v>0</v>
      </c>
      <c r="I778" s="8">
        <f>I777+J778</f>
        <v>0</v>
      </c>
      <c r="J778" s="8">
        <f>IF($D778="ACC",$C778,0)</f>
        <v>0</v>
      </c>
      <c r="K778" s="8">
        <f>K777+L778</f>
        <v>0</v>
      </c>
      <c r="L778" s="8">
        <f>IF($D778="CBB",$C778,0)</f>
        <v>0</v>
      </c>
    </row>
    <row r="779" spans="1:12" x14ac:dyDescent="0.25">
      <c r="A779" s="6">
        <v>41941</v>
      </c>
      <c r="B779" t="s">
        <v>47</v>
      </c>
      <c r="C779" s="7">
        <v>-120</v>
      </c>
      <c r="D779" t="s">
        <v>6</v>
      </c>
      <c r="E779" s="8">
        <f>E778+F779</f>
        <v>193748</v>
      </c>
      <c r="F779" s="8">
        <f>IF($D779="CR01",$C779,0)</f>
        <v>-120</v>
      </c>
      <c r="G779" s="8">
        <f>G778+H779</f>
        <v>0</v>
      </c>
      <c r="H779" s="8">
        <f>IF($D779="VISA",$C779,0)</f>
        <v>0</v>
      </c>
      <c r="I779" s="8">
        <f>I778+J779</f>
        <v>0</v>
      </c>
      <c r="J779" s="8">
        <f>IF($D779="ACC",$C779,0)</f>
        <v>0</v>
      </c>
      <c r="K779" s="8">
        <f>K778+L779</f>
        <v>0</v>
      </c>
      <c r="L779" s="8">
        <f>IF($D779="CBB",$C779,0)</f>
        <v>0</v>
      </c>
    </row>
    <row r="780" spans="1:12" x14ac:dyDescent="0.25">
      <c r="A780" s="6">
        <v>41942</v>
      </c>
      <c r="B780" t="s">
        <v>44</v>
      </c>
      <c r="C780" s="7">
        <v>-400</v>
      </c>
      <c r="D780" t="s">
        <v>6</v>
      </c>
      <c r="E780" s="8">
        <f>E779+F780</f>
        <v>193348</v>
      </c>
      <c r="F780" s="8">
        <f>IF($D780="CR01",$C780,0)</f>
        <v>-400</v>
      </c>
      <c r="G780" s="8">
        <f>G779+H780</f>
        <v>0</v>
      </c>
      <c r="H780" s="8">
        <f>IF($D780="VISA",$C780,0)</f>
        <v>0</v>
      </c>
      <c r="I780" s="8">
        <f>I779+J780</f>
        <v>0</v>
      </c>
      <c r="J780" s="8">
        <f>IF($D780="ACC",$C780,0)</f>
        <v>0</v>
      </c>
      <c r="K780" s="8">
        <f>K779+L780</f>
        <v>0</v>
      </c>
      <c r="L780" s="8">
        <f>IF($D780="CBB",$C780,0)</f>
        <v>0</v>
      </c>
    </row>
    <row r="781" spans="1:12" x14ac:dyDescent="0.25">
      <c r="A781" s="6">
        <v>41942</v>
      </c>
      <c r="B781" t="s">
        <v>45</v>
      </c>
      <c r="C781" s="7">
        <v>-180</v>
      </c>
      <c r="D781" t="s">
        <v>6</v>
      </c>
      <c r="E781" s="8">
        <f>E780+F781</f>
        <v>193168</v>
      </c>
      <c r="F781" s="8">
        <f>IF($D781="CR01",$C781,0)</f>
        <v>-180</v>
      </c>
      <c r="G781" s="8">
        <f>G780+H781</f>
        <v>0</v>
      </c>
      <c r="H781" s="8">
        <f>IF($D781="VISA",$C781,0)</f>
        <v>0</v>
      </c>
      <c r="I781" s="8">
        <f>I780+J781</f>
        <v>0</v>
      </c>
      <c r="J781" s="8">
        <f>IF($D781="ACC",$C781,0)</f>
        <v>0</v>
      </c>
      <c r="K781" s="8">
        <f>K780+L781</f>
        <v>0</v>
      </c>
      <c r="L781" s="8">
        <f>IF($D781="CBB",$C781,0)</f>
        <v>0</v>
      </c>
    </row>
    <row r="782" spans="1:12" x14ac:dyDescent="0.25">
      <c r="A782" s="6">
        <v>41942</v>
      </c>
      <c r="B782" t="s">
        <v>46</v>
      </c>
      <c r="C782" s="7">
        <v>-300</v>
      </c>
      <c r="D782" t="s">
        <v>6</v>
      </c>
      <c r="E782" s="8">
        <f>E781+F782</f>
        <v>192868</v>
      </c>
      <c r="F782" s="8">
        <f>IF($D782="CR01",$C782,0)</f>
        <v>-300</v>
      </c>
      <c r="G782" s="8">
        <f>G781+H782</f>
        <v>0</v>
      </c>
      <c r="H782" s="8">
        <f>IF($D782="VISA",$C782,0)</f>
        <v>0</v>
      </c>
      <c r="I782" s="8">
        <f>I781+J782</f>
        <v>0</v>
      </c>
      <c r="J782" s="8">
        <f>IF($D782="ACC",$C782,0)</f>
        <v>0</v>
      </c>
      <c r="K782" s="8">
        <f>K781+L782</f>
        <v>0</v>
      </c>
      <c r="L782" s="8">
        <f>IF($D782="CBB",$C782,0)</f>
        <v>0</v>
      </c>
    </row>
    <row r="783" spans="1:12" x14ac:dyDescent="0.25">
      <c r="A783" s="6">
        <v>41944</v>
      </c>
      <c r="B783" t="s">
        <v>67</v>
      </c>
      <c r="C783" s="7">
        <v>6800</v>
      </c>
      <c r="D783" t="s">
        <v>6</v>
      </c>
      <c r="E783" s="8">
        <f>E782+F783</f>
        <v>199668</v>
      </c>
      <c r="F783" s="8">
        <f>IF($D783="CR01",$C783,0)</f>
        <v>6800</v>
      </c>
      <c r="G783" s="8">
        <f>G782+H783</f>
        <v>0</v>
      </c>
      <c r="H783" s="8">
        <f>IF($D783="VISA",$C783,0)</f>
        <v>0</v>
      </c>
      <c r="I783" s="8">
        <f>I782+J783</f>
        <v>0</v>
      </c>
      <c r="J783" s="8">
        <f>IF($D783="ACC",$C783,0)</f>
        <v>0</v>
      </c>
      <c r="K783" s="8">
        <f>K782+L783</f>
        <v>0</v>
      </c>
      <c r="L783" s="8">
        <f>IF($D783="CBB",$C783,0)</f>
        <v>0</v>
      </c>
    </row>
    <row r="784" spans="1:12" x14ac:dyDescent="0.25">
      <c r="A784" s="6">
        <v>41944</v>
      </c>
      <c r="B784" t="s">
        <v>58</v>
      </c>
      <c r="C784" s="7">
        <v>-200</v>
      </c>
      <c r="D784" t="s">
        <v>6</v>
      </c>
      <c r="E784" s="8">
        <f>E783+F784</f>
        <v>199468</v>
      </c>
      <c r="F784" s="8">
        <f>IF($D784="CR01",$C784,0)</f>
        <v>-200</v>
      </c>
      <c r="G784" s="8">
        <f>G783+H784</f>
        <v>0</v>
      </c>
      <c r="H784" s="8">
        <f>IF($D784="VISA",$C784,0)</f>
        <v>0</v>
      </c>
      <c r="I784" s="8">
        <f>I783+J784</f>
        <v>0</v>
      </c>
      <c r="J784" s="8">
        <f>IF($D784="ACC",$C784,0)</f>
        <v>0</v>
      </c>
      <c r="K784" s="8">
        <f>K783+L784</f>
        <v>0</v>
      </c>
      <c r="L784" s="8">
        <f>IF($D784="CBB",$C784,0)</f>
        <v>0</v>
      </c>
    </row>
    <row r="785" spans="1:12" x14ac:dyDescent="0.25">
      <c r="A785" s="6">
        <v>41944</v>
      </c>
      <c r="B785" t="s">
        <v>60</v>
      </c>
      <c r="C785" s="7">
        <v>-400</v>
      </c>
      <c r="D785" t="s">
        <v>6</v>
      </c>
      <c r="E785" s="8">
        <f>E784+F785</f>
        <v>199068</v>
      </c>
      <c r="F785" s="8">
        <f>IF($D785="CR01",$C785,0)</f>
        <v>-400</v>
      </c>
      <c r="G785" s="8">
        <f>G784+H785</f>
        <v>0</v>
      </c>
      <c r="H785" s="8">
        <f>IF($D785="VISA",$C785,0)</f>
        <v>0</v>
      </c>
      <c r="I785" s="8">
        <f>I784+J785</f>
        <v>0</v>
      </c>
      <c r="J785" s="8">
        <f>IF($D785="ACC",$C785,0)</f>
        <v>0</v>
      </c>
      <c r="K785" s="8">
        <f>K784+L785</f>
        <v>0</v>
      </c>
      <c r="L785" s="8">
        <f>IF($D785="CBB",$C785,0)</f>
        <v>0</v>
      </c>
    </row>
    <row r="786" spans="1:12" x14ac:dyDescent="0.25">
      <c r="A786" s="6">
        <v>41944</v>
      </c>
      <c r="B786" t="s">
        <v>62</v>
      </c>
      <c r="C786" s="7">
        <v>-300</v>
      </c>
      <c r="D786" t="s">
        <v>6</v>
      </c>
      <c r="E786" s="8">
        <f>E785+F786</f>
        <v>198768</v>
      </c>
      <c r="F786" s="8">
        <f>IF($D786="CR01",$C786,0)</f>
        <v>-300</v>
      </c>
      <c r="G786" s="8">
        <f>G785+H786</f>
        <v>0</v>
      </c>
      <c r="H786" s="8">
        <f>IF($D786="VISA",$C786,0)</f>
        <v>0</v>
      </c>
      <c r="I786" s="8">
        <f>I785+J786</f>
        <v>0</v>
      </c>
      <c r="J786" s="8">
        <f>IF($D786="ACC",$C786,0)</f>
        <v>0</v>
      </c>
      <c r="K786" s="8">
        <f>K785+L786</f>
        <v>0</v>
      </c>
      <c r="L786" s="8">
        <f>IF($D786="CBB",$C786,0)</f>
        <v>0</v>
      </c>
    </row>
    <row r="787" spans="1:12" x14ac:dyDescent="0.25">
      <c r="A787" s="6">
        <v>41944</v>
      </c>
      <c r="B787" t="s">
        <v>63</v>
      </c>
      <c r="C787" s="7">
        <v>-300</v>
      </c>
      <c r="D787" t="s">
        <v>6</v>
      </c>
      <c r="E787" s="8">
        <f>E786+F787</f>
        <v>198468</v>
      </c>
      <c r="F787" s="8">
        <f>IF($D787="CR01",$C787,0)</f>
        <v>-300</v>
      </c>
      <c r="G787" s="8">
        <f>G786+H787</f>
        <v>0</v>
      </c>
      <c r="H787" s="8">
        <f>IF($D787="VISA",$C787,0)</f>
        <v>0</v>
      </c>
      <c r="I787" s="8">
        <f>I786+J787</f>
        <v>0</v>
      </c>
      <c r="J787" s="8">
        <f>IF($D787="ACC",$C787,0)</f>
        <v>0</v>
      </c>
      <c r="K787" s="8">
        <f>K786+L787</f>
        <v>0</v>
      </c>
      <c r="L787" s="8">
        <f>IF($D787="CBB",$C787,0)</f>
        <v>0</v>
      </c>
    </row>
    <row r="788" spans="1:12" x14ac:dyDescent="0.25">
      <c r="A788" s="6">
        <v>41944</v>
      </c>
      <c r="B788" t="s">
        <v>64</v>
      </c>
      <c r="C788" s="7">
        <v>-26</v>
      </c>
      <c r="D788" t="s">
        <v>6</v>
      </c>
      <c r="E788" s="8">
        <f>E787+F788</f>
        <v>198442</v>
      </c>
      <c r="F788" s="8">
        <f>IF($D788="CR01",$C788,0)</f>
        <v>-26</v>
      </c>
      <c r="G788" s="8">
        <f>G787+H788</f>
        <v>0</v>
      </c>
      <c r="H788" s="8">
        <f>IF($D788="VISA",$C788,0)</f>
        <v>0</v>
      </c>
      <c r="I788" s="8">
        <f>I787+J788</f>
        <v>0</v>
      </c>
      <c r="J788" s="8">
        <f>IF($D788="ACC",$C788,0)</f>
        <v>0</v>
      </c>
      <c r="K788" s="8">
        <f>K787+L788</f>
        <v>0</v>
      </c>
      <c r="L788" s="8">
        <f>IF($D788="CBB",$C788,0)</f>
        <v>0</v>
      </c>
    </row>
    <row r="789" spans="1:12" x14ac:dyDescent="0.25">
      <c r="A789" s="6">
        <v>41944</v>
      </c>
      <c r="B789" t="s">
        <v>65</v>
      </c>
      <c r="C789" s="7">
        <v>-240</v>
      </c>
      <c r="D789" t="s">
        <v>6</v>
      </c>
      <c r="E789" s="8">
        <f>E788+F789</f>
        <v>198202</v>
      </c>
      <c r="F789" s="8">
        <f>IF($D789="CR01",$C789,0)</f>
        <v>-240</v>
      </c>
      <c r="G789" s="8">
        <f>G788+H789</f>
        <v>0</v>
      </c>
      <c r="H789" s="8">
        <f>IF($D789="VISA",$C789,0)</f>
        <v>0</v>
      </c>
      <c r="I789" s="8">
        <f>I788+J789</f>
        <v>0</v>
      </c>
      <c r="J789" s="8">
        <f>IF($D789="ACC",$C789,0)</f>
        <v>0</v>
      </c>
      <c r="K789" s="8">
        <f>K788+L789</f>
        <v>0</v>
      </c>
      <c r="L789" s="8">
        <f>IF($D789="CBB",$C789,0)</f>
        <v>0</v>
      </c>
    </row>
    <row r="790" spans="1:12" x14ac:dyDescent="0.25">
      <c r="A790" s="6">
        <v>41944</v>
      </c>
      <c r="B790" t="s">
        <v>66</v>
      </c>
      <c r="C790" s="7">
        <v>-120</v>
      </c>
      <c r="D790" t="s">
        <v>6</v>
      </c>
      <c r="E790" s="8">
        <f>E789+F790</f>
        <v>198082</v>
      </c>
      <c r="F790" s="8">
        <f>IF($D790="CR01",$C790,0)</f>
        <v>-120</v>
      </c>
      <c r="G790" s="8">
        <f>G789+H790</f>
        <v>0</v>
      </c>
      <c r="H790" s="8">
        <f>IF($D790="VISA",$C790,0)</f>
        <v>0</v>
      </c>
      <c r="I790" s="8">
        <f>I789+J790</f>
        <v>0</v>
      </c>
      <c r="J790" s="8">
        <f>IF($D790="ACC",$C790,0)</f>
        <v>0</v>
      </c>
      <c r="K790" s="8">
        <f>K789+L790</f>
        <v>0</v>
      </c>
      <c r="L790" s="8">
        <f>IF($D790="CBB",$C790,0)</f>
        <v>0</v>
      </c>
    </row>
    <row r="791" spans="1:12" x14ac:dyDescent="0.25">
      <c r="A791" s="6">
        <v>41945</v>
      </c>
      <c r="B791" t="s">
        <v>59</v>
      </c>
      <c r="C791" s="7">
        <v>-900</v>
      </c>
      <c r="D791" t="s">
        <v>6</v>
      </c>
      <c r="E791" s="8">
        <f>E790+F791</f>
        <v>197182</v>
      </c>
      <c r="F791" s="8">
        <f>IF($D791="CR01",$C791,0)</f>
        <v>-900</v>
      </c>
      <c r="G791" s="8">
        <f>G790+H791</f>
        <v>0</v>
      </c>
      <c r="H791" s="8">
        <f>IF($D791="VISA",$C791,0)</f>
        <v>0</v>
      </c>
      <c r="I791" s="8">
        <f>I790+J791</f>
        <v>0</v>
      </c>
      <c r="J791" s="8">
        <f>IF($D791="ACC",$C791,0)</f>
        <v>0</v>
      </c>
      <c r="K791" s="8">
        <f>K790+L791</f>
        <v>0</v>
      </c>
      <c r="L791" s="8">
        <f>IF($D791="CBB",$C791,0)</f>
        <v>0</v>
      </c>
    </row>
    <row r="792" spans="1:12" x14ac:dyDescent="0.25">
      <c r="A792" s="6">
        <v>41947</v>
      </c>
      <c r="B792" t="s">
        <v>42</v>
      </c>
      <c r="C792" s="7">
        <v>-2806</v>
      </c>
      <c r="D792" t="s">
        <v>6</v>
      </c>
      <c r="E792" s="8">
        <f>E791+F792</f>
        <v>194376</v>
      </c>
      <c r="F792" s="8">
        <f>IF($D792="CR01",$C792,0)</f>
        <v>-2806</v>
      </c>
      <c r="G792" s="8">
        <f>G791+H792</f>
        <v>0</v>
      </c>
      <c r="H792" s="8">
        <f>IF($D792="VISA",$C792,0)</f>
        <v>0</v>
      </c>
      <c r="I792" s="8">
        <f>I791+J792</f>
        <v>0</v>
      </c>
      <c r="J792" s="8">
        <f>IF($D792="ACC",$C792,0)</f>
        <v>0</v>
      </c>
      <c r="K792" s="8">
        <f>K791+L792</f>
        <v>0</v>
      </c>
      <c r="L792" s="8">
        <f>IF($D792="CBB",$C792,0)</f>
        <v>0</v>
      </c>
    </row>
    <row r="793" spans="1:12" x14ac:dyDescent="0.25">
      <c r="A793" s="6">
        <v>41947</v>
      </c>
      <c r="B793" t="s">
        <v>48</v>
      </c>
      <c r="C793" s="7">
        <v>-100</v>
      </c>
      <c r="D793" t="s">
        <v>6</v>
      </c>
      <c r="E793" s="8">
        <f>E792+F793</f>
        <v>194276</v>
      </c>
      <c r="F793" s="8">
        <f>IF($D793="CR01",$C793,0)</f>
        <v>-100</v>
      </c>
      <c r="G793" s="8">
        <f>G792+H793</f>
        <v>0</v>
      </c>
      <c r="H793" s="8">
        <f>IF($D793="VISA",$C793,0)</f>
        <v>0</v>
      </c>
      <c r="I793" s="8">
        <f>I792+J793</f>
        <v>0</v>
      </c>
      <c r="J793" s="8">
        <f>IF($D793="ACC",$C793,0)</f>
        <v>0</v>
      </c>
      <c r="K793" s="8">
        <f>K792+L793</f>
        <v>0</v>
      </c>
      <c r="L793" s="8">
        <f>IF($D793="CBB",$C793,0)</f>
        <v>0</v>
      </c>
    </row>
    <row r="794" spans="1:12" x14ac:dyDescent="0.25">
      <c r="A794" s="6">
        <v>41948</v>
      </c>
      <c r="B794" t="s">
        <v>47</v>
      </c>
      <c r="C794" s="7">
        <v>-120</v>
      </c>
      <c r="D794" t="s">
        <v>6</v>
      </c>
      <c r="E794" s="8">
        <f>E793+F794</f>
        <v>194156</v>
      </c>
      <c r="F794" s="8">
        <f>IF($D794="CR01",$C794,0)</f>
        <v>-120</v>
      </c>
      <c r="G794" s="8">
        <f>G793+H794</f>
        <v>0</v>
      </c>
      <c r="H794" s="8">
        <f>IF($D794="VISA",$C794,0)</f>
        <v>0</v>
      </c>
      <c r="I794" s="8">
        <f>I793+J794</f>
        <v>0</v>
      </c>
      <c r="J794" s="8">
        <f>IF($D794="ACC",$C794,0)</f>
        <v>0</v>
      </c>
      <c r="K794" s="8">
        <f>K793+L794</f>
        <v>0</v>
      </c>
      <c r="L794" s="8">
        <f>IF($D794="CBB",$C794,0)</f>
        <v>0</v>
      </c>
    </row>
    <row r="795" spans="1:12" x14ac:dyDescent="0.25">
      <c r="A795" s="6">
        <v>41949</v>
      </c>
      <c r="B795" t="s">
        <v>44</v>
      </c>
      <c r="C795" s="7">
        <v>-400</v>
      </c>
      <c r="D795" t="s">
        <v>6</v>
      </c>
      <c r="E795" s="8">
        <f>E794+F795</f>
        <v>193756</v>
      </c>
      <c r="F795" s="8">
        <f>IF($D795="CR01",$C795,0)</f>
        <v>-400</v>
      </c>
      <c r="G795" s="8">
        <f>G794+H795</f>
        <v>0</v>
      </c>
      <c r="H795" s="8">
        <f>IF($D795="VISA",$C795,0)</f>
        <v>0</v>
      </c>
      <c r="I795" s="8">
        <f>I794+J795</f>
        <v>0</v>
      </c>
      <c r="J795" s="8">
        <f>IF($D795="ACC",$C795,0)</f>
        <v>0</v>
      </c>
      <c r="K795" s="8">
        <f>K794+L795</f>
        <v>0</v>
      </c>
      <c r="L795" s="8">
        <f>IF($D795="CBB",$C795,0)</f>
        <v>0</v>
      </c>
    </row>
    <row r="796" spans="1:12" x14ac:dyDescent="0.25">
      <c r="A796" s="6">
        <v>41949</v>
      </c>
      <c r="B796" t="s">
        <v>45</v>
      </c>
      <c r="C796" s="7">
        <v>-180</v>
      </c>
      <c r="D796" t="s">
        <v>6</v>
      </c>
      <c r="E796" s="8">
        <f>E795+F796</f>
        <v>193576</v>
      </c>
      <c r="F796" s="8">
        <f>IF($D796="CR01",$C796,0)</f>
        <v>-180</v>
      </c>
      <c r="G796" s="8">
        <f>G795+H796</f>
        <v>0</v>
      </c>
      <c r="H796" s="8">
        <f>IF($D796="VISA",$C796,0)</f>
        <v>0</v>
      </c>
      <c r="I796" s="8">
        <f>I795+J796</f>
        <v>0</v>
      </c>
      <c r="J796" s="8">
        <f>IF($D796="ACC",$C796,0)</f>
        <v>0</v>
      </c>
      <c r="K796" s="8">
        <f>K795+L796</f>
        <v>0</v>
      </c>
      <c r="L796" s="8">
        <f>IF($D796="CBB",$C796,0)</f>
        <v>0</v>
      </c>
    </row>
    <row r="797" spans="1:12" x14ac:dyDescent="0.25">
      <c r="A797" s="6">
        <v>41949</v>
      </c>
      <c r="B797" t="s">
        <v>46</v>
      </c>
      <c r="C797" s="7">
        <v>-300</v>
      </c>
      <c r="D797" t="s">
        <v>6</v>
      </c>
      <c r="E797" s="8">
        <f>E796+F797</f>
        <v>193276</v>
      </c>
      <c r="F797" s="8">
        <f>IF($D797="CR01",$C797,0)</f>
        <v>-300</v>
      </c>
      <c r="G797" s="8">
        <f>G796+H797</f>
        <v>0</v>
      </c>
      <c r="H797" s="8">
        <f>IF($D797="VISA",$C797,0)</f>
        <v>0</v>
      </c>
      <c r="I797" s="8">
        <f>I796+J797</f>
        <v>0</v>
      </c>
      <c r="J797" s="8">
        <f>IF($D797="ACC",$C797,0)</f>
        <v>0</v>
      </c>
      <c r="K797" s="8">
        <f>K796+L797</f>
        <v>0</v>
      </c>
      <c r="L797" s="8">
        <f>IF($D797="CBB",$C797,0)</f>
        <v>0</v>
      </c>
    </row>
    <row r="798" spans="1:12" x14ac:dyDescent="0.25">
      <c r="A798" s="6">
        <v>41950</v>
      </c>
      <c r="B798" t="s">
        <v>43</v>
      </c>
      <c r="C798" s="7">
        <v>3226</v>
      </c>
      <c r="D798" t="s">
        <v>6</v>
      </c>
      <c r="E798" s="8">
        <f>E797+F798</f>
        <v>196502</v>
      </c>
      <c r="F798" s="8">
        <f>IF($D798="CR01",$C798,0)</f>
        <v>3226</v>
      </c>
      <c r="G798" s="8">
        <f>G797+H798</f>
        <v>0</v>
      </c>
      <c r="H798" s="8">
        <f>IF($D798="VISA",$C798,0)</f>
        <v>0</v>
      </c>
      <c r="I798" s="8">
        <f>I797+J798</f>
        <v>0</v>
      </c>
      <c r="J798" s="8">
        <f>IF($D798="ACC",$C798,0)</f>
        <v>0</v>
      </c>
      <c r="K798" s="8">
        <f>K797+L798</f>
        <v>0</v>
      </c>
      <c r="L798" s="8">
        <f>IF($D798="CBB",$C798,0)</f>
        <v>0</v>
      </c>
    </row>
    <row r="799" spans="1:12" x14ac:dyDescent="0.25">
      <c r="A799" s="6">
        <v>41954</v>
      </c>
      <c r="B799" t="s">
        <v>48</v>
      </c>
      <c r="C799" s="7">
        <v>-100</v>
      </c>
      <c r="D799" t="s">
        <v>6</v>
      </c>
      <c r="E799" s="8">
        <f>E798+F799</f>
        <v>196402</v>
      </c>
      <c r="F799" s="8">
        <f>IF($D799="CR01",$C799,0)</f>
        <v>-100</v>
      </c>
      <c r="G799" s="8">
        <f>G798+H799</f>
        <v>0</v>
      </c>
      <c r="H799" s="8">
        <f>IF($D799="VISA",$C799,0)</f>
        <v>0</v>
      </c>
      <c r="I799" s="8">
        <f>I798+J799</f>
        <v>0</v>
      </c>
      <c r="J799" s="8">
        <f>IF($D799="ACC",$C799,0)</f>
        <v>0</v>
      </c>
      <c r="K799" s="8">
        <f>K798+L799</f>
        <v>0</v>
      </c>
      <c r="L799" s="8">
        <f>IF($D799="CBB",$C799,0)</f>
        <v>0</v>
      </c>
    </row>
    <row r="800" spans="1:12" x14ac:dyDescent="0.25">
      <c r="A800" s="6">
        <v>41955</v>
      </c>
      <c r="B800" t="s">
        <v>47</v>
      </c>
      <c r="C800" s="7">
        <v>-120</v>
      </c>
      <c r="D800" t="s">
        <v>6</v>
      </c>
      <c r="E800" s="8">
        <f>E799+F800</f>
        <v>196282</v>
      </c>
      <c r="F800" s="8">
        <f>IF($D800="CR01",$C800,0)</f>
        <v>-120</v>
      </c>
      <c r="G800" s="8">
        <f>G799+H800</f>
        <v>0</v>
      </c>
      <c r="H800" s="8">
        <f>IF($D800="VISA",$C800,0)</f>
        <v>0</v>
      </c>
      <c r="I800" s="8">
        <f>I799+J800</f>
        <v>0</v>
      </c>
      <c r="J800" s="8">
        <f>IF($D800="ACC",$C800,0)</f>
        <v>0</v>
      </c>
      <c r="K800" s="8">
        <f>K799+L800</f>
        <v>0</v>
      </c>
      <c r="L800" s="8">
        <f>IF($D800="CBB",$C800,0)</f>
        <v>0</v>
      </c>
    </row>
    <row r="801" spans="1:12" x14ac:dyDescent="0.25">
      <c r="A801" s="6">
        <v>41956</v>
      </c>
      <c r="B801" t="s">
        <v>44</v>
      </c>
      <c r="C801" s="7">
        <v>-400</v>
      </c>
      <c r="D801" t="s">
        <v>6</v>
      </c>
      <c r="E801" s="8">
        <f>E800+F801</f>
        <v>195882</v>
      </c>
      <c r="F801" s="8">
        <f>IF($D801="CR01",$C801,0)</f>
        <v>-400</v>
      </c>
      <c r="G801" s="8">
        <f>G800+H801</f>
        <v>0</v>
      </c>
      <c r="H801" s="8">
        <f>IF($D801="VISA",$C801,0)</f>
        <v>0</v>
      </c>
      <c r="I801" s="8">
        <f>I800+J801</f>
        <v>0</v>
      </c>
      <c r="J801" s="8">
        <f>IF($D801="ACC",$C801,0)</f>
        <v>0</v>
      </c>
      <c r="K801" s="8">
        <f>K800+L801</f>
        <v>0</v>
      </c>
      <c r="L801" s="8">
        <f>IF($D801="CBB",$C801,0)</f>
        <v>0</v>
      </c>
    </row>
    <row r="802" spans="1:12" x14ac:dyDescent="0.25">
      <c r="A802" s="6">
        <v>41956</v>
      </c>
      <c r="B802" t="s">
        <v>45</v>
      </c>
      <c r="C802" s="7">
        <v>-180</v>
      </c>
      <c r="D802" t="s">
        <v>6</v>
      </c>
      <c r="E802" s="8">
        <f>E801+F802</f>
        <v>195702</v>
      </c>
      <c r="F802" s="8">
        <f>IF($D802="CR01",$C802,0)</f>
        <v>-180</v>
      </c>
      <c r="G802" s="8">
        <f>G801+H802</f>
        <v>0</v>
      </c>
      <c r="H802" s="8">
        <f>IF($D802="VISA",$C802,0)</f>
        <v>0</v>
      </c>
      <c r="I802" s="8">
        <f>I801+J802</f>
        <v>0</v>
      </c>
      <c r="J802" s="8">
        <f>IF($D802="ACC",$C802,0)</f>
        <v>0</v>
      </c>
      <c r="K802" s="8">
        <f>K801+L802</f>
        <v>0</v>
      </c>
      <c r="L802" s="8">
        <f>IF($D802="CBB",$C802,0)</f>
        <v>0</v>
      </c>
    </row>
    <row r="803" spans="1:12" x14ac:dyDescent="0.25">
      <c r="A803" s="6">
        <v>41956</v>
      </c>
      <c r="B803" t="s">
        <v>46</v>
      </c>
      <c r="C803" s="7">
        <v>-300</v>
      </c>
      <c r="D803" t="s">
        <v>6</v>
      </c>
      <c r="E803" s="8">
        <f>E802+F803</f>
        <v>195402</v>
      </c>
      <c r="F803" s="8">
        <f>IF($D803="CR01",$C803,0)</f>
        <v>-300</v>
      </c>
      <c r="G803" s="8">
        <f>G802+H803</f>
        <v>0</v>
      </c>
      <c r="H803" s="8">
        <f>IF($D803="VISA",$C803,0)</f>
        <v>0</v>
      </c>
      <c r="I803" s="8">
        <f>I802+J803</f>
        <v>0</v>
      </c>
      <c r="J803" s="8">
        <f>IF($D803="ACC",$C803,0)</f>
        <v>0</v>
      </c>
      <c r="K803" s="8">
        <f>K802+L803</f>
        <v>0</v>
      </c>
      <c r="L803" s="8">
        <f>IF($D803="CBB",$C803,0)</f>
        <v>0</v>
      </c>
    </row>
    <row r="804" spans="1:12" x14ac:dyDescent="0.25">
      <c r="A804" s="6">
        <v>41958</v>
      </c>
      <c r="B804" t="s">
        <v>67</v>
      </c>
      <c r="C804" s="7">
        <v>6800</v>
      </c>
      <c r="D804" t="s">
        <v>6</v>
      </c>
      <c r="E804" s="8">
        <f>E803+F804</f>
        <v>202202</v>
      </c>
      <c r="F804" s="8">
        <f>IF($D804="CR01",$C804,0)</f>
        <v>6800</v>
      </c>
      <c r="G804" s="8">
        <f>G803+H804</f>
        <v>0</v>
      </c>
      <c r="H804" s="8">
        <f>IF($D804="VISA",$C804,0)</f>
        <v>0</v>
      </c>
      <c r="I804" s="8">
        <f>I803+J804</f>
        <v>0</v>
      </c>
      <c r="J804" s="8">
        <f>IF($D804="ACC",$C804,0)</f>
        <v>0</v>
      </c>
      <c r="K804" s="8">
        <f>K803+L804</f>
        <v>0</v>
      </c>
      <c r="L804" s="8">
        <f>IF($D804="CBB",$C804,0)</f>
        <v>0</v>
      </c>
    </row>
    <row r="805" spans="1:12" x14ac:dyDescent="0.25">
      <c r="A805" s="6">
        <v>41961</v>
      </c>
      <c r="B805" t="s">
        <v>42</v>
      </c>
      <c r="C805" s="7">
        <v>-2806</v>
      </c>
      <c r="D805" t="s">
        <v>6</v>
      </c>
      <c r="E805" s="8">
        <f>E804+F805</f>
        <v>199396</v>
      </c>
      <c r="F805" s="8">
        <f>IF($D805="CR01",$C805,0)</f>
        <v>-2806</v>
      </c>
      <c r="G805" s="8">
        <f>G804+H805</f>
        <v>0</v>
      </c>
      <c r="H805" s="8">
        <f>IF($D805="VISA",$C805,0)</f>
        <v>0</v>
      </c>
      <c r="I805" s="8">
        <f>I804+J805</f>
        <v>0</v>
      </c>
      <c r="J805" s="8">
        <f>IF($D805="ACC",$C805,0)</f>
        <v>0</v>
      </c>
      <c r="K805" s="8">
        <f>K804+L805</f>
        <v>0</v>
      </c>
      <c r="L805" s="8">
        <f>IF($D805="CBB",$C805,0)</f>
        <v>0</v>
      </c>
    </row>
    <row r="806" spans="1:12" x14ac:dyDescent="0.25">
      <c r="A806" s="6">
        <v>41961</v>
      </c>
      <c r="B806" t="s">
        <v>48</v>
      </c>
      <c r="C806" s="7">
        <v>-100</v>
      </c>
      <c r="D806" t="s">
        <v>6</v>
      </c>
      <c r="E806" s="8">
        <f>E805+F806</f>
        <v>199296</v>
      </c>
      <c r="F806" s="8">
        <f>IF($D806="CR01",$C806,0)</f>
        <v>-100</v>
      </c>
      <c r="G806" s="8">
        <f>G805+H806</f>
        <v>0</v>
      </c>
      <c r="H806" s="8">
        <f>IF($D806="VISA",$C806,0)</f>
        <v>0</v>
      </c>
      <c r="I806" s="8">
        <f>I805+J806</f>
        <v>0</v>
      </c>
      <c r="J806" s="8">
        <f>IF($D806="ACC",$C806,0)</f>
        <v>0</v>
      </c>
      <c r="K806" s="8">
        <f>K805+L806</f>
        <v>0</v>
      </c>
      <c r="L806" s="8">
        <f>IF($D806="CBB",$C806,0)</f>
        <v>0</v>
      </c>
    </row>
    <row r="807" spans="1:12" x14ac:dyDescent="0.25">
      <c r="A807" s="6">
        <v>41962</v>
      </c>
      <c r="B807" t="s">
        <v>47</v>
      </c>
      <c r="C807" s="7">
        <v>-120</v>
      </c>
      <c r="D807" t="s">
        <v>6</v>
      </c>
      <c r="E807" s="8">
        <f>E806+F807</f>
        <v>199176</v>
      </c>
      <c r="F807" s="8">
        <f>IF($D807="CR01",$C807,0)</f>
        <v>-120</v>
      </c>
      <c r="G807" s="8">
        <f>G806+H807</f>
        <v>0</v>
      </c>
      <c r="H807" s="8">
        <f>IF($D807="VISA",$C807,0)</f>
        <v>0</v>
      </c>
      <c r="I807" s="8">
        <f>I806+J807</f>
        <v>0</v>
      </c>
      <c r="J807" s="8">
        <f>IF($D807="ACC",$C807,0)</f>
        <v>0</v>
      </c>
      <c r="K807" s="8">
        <f>K806+L807</f>
        <v>0</v>
      </c>
      <c r="L807" s="8">
        <f>IF($D807="CBB",$C807,0)</f>
        <v>0</v>
      </c>
    </row>
    <row r="808" spans="1:12" x14ac:dyDescent="0.25">
      <c r="A808" s="6">
        <v>41963</v>
      </c>
      <c r="B808" t="s">
        <v>44</v>
      </c>
      <c r="C808" s="7">
        <v>-400</v>
      </c>
      <c r="D808" t="s">
        <v>6</v>
      </c>
      <c r="E808" s="8">
        <f>E807+F808</f>
        <v>198776</v>
      </c>
      <c r="F808" s="8">
        <f>IF($D808="CR01",$C808,0)</f>
        <v>-400</v>
      </c>
      <c r="G808" s="8">
        <f>G807+H808</f>
        <v>0</v>
      </c>
      <c r="H808" s="8">
        <f>IF($D808="VISA",$C808,0)</f>
        <v>0</v>
      </c>
      <c r="I808" s="8">
        <f>I807+J808</f>
        <v>0</v>
      </c>
      <c r="J808" s="8">
        <f>IF($D808="ACC",$C808,0)</f>
        <v>0</v>
      </c>
      <c r="K808" s="8">
        <f>K807+L808</f>
        <v>0</v>
      </c>
      <c r="L808" s="8">
        <f>IF($D808="CBB",$C808,0)</f>
        <v>0</v>
      </c>
    </row>
    <row r="809" spans="1:12" x14ac:dyDescent="0.25">
      <c r="A809" s="6">
        <v>41963</v>
      </c>
      <c r="B809" t="s">
        <v>45</v>
      </c>
      <c r="C809" s="7">
        <v>-180</v>
      </c>
      <c r="D809" t="s">
        <v>6</v>
      </c>
      <c r="E809" s="8">
        <f>E808+F809</f>
        <v>198596</v>
      </c>
      <c r="F809" s="8">
        <f>IF($D809="CR01",$C809,0)</f>
        <v>-180</v>
      </c>
      <c r="G809" s="8">
        <f>G808+H809</f>
        <v>0</v>
      </c>
      <c r="H809" s="8">
        <f>IF($D809="VISA",$C809,0)</f>
        <v>0</v>
      </c>
      <c r="I809" s="8">
        <f>I808+J809</f>
        <v>0</v>
      </c>
      <c r="J809" s="8">
        <f>IF($D809="ACC",$C809,0)</f>
        <v>0</v>
      </c>
      <c r="K809" s="8">
        <f>K808+L809</f>
        <v>0</v>
      </c>
      <c r="L809" s="8">
        <f>IF($D809="CBB",$C809,0)</f>
        <v>0</v>
      </c>
    </row>
    <row r="810" spans="1:12" x14ac:dyDescent="0.25">
      <c r="A810" s="6">
        <v>41963</v>
      </c>
      <c r="B810" t="s">
        <v>46</v>
      </c>
      <c r="C810" s="7">
        <v>-300</v>
      </c>
      <c r="D810" t="s">
        <v>6</v>
      </c>
      <c r="E810" s="8">
        <f>E809+F810</f>
        <v>198296</v>
      </c>
      <c r="F810" s="8">
        <f>IF($D810="CR01",$C810,0)</f>
        <v>-300</v>
      </c>
      <c r="G810" s="8">
        <f>G809+H810</f>
        <v>0</v>
      </c>
      <c r="H810" s="8">
        <f>IF($D810="VISA",$C810,0)</f>
        <v>0</v>
      </c>
      <c r="I810" s="8">
        <f>I809+J810</f>
        <v>0</v>
      </c>
      <c r="J810" s="8">
        <f>IF($D810="ACC",$C810,0)</f>
        <v>0</v>
      </c>
      <c r="K810" s="8">
        <f>K809+L810</f>
        <v>0</v>
      </c>
      <c r="L810" s="8">
        <f>IF($D810="CBB",$C810,0)</f>
        <v>0</v>
      </c>
    </row>
    <row r="811" spans="1:12" x14ac:dyDescent="0.25">
      <c r="A811" s="6">
        <v>41964</v>
      </c>
      <c r="B811" t="s">
        <v>43</v>
      </c>
      <c r="C811" s="7">
        <v>3226</v>
      </c>
      <c r="D811" t="s">
        <v>6</v>
      </c>
      <c r="E811" s="8">
        <f>E810+F811</f>
        <v>201522</v>
      </c>
      <c r="F811" s="8">
        <f>IF($D811="CR01",$C811,0)</f>
        <v>3226</v>
      </c>
      <c r="G811" s="8">
        <f>G810+H811</f>
        <v>0</v>
      </c>
      <c r="H811" s="8">
        <f>IF($D811="VISA",$C811,0)</f>
        <v>0</v>
      </c>
      <c r="I811" s="8">
        <f>I810+J811</f>
        <v>0</v>
      </c>
      <c r="J811" s="8">
        <f>IF($D811="ACC",$C811,0)</f>
        <v>0</v>
      </c>
      <c r="K811" s="8">
        <f>K810+L811</f>
        <v>0</v>
      </c>
      <c r="L811" s="8">
        <f>IF($D811="CBB",$C811,0)</f>
        <v>0</v>
      </c>
    </row>
    <row r="812" spans="1:12" x14ac:dyDescent="0.25">
      <c r="A812" s="6">
        <v>41968</v>
      </c>
      <c r="B812" t="s">
        <v>48</v>
      </c>
      <c r="C812" s="7">
        <v>-100</v>
      </c>
      <c r="D812" t="s">
        <v>6</v>
      </c>
      <c r="E812" s="8">
        <f>E811+F812</f>
        <v>201422</v>
      </c>
      <c r="F812" s="8">
        <f>IF($D812="CR01",$C812,0)</f>
        <v>-100</v>
      </c>
      <c r="G812" s="8">
        <f>G811+H812</f>
        <v>0</v>
      </c>
      <c r="H812" s="8">
        <f>IF($D812="VISA",$C812,0)</f>
        <v>0</v>
      </c>
      <c r="I812" s="8">
        <f>I811+J812</f>
        <v>0</v>
      </c>
      <c r="J812" s="8">
        <f>IF($D812="ACC",$C812,0)</f>
        <v>0</v>
      </c>
      <c r="K812" s="8">
        <f>K811+L812</f>
        <v>0</v>
      </c>
      <c r="L812" s="8">
        <f>IF($D812="CBB",$C812,0)</f>
        <v>0</v>
      </c>
    </row>
    <row r="813" spans="1:12" x14ac:dyDescent="0.25">
      <c r="A813" s="6">
        <v>41969</v>
      </c>
      <c r="B813" t="s">
        <v>47</v>
      </c>
      <c r="C813" s="7">
        <v>-120</v>
      </c>
      <c r="D813" t="s">
        <v>6</v>
      </c>
      <c r="E813" s="8">
        <f>E812+F813</f>
        <v>201302</v>
      </c>
      <c r="F813" s="8">
        <f>IF($D813="CR01",$C813,0)</f>
        <v>-120</v>
      </c>
      <c r="G813" s="8">
        <f>G812+H813</f>
        <v>0</v>
      </c>
      <c r="H813" s="8">
        <f>IF($D813="VISA",$C813,0)</f>
        <v>0</v>
      </c>
      <c r="I813" s="8">
        <f>I812+J813</f>
        <v>0</v>
      </c>
      <c r="J813" s="8">
        <f>IF($D813="ACC",$C813,0)</f>
        <v>0</v>
      </c>
      <c r="K813" s="8">
        <f>K812+L813</f>
        <v>0</v>
      </c>
      <c r="L813" s="8">
        <f>IF($D813="CBB",$C813,0)</f>
        <v>0</v>
      </c>
    </row>
    <row r="814" spans="1:12" x14ac:dyDescent="0.25">
      <c r="A814" s="6">
        <v>41970</v>
      </c>
      <c r="B814" t="s">
        <v>44</v>
      </c>
      <c r="C814" s="7">
        <v>-400</v>
      </c>
      <c r="D814" t="s">
        <v>6</v>
      </c>
      <c r="E814" s="8">
        <f>E813+F814</f>
        <v>200902</v>
      </c>
      <c r="F814" s="8">
        <f>IF($D814="CR01",$C814,0)</f>
        <v>-400</v>
      </c>
      <c r="G814" s="8">
        <f>G813+H814</f>
        <v>0</v>
      </c>
      <c r="H814" s="8">
        <f>IF($D814="VISA",$C814,0)</f>
        <v>0</v>
      </c>
      <c r="I814" s="8">
        <f>I813+J814</f>
        <v>0</v>
      </c>
      <c r="J814" s="8">
        <f>IF($D814="ACC",$C814,0)</f>
        <v>0</v>
      </c>
      <c r="K814" s="8">
        <f>K813+L814</f>
        <v>0</v>
      </c>
      <c r="L814" s="8">
        <f>IF($D814="CBB",$C814,0)</f>
        <v>0</v>
      </c>
    </row>
    <row r="815" spans="1:12" x14ac:dyDescent="0.25">
      <c r="A815" s="6">
        <v>41970</v>
      </c>
      <c r="B815" t="s">
        <v>45</v>
      </c>
      <c r="C815" s="7">
        <v>-180</v>
      </c>
      <c r="D815" t="s">
        <v>6</v>
      </c>
      <c r="E815" s="8">
        <f>E814+F815</f>
        <v>200722</v>
      </c>
      <c r="F815" s="8">
        <f>IF($D815="CR01",$C815,0)</f>
        <v>-180</v>
      </c>
      <c r="G815" s="8">
        <f>G814+H815</f>
        <v>0</v>
      </c>
      <c r="H815" s="8">
        <f>IF($D815="VISA",$C815,0)</f>
        <v>0</v>
      </c>
      <c r="I815" s="8">
        <f>I814+J815</f>
        <v>0</v>
      </c>
      <c r="J815" s="8">
        <f>IF($D815="ACC",$C815,0)</f>
        <v>0</v>
      </c>
      <c r="K815" s="8">
        <f>K814+L815</f>
        <v>0</v>
      </c>
      <c r="L815" s="8">
        <f>IF($D815="CBB",$C815,0)</f>
        <v>0</v>
      </c>
    </row>
    <row r="816" spans="1:12" x14ac:dyDescent="0.25">
      <c r="A816" s="6">
        <v>41970</v>
      </c>
      <c r="B816" t="s">
        <v>46</v>
      </c>
      <c r="C816" s="7">
        <v>-300</v>
      </c>
      <c r="D816" t="s">
        <v>6</v>
      </c>
      <c r="E816" s="8">
        <f>E815+F816</f>
        <v>200422</v>
      </c>
      <c r="F816" s="8">
        <f>IF($D816="CR01",$C816,0)</f>
        <v>-300</v>
      </c>
      <c r="G816" s="8">
        <f>G815+H816</f>
        <v>0</v>
      </c>
      <c r="H816" s="8">
        <f>IF($D816="VISA",$C816,0)</f>
        <v>0</v>
      </c>
      <c r="I816" s="8">
        <f>I815+J816</f>
        <v>0</v>
      </c>
      <c r="J816" s="8">
        <f>IF($D816="ACC",$C816,0)</f>
        <v>0</v>
      </c>
      <c r="K816" s="8">
        <f>K815+L816</f>
        <v>0</v>
      </c>
      <c r="L816" s="8">
        <f>IF($D816="CBB",$C816,0)</f>
        <v>0</v>
      </c>
    </row>
    <row r="817" spans="1:12" x14ac:dyDescent="0.25">
      <c r="A817" s="6">
        <v>41972</v>
      </c>
      <c r="B817" t="s">
        <v>67</v>
      </c>
      <c r="C817" s="7">
        <v>6800</v>
      </c>
      <c r="D817" t="s">
        <v>6</v>
      </c>
      <c r="E817" s="8">
        <f>E816+F817</f>
        <v>207222</v>
      </c>
      <c r="F817" s="8">
        <f>IF($D817="CR01",$C817,0)</f>
        <v>6800</v>
      </c>
      <c r="G817" s="8">
        <f>G816+H817</f>
        <v>0</v>
      </c>
      <c r="H817" s="8">
        <f>IF($D817="VISA",$C817,0)</f>
        <v>0</v>
      </c>
      <c r="I817" s="8">
        <f>I816+J817</f>
        <v>0</v>
      </c>
      <c r="J817" s="8">
        <f>IF($D817="ACC",$C817,0)</f>
        <v>0</v>
      </c>
      <c r="K817" s="8">
        <f>K816+L817</f>
        <v>0</v>
      </c>
      <c r="L817" s="8">
        <f>IF($D817="CBB",$C817,0)</f>
        <v>0</v>
      </c>
    </row>
    <row r="818" spans="1:12" x14ac:dyDescent="0.25">
      <c r="A818" s="6">
        <v>41974</v>
      </c>
      <c r="B818" t="s">
        <v>58</v>
      </c>
      <c r="C818" s="7">
        <v>-200</v>
      </c>
      <c r="D818" t="s">
        <v>6</v>
      </c>
      <c r="E818" s="8">
        <f>E817+F818</f>
        <v>207022</v>
      </c>
      <c r="F818" s="8">
        <f>IF($D818="CR01",$C818,0)</f>
        <v>-200</v>
      </c>
      <c r="G818" s="8">
        <f>G817+H818</f>
        <v>0</v>
      </c>
      <c r="H818" s="8">
        <f>IF($D818="VISA",$C818,0)</f>
        <v>0</v>
      </c>
      <c r="I818" s="8">
        <f>I817+J818</f>
        <v>0</v>
      </c>
      <c r="J818" s="8">
        <f>IF($D818="ACC",$C818,0)</f>
        <v>0</v>
      </c>
      <c r="K818" s="8">
        <f>K817+L818</f>
        <v>0</v>
      </c>
      <c r="L818" s="8">
        <f>IF($D818="CBB",$C818,0)</f>
        <v>0</v>
      </c>
    </row>
    <row r="819" spans="1:12" x14ac:dyDescent="0.25">
      <c r="A819" s="6">
        <v>41974</v>
      </c>
      <c r="B819" t="s">
        <v>60</v>
      </c>
      <c r="C819" s="7">
        <v>-400</v>
      </c>
      <c r="D819" t="s">
        <v>6</v>
      </c>
      <c r="E819" s="8">
        <f>E818+F819</f>
        <v>206622</v>
      </c>
      <c r="F819" s="8">
        <f>IF($D819="CR01",$C819,0)</f>
        <v>-400</v>
      </c>
      <c r="G819" s="8">
        <f>G818+H819</f>
        <v>0</v>
      </c>
      <c r="H819" s="8">
        <f>IF($D819="VISA",$C819,0)</f>
        <v>0</v>
      </c>
      <c r="I819" s="8">
        <f>I818+J819</f>
        <v>0</v>
      </c>
      <c r="J819" s="8">
        <f>IF($D819="ACC",$C819,0)</f>
        <v>0</v>
      </c>
      <c r="K819" s="8">
        <f>K818+L819</f>
        <v>0</v>
      </c>
      <c r="L819" s="8">
        <f>IF($D819="CBB",$C819,0)</f>
        <v>0</v>
      </c>
    </row>
    <row r="820" spans="1:12" x14ac:dyDescent="0.25">
      <c r="A820" s="6">
        <v>41974</v>
      </c>
      <c r="B820" t="s">
        <v>64</v>
      </c>
      <c r="C820" s="7">
        <v>-26</v>
      </c>
      <c r="D820" t="s">
        <v>6</v>
      </c>
      <c r="E820" s="8">
        <f>E819+F820</f>
        <v>206596</v>
      </c>
      <c r="F820" s="8">
        <f>IF($D820="CR01",$C820,0)</f>
        <v>-26</v>
      </c>
      <c r="G820" s="8">
        <f>G819+H820</f>
        <v>0</v>
      </c>
      <c r="H820" s="8">
        <f>IF($D820="VISA",$C820,0)</f>
        <v>0</v>
      </c>
      <c r="I820" s="8">
        <f>I819+J820</f>
        <v>0</v>
      </c>
      <c r="J820" s="8">
        <f>IF($D820="ACC",$C820,0)</f>
        <v>0</v>
      </c>
      <c r="K820" s="8">
        <f>K819+L820</f>
        <v>0</v>
      </c>
      <c r="L820" s="8">
        <f>IF($D820="CBB",$C820,0)</f>
        <v>0</v>
      </c>
    </row>
    <row r="821" spans="1:12" x14ac:dyDescent="0.25">
      <c r="A821" s="6">
        <v>41974</v>
      </c>
      <c r="B821" t="s">
        <v>65</v>
      </c>
      <c r="C821" s="7">
        <v>-240</v>
      </c>
      <c r="D821" t="s">
        <v>6</v>
      </c>
      <c r="E821" s="8">
        <f>E820+F821</f>
        <v>206356</v>
      </c>
      <c r="F821" s="8">
        <f>IF($D821="CR01",$C821,0)</f>
        <v>-240</v>
      </c>
      <c r="G821" s="8">
        <f>G820+H821</f>
        <v>0</v>
      </c>
      <c r="H821" s="8">
        <f>IF($D821="VISA",$C821,0)</f>
        <v>0</v>
      </c>
      <c r="I821" s="8">
        <f>I820+J821</f>
        <v>0</v>
      </c>
      <c r="J821" s="8">
        <f>IF($D821="ACC",$C821,0)</f>
        <v>0</v>
      </c>
      <c r="K821" s="8">
        <f>K820+L821</f>
        <v>0</v>
      </c>
      <c r="L821" s="8">
        <f>IF($D821="CBB",$C821,0)</f>
        <v>0</v>
      </c>
    </row>
    <row r="822" spans="1:12" x14ac:dyDescent="0.25">
      <c r="A822" s="6">
        <v>41974</v>
      </c>
      <c r="B822" t="s">
        <v>66</v>
      </c>
      <c r="C822" s="7">
        <v>-120</v>
      </c>
      <c r="D822" t="s">
        <v>6</v>
      </c>
      <c r="E822" s="8">
        <f>E821+F822</f>
        <v>206236</v>
      </c>
      <c r="F822" s="8">
        <f>IF($D822="CR01",$C822,0)</f>
        <v>-120</v>
      </c>
      <c r="G822" s="8">
        <f>G821+H822</f>
        <v>0</v>
      </c>
      <c r="H822" s="8">
        <f>IF($D822="VISA",$C822,0)</f>
        <v>0</v>
      </c>
      <c r="I822" s="8">
        <f>I821+J822</f>
        <v>0</v>
      </c>
      <c r="J822" s="8">
        <f>IF($D822="ACC",$C822,0)</f>
        <v>0</v>
      </c>
      <c r="K822" s="8">
        <f>K821+L822</f>
        <v>0</v>
      </c>
      <c r="L822" s="8">
        <f>IF($D822="CBB",$C822,0)</f>
        <v>0</v>
      </c>
    </row>
    <row r="823" spans="1:12" x14ac:dyDescent="0.25">
      <c r="A823" s="6">
        <v>41975</v>
      </c>
      <c r="B823" t="s">
        <v>42</v>
      </c>
      <c r="C823" s="7">
        <v>-2806</v>
      </c>
      <c r="D823" t="s">
        <v>6</v>
      </c>
      <c r="E823" s="8">
        <f>E822+F823</f>
        <v>203430</v>
      </c>
      <c r="F823" s="8">
        <f>IF($D823="CR01",$C823,0)</f>
        <v>-2806</v>
      </c>
      <c r="G823" s="8">
        <f>G822+H823</f>
        <v>0</v>
      </c>
      <c r="H823" s="8">
        <f>IF($D823="VISA",$C823,0)</f>
        <v>0</v>
      </c>
      <c r="I823" s="8">
        <f>I822+J823</f>
        <v>0</v>
      </c>
      <c r="J823" s="8">
        <f>IF($D823="ACC",$C823,0)</f>
        <v>0</v>
      </c>
      <c r="K823" s="8">
        <f>K822+L823</f>
        <v>0</v>
      </c>
      <c r="L823" s="8">
        <f>IF($D823="CBB",$C823,0)</f>
        <v>0</v>
      </c>
    </row>
    <row r="824" spans="1:12" x14ac:dyDescent="0.25">
      <c r="A824" s="6">
        <v>41975</v>
      </c>
      <c r="B824" t="s">
        <v>48</v>
      </c>
      <c r="C824" s="7">
        <v>-100</v>
      </c>
      <c r="D824" t="s">
        <v>6</v>
      </c>
      <c r="E824" s="8">
        <f>E823+F824</f>
        <v>203330</v>
      </c>
      <c r="F824" s="8">
        <f>IF($D824="CR01",$C824,0)</f>
        <v>-100</v>
      </c>
      <c r="G824" s="8">
        <f>G823+H824</f>
        <v>0</v>
      </c>
      <c r="H824" s="8">
        <f>IF($D824="VISA",$C824,0)</f>
        <v>0</v>
      </c>
      <c r="I824" s="8">
        <f>I823+J824</f>
        <v>0</v>
      </c>
      <c r="J824" s="8">
        <f>IF($D824="ACC",$C824,0)</f>
        <v>0</v>
      </c>
      <c r="K824" s="8">
        <f>K823+L824</f>
        <v>0</v>
      </c>
      <c r="L824" s="8">
        <f>IF($D824="CBB",$C824,0)</f>
        <v>0</v>
      </c>
    </row>
    <row r="825" spans="1:12" x14ac:dyDescent="0.25">
      <c r="A825" s="6">
        <v>41975</v>
      </c>
      <c r="B825" t="s">
        <v>59</v>
      </c>
      <c r="C825" s="7">
        <v>-900</v>
      </c>
      <c r="D825" t="s">
        <v>6</v>
      </c>
      <c r="E825" s="8">
        <f>E824+F825</f>
        <v>202430</v>
      </c>
      <c r="F825" s="8">
        <f>IF($D825="CR01",$C825,0)</f>
        <v>-900</v>
      </c>
      <c r="G825" s="8">
        <f>G824+H825</f>
        <v>0</v>
      </c>
      <c r="H825" s="8">
        <f>IF($D825="VISA",$C825,0)</f>
        <v>0</v>
      </c>
      <c r="I825" s="8">
        <f>I824+J825</f>
        <v>0</v>
      </c>
      <c r="J825" s="8">
        <f>IF($D825="ACC",$C825,0)</f>
        <v>0</v>
      </c>
      <c r="K825" s="8">
        <f>K824+L825</f>
        <v>0</v>
      </c>
      <c r="L825" s="8">
        <f>IF($D825="CBB",$C825,0)</f>
        <v>0</v>
      </c>
    </row>
    <row r="826" spans="1:12" x14ac:dyDescent="0.25">
      <c r="A826" s="6">
        <v>41976</v>
      </c>
      <c r="B826" t="s">
        <v>47</v>
      </c>
      <c r="C826" s="7">
        <v>-120</v>
      </c>
      <c r="D826" t="s">
        <v>6</v>
      </c>
      <c r="E826" s="8">
        <f>E825+F826</f>
        <v>202310</v>
      </c>
      <c r="F826" s="8">
        <f>IF($D826="CR01",$C826,0)</f>
        <v>-120</v>
      </c>
      <c r="G826" s="8">
        <f>G825+H826</f>
        <v>0</v>
      </c>
      <c r="H826" s="8">
        <f>IF($D826="VISA",$C826,0)</f>
        <v>0</v>
      </c>
      <c r="I826" s="8">
        <f>I825+J826</f>
        <v>0</v>
      </c>
      <c r="J826" s="8">
        <f>IF($D826="ACC",$C826,0)</f>
        <v>0</v>
      </c>
      <c r="K826" s="8">
        <f>K825+L826</f>
        <v>0</v>
      </c>
      <c r="L826" s="8">
        <f>IF($D826="CBB",$C826,0)</f>
        <v>0</v>
      </c>
    </row>
    <row r="827" spans="1:12" x14ac:dyDescent="0.25">
      <c r="A827" s="6">
        <v>41977</v>
      </c>
      <c r="B827" t="s">
        <v>44</v>
      </c>
      <c r="C827" s="7">
        <v>-400</v>
      </c>
      <c r="D827" t="s">
        <v>6</v>
      </c>
      <c r="E827" s="8">
        <f>E826+F827</f>
        <v>201910</v>
      </c>
      <c r="F827" s="8">
        <f>IF($D827="CR01",$C827,0)</f>
        <v>-400</v>
      </c>
      <c r="G827" s="8">
        <f>G826+H827</f>
        <v>0</v>
      </c>
      <c r="H827" s="8">
        <f>IF($D827="VISA",$C827,0)</f>
        <v>0</v>
      </c>
      <c r="I827" s="8">
        <f>I826+J827</f>
        <v>0</v>
      </c>
      <c r="J827" s="8">
        <f>IF($D827="ACC",$C827,0)</f>
        <v>0</v>
      </c>
      <c r="K827" s="8">
        <f>K826+L827</f>
        <v>0</v>
      </c>
      <c r="L827" s="8">
        <f>IF($D827="CBB",$C827,0)</f>
        <v>0</v>
      </c>
    </row>
    <row r="828" spans="1:12" x14ac:dyDescent="0.25">
      <c r="A828" s="6">
        <v>41977</v>
      </c>
      <c r="B828" t="s">
        <v>45</v>
      </c>
      <c r="C828" s="7">
        <v>-180</v>
      </c>
      <c r="D828" t="s">
        <v>6</v>
      </c>
      <c r="E828" s="8">
        <f>E827+F828</f>
        <v>201730</v>
      </c>
      <c r="F828" s="8">
        <f>IF($D828="CR01",$C828,0)</f>
        <v>-180</v>
      </c>
      <c r="G828" s="8">
        <f>G827+H828</f>
        <v>0</v>
      </c>
      <c r="H828" s="8">
        <f>IF($D828="VISA",$C828,0)</f>
        <v>0</v>
      </c>
      <c r="I828" s="8">
        <f>I827+J828</f>
        <v>0</v>
      </c>
      <c r="J828" s="8">
        <f>IF($D828="ACC",$C828,0)</f>
        <v>0</v>
      </c>
      <c r="K828" s="8">
        <f>K827+L828</f>
        <v>0</v>
      </c>
      <c r="L828" s="8">
        <f>IF($D828="CBB",$C828,0)</f>
        <v>0</v>
      </c>
    </row>
    <row r="829" spans="1:12" x14ac:dyDescent="0.25">
      <c r="A829" s="6">
        <v>41977</v>
      </c>
      <c r="B829" t="s">
        <v>46</v>
      </c>
      <c r="C829" s="7">
        <v>-300</v>
      </c>
      <c r="D829" t="s">
        <v>6</v>
      </c>
      <c r="E829" s="8">
        <f>E828+F829</f>
        <v>201430</v>
      </c>
      <c r="F829" s="8">
        <f>IF($D829="CR01",$C829,0)</f>
        <v>-300</v>
      </c>
      <c r="G829" s="8">
        <f>G828+H829</f>
        <v>0</v>
      </c>
      <c r="H829" s="8">
        <f>IF($D829="VISA",$C829,0)</f>
        <v>0</v>
      </c>
      <c r="I829" s="8">
        <f>I828+J829</f>
        <v>0</v>
      </c>
      <c r="J829" s="8">
        <f>IF($D829="ACC",$C829,0)</f>
        <v>0</v>
      </c>
      <c r="K829" s="8">
        <f>K828+L829</f>
        <v>0</v>
      </c>
      <c r="L829" s="8">
        <f>IF($D829="CBB",$C829,0)</f>
        <v>0</v>
      </c>
    </row>
    <row r="830" spans="1:12" x14ac:dyDescent="0.25">
      <c r="A830" s="6">
        <v>41978</v>
      </c>
      <c r="B830" t="s">
        <v>43</v>
      </c>
      <c r="C830" s="7">
        <v>3226</v>
      </c>
      <c r="D830" t="s">
        <v>6</v>
      </c>
      <c r="E830" s="8">
        <f>E829+F830</f>
        <v>204656</v>
      </c>
      <c r="F830" s="8">
        <f>IF($D830="CR01",$C830,0)</f>
        <v>3226</v>
      </c>
      <c r="G830" s="8">
        <f>G829+H830</f>
        <v>0</v>
      </c>
      <c r="H830" s="8">
        <f>IF($D830="VISA",$C830,0)</f>
        <v>0</v>
      </c>
      <c r="I830" s="8">
        <f>I829+J830</f>
        <v>0</v>
      </c>
      <c r="J830" s="8">
        <f>IF($D830="ACC",$C830,0)</f>
        <v>0</v>
      </c>
      <c r="K830" s="8">
        <f>K829+L830</f>
        <v>0</v>
      </c>
      <c r="L830" s="8">
        <f>IF($D830="CBB",$C830,0)</f>
        <v>0</v>
      </c>
    </row>
    <row r="831" spans="1:12" x14ac:dyDescent="0.25">
      <c r="A831" s="6">
        <v>41982</v>
      </c>
      <c r="B831" t="s">
        <v>48</v>
      </c>
      <c r="C831" s="7">
        <v>-100</v>
      </c>
      <c r="D831" t="s">
        <v>6</v>
      </c>
      <c r="E831" s="8">
        <f>E830+F831</f>
        <v>204556</v>
      </c>
      <c r="F831" s="8">
        <f>IF($D831="CR01",$C831,0)</f>
        <v>-100</v>
      </c>
      <c r="G831" s="8">
        <f>G830+H831</f>
        <v>0</v>
      </c>
      <c r="H831" s="8">
        <f>IF($D831="VISA",$C831,0)</f>
        <v>0</v>
      </c>
      <c r="I831" s="8">
        <f>I830+J831</f>
        <v>0</v>
      </c>
      <c r="J831" s="8">
        <f>IF($D831="ACC",$C831,0)</f>
        <v>0</v>
      </c>
      <c r="K831" s="8">
        <f>K830+L831</f>
        <v>0</v>
      </c>
      <c r="L831" s="8">
        <f>IF($D831="CBB",$C831,0)</f>
        <v>0</v>
      </c>
    </row>
    <row r="832" spans="1:12" x14ac:dyDescent="0.25">
      <c r="A832" s="6">
        <v>41983</v>
      </c>
      <c r="B832" t="s">
        <v>47</v>
      </c>
      <c r="C832" s="7">
        <v>-120</v>
      </c>
      <c r="D832" t="s">
        <v>6</v>
      </c>
      <c r="E832" s="8">
        <f>E831+F832</f>
        <v>204436</v>
      </c>
      <c r="F832" s="8">
        <f>IF($D832="CR01",$C832,0)</f>
        <v>-120</v>
      </c>
      <c r="G832" s="8">
        <f>G831+H832</f>
        <v>0</v>
      </c>
      <c r="H832" s="8">
        <f>IF($D832="VISA",$C832,0)</f>
        <v>0</v>
      </c>
      <c r="I832" s="8">
        <f>I831+J832</f>
        <v>0</v>
      </c>
      <c r="J832" s="8">
        <f>IF($D832="ACC",$C832,0)</f>
        <v>0</v>
      </c>
      <c r="K832" s="8">
        <f>K831+L832</f>
        <v>0</v>
      </c>
      <c r="L832" s="8">
        <f>IF($D832="CBB",$C832,0)</f>
        <v>0</v>
      </c>
    </row>
    <row r="833" spans="1:12" x14ac:dyDescent="0.25">
      <c r="A833" s="6">
        <v>41984</v>
      </c>
      <c r="B833" t="s">
        <v>44</v>
      </c>
      <c r="C833" s="7">
        <v>-400</v>
      </c>
      <c r="D833" t="s">
        <v>6</v>
      </c>
      <c r="E833" s="8">
        <f>E832+F833</f>
        <v>204036</v>
      </c>
      <c r="F833" s="8">
        <f>IF($D833="CR01",$C833,0)</f>
        <v>-400</v>
      </c>
      <c r="G833" s="8">
        <f>G832+H833</f>
        <v>0</v>
      </c>
      <c r="H833" s="8">
        <f>IF($D833="VISA",$C833,0)</f>
        <v>0</v>
      </c>
      <c r="I833" s="8">
        <f>I832+J833</f>
        <v>0</v>
      </c>
      <c r="J833" s="8">
        <f>IF($D833="ACC",$C833,0)</f>
        <v>0</v>
      </c>
      <c r="K833" s="8">
        <f>K832+L833</f>
        <v>0</v>
      </c>
      <c r="L833" s="8">
        <f>IF($D833="CBB",$C833,0)</f>
        <v>0</v>
      </c>
    </row>
    <row r="834" spans="1:12" x14ac:dyDescent="0.25">
      <c r="A834" s="6">
        <v>41984</v>
      </c>
      <c r="B834" t="s">
        <v>45</v>
      </c>
      <c r="C834" s="7">
        <v>-180</v>
      </c>
      <c r="D834" t="s">
        <v>6</v>
      </c>
      <c r="E834" s="8">
        <f>E833+F834</f>
        <v>203856</v>
      </c>
      <c r="F834" s="8">
        <f>IF($D834="CR01",$C834,0)</f>
        <v>-180</v>
      </c>
      <c r="G834" s="8">
        <f>G833+H834</f>
        <v>0</v>
      </c>
      <c r="H834" s="8">
        <f>IF($D834="VISA",$C834,0)</f>
        <v>0</v>
      </c>
      <c r="I834" s="8">
        <f>I833+J834</f>
        <v>0</v>
      </c>
      <c r="J834" s="8">
        <f>IF($D834="ACC",$C834,0)</f>
        <v>0</v>
      </c>
      <c r="K834" s="8">
        <f>K833+L834</f>
        <v>0</v>
      </c>
      <c r="L834" s="8">
        <f>IF($D834="CBB",$C834,0)</f>
        <v>0</v>
      </c>
    </row>
    <row r="835" spans="1:12" x14ac:dyDescent="0.25">
      <c r="A835" s="6">
        <v>41984</v>
      </c>
      <c r="B835" t="s">
        <v>46</v>
      </c>
      <c r="C835" s="7">
        <v>-300</v>
      </c>
      <c r="D835" t="s">
        <v>6</v>
      </c>
      <c r="E835" s="8">
        <f>E834+F835</f>
        <v>203556</v>
      </c>
      <c r="F835" s="8">
        <f>IF($D835="CR01",$C835,0)</f>
        <v>-300</v>
      </c>
      <c r="G835" s="8">
        <f>G834+H835</f>
        <v>0</v>
      </c>
      <c r="H835" s="8">
        <f>IF($D835="VISA",$C835,0)</f>
        <v>0</v>
      </c>
      <c r="I835" s="8">
        <f>I834+J835</f>
        <v>0</v>
      </c>
      <c r="J835" s="8">
        <f>IF($D835="ACC",$C835,0)</f>
        <v>0</v>
      </c>
      <c r="K835" s="8">
        <f>K834+L835</f>
        <v>0</v>
      </c>
      <c r="L835" s="8">
        <f>IF($D835="CBB",$C835,0)</f>
        <v>0</v>
      </c>
    </row>
    <row r="836" spans="1:12" x14ac:dyDescent="0.25">
      <c r="A836" s="6">
        <v>41986</v>
      </c>
      <c r="B836" t="s">
        <v>67</v>
      </c>
      <c r="C836" s="7">
        <v>6800</v>
      </c>
      <c r="D836" t="s">
        <v>6</v>
      </c>
      <c r="E836" s="8">
        <f>E835+F836</f>
        <v>210356</v>
      </c>
      <c r="F836" s="8">
        <f>IF($D836="CR01",$C836,0)</f>
        <v>6800</v>
      </c>
      <c r="G836" s="8">
        <f>G835+H836</f>
        <v>0</v>
      </c>
      <c r="H836" s="8">
        <f>IF($D836="VISA",$C836,0)</f>
        <v>0</v>
      </c>
      <c r="I836" s="8">
        <f>I835+J836</f>
        <v>0</v>
      </c>
      <c r="J836" s="8">
        <f>IF($D836="ACC",$C836,0)</f>
        <v>0</v>
      </c>
      <c r="K836" s="8">
        <f>K835+L836</f>
        <v>0</v>
      </c>
      <c r="L836" s="8">
        <f>IF($D836="CBB",$C836,0)</f>
        <v>0</v>
      </c>
    </row>
    <row r="837" spans="1:12" x14ac:dyDescent="0.25">
      <c r="A837" s="6">
        <v>41989</v>
      </c>
      <c r="B837" t="s">
        <v>42</v>
      </c>
      <c r="C837" s="7">
        <v>-2806</v>
      </c>
      <c r="D837" t="s">
        <v>6</v>
      </c>
      <c r="E837" s="8">
        <f>E836+F837</f>
        <v>207550</v>
      </c>
      <c r="F837" s="8">
        <f>IF($D837="CR01",$C837,0)</f>
        <v>-2806</v>
      </c>
      <c r="G837" s="8">
        <f>G836+H837</f>
        <v>0</v>
      </c>
      <c r="H837" s="8">
        <f>IF($D837="VISA",$C837,0)</f>
        <v>0</v>
      </c>
      <c r="I837" s="8">
        <f>I836+J837</f>
        <v>0</v>
      </c>
      <c r="J837" s="8">
        <f>IF($D837="ACC",$C837,0)</f>
        <v>0</v>
      </c>
      <c r="K837" s="8">
        <f>K836+L837</f>
        <v>0</v>
      </c>
      <c r="L837" s="8">
        <f>IF($D837="CBB",$C837,0)</f>
        <v>0</v>
      </c>
    </row>
    <row r="838" spans="1:12" x14ac:dyDescent="0.25">
      <c r="A838" s="6">
        <v>41989</v>
      </c>
      <c r="B838" t="s">
        <v>48</v>
      </c>
      <c r="C838" s="7">
        <v>-100</v>
      </c>
      <c r="D838" t="s">
        <v>6</v>
      </c>
      <c r="E838" s="8">
        <f>E837+F838</f>
        <v>207450</v>
      </c>
      <c r="F838" s="8">
        <f>IF($D838="CR01",$C838,0)</f>
        <v>-100</v>
      </c>
      <c r="G838" s="8">
        <f>G837+H838</f>
        <v>0</v>
      </c>
      <c r="H838" s="8">
        <f>IF($D838="VISA",$C838,0)</f>
        <v>0</v>
      </c>
      <c r="I838" s="8">
        <f>I837+J838</f>
        <v>0</v>
      </c>
      <c r="J838" s="8">
        <f>IF($D838="ACC",$C838,0)</f>
        <v>0</v>
      </c>
      <c r="K838" s="8">
        <f>K837+L838</f>
        <v>0</v>
      </c>
      <c r="L838" s="8">
        <f>IF($D838="CBB",$C838,0)</f>
        <v>0</v>
      </c>
    </row>
    <row r="839" spans="1:12" x14ac:dyDescent="0.25">
      <c r="A839" s="6">
        <v>41990</v>
      </c>
      <c r="B839" t="s">
        <v>47</v>
      </c>
      <c r="C839" s="7">
        <v>-120</v>
      </c>
      <c r="D839" t="s">
        <v>6</v>
      </c>
      <c r="E839" s="8">
        <f>E838+F839</f>
        <v>207330</v>
      </c>
      <c r="F839" s="8">
        <f>IF($D839="CR01",$C839,0)</f>
        <v>-120</v>
      </c>
      <c r="G839" s="8">
        <f>G838+H839</f>
        <v>0</v>
      </c>
      <c r="H839" s="8">
        <f>IF($D839="VISA",$C839,0)</f>
        <v>0</v>
      </c>
      <c r="I839" s="8">
        <f>I838+J839</f>
        <v>0</v>
      </c>
      <c r="J839" s="8">
        <f>IF($D839="ACC",$C839,0)</f>
        <v>0</v>
      </c>
      <c r="K839" s="8">
        <f>K838+L839</f>
        <v>0</v>
      </c>
      <c r="L839" s="8">
        <f>IF($D839="CBB",$C839,0)</f>
        <v>0</v>
      </c>
    </row>
    <row r="840" spans="1:12" x14ac:dyDescent="0.25">
      <c r="A840" s="6">
        <v>41991</v>
      </c>
      <c r="B840" t="s">
        <v>44</v>
      </c>
      <c r="C840" s="7">
        <v>-400</v>
      </c>
      <c r="D840" t="s">
        <v>6</v>
      </c>
      <c r="E840" s="8">
        <f>E839+F840</f>
        <v>206930</v>
      </c>
      <c r="F840" s="8">
        <f>IF($D840="CR01",$C840,0)</f>
        <v>-400</v>
      </c>
      <c r="G840" s="8">
        <f>G839+H840</f>
        <v>0</v>
      </c>
      <c r="H840" s="8">
        <f>IF($D840="VISA",$C840,0)</f>
        <v>0</v>
      </c>
      <c r="I840" s="8">
        <f>I839+J840</f>
        <v>0</v>
      </c>
      <c r="J840" s="8">
        <f>IF($D840="ACC",$C840,0)</f>
        <v>0</v>
      </c>
      <c r="K840" s="8">
        <f>K839+L840</f>
        <v>0</v>
      </c>
      <c r="L840" s="8">
        <f>IF($D840="CBB",$C840,0)</f>
        <v>0</v>
      </c>
    </row>
    <row r="841" spans="1:12" x14ac:dyDescent="0.25">
      <c r="A841" s="6">
        <v>41991</v>
      </c>
      <c r="B841" t="s">
        <v>45</v>
      </c>
      <c r="C841" s="7">
        <v>-180</v>
      </c>
      <c r="D841" t="s">
        <v>6</v>
      </c>
      <c r="E841" s="8">
        <f>E840+F841</f>
        <v>206750</v>
      </c>
      <c r="F841" s="8">
        <f>IF($D841="CR01",$C841,0)</f>
        <v>-180</v>
      </c>
      <c r="G841" s="8">
        <f>G840+H841</f>
        <v>0</v>
      </c>
      <c r="H841" s="8">
        <f>IF($D841="VISA",$C841,0)</f>
        <v>0</v>
      </c>
      <c r="I841" s="8">
        <f>I840+J841</f>
        <v>0</v>
      </c>
      <c r="J841" s="8">
        <f>IF($D841="ACC",$C841,0)</f>
        <v>0</v>
      </c>
      <c r="K841" s="8">
        <f>K840+L841</f>
        <v>0</v>
      </c>
      <c r="L841" s="8">
        <f>IF($D841="CBB",$C841,0)</f>
        <v>0</v>
      </c>
    </row>
    <row r="842" spans="1:12" x14ac:dyDescent="0.25">
      <c r="A842" s="6">
        <v>41991</v>
      </c>
      <c r="B842" t="s">
        <v>46</v>
      </c>
      <c r="C842" s="7">
        <v>-300</v>
      </c>
      <c r="D842" t="s">
        <v>6</v>
      </c>
      <c r="E842" s="8">
        <f>E841+F842</f>
        <v>206450</v>
      </c>
      <c r="F842" s="8">
        <f>IF($D842="CR01",$C842,0)</f>
        <v>-300</v>
      </c>
      <c r="G842" s="8">
        <f>G841+H842</f>
        <v>0</v>
      </c>
      <c r="H842" s="8">
        <f>IF($D842="VISA",$C842,0)</f>
        <v>0</v>
      </c>
      <c r="I842" s="8">
        <f>I841+J842</f>
        <v>0</v>
      </c>
      <c r="J842" s="8">
        <f>IF($D842="ACC",$C842,0)</f>
        <v>0</v>
      </c>
      <c r="K842" s="8">
        <f>K841+L842</f>
        <v>0</v>
      </c>
      <c r="L842" s="8">
        <f>IF($D842="CBB",$C842,0)</f>
        <v>0</v>
      </c>
    </row>
    <row r="843" spans="1:12" x14ac:dyDescent="0.25">
      <c r="A843" s="6">
        <v>41992</v>
      </c>
      <c r="B843" t="s">
        <v>43</v>
      </c>
      <c r="C843" s="7">
        <v>3226</v>
      </c>
      <c r="D843" t="s">
        <v>6</v>
      </c>
      <c r="E843" s="8">
        <f>E842+F843</f>
        <v>209676</v>
      </c>
      <c r="F843" s="8">
        <f>IF($D843="CR01",$C843,0)</f>
        <v>3226</v>
      </c>
      <c r="G843" s="8">
        <f>G842+H843</f>
        <v>0</v>
      </c>
      <c r="H843" s="8">
        <f>IF($D843="VISA",$C843,0)</f>
        <v>0</v>
      </c>
      <c r="I843" s="8">
        <f>I842+J843</f>
        <v>0</v>
      </c>
      <c r="J843" s="8">
        <f>IF($D843="ACC",$C843,0)</f>
        <v>0</v>
      </c>
      <c r="K843" s="8">
        <f>K842+L843</f>
        <v>0</v>
      </c>
      <c r="L843" s="8">
        <f>IF($D843="CBB",$C843,0)</f>
        <v>0</v>
      </c>
    </row>
    <row r="844" spans="1:12" x14ac:dyDescent="0.25">
      <c r="A844" s="6">
        <v>41996</v>
      </c>
      <c r="B844" t="s">
        <v>48</v>
      </c>
      <c r="C844" s="7">
        <v>-100</v>
      </c>
      <c r="D844" t="s">
        <v>6</v>
      </c>
      <c r="E844" s="8">
        <f>E843+F844</f>
        <v>209576</v>
      </c>
      <c r="F844" s="8">
        <f>IF($D844="CR01",$C844,0)</f>
        <v>-100</v>
      </c>
      <c r="G844" s="8">
        <f>G843+H844</f>
        <v>0</v>
      </c>
      <c r="H844" s="8">
        <f>IF($D844="VISA",$C844,0)</f>
        <v>0</v>
      </c>
      <c r="I844" s="8">
        <f>I843+J844</f>
        <v>0</v>
      </c>
      <c r="J844" s="8">
        <f>IF($D844="ACC",$C844,0)</f>
        <v>0</v>
      </c>
      <c r="K844" s="8">
        <f>K843+L844</f>
        <v>0</v>
      </c>
      <c r="L844" s="8">
        <f>IF($D844="CBB",$C844,0)</f>
        <v>0</v>
      </c>
    </row>
    <row r="845" spans="1:12" x14ac:dyDescent="0.25">
      <c r="A845" s="6">
        <v>41997</v>
      </c>
      <c r="B845" t="s">
        <v>47</v>
      </c>
      <c r="C845" s="7">
        <v>-120</v>
      </c>
      <c r="D845" t="s">
        <v>6</v>
      </c>
      <c r="E845" s="8">
        <f>E844+F845</f>
        <v>209456</v>
      </c>
      <c r="F845" s="8">
        <f>IF($D845="CR01",$C845,0)</f>
        <v>-120</v>
      </c>
      <c r="G845" s="8">
        <f>G844+H845</f>
        <v>0</v>
      </c>
      <c r="H845" s="8">
        <f>IF($D845="VISA",$C845,0)</f>
        <v>0</v>
      </c>
      <c r="I845" s="8">
        <f>I844+J845</f>
        <v>0</v>
      </c>
      <c r="J845" s="8">
        <f>IF($D845="ACC",$C845,0)</f>
        <v>0</v>
      </c>
      <c r="K845" s="8">
        <f>K844+L845</f>
        <v>0</v>
      </c>
      <c r="L845" s="8">
        <f>IF($D845="CBB",$C845,0)</f>
        <v>0</v>
      </c>
    </row>
    <row r="846" spans="1:12" x14ac:dyDescent="0.25">
      <c r="A846" s="6">
        <v>41998</v>
      </c>
      <c r="B846" t="s">
        <v>44</v>
      </c>
      <c r="C846" s="7">
        <v>-400</v>
      </c>
      <c r="D846" t="s">
        <v>6</v>
      </c>
      <c r="E846" s="8">
        <f>E845+F846</f>
        <v>209056</v>
      </c>
      <c r="F846" s="8">
        <f>IF($D846="CR01",$C846,0)</f>
        <v>-400</v>
      </c>
      <c r="G846" s="8">
        <f>G845+H846</f>
        <v>0</v>
      </c>
      <c r="H846" s="8">
        <f>IF($D846="VISA",$C846,0)</f>
        <v>0</v>
      </c>
      <c r="I846" s="8">
        <f>I845+J846</f>
        <v>0</v>
      </c>
      <c r="J846" s="8">
        <f>IF($D846="ACC",$C846,0)</f>
        <v>0</v>
      </c>
      <c r="K846" s="8">
        <f>K845+L846</f>
        <v>0</v>
      </c>
      <c r="L846" s="8">
        <f>IF($D846="CBB",$C846,0)</f>
        <v>0</v>
      </c>
    </row>
    <row r="847" spans="1:12" x14ac:dyDescent="0.25">
      <c r="A847" s="6">
        <v>41998</v>
      </c>
      <c r="B847" t="s">
        <v>45</v>
      </c>
      <c r="C847" s="7">
        <v>-180</v>
      </c>
      <c r="D847" t="s">
        <v>6</v>
      </c>
      <c r="E847" s="8">
        <f>E846+F847</f>
        <v>208876</v>
      </c>
      <c r="F847" s="8">
        <f>IF($D847="CR01",$C847,0)</f>
        <v>-180</v>
      </c>
      <c r="G847" s="8">
        <f>G846+H847</f>
        <v>0</v>
      </c>
      <c r="H847" s="8">
        <f>IF($D847="VISA",$C847,0)</f>
        <v>0</v>
      </c>
      <c r="I847" s="8">
        <f>I846+J847</f>
        <v>0</v>
      </c>
      <c r="J847" s="8">
        <f>IF($D847="ACC",$C847,0)</f>
        <v>0</v>
      </c>
      <c r="K847" s="8">
        <f>K846+L847</f>
        <v>0</v>
      </c>
      <c r="L847" s="8">
        <f>IF($D847="CBB",$C847,0)</f>
        <v>0</v>
      </c>
    </row>
    <row r="848" spans="1:12" x14ac:dyDescent="0.25">
      <c r="A848" s="6">
        <v>41998</v>
      </c>
      <c r="B848" t="s">
        <v>46</v>
      </c>
      <c r="C848" s="7">
        <v>-300</v>
      </c>
      <c r="D848" t="s">
        <v>6</v>
      </c>
      <c r="E848" s="8">
        <f>E847+F848</f>
        <v>208576</v>
      </c>
      <c r="F848" s="8">
        <f>IF($D848="CR01",$C848,0)</f>
        <v>-300</v>
      </c>
      <c r="G848" s="8">
        <f>G847+H848</f>
        <v>0</v>
      </c>
      <c r="H848" s="8">
        <f>IF($D848="VISA",$C848,0)</f>
        <v>0</v>
      </c>
      <c r="I848" s="8">
        <f>I847+J848</f>
        <v>0</v>
      </c>
      <c r="J848" s="8">
        <f>IF($D848="ACC",$C848,0)</f>
        <v>0</v>
      </c>
      <c r="K848" s="8">
        <f>K847+L848</f>
        <v>0</v>
      </c>
      <c r="L848" s="8">
        <f>IF($D848="CBB",$C848,0)</f>
        <v>0</v>
      </c>
    </row>
    <row r="849" spans="1:12" x14ac:dyDescent="0.25">
      <c r="A849" s="6"/>
      <c r="C849" s="7"/>
      <c r="E849" s="8">
        <f>E848+F849</f>
        <v>208576</v>
      </c>
      <c r="F849" s="8">
        <f>IF($D849="CR01",$C849,0)</f>
        <v>0</v>
      </c>
      <c r="G849" s="8">
        <f>G848+H849</f>
        <v>0</v>
      </c>
      <c r="H849" s="8">
        <f>IF($D849="VISA",$C849,0)</f>
        <v>0</v>
      </c>
      <c r="I849" s="8">
        <f>I848+J849</f>
        <v>0</v>
      </c>
      <c r="J849" s="8">
        <f>IF($D849="ACC",$C849,0)</f>
        <v>0</v>
      </c>
      <c r="K849" s="8">
        <f>K848+L849</f>
        <v>0</v>
      </c>
      <c r="L849" s="8">
        <f>IF($D849="CBB",$C849,0)</f>
        <v>0</v>
      </c>
    </row>
    <row r="850" spans="1:12" x14ac:dyDescent="0.25">
      <c r="A850" s="6"/>
      <c r="C850" s="7"/>
      <c r="E850" s="8">
        <f>E849+F850</f>
        <v>208576</v>
      </c>
      <c r="F850" s="8">
        <f>IF($D850="CR01",$C850,0)</f>
        <v>0</v>
      </c>
      <c r="G850" s="8">
        <f>G849+H850</f>
        <v>0</v>
      </c>
      <c r="H850" s="8">
        <f>IF($D850="VISA",$C850,0)</f>
        <v>0</v>
      </c>
      <c r="I850" s="8">
        <f>I849+J850</f>
        <v>0</v>
      </c>
      <c r="J850" s="8">
        <f>IF($D850="ACC",$C850,0)</f>
        <v>0</v>
      </c>
      <c r="K850" s="8">
        <f>K849+L850</f>
        <v>0</v>
      </c>
      <c r="L850" s="8">
        <f>IF($D850="CBB",$C850,0)</f>
        <v>0</v>
      </c>
    </row>
    <row r="851" spans="1:12" x14ac:dyDescent="0.25">
      <c r="A851" s="6"/>
      <c r="C851" s="7"/>
      <c r="E851" s="8">
        <f>E850+F851</f>
        <v>208576</v>
      </c>
      <c r="F851" s="8">
        <f>IF($D851="CR01",$C851,0)</f>
        <v>0</v>
      </c>
      <c r="G851" s="8">
        <f>G850+H851</f>
        <v>0</v>
      </c>
      <c r="H851" s="8">
        <f>IF($D851="VISA",$C851,0)</f>
        <v>0</v>
      </c>
      <c r="I851" s="8">
        <f>I850+J851</f>
        <v>0</v>
      </c>
      <c r="J851" s="8">
        <f>IF($D851="ACC",$C851,0)</f>
        <v>0</v>
      </c>
      <c r="K851" s="8">
        <f>K850+L851</f>
        <v>0</v>
      </c>
      <c r="L851" s="8">
        <f>IF($D851="CBB",$C851,0)</f>
        <v>0</v>
      </c>
    </row>
    <row r="852" spans="1:12" x14ac:dyDescent="0.25">
      <c r="A852" s="6"/>
      <c r="C852" s="7"/>
      <c r="E852" s="8">
        <f>E851+F852</f>
        <v>208576</v>
      </c>
      <c r="F852" s="8">
        <f>IF($D852="CR01",$C852,0)</f>
        <v>0</v>
      </c>
      <c r="G852" s="8">
        <f>G851+H852</f>
        <v>0</v>
      </c>
      <c r="H852" s="8">
        <f>IF($D852="VISA",$C852,0)</f>
        <v>0</v>
      </c>
      <c r="I852" s="8">
        <f>I851+J852</f>
        <v>0</v>
      </c>
      <c r="J852" s="8">
        <f>IF($D852="ACC",$C852,0)</f>
        <v>0</v>
      </c>
      <c r="K852" s="8">
        <f>K851+L852</f>
        <v>0</v>
      </c>
      <c r="L852" s="8">
        <f>IF($D852="CBB",$C852,0)</f>
        <v>0</v>
      </c>
    </row>
    <row r="853" spans="1:12" x14ac:dyDescent="0.25">
      <c r="A853" s="6"/>
      <c r="C853" s="7"/>
      <c r="E853" s="8">
        <f>E852+F853</f>
        <v>208576</v>
      </c>
      <c r="F853" s="8">
        <f>IF($D853="CR01",$C853,0)</f>
        <v>0</v>
      </c>
      <c r="G853" s="8">
        <f>G852+H853</f>
        <v>0</v>
      </c>
      <c r="H853" s="8">
        <f>IF($D853="VISA",$C853,0)</f>
        <v>0</v>
      </c>
      <c r="I853" s="8">
        <f>I852+J853</f>
        <v>0</v>
      </c>
      <c r="J853" s="8">
        <f>IF($D853="ACC",$C853,0)</f>
        <v>0</v>
      </c>
      <c r="K853" s="8">
        <f>K852+L853</f>
        <v>0</v>
      </c>
      <c r="L853" s="8">
        <f>IF($D853="CBB",$C853,0)</f>
        <v>0</v>
      </c>
    </row>
    <row r="854" spans="1:12" x14ac:dyDescent="0.25">
      <c r="A854" s="6"/>
      <c r="C854" s="7"/>
      <c r="E854" s="8">
        <f>E853+F854</f>
        <v>208576</v>
      </c>
      <c r="F854" s="8">
        <f>IF($D854="CR01",$C854,0)</f>
        <v>0</v>
      </c>
      <c r="G854" s="8">
        <f>G853+H854</f>
        <v>0</v>
      </c>
      <c r="H854" s="8">
        <f>IF($D854="VISA",$C854,0)</f>
        <v>0</v>
      </c>
      <c r="I854" s="8">
        <f>I853+J854</f>
        <v>0</v>
      </c>
      <c r="J854" s="8">
        <f>IF($D854="ACC",$C854,0)</f>
        <v>0</v>
      </c>
      <c r="K854" s="8">
        <f>K853+L854</f>
        <v>0</v>
      </c>
      <c r="L854" s="8">
        <f>IF($D854="CBB",$C854,0)</f>
        <v>0</v>
      </c>
    </row>
    <row r="855" spans="1:12" x14ac:dyDescent="0.25">
      <c r="A855" s="6"/>
      <c r="C855" s="7"/>
      <c r="E855" s="8">
        <f>E854+F855</f>
        <v>208576</v>
      </c>
      <c r="F855" s="8">
        <f>IF($D855="CR01",$C855,0)</f>
        <v>0</v>
      </c>
      <c r="G855" s="8">
        <f>G854+H855</f>
        <v>0</v>
      </c>
      <c r="H855" s="8">
        <f>IF($D855="VISA",$C855,0)</f>
        <v>0</v>
      </c>
      <c r="I855" s="8">
        <f>I854+J855</f>
        <v>0</v>
      </c>
      <c r="J855" s="8">
        <f>IF($D855="ACC",$C855,0)</f>
        <v>0</v>
      </c>
      <c r="K855" s="8">
        <f>K854+L855</f>
        <v>0</v>
      </c>
      <c r="L855" s="8">
        <f>IF($D855="CBB",$C855,0)</f>
        <v>0</v>
      </c>
    </row>
    <row r="856" spans="1:12" x14ac:dyDescent="0.25">
      <c r="A856" s="6"/>
      <c r="C856" s="7"/>
      <c r="E856" s="8">
        <f>E855+F856</f>
        <v>208576</v>
      </c>
      <c r="F856" s="8">
        <f>IF($D856="CR01",$C856,0)</f>
        <v>0</v>
      </c>
      <c r="G856" s="8">
        <f>G855+H856</f>
        <v>0</v>
      </c>
      <c r="H856" s="8">
        <f>IF($D856="VISA",$C856,0)</f>
        <v>0</v>
      </c>
      <c r="I856" s="8">
        <f>I855+J856</f>
        <v>0</v>
      </c>
      <c r="J856" s="8">
        <f>IF($D856="ACC",$C856,0)</f>
        <v>0</v>
      </c>
      <c r="K856" s="8">
        <f>K855+L856</f>
        <v>0</v>
      </c>
      <c r="L856" s="8">
        <f>IF($D856="CBB",$C856,0)</f>
        <v>0</v>
      </c>
    </row>
    <row r="857" spans="1:12" x14ac:dyDescent="0.25">
      <c r="A857" s="6"/>
      <c r="C857" s="7"/>
      <c r="E857" s="8">
        <f>E856+F857</f>
        <v>208576</v>
      </c>
      <c r="F857" s="8">
        <f>IF($D857="CR01",$C857,0)</f>
        <v>0</v>
      </c>
      <c r="G857" s="8">
        <f>G856+H857</f>
        <v>0</v>
      </c>
      <c r="H857" s="8">
        <f>IF($D857="VISA",$C857,0)</f>
        <v>0</v>
      </c>
      <c r="I857" s="8">
        <f>I856+J857</f>
        <v>0</v>
      </c>
      <c r="J857" s="8">
        <f>IF($D857="ACC",$C857,0)</f>
        <v>0</v>
      </c>
      <c r="K857" s="8">
        <f>K856+L857</f>
        <v>0</v>
      </c>
      <c r="L857" s="8">
        <f>IF($D857="CBB",$C857,0)</f>
        <v>0</v>
      </c>
    </row>
    <row r="858" spans="1:12" x14ac:dyDescent="0.25">
      <c r="A858" s="6"/>
      <c r="C858" s="7"/>
      <c r="E858" s="8">
        <f>E857+F858</f>
        <v>208576</v>
      </c>
      <c r="F858" s="8">
        <f>IF($D858="CR01",$C858,0)</f>
        <v>0</v>
      </c>
      <c r="G858" s="8">
        <f>G857+H858</f>
        <v>0</v>
      </c>
      <c r="H858" s="8">
        <f>IF($D858="VISA",$C858,0)</f>
        <v>0</v>
      </c>
      <c r="I858" s="8">
        <f>I857+J858</f>
        <v>0</v>
      </c>
      <c r="J858" s="8">
        <f>IF($D858="ACC",$C858,0)</f>
        <v>0</v>
      </c>
      <c r="K858" s="8">
        <f>K857+L858</f>
        <v>0</v>
      </c>
      <c r="L858" s="8">
        <f>IF($D858="CBB",$C858,0)</f>
        <v>0</v>
      </c>
    </row>
    <row r="859" spans="1:12" x14ac:dyDescent="0.25">
      <c r="A859" s="6"/>
      <c r="C859" s="7"/>
      <c r="E859" s="8">
        <f>E858+F859</f>
        <v>208576</v>
      </c>
      <c r="F859" s="8">
        <f>IF($D859="CR01",$C859,0)</f>
        <v>0</v>
      </c>
      <c r="G859" s="8">
        <f>G858+H859</f>
        <v>0</v>
      </c>
      <c r="H859" s="8">
        <f>IF($D859="VISA",$C859,0)</f>
        <v>0</v>
      </c>
      <c r="I859" s="8">
        <f>I858+J859</f>
        <v>0</v>
      </c>
      <c r="J859" s="8">
        <f>IF($D859="ACC",$C859,0)</f>
        <v>0</v>
      </c>
      <c r="K859" s="8">
        <f>K858+L859</f>
        <v>0</v>
      </c>
      <c r="L859" s="8">
        <f>IF($D859="CBB",$C859,0)</f>
        <v>0</v>
      </c>
    </row>
    <row r="860" spans="1:12" x14ac:dyDescent="0.25">
      <c r="A860" s="6"/>
      <c r="C860" s="7"/>
      <c r="E860" s="8">
        <f>E859+F860</f>
        <v>208576</v>
      </c>
      <c r="F860" s="8">
        <f>IF($D860="CR01",$C860,0)</f>
        <v>0</v>
      </c>
      <c r="G860" s="8">
        <f>G859+H860</f>
        <v>0</v>
      </c>
      <c r="H860" s="8">
        <f>IF($D860="VISA",$C860,0)</f>
        <v>0</v>
      </c>
      <c r="I860" s="8">
        <f>I859+J860</f>
        <v>0</v>
      </c>
      <c r="J860" s="8">
        <f>IF($D860="ACC",$C860,0)</f>
        <v>0</v>
      </c>
      <c r="K860" s="8">
        <f>K859+L860</f>
        <v>0</v>
      </c>
      <c r="L860" s="8">
        <f>IF($D860="CBB",$C860,0)</f>
        <v>0</v>
      </c>
    </row>
    <row r="861" spans="1:12" x14ac:dyDescent="0.25">
      <c r="A861" s="6"/>
      <c r="C861" s="7"/>
      <c r="E861" s="8">
        <f>E860+F861</f>
        <v>208576</v>
      </c>
      <c r="F861" s="8">
        <f>IF($D861="CR01",$C861,0)</f>
        <v>0</v>
      </c>
      <c r="G861" s="8">
        <f>G860+H861</f>
        <v>0</v>
      </c>
      <c r="H861" s="8">
        <f>IF($D861="VISA",$C861,0)</f>
        <v>0</v>
      </c>
      <c r="I861" s="8">
        <f>I860+J861</f>
        <v>0</v>
      </c>
      <c r="J861" s="8">
        <f>IF($D861="ACC",$C861,0)</f>
        <v>0</v>
      </c>
      <c r="K861" s="8">
        <f>K860+L861</f>
        <v>0</v>
      </c>
      <c r="L861" s="8">
        <f>IF($D861="CBB",$C861,0)</f>
        <v>0</v>
      </c>
    </row>
    <row r="862" spans="1:12" x14ac:dyDescent="0.25">
      <c r="A862" s="6"/>
      <c r="C862" s="7"/>
      <c r="E862" s="8">
        <f>E861+F862</f>
        <v>208576</v>
      </c>
      <c r="F862" s="8">
        <f>IF($D862="CR01",$C862,0)</f>
        <v>0</v>
      </c>
      <c r="G862" s="8">
        <f>G861+H862</f>
        <v>0</v>
      </c>
      <c r="H862" s="8">
        <f>IF($D862="VISA",$C862,0)</f>
        <v>0</v>
      </c>
      <c r="I862" s="8">
        <f>I861+J862</f>
        <v>0</v>
      </c>
      <c r="J862" s="8">
        <f>IF($D862="ACC",$C862,0)</f>
        <v>0</v>
      </c>
      <c r="K862" s="8">
        <f>K861+L862</f>
        <v>0</v>
      </c>
      <c r="L862" s="8">
        <f>IF($D862="CBB",$C862,0)</f>
        <v>0</v>
      </c>
    </row>
    <row r="863" spans="1:12" x14ac:dyDescent="0.25">
      <c r="A863" s="6"/>
      <c r="C863" s="7"/>
      <c r="E863" s="8">
        <f>E862+F863</f>
        <v>208576</v>
      </c>
      <c r="F863" s="8">
        <f>IF($D863="CR01",$C863,0)</f>
        <v>0</v>
      </c>
      <c r="G863" s="8">
        <f>G862+H863</f>
        <v>0</v>
      </c>
      <c r="H863" s="8">
        <f>IF($D863="VISA",$C863,0)</f>
        <v>0</v>
      </c>
      <c r="I863" s="8">
        <f>I862+J863</f>
        <v>0</v>
      </c>
      <c r="J863" s="8">
        <f>IF($D863="ACC",$C863,0)</f>
        <v>0</v>
      </c>
      <c r="K863" s="8">
        <f>K862+L863</f>
        <v>0</v>
      </c>
      <c r="L863" s="8">
        <f>IF($D863="CBB",$C863,0)</f>
        <v>0</v>
      </c>
    </row>
    <row r="864" spans="1:12" x14ac:dyDescent="0.25">
      <c r="A864" s="6"/>
      <c r="C864" s="7"/>
      <c r="E864" s="8">
        <f>E863+F864</f>
        <v>208576</v>
      </c>
      <c r="F864" s="8">
        <f>IF($D864="CR01",$C864,0)</f>
        <v>0</v>
      </c>
      <c r="G864" s="8">
        <f>G863+H864</f>
        <v>0</v>
      </c>
      <c r="H864" s="8">
        <f>IF($D864="VISA",$C864,0)</f>
        <v>0</v>
      </c>
      <c r="I864" s="8">
        <f>I863+J864</f>
        <v>0</v>
      </c>
      <c r="J864" s="8">
        <f>IF($D864="ACC",$C864,0)</f>
        <v>0</v>
      </c>
      <c r="K864" s="8">
        <f>K863+L864</f>
        <v>0</v>
      </c>
      <c r="L864" s="8">
        <f>IF($D864="CBB",$C864,0)</f>
        <v>0</v>
      </c>
    </row>
    <row r="865" spans="1:12" x14ac:dyDescent="0.25">
      <c r="A865" s="6"/>
      <c r="C865" s="7"/>
      <c r="E865" s="8">
        <f>E864+F865</f>
        <v>208576</v>
      </c>
      <c r="F865" s="8">
        <f>IF($D865="CR01",$C865,0)</f>
        <v>0</v>
      </c>
      <c r="G865" s="8">
        <f>G864+H865</f>
        <v>0</v>
      </c>
      <c r="H865" s="8">
        <f>IF($D865="VISA",$C865,0)</f>
        <v>0</v>
      </c>
      <c r="I865" s="8">
        <f>I864+J865</f>
        <v>0</v>
      </c>
      <c r="J865" s="8">
        <f>IF($D865="ACC",$C865,0)</f>
        <v>0</v>
      </c>
      <c r="K865" s="8">
        <f>K864+L865</f>
        <v>0</v>
      </c>
      <c r="L865" s="8">
        <f>IF($D865="CBB",$C865,0)</f>
        <v>0</v>
      </c>
    </row>
    <row r="866" spans="1:12" x14ac:dyDescent="0.25">
      <c r="A866" s="6"/>
      <c r="C866" s="7"/>
      <c r="E866" s="8">
        <f>E865+F866</f>
        <v>208576</v>
      </c>
      <c r="F866" s="8">
        <f>IF($D866="CR01",$C866,0)</f>
        <v>0</v>
      </c>
      <c r="G866" s="8">
        <f>G865+H866</f>
        <v>0</v>
      </c>
      <c r="H866" s="8">
        <f>IF($D866="VISA",$C866,0)</f>
        <v>0</v>
      </c>
      <c r="I866" s="8">
        <f>I865+J866</f>
        <v>0</v>
      </c>
      <c r="J866" s="8">
        <f>IF($D866="ACC",$C866,0)</f>
        <v>0</v>
      </c>
      <c r="K866" s="8">
        <f>K865+L866</f>
        <v>0</v>
      </c>
      <c r="L866" s="8">
        <f>IF($D866="CBB",$C866,0)</f>
        <v>0</v>
      </c>
    </row>
    <row r="867" spans="1:12" x14ac:dyDescent="0.25">
      <c r="A867" s="6"/>
      <c r="C867" s="7"/>
      <c r="E867" s="8">
        <f>E866+F867</f>
        <v>208576</v>
      </c>
      <c r="F867" s="8">
        <f>IF($D867="CR01",$C867,0)</f>
        <v>0</v>
      </c>
      <c r="G867" s="8">
        <f>G866+H867</f>
        <v>0</v>
      </c>
      <c r="H867" s="8">
        <f>IF($D867="VISA",$C867,0)</f>
        <v>0</v>
      </c>
      <c r="I867" s="8">
        <f>I866+J867</f>
        <v>0</v>
      </c>
      <c r="J867" s="8">
        <f>IF($D867="ACC",$C867,0)</f>
        <v>0</v>
      </c>
      <c r="K867" s="8">
        <f>K866+L867</f>
        <v>0</v>
      </c>
      <c r="L867" s="8">
        <f>IF($D867="CBB",$C867,0)</f>
        <v>0</v>
      </c>
    </row>
    <row r="868" spans="1:12" x14ac:dyDescent="0.25">
      <c r="A868" s="6"/>
      <c r="C868" s="7"/>
      <c r="E868" s="8">
        <f>E867+F868</f>
        <v>208576</v>
      </c>
      <c r="F868" s="8">
        <f>IF($D868="CR01",$C868,0)</f>
        <v>0</v>
      </c>
      <c r="G868" s="8">
        <f>G867+H868</f>
        <v>0</v>
      </c>
      <c r="H868" s="8">
        <f>IF($D868="VISA",$C868,0)</f>
        <v>0</v>
      </c>
      <c r="I868" s="8">
        <f>I867+J868</f>
        <v>0</v>
      </c>
      <c r="J868" s="8">
        <f>IF($D868="ACC",$C868,0)</f>
        <v>0</v>
      </c>
      <c r="K868" s="8">
        <f>K867+L868</f>
        <v>0</v>
      </c>
      <c r="L868" s="8">
        <f>IF($D868="CBB",$C868,0)</f>
        <v>0</v>
      </c>
    </row>
    <row r="869" spans="1:12" x14ac:dyDescent="0.25">
      <c r="A869" s="6"/>
      <c r="C869" s="7"/>
      <c r="E869" s="8">
        <f>E868+F869</f>
        <v>208576</v>
      </c>
      <c r="F869" s="8">
        <f>IF($D869="CR01",$C869,0)</f>
        <v>0</v>
      </c>
      <c r="G869" s="8">
        <f>G868+H869</f>
        <v>0</v>
      </c>
      <c r="H869" s="8">
        <f>IF($D869="VISA",$C869,0)</f>
        <v>0</v>
      </c>
      <c r="I869" s="8">
        <f>I868+J869</f>
        <v>0</v>
      </c>
      <c r="J869" s="8">
        <f>IF($D869="ACC",$C869,0)</f>
        <v>0</v>
      </c>
      <c r="K869" s="8">
        <f>K868+L869</f>
        <v>0</v>
      </c>
      <c r="L869" s="8">
        <f>IF($D869="CBB",$C869,0)</f>
        <v>0</v>
      </c>
    </row>
    <row r="870" spans="1:12" x14ac:dyDescent="0.25">
      <c r="A870" s="6"/>
      <c r="C870" s="7"/>
      <c r="E870" s="8">
        <f>E869+F870</f>
        <v>208576</v>
      </c>
      <c r="F870" s="8">
        <f>IF($D870="CR01",$C870,0)</f>
        <v>0</v>
      </c>
      <c r="G870" s="8">
        <f>G869+H870</f>
        <v>0</v>
      </c>
      <c r="H870" s="8">
        <f>IF($D870="VISA",$C870,0)</f>
        <v>0</v>
      </c>
      <c r="I870" s="8">
        <f>I869+J870</f>
        <v>0</v>
      </c>
      <c r="J870" s="8">
        <f>IF($D870="ACC",$C870,0)</f>
        <v>0</v>
      </c>
      <c r="K870" s="8">
        <f>K869+L870</f>
        <v>0</v>
      </c>
      <c r="L870" s="8">
        <f>IF($D870="CBB",$C870,0)</f>
        <v>0</v>
      </c>
    </row>
    <row r="871" spans="1:12" x14ac:dyDescent="0.25">
      <c r="A871" s="6"/>
      <c r="C871" s="7"/>
      <c r="E871" s="8">
        <f>E870+F871</f>
        <v>208576</v>
      </c>
      <c r="F871" s="8">
        <f>IF($D871="CR01",$C871,0)</f>
        <v>0</v>
      </c>
      <c r="G871" s="8">
        <f>G870+H871</f>
        <v>0</v>
      </c>
      <c r="H871" s="8">
        <f>IF($D871="VISA",$C871,0)</f>
        <v>0</v>
      </c>
      <c r="I871" s="8">
        <f>I870+J871</f>
        <v>0</v>
      </c>
      <c r="J871" s="8">
        <f>IF($D871="ACC",$C871,0)</f>
        <v>0</v>
      </c>
      <c r="K871" s="8">
        <f>K870+L871</f>
        <v>0</v>
      </c>
      <c r="L871" s="8">
        <f>IF($D871="CBB",$C871,0)</f>
        <v>0</v>
      </c>
    </row>
    <row r="872" spans="1:12" x14ac:dyDescent="0.25">
      <c r="A872" s="6"/>
      <c r="C872" s="7"/>
      <c r="E872" s="8">
        <f>E871+F872</f>
        <v>208576</v>
      </c>
      <c r="F872" s="8">
        <f>IF($D872="CR01",$C872,0)</f>
        <v>0</v>
      </c>
      <c r="G872" s="8">
        <f>G871+H872</f>
        <v>0</v>
      </c>
      <c r="H872" s="8">
        <f>IF($D872="VISA",$C872,0)</f>
        <v>0</v>
      </c>
      <c r="I872" s="8">
        <f>I871+J872</f>
        <v>0</v>
      </c>
      <c r="J872" s="8">
        <f>IF($D872="ACC",$C872,0)</f>
        <v>0</v>
      </c>
      <c r="K872" s="8">
        <f>K871+L872</f>
        <v>0</v>
      </c>
      <c r="L872" s="8">
        <f>IF($D872="CBB",$C872,0)</f>
        <v>0</v>
      </c>
    </row>
    <row r="873" spans="1:12" x14ac:dyDescent="0.25">
      <c r="A873" s="6"/>
      <c r="C873" s="7"/>
      <c r="E873" s="8">
        <f>E872+F873</f>
        <v>208576</v>
      </c>
      <c r="F873" s="8">
        <f>IF($D873="CR01",$C873,0)</f>
        <v>0</v>
      </c>
      <c r="G873" s="8">
        <f>G872+H873</f>
        <v>0</v>
      </c>
      <c r="H873" s="8">
        <f>IF($D873="VISA",$C873,0)</f>
        <v>0</v>
      </c>
      <c r="I873" s="8">
        <f>I872+J873</f>
        <v>0</v>
      </c>
      <c r="J873" s="8">
        <f>IF($D873="ACC",$C873,0)</f>
        <v>0</v>
      </c>
      <c r="K873" s="8">
        <f>K872+L873</f>
        <v>0</v>
      </c>
      <c r="L873" s="8">
        <f>IF($D873="CBB",$C873,0)</f>
        <v>0</v>
      </c>
    </row>
    <row r="874" spans="1:12" x14ac:dyDescent="0.25">
      <c r="A874" s="6"/>
      <c r="C874" s="7"/>
      <c r="E874" s="8">
        <f>E873+F874</f>
        <v>208576</v>
      </c>
      <c r="F874" s="8">
        <f>IF($D874="CR01",$C874,0)</f>
        <v>0</v>
      </c>
      <c r="G874" s="8">
        <f>G873+H874</f>
        <v>0</v>
      </c>
      <c r="H874" s="8">
        <f>IF($D874="VISA",$C874,0)</f>
        <v>0</v>
      </c>
      <c r="I874" s="8">
        <f>I873+J874</f>
        <v>0</v>
      </c>
      <c r="J874" s="8">
        <f>IF($D874="ACC",$C874,0)</f>
        <v>0</v>
      </c>
      <c r="K874" s="8">
        <f>K873+L874</f>
        <v>0</v>
      </c>
      <c r="L874" s="8">
        <f>IF($D874="CBB",$C874,0)</f>
        <v>0</v>
      </c>
    </row>
    <row r="875" spans="1:12" x14ac:dyDescent="0.25">
      <c r="A875" s="6"/>
      <c r="C875" s="7"/>
      <c r="E875" s="8">
        <f>E874+F875</f>
        <v>208576</v>
      </c>
      <c r="F875" s="8">
        <f>IF($D875="CR01",$C875,0)</f>
        <v>0</v>
      </c>
      <c r="G875" s="8">
        <f>G874+H875</f>
        <v>0</v>
      </c>
      <c r="H875" s="8">
        <f>IF($D875="VISA",$C875,0)</f>
        <v>0</v>
      </c>
      <c r="I875" s="8">
        <f>I874+J875</f>
        <v>0</v>
      </c>
      <c r="J875" s="8">
        <f>IF($D875="ACC",$C875,0)</f>
        <v>0</v>
      </c>
      <c r="K875" s="8">
        <f>K874+L875</f>
        <v>0</v>
      </c>
      <c r="L875" s="8">
        <f>IF($D875="CBB",$C875,0)</f>
        <v>0</v>
      </c>
    </row>
    <row r="876" spans="1:12" x14ac:dyDescent="0.25">
      <c r="A876" s="6"/>
      <c r="C876" s="7"/>
      <c r="E876" s="8">
        <f>E875+F876</f>
        <v>208576</v>
      </c>
      <c r="F876" s="8">
        <f>IF($D876="CR01",$C876,0)</f>
        <v>0</v>
      </c>
      <c r="G876" s="8">
        <f>G875+H876</f>
        <v>0</v>
      </c>
      <c r="H876" s="8">
        <f>IF($D876="VISA",$C876,0)</f>
        <v>0</v>
      </c>
      <c r="I876" s="8">
        <f>I875+J876</f>
        <v>0</v>
      </c>
      <c r="J876" s="8">
        <f>IF($D876="ACC",$C876,0)</f>
        <v>0</v>
      </c>
      <c r="K876" s="8">
        <f>K875+L876</f>
        <v>0</v>
      </c>
      <c r="L876" s="8">
        <f>IF($D876="CBB",$C876,0)</f>
        <v>0</v>
      </c>
    </row>
    <row r="877" spans="1:12" x14ac:dyDescent="0.25">
      <c r="A877" s="6"/>
      <c r="C877" s="7"/>
      <c r="E877" s="8">
        <f>E876+F877</f>
        <v>208576</v>
      </c>
      <c r="F877" s="8">
        <f>IF($D877="CR01",$C877,0)</f>
        <v>0</v>
      </c>
      <c r="G877" s="8">
        <f>G876+H877</f>
        <v>0</v>
      </c>
      <c r="H877" s="8">
        <f>IF($D877="VISA",$C877,0)</f>
        <v>0</v>
      </c>
      <c r="I877" s="8">
        <f>I876+J877</f>
        <v>0</v>
      </c>
      <c r="J877" s="8">
        <f>IF($D877="ACC",$C877,0)</f>
        <v>0</v>
      </c>
      <c r="K877" s="8">
        <f>K876+L877</f>
        <v>0</v>
      </c>
      <c r="L877" s="8">
        <f>IF($D877="CBB",$C877,0)</f>
        <v>0</v>
      </c>
    </row>
    <row r="878" spans="1:12" x14ac:dyDescent="0.25">
      <c r="A878" s="6"/>
      <c r="C878" s="7"/>
      <c r="E878" s="8">
        <f>E877+F878</f>
        <v>208576</v>
      </c>
      <c r="F878" s="8">
        <f>IF($D878="CR01",$C878,0)</f>
        <v>0</v>
      </c>
      <c r="G878" s="8">
        <f>G877+H878</f>
        <v>0</v>
      </c>
      <c r="H878" s="8">
        <f>IF($D878="VISA",$C878,0)</f>
        <v>0</v>
      </c>
      <c r="I878" s="8">
        <f>I877+J878</f>
        <v>0</v>
      </c>
      <c r="J878" s="8">
        <f>IF($D878="ACC",$C878,0)</f>
        <v>0</v>
      </c>
      <c r="K878" s="8">
        <f>K877+L878</f>
        <v>0</v>
      </c>
      <c r="L878" s="8">
        <f>IF($D878="CBB",$C878,0)</f>
        <v>0</v>
      </c>
    </row>
    <row r="879" spans="1:12" x14ac:dyDescent="0.25">
      <c r="A879" s="6"/>
      <c r="C879" s="7"/>
      <c r="E879" s="8">
        <f>E878+F879</f>
        <v>208576</v>
      </c>
      <c r="F879" s="8">
        <f>IF($D879="CR01",$C879,0)</f>
        <v>0</v>
      </c>
      <c r="G879" s="8">
        <f>G878+H879</f>
        <v>0</v>
      </c>
      <c r="H879" s="8">
        <f>IF($D879="VISA",$C879,0)</f>
        <v>0</v>
      </c>
      <c r="I879" s="8">
        <f>I878+J879</f>
        <v>0</v>
      </c>
      <c r="J879" s="8">
        <f>IF($D879="ACC",$C879,0)</f>
        <v>0</v>
      </c>
      <c r="K879" s="8">
        <f>K878+L879</f>
        <v>0</v>
      </c>
      <c r="L879" s="8">
        <f>IF($D879="CBB",$C879,0)</f>
        <v>0</v>
      </c>
    </row>
    <row r="880" spans="1:12" x14ac:dyDescent="0.25">
      <c r="A880" s="6"/>
      <c r="C880" s="7"/>
      <c r="E880" s="8">
        <f>E879+F880</f>
        <v>208576</v>
      </c>
      <c r="F880" s="8">
        <f>IF($D880="CR01",$C880,0)</f>
        <v>0</v>
      </c>
      <c r="G880" s="8">
        <f>G879+H880</f>
        <v>0</v>
      </c>
      <c r="H880" s="8">
        <f>IF($D880="VISA",$C880,0)</f>
        <v>0</v>
      </c>
      <c r="I880" s="8">
        <f>I879+J880</f>
        <v>0</v>
      </c>
      <c r="J880" s="8">
        <f>IF($D880="ACC",$C880,0)</f>
        <v>0</v>
      </c>
      <c r="K880" s="8">
        <f>K879+L880</f>
        <v>0</v>
      </c>
      <c r="L880" s="8">
        <f>IF($D880="CBB",$C880,0)</f>
        <v>0</v>
      </c>
    </row>
    <row r="881" spans="1:12" x14ac:dyDescent="0.25">
      <c r="A881" s="6"/>
      <c r="C881" s="7"/>
      <c r="E881" s="8"/>
      <c r="F881" s="8"/>
      <c r="G881" s="8"/>
      <c r="H881" s="8"/>
      <c r="I881" s="8"/>
      <c r="J881" s="8"/>
      <c r="K881" s="8"/>
      <c r="L881" s="8"/>
    </row>
    <row r="882" spans="1:12" x14ac:dyDescent="0.25">
      <c r="A882" s="6"/>
      <c r="C882" s="7"/>
      <c r="E882" s="8"/>
      <c r="F882" s="8"/>
      <c r="G882" s="8"/>
      <c r="H882" s="8"/>
      <c r="I882" s="8"/>
      <c r="J882" s="8"/>
      <c r="K882" s="8"/>
      <c r="L882" s="8"/>
    </row>
    <row r="883" spans="1:12" x14ac:dyDescent="0.25">
      <c r="A883" s="6"/>
      <c r="C883" s="7"/>
      <c r="E883" s="8"/>
      <c r="F883" s="8"/>
      <c r="G883" s="8"/>
      <c r="H883" s="8"/>
      <c r="I883" s="8"/>
      <c r="J883" s="8"/>
      <c r="K883" s="8"/>
      <c r="L883" s="8"/>
    </row>
    <row r="884" spans="1:12" x14ac:dyDescent="0.25">
      <c r="A884" s="6"/>
      <c r="C884" s="7"/>
      <c r="E884" s="8"/>
      <c r="F884" s="8"/>
      <c r="G884" s="8"/>
      <c r="H884" s="8"/>
      <c r="I884" s="8"/>
      <c r="J884" s="8"/>
      <c r="K884" s="8"/>
      <c r="L884" s="8"/>
    </row>
    <row r="885" spans="1:12" x14ac:dyDescent="0.25">
      <c r="A885" s="6"/>
      <c r="C885" s="7"/>
      <c r="E885" s="8"/>
      <c r="F885" s="8"/>
      <c r="G885" s="8"/>
      <c r="H885" s="8"/>
      <c r="I885" s="8"/>
      <c r="J885" s="8"/>
      <c r="K885" s="8"/>
      <c r="L885" s="8"/>
    </row>
    <row r="886" spans="1:12" x14ac:dyDescent="0.25">
      <c r="A886" s="6"/>
      <c r="C886" s="7"/>
      <c r="E886" s="8"/>
      <c r="F886" s="8"/>
      <c r="G886" s="8"/>
      <c r="H886" s="8"/>
      <c r="I886" s="8"/>
      <c r="J886" s="8"/>
      <c r="K886" s="8"/>
      <c r="L886" s="8"/>
    </row>
    <row r="887" spans="1:12" x14ac:dyDescent="0.25">
      <c r="A887" s="6"/>
      <c r="C887" s="7"/>
      <c r="E887" s="8"/>
      <c r="F887" s="8"/>
      <c r="G887" s="8"/>
      <c r="H887" s="8"/>
      <c r="I887" s="8"/>
      <c r="J887" s="8"/>
      <c r="K887" s="8"/>
      <c r="L887" s="8"/>
    </row>
    <row r="888" spans="1:12" x14ac:dyDescent="0.25">
      <c r="A888" s="6"/>
      <c r="C888" s="7"/>
      <c r="E888" s="8"/>
      <c r="F888" s="8"/>
      <c r="G888" s="8"/>
      <c r="H888" s="8"/>
      <c r="I888" s="8"/>
      <c r="J888" s="8"/>
      <c r="K888" s="8"/>
      <c r="L888" s="8"/>
    </row>
    <row r="889" spans="1:12" x14ac:dyDescent="0.25">
      <c r="A889" s="6"/>
      <c r="C889" s="7"/>
      <c r="E889" s="8"/>
      <c r="F889" s="8"/>
      <c r="G889" s="8"/>
      <c r="H889" s="8"/>
      <c r="I889" s="8"/>
      <c r="J889" s="8"/>
      <c r="K889" s="8"/>
      <c r="L889" s="8"/>
    </row>
    <row r="890" spans="1:12" x14ac:dyDescent="0.25">
      <c r="A890" s="6"/>
      <c r="C890" s="7"/>
      <c r="E890" s="8"/>
      <c r="F890" s="8"/>
      <c r="G890" s="8"/>
      <c r="H890" s="8"/>
      <c r="I890" s="8"/>
      <c r="J890" s="8"/>
      <c r="K890" s="8"/>
      <c r="L890" s="8"/>
    </row>
    <row r="891" spans="1:12" x14ac:dyDescent="0.25">
      <c r="A891" s="6"/>
      <c r="C891" s="7"/>
      <c r="E891" s="8"/>
      <c r="F891" s="8"/>
      <c r="G891" s="8"/>
      <c r="H891" s="8"/>
      <c r="I891" s="8"/>
      <c r="J891" s="8"/>
      <c r="K891" s="8"/>
      <c r="L891" s="8"/>
    </row>
    <row r="892" spans="1:12" x14ac:dyDescent="0.25">
      <c r="A892" s="6"/>
      <c r="C892" s="7"/>
      <c r="E892" s="8"/>
      <c r="F892" s="8"/>
      <c r="G892" s="8"/>
      <c r="H892" s="8"/>
      <c r="I892" s="8"/>
      <c r="J892" s="8"/>
      <c r="K892" s="8"/>
      <c r="L892" s="8"/>
    </row>
    <row r="893" spans="1:12" x14ac:dyDescent="0.25">
      <c r="A893" s="6"/>
      <c r="C893" s="7"/>
      <c r="E893" s="8"/>
      <c r="F893" s="8"/>
      <c r="G893" s="8"/>
      <c r="H893" s="8"/>
      <c r="I893" s="8"/>
      <c r="J893" s="8"/>
      <c r="K893" s="8"/>
      <c r="L893" s="8"/>
    </row>
    <row r="894" spans="1:12" x14ac:dyDescent="0.25">
      <c r="A894" s="6"/>
      <c r="C894" s="7"/>
      <c r="E894" s="8"/>
      <c r="F894" s="8"/>
      <c r="G894" s="8"/>
      <c r="H894" s="8"/>
      <c r="I894" s="8"/>
      <c r="J894" s="8"/>
      <c r="K894" s="8"/>
      <c r="L894" s="8"/>
    </row>
    <row r="895" spans="1:12" x14ac:dyDescent="0.25">
      <c r="A895" s="6"/>
      <c r="C895" s="7"/>
      <c r="E895" s="8"/>
      <c r="F895" s="8"/>
      <c r="G895" s="8"/>
      <c r="H895" s="8"/>
      <c r="I895" s="8"/>
      <c r="J895" s="8"/>
      <c r="K895" s="8"/>
      <c r="L895" s="8"/>
    </row>
    <row r="896" spans="1:12" x14ac:dyDescent="0.25">
      <c r="A896" s="6"/>
      <c r="C896" s="7"/>
      <c r="E896" s="8"/>
      <c r="F896" s="8"/>
      <c r="G896" s="8"/>
      <c r="H896" s="8"/>
      <c r="I896" s="8"/>
      <c r="J896" s="8"/>
      <c r="K896" s="8"/>
      <c r="L896" s="8"/>
    </row>
    <row r="897" spans="1:12" x14ac:dyDescent="0.25">
      <c r="A897" s="6"/>
      <c r="C897" s="7"/>
      <c r="E897" s="8"/>
      <c r="F897" s="8"/>
      <c r="G897" s="8"/>
      <c r="H897" s="8"/>
      <c r="I897" s="8"/>
      <c r="J897" s="8"/>
      <c r="K897" s="8"/>
      <c r="L897" s="8"/>
    </row>
    <row r="898" spans="1:12" x14ac:dyDescent="0.25">
      <c r="A898" s="6"/>
      <c r="C898" s="7"/>
      <c r="E898" s="8"/>
      <c r="F898" s="8"/>
      <c r="G898" s="8"/>
      <c r="H898" s="8"/>
      <c r="I898" s="8"/>
      <c r="J898" s="8"/>
      <c r="K898" s="8"/>
      <c r="L898" s="8"/>
    </row>
    <row r="899" spans="1:12" x14ac:dyDescent="0.25">
      <c r="A899" s="6"/>
      <c r="C899" s="7"/>
      <c r="E899" s="8"/>
      <c r="F899" s="8"/>
      <c r="G899" s="8"/>
      <c r="H899" s="8"/>
      <c r="I899" s="8"/>
      <c r="J899" s="8"/>
      <c r="K899" s="8"/>
      <c r="L899" s="8"/>
    </row>
    <row r="900" spans="1:12" x14ac:dyDescent="0.25">
      <c r="A900" s="6"/>
      <c r="C900" s="7"/>
      <c r="E900" s="8"/>
      <c r="F900" s="8"/>
      <c r="G900" s="8"/>
      <c r="H900" s="8"/>
      <c r="I900" s="8"/>
      <c r="J900" s="8"/>
      <c r="K900" s="8"/>
      <c r="L900" s="8"/>
    </row>
    <row r="901" spans="1:12" x14ac:dyDescent="0.25">
      <c r="A901" s="6"/>
      <c r="C901" s="7"/>
      <c r="E901" s="8"/>
      <c r="F901" s="8"/>
      <c r="G901" s="8"/>
      <c r="H901" s="8"/>
      <c r="I901" s="8"/>
      <c r="J901" s="8"/>
      <c r="K901" s="8"/>
      <c r="L901" s="8"/>
    </row>
    <row r="902" spans="1:12" x14ac:dyDescent="0.25">
      <c r="A902" s="6"/>
      <c r="C902" s="7"/>
      <c r="E902" s="8"/>
      <c r="F902" s="8"/>
      <c r="G902" s="8"/>
      <c r="H902" s="8"/>
      <c r="I902" s="8"/>
      <c r="J902" s="8"/>
      <c r="K902" s="8"/>
      <c r="L902" s="8"/>
    </row>
    <row r="903" spans="1:12" x14ac:dyDescent="0.25">
      <c r="A903" s="6"/>
      <c r="C903" s="7"/>
      <c r="E903" s="8"/>
      <c r="F903" s="8"/>
      <c r="G903" s="8"/>
      <c r="H903" s="8"/>
      <c r="I903" s="8"/>
      <c r="J903" s="8"/>
      <c r="K903" s="8"/>
      <c r="L903" s="8"/>
    </row>
    <row r="904" spans="1:12" x14ac:dyDescent="0.25">
      <c r="A904" s="6"/>
      <c r="C904" s="7"/>
      <c r="E904" s="8"/>
      <c r="F904" s="8"/>
      <c r="G904" s="8"/>
      <c r="H904" s="8"/>
      <c r="I904" s="8"/>
      <c r="J904" s="8"/>
      <c r="K904" s="8"/>
      <c r="L904" s="8"/>
    </row>
    <row r="905" spans="1:12" x14ac:dyDescent="0.25">
      <c r="A905" s="6"/>
      <c r="C905" s="7"/>
      <c r="E905" s="8"/>
      <c r="F905" s="8"/>
      <c r="G905" s="8"/>
      <c r="H905" s="8"/>
      <c r="I905" s="8"/>
      <c r="J905" s="8"/>
      <c r="K905" s="8"/>
      <c r="L905" s="8"/>
    </row>
    <row r="906" spans="1:12" x14ac:dyDescent="0.25">
      <c r="A906" s="6"/>
      <c r="C906" s="7"/>
      <c r="E906" s="8"/>
      <c r="F906" s="8"/>
      <c r="G906" s="8"/>
      <c r="H906" s="8"/>
      <c r="I906" s="8"/>
      <c r="J906" s="8"/>
      <c r="K906" s="8"/>
      <c r="L906" s="8"/>
    </row>
    <row r="907" spans="1:12" x14ac:dyDescent="0.25">
      <c r="A907" s="6"/>
      <c r="C907" s="7"/>
      <c r="E907" s="8"/>
      <c r="F907" s="8"/>
      <c r="G907" s="8"/>
      <c r="H907" s="8"/>
      <c r="I907" s="8"/>
      <c r="J907" s="8"/>
      <c r="K907" s="8"/>
      <c r="L907" s="8"/>
    </row>
    <row r="908" spans="1:12" x14ac:dyDescent="0.25">
      <c r="A908" s="6"/>
      <c r="C908" s="7"/>
      <c r="E908" s="8"/>
      <c r="F908" s="8"/>
      <c r="G908" s="8"/>
      <c r="H908" s="8"/>
      <c r="I908" s="8"/>
      <c r="J908" s="8"/>
      <c r="K908" s="8"/>
      <c r="L908" s="8"/>
    </row>
    <row r="909" spans="1:12" x14ac:dyDescent="0.25">
      <c r="A909" s="6"/>
      <c r="C909" s="7"/>
      <c r="E909" s="8"/>
      <c r="F909" s="8"/>
      <c r="G909" s="8"/>
      <c r="H909" s="8"/>
      <c r="I909" s="8"/>
      <c r="J909" s="8"/>
      <c r="K909" s="8"/>
      <c r="L909" s="8"/>
    </row>
    <row r="910" spans="1:12" x14ac:dyDescent="0.25">
      <c r="A910" s="6"/>
      <c r="C910" s="7"/>
      <c r="E910" s="8"/>
      <c r="F910" s="8"/>
      <c r="G910" s="8"/>
      <c r="H910" s="8"/>
      <c r="I910" s="8"/>
      <c r="J910" s="8"/>
      <c r="K910" s="8"/>
      <c r="L910" s="8"/>
    </row>
    <row r="911" spans="1:12" x14ac:dyDescent="0.25">
      <c r="A911" s="6"/>
      <c r="C911" s="7"/>
      <c r="E911" s="8"/>
      <c r="F911" s="8"/>
      <c r="G911" s="8"/>
      <c r="H911" s="8"/>
      <c r="I911" s="8"/>
      <c r="J911" s="8"/>
      <c r="K911" s="8"/>
      <c r="L911" s="8"/>
    </row>
    <row r="912" spans="1:12" x14ac:dyDescent="0.25">
      <c r="A912" s="6"/>
      <c r="C912" s="7"/>
      <c r="E912" s="8"/>
      <c r="F912" s="8"/>
      <c r="G912" s="8"/>
      <c r="H912" s="8"/>
      <c r="I912" s="8"/>
      <c r="J912" s="8"/>
      <c r="K912" s="8"/>
      <c r="L912" s="8"/>
    </row>
    <row r="913" spans="1:12" x14ac:dyDescent="0.25">
      <c r="A913" s="6"/>
      <c r="C913" s="7"/>
      <c r="E913" s="8"/>
      <c r="F913" s="8"/>
      <c r="G913" s="8"/>
      <c r="H913" s="8"/>
      <c r="I913" s="8"/>
      <c r="J913" s="8"/>
      <c r="K913" s="8"/>
      <c r="L913" s="8"/>
    </row>
    <row r="914" spans="1:12" x14ac:dyDescent="0.25">
      <c r="A914" s="6"/>
      <c r="C914" s="7"/>
      <c r="E914" s="8"/>
      <c r="F914" s="8"/>
      <c r="G914" s="8"/>
      <c r="H914" s="8"/>
      <c r="I914" s="8"/>
      <c r="J914" s="8"/>
      <c r="K914" s="8"/>
      <c r="L914" s="8"/>
    </row>
    <row r="915" spans="1:12" x14ac:dyDescent="0.25">
      <c r="A915" s="6"/>
      <c r="C915" s="7"/>
      <c r="E915" s="8"/>
      <c r="F915" s="8"/>
      <c r="G915" s="8"/>
      <c r="H915" s="8"/>
      <c r="I915" s="8"/>
      <c r="J915" s="8"/>
      <c r="K915" s="8"/>
      <c r="L915" s="8"/>
    </row>
    <row r="916" spans="1:12" x14ac:dyDescent="0.25">
      <c r="A916" s="6"/>
      <c r="C916" s="7"/>
      <c r="E916" s="8"/>
      <c r="F916" s="8"/>
      <c r="G916" s="8"/>
      <c r="H916" s="8"/>
      <c r="I916" s="8"/>
      <c r="J916" s="8"/>
      <c r="K916" s="8"/>
      <c r="L916" s="8"/>
    </row>
    <row r="917" spans="1:12" x14ac:dyDescent="0.25">
      <c r="A917" s="6"/>
      <c r="C917" s="7"/>
      <c r="E917" s="8"/>
      <c r="F917" s="8"/>
      <c r="G917" s="8"/>
      <c r="H917" s="8"/>
      <c r="I917" s="8"/>
      <c r="J917" s="8"/>
      <c r="K917" s="8"/>
      <c r="L917" s="8"/>
    </row>
    <row r="918" spans="1:12" x14ac:dyDescent="0.25">
      <c r="A918" s="6"/>
      <c r="C918" s="7"/>
      <c r="E918" s="8"/>
      <c r="F918" s="8"/>
      <c r="G918" s="8"/>
      <c r="H918" s="8"/>
      <c r="I918" s="8"/>
      <c r="J918" s="8"/>
      <c r="K918" s="8"/>
      <c r="L918" s="8"/>
    </row>
    <row r="919" spans="1:12" x14ac:dyDescent="0.25">
      <c r="A919" s="6"/>
      <c r="C919" s="7"/>
      <c r="E919" s="8"/>
      <c r="F919" s="8"/>
      <c r="G919" s="8"/>
      <c r="H919" s="8"/>
      <c r="I919" s="8"/>
      <c r="J919" s="8"/>
      <c r="K919" s="8"/>
      <c r="L919" s="8"/>
    </row>
    <row r="920" spans="1:12" x14ac:dyDescent="0.25">
      <c r="A920" s="6"/>
      <c r="C920" s="7"/>
      <c r="E920" s="8"/>
      <c r="F920" s="8"/>
      <c r="G920" s="8"/>
      <c r="H920" s="8"/>
      <c r="I920" s="8"/>
      <c r="J920" s="8"/>
      <c r="K920" s="8"/>
      <c r="L920" s="8"/>
    </row>
    <row r="921" spans="1:12" x14ac:dyDescent="0.25">
      <c r="A921" s="6"/>
      <c r="C921" s="7"/>
      <c r="E921" s="8"/>
      <c r="F921" s="8"/>
      <c r="G921" s="8"/>
      <c r="H921" s="8"/>
      <c r="I921" s="8"/>
      <c r="J921" s="8"/>
      <c r="K921" s="8"/>
      <c r="L921" s="8"/>
    </row>
    <row r="922" spans="1:12" x14ac:dyDescent="0.25">
      <c r="A922" s="6"/>
      <c r="C922" s="7"/>
      <c r="E922" s="8"/>
      <c r="F922" s="8"/>
      <c r="G922" s="8"/>
      <c r="H922" s="8"/>
      <c r="I922" s="8"/>
      <c r="J922" s="8"/>
      <c r="K922" s="8"/>
      <c r="L922" s="8"/>
    </row>
    <row r="923" spans="1:12" x14ac:dyDescent="0.25">
      <c r="A923" s="6"/>
      <c r="C923" s="7"/>
      <c r="E923" s="8"/>
      <c r="F923" s="8"/>
      <c r="G923" s="8"/>
      <c r="H923" s="8"/>
      <c r="I923" s="8"/>
      <c r="J923" s="8"/>
      <c r="K923" s="8"/>
      <c r="L923" s="8"/>
    </row>
    <row r="924" spans="1:12" x14ac:dyDescent="0.25">
      <c r="A924" s="6"/>
      <c r="C924" s="7"/>
      <c r="E924" s="8"/>
      <c r="F924" s="8"/>
      <c r="G924" s="8"/>
      <c r="H924" s="8"/>
      <c r="I924" s="8"/>
      <c r="J924" s="8"/>
      <c r="K924" s="8"/>
      <c r="L924" s="8"/>
    </row>
    <row r="925" spans="1:12" x14ac:dyDescent="0.25">
      <c r="A925" s="6"/>
      <c r="C925" s="7"/>
      <c r="E925" s="8"/>
      <c r="F925" s="8"/>
      <c r="G925" s="8"/>
      <c r="H925" s="8"/>
      <c r="I925" s="8"/>
      <c r="J925" s="8"/>
      <c r="K925" s="8"/>
      <c r="L925" s="8"/>
    </row>
    <row r="926" spans="1:12" x14ac:dyDescent="0.25">
      <c r="A926" s="6"/>
      <c r="C926" s="7"/>
      <c r="E926" s="8"/>
      <c r="F926" s="8"/>
      <c r="G926" s="8"/>
      <c r="H926" s="8"/>
      <c r="I926" s="8"/>
      <c r="J926" s="8"/>
      <c r="K926" s="8"/>
      <c r="L926" s="8"/>
    </row>
    <row r="927" spans="1:12" x14ac:dyDescent="0.25">
      <c r="C927" s="7"/>
      <c r="E927" s="8"/>
      <c r="F927" s="8"/>
      <c r="G927" s="8"/>
      <c r="H927" s="8"/>
      <c r="I927" s="8"/>
      <c r="J927" s="8"/>
      <c r="K927" s="8"/>
      <c r="L927" s="8"/>
    </row>
    <row r="928" spans="1:12" x14ac:dyDescent="0.25">
      <c r="C928" s="7"/>
      <c r="E928" s="8"/>
      <c r="F928" s="8"/>
      <c r="G928" s="8"/>
      <c r="H928" s="8"/>
      <c r="I928" s="8"/>
      <c r="J928" s="8"/>
      <c r="K928" s="8"/>
      <c r="L928" s="8"/>
    </row>
    <row r="929" spans="3:12" x14ac:dyDescent="0.25">
      <c r="C929" s="7"/>
      <c r="E929" s="8"/>
      <c r="F929" s="8"/>
      <c r="G929" s="8"/>
      <c r="H929" s="8"/>
      <c r="I929" s="8"/>
      <c r="J929" s="8"/>
      <c r="K929" s="8"/>
      <c r="L929" s="8"/>
    </row>
    <row r="930" spans="3:12" x14ac:dyDescent="0.25">
      <c r="C930" s="7"/>
      <c r="E930" s="8"/>
      <c r="F930" s="8"/>
      <c r="G930" s="8"/>
      <c r="H930" s="8"/>
      <c r="I930" s="8"/>
      <c r="J930" s="8"/>
      <c r="K930" s="8"/>
      <c r="L930" s="8"/>
    </row>
    <row r="931" spans="3:12" x14ac:dyDescent="0.25">
      <c r="C931" s="7"/>
      <c r="E931" s="8"/>
      <c r="F931" s="8"/>
      <c r="G931" s="8"/>
      <c r="H931" s="8"/>
      <c r="I931" s="8"/>
      <c r="J931" s="8"/>
      <c r="K931" s="8"/>
      <c r="L931" s="8"/>
    </row>
    <row r="932" spans="3:12" x14ac:dyDescent="0.25">
      <c r="C932" s="7"/>
      <c r="E932" s="8"/>
      <c r="F932" s="8"/>
      <c r="G932" s="8"/>
      <c r="H932" s="8"/>
      <c r="I932" s="8"/>
      <c r="J932" s="8"/>
      <c r="K932" s="8"/>
      <c r="L932" s="8"/>
    </row>
    <row r="933" spans="3:12" x14ac:dyDescent="0.25">
      <c r="C933" s="7"/>
      <c r="E933" s="8"/>
      <c r="F933" s="8"/>
      <c r="G933" s="8"/>
      <c r="H933" s="8"/>
      <c r="I933" s="8"/>
      <c r="J933" s="8"/>
      <c r="K933" s="8"/>
      <c r="L933" s="8"/>
    </row>
    <row r="934" spans="3:12" x14ac:dyDescent="0.25">
      <c r="C934" s="7"/>
      <c r="E934" s="8"/>
      <c r="F934" s="8"/>
      <c r="G934" s="8"/>
      <c r="H934" s="8"/>
      <c r="I934" s="8"/>
      <c r="J934" s="8"/>
      <c r="K934" s="8"/>
      <c r="L934" s="8"/>
    </row>
    <row r="935" spans="3:12" x14ac:dyDescent="0.25">
      <c r="C935" s="7"/>
      <c r="E935" s="8"/>
      <c r="F935" s="8"/>
      <c r="G935" s="8"/>
      <c r="H935" s="8"/>
      <c r="I935" s="8"/>
      <c r="J935" s="8"/>
      <c r="K935" s="8"/>
      <c r="L935" s="8"/>
    </row>
    <row r="936" spans="3:12" x14ac:dyDescent="0.25">
      <c r="C936" s="7"/>
      <c r="E936" s="8"/>
      <c r="F936" s="8"/>
      <c r="G936" s="8"/>
      <c r="H936" s="8"/>
      <c r="I936" s="8"/>
      <c r="J936" s="8"/>
      <c r="K936" s="8"/>
      <c r="L936" s="8"/>
    </row>
    <row r="937" spans="3:12" x14ac:dyDescent="0.25">
      <c r="C937" s="7"/>
      <c r="E937" s="8"/>
      <c r="F937" s="8"/>
      <c r="G937" s="8"/>
      <c r="H937" s="8"/>
      <c r="I937" s="8"/>
      <c r="J937" s="8"/>
      <c r="K937" s="8"/>
      <c r="L937" s="8"/>
    </row>
    <row r="938" spans="3:12" x14ac:dyDescent="0.25">
      <c r="C938" s="7"/>
      <c r="E938" s="8"/>
      <c r="F938" s="8"/>
      <c r="G938" s="8"/>
      <c r="H938" s="8"/>
      <c r="I938" s="8"/>
      <c r="J938" s="8"/>
      <c r="K938" s="8"/>
      <c r="L938" s="8"/>
    </row>
    <row r="939" spans="3:12" x14ac:dyDescent="0.25">
      <c r="C939" s="7"/>
      <c r="E939" s="8"/>
      <c r="F939" s="8"/>
      <c r="G939" s="8"/>
      <c r="H939" s="8"/>
      <c r="I939" s="8"/>
      <c r="J939" s="8"/>
      <c r="K939" s="8"/>
      <c r="L939" s="8"/>
    </row>
    <row r="940" spans="3:12" x14ac:dyDescent="0.25">
      <c r="C940" s="7"/>
      <c r="E940" s="8"/>
      <c r="F940" s="8"/>
      <c r="G940" s="8"/>
      <c r="H940" s="8"/>
      <c r="I940" s="8"/>
      <c r="J940" s="8"/>
      <c r="K940" s="8"/>
      <c r="L940" s="8"/>
    </row>
    <row r="941" spans="3:12" x14ac:dyDescent="0.25">
      <c r="C941" s="7"/>
      <c r="E941" s="8"/>
      <c r="F941" s="8"/>
      <c r="G941" s="8"/>
      <c r="H941" s="8"/>
      <c r="I941" s="8"/>
      <c r="J941" s="8"/>
      <c r="K941" s="8"/>
      <c r="L941" s="8"/>
    </row>
    <row r="942" spans="3:12" x14ac:dyDescent="0.25">
      <c r="C942" s="7"/>
      <c r="E942" s="8"/>
      <c r="F942" s="8"/>
      <c r="G942" s="8"/>
      <c r="H942" s="8"/>
      <c r="I942" s="8"/>
      <c r="J942" s="8"/>
      <c r="K942" s="8"/>
      <c r="L942" s="8"/>
    </row>
    <row r="943" spans="3:12" x14ac:dyDescent="0.25">
      <c r="C943" s="7"/>
      <c r="E943" s="8"/>
      <c r="F943" s="8"/>
      <c r="G943" s="8"/>
      <c r="H943" s="8"/>
      <c r="I943" s="8"/>
      <c r="J943" s="8"/>
      <c r="K943" s="8"/>
      <c r="L943" s="8"/>
    </row>
    <row r="944" spans="3:12" x14ac:dyDescent="0.25">
      <c r="C944" s="7"/>
      <c r="E944" s="8"/>
      <c r="F944" s="8"/>
      <c r="G944" s="8"/>
      <c r="H944" s="8"/>
      <c r="I944" s="8"/>
      <c r="J944" s="8"/>
      <c r="K944" s="8"/>
      <c r="L944" s="8"/>
    </row>
    <row r="945" spans="3:12" x14ac:dyDescent="0.25">
      <c r="C945" s="7"/>
      <c r="E945" s="8"/>
      <c r="F945" s="8"/>
      <c r="G945" s="8"/>
      <c r="H945" s="8"/>
      <c r="I945" s="8"/>
      <c r="J945" s="8"/>
      <c r="K945" s="8"/>
      <c r="L945" s="8"/>
    </row>
    <row r="946" spans="3:12" x14ac:dyDescent="0.25">
      <c r="C946" s="7"/>
      <c r="E946" s="8"/>
      <c r="F946" s="8"/>
      <c r="G946" s="8"/>
      <c r="H946" s="8"/>
      <c r="I946" s="8"/>
      <c r="J946" s="8"/>
      <c r="K946" s="8"/>
      <c r="L946" s="8"/>
    </row>
    <row r="947" spans="3:12" x14ac:dyDescent="0.25">
      <c r="C947" s="7"/>
      <c r="E947" s="8"/>
      <c r="F947" s="8"/>
      <c r="G947" s="8"/>
      <c r="H947" s="8"/>
      <c r="I947" s="8"/>
      <c r="J947" s="8"/>
      <c r="K947" s="8"/>
      <c r="L947" s="8"/>
    </row>
    <row r="948" spans="3:12" x14ac:dyDescent="0.25">
      <c r="C948" s="7"/>
      <c r="E948" s="8"/>
      <c r="F948" s="8"/>
      <c r="G948" s="8"/>
      <c r="H948" s="8"/>
      <c r="I948" s="8"/>
      <c r="J948" s="8"/>
      <c r="K948" s="8"/>
      <c r="L948" s="8"/>
    </row>
    <row r="949" spans="3:12" x14ac:dyDescent="0.25">
      <c r="C949" s="7"/>
      <c r="E949" s="8"/>
      <c r="F949" s="8"/>
      <c r="G949" s="8"/>
      <c r="H949" s="8"/>
      <c r="I949" s="8"/>
      <c r="J949" s="8"/>
      <c r="K949" s="8"/>
      <c r="L949" s="8"/>
    </row>
    <row r="950" spans="3:12" x14ac:dyDescent="0.25">
      <c r="C950" s="7"/>
      <c r="E950" s="8"/>
      <c r="F950" s="8"/>
      <c r="G950" s="8"/>
      <c r="H950" s="8"/>
      <c r="I950" s="8"/>
      <c r="J950" s="8"/>
      <c r="K950" s="8"/>
      <c r="L950" s="8"/>
    </row>
    <row r="951" spans="3:12" x14ac:dyDescent="0.25">
      <c r="C951" s="7"/>
      <c r="E951" s="8"/>
      <c r="F951" s="8"/>
      <c r="G951" s="8"/>
      <c r="H951" s="8"/>
      <c r="I951" s="8"/>
      <c r="J951" s="8"/>
      <c r="K951" s="8"/>
      <c r="L951" s="8"/>
    </row>
    <row r="952" spans="3:12" x14ac:dyDescent="0.25">
      <c r="C952" s="7"/>
      <c r="E952" s="8"/>
      <c r="F952" s="8"/>
      <c r="G952" s="8"/>
      <c r="H952" s="8"/>
      <c r="I952" s="8"/>
      <c r="J952" s="8"/>
      <c r="K952" s="8"/>
      <c r="L952" s="8"/>
    </row>
    <row r="953" spans="3:12" x14ac:dyDescent="0.25">
      <c r="C953" s="7"/>
      <c r="E953" s="8"/>
      <c r="F953" s="8"/>
      <c r="G953" s="8"/>
      <c r="H953" s="8"/>
      <c r="I953" s="8"/>
      <c r="J953" s="8"/>
      <c r="K953" s="8"/>
      <c r="L953" s="8"/>
    </row>
    <row r="954" spans="3:12" x14ac:dyDescent="0.25">
      <c r="C954" s="7"/>
      <c r="E954" s="8"/>
      <c r="F954" s="8"/>
      <c r="G954" s="8"/>
      <c r="H954" s="8"/>
      <c r="I954" s="8"/>
      <c r="J954" s="8"/>
      <c r="K954" s="8"/>
      <c r="L954" s="8"/>
    </row>
    <row r="955" spans="3:12" x14ac:dyDescent="0.25">
      <c r="C955" s="7"/>
      <c r="E955" s="8"/>
      <c r="F955" s="8"/>
      <c r="G955" s="8"/>
      <c r="H955" s="8"/>
      <c r="I955" s="8"/>
      <c r="J955" s="8"/>
      <c r="K955" s="8"/>
      <c r="L955" s="8"/>
    </row>
    <row r="956" spans="3:12" x14ac:dyDescent="0.25">
      <c r="C956" s="7"/>
      <c r="E956" s="8"/>
      <c r="F956" s="8"/>
      <c r="G956" s="8"/>
      <c r="H956" s="8"/>
      <c r="I956" s="8"/>
      <c r="J956" s="8"/>
      <c r="K956" s="8"/>
      <c r="L956" s="8"/>
    </row>
    <row r="957" spans="3:12" x14ac:dyDescent="0.25">
      <c r="C957" s="7"/>
      <c r="E957" s="8"/>
      <c r="F957" s="8"/>
      <c r="G957" s="8"/>
      <c r="H957" s="8"/>
      <c r="I957" s="8"/>
      <c r="J957" s="8"/>
      <c r="K957" s="8"/>
      <c r="L957" s="8"/>
    </row>
    <row r="958" spans="3:12" x14ac:dyDescent="0.25">
      <c r="C958" s="7"/>
      <c r="E958" s="8"/>
      <c r="F958" s="8"/>
      <c r="G958" s="8"/>
      <c r="H958" s="8"/>
      <c r="I958" s="8"/>
      <c r="J958" s="8"/>
      <c r="K958" s="8"/>
      <c r="L958" s="8"/>
    </row>
    <row r="959" spans="3:12" x14ac:dyDescent="0.25">
      <c r="C959" s="7"/>
      <c r="E959" s="8"/>
      <c r="F959" s="8"/>
      <c r="G959" s="8"/>
      <c r="H959" s="8"/>
      <c r="I959" s="8"/>
      <c r="J959" s="8"/>
      <c r="K959" s="8"/>
      <c r="L959" s="8"/>
    </row>
    <row r="960" spans="3:12" x14ac:dyDescent="0.25">
      <c r="C960" s="7"/>
      <c r="E960" s="8"/>
      <c r="F960" s="8"/>
      <c r="G960" s="8"/>
      <c r="H960" s="8"/>
      <c r="I960" s="8"/>
      <c r="J960" s="8"/>
      <c r="K960" s="8"/>
      <c r="L960" s="8"/>
    </row>
    <row r="961" spans="3:12" x14ac:dyDescent="0.25">
      <c r="C961" s="7"/>
      <c r="E961" s="8"/>
      <c r="F961" s="8"/>
      <c r="G961" s="8"/>
      <c r="H961" s="8"/>
      <c r="I961" s="8"/>
      <c r="J961" s="8"/>
      <c r="K961" s="8"/>
      <c r="L961" s="8"/>
    </row>
    <row r="962" spans="3:12" x14ac:dyDescent="0.25">
      <c r="C962" s="7"/>
      <c r="E962" s="8"/>
      <c r="F962" s="8"/>
      <c r="G962" s="8"/>
      <c r="H962" s="8"/>
      <c r="I962" s="8"/>
      <c r="J962" s="8"/>
      <c r="K962" s="8"/>
      <c r="L962" s="8"/>
    </row>
    <row r="963" spans="3:12" x14ac:dyDescent="0.25">
      <c r="C963" s="7"/>
      <c r="E963" s="8"/>
      <c r="F963" s="8"/>
      <c r="G963" s="8"/>
      <c r="H963" s="8"/>
      <c r="I963" s="8"/>
      <c r="J963" s="8"/>
      <c r="K963" s="8"/>
      <c r="L963" s="8"/>
    </row>
    <row r="964" spans="3:12" x14ac:dyDescent="0.25">
      <c r="C964" s="7"/>
      <c r="E964" s="8"/>
      <c r="F964" s="8"/>
      <c r="G964" s="8"/>
      <c r="H964" s="8"/>
      <c r="I964" s="8"/>
      <c r="J964" s="8"/>
      <c r="K964" s="8"/>
      <c r="L964" s="8"/>
    </row>
    <row r="965" spans="3:12" x14ac:dyDescent="0.25">
      <c r="C965" s="7"/>
      <c r="E965" s="8"/>
      <c r="F965" s="8"/>
      <c r="G965" s="8"/>
      <c r="H965" s="8"/>
      <c r="I965" s="8"/>
      <c r="J965" s="8"/>
      <c r="K965" s="8"/>
      <c r="L965" s="8"/>
    </row>
    <row r="966" spans="3:12" x14ac:dyDescent="0.25">
      <c r="C966" s="7"/>
      <c r="E966" s="8"/>
      <c r="F966" s="8"/>
      <c r="G966" s="8"/>
      <c r="H966" s="8"/>
      <c r="I966" s="8"/>
      <c r="J966" s="8"/>
      <c r="K966" s="8"/>
      <c r="L966" s="8"/>
    </row>
    <row r="967" spans="3:12" x14ac:dyDescent="0.25">
      <c r="C967" s="7"/>
      <c r="E967" s="8"/>
      <c r="F967" s="8"/>
      <c r="G967" s="8"/>
      <c r="H967" s="8"/>
      <c r="I967" s="8"/>
      <c r="J967" s="8"/>
      <c r="K967" s="8"/>
      <c r="L967" s="8"/>
    </row>
    <row r="968" spans="3:12" x14ac:dyDescent="0.25">
      <c r="C968" s="7"/>
      <c r="E968" s="8"/>
      <c r="F968" s="8"/>
      <c r="G968" s="8"/>
      <c r="H968" s="8"/>
      <c r="I968" s="8"/>
      <c r="J968" s="8"/>
      <c r="K968" s="8"/>
      <c r="L968" s="8"/>
    </row>
    <row r="969" spans="3:12" x14ac:dyDescent="0.25">
      <c r="C969" s="7"/>
      <c r="E969" s="8"/>
      <c r="F969" s="8"/>
      <c r="G969" s="8"/>
      <c r="H969" s="8"/>
      <c r="I969" s="8"/>
      <c r="J969" s="8"/>
      <c r="K969" s="8"/>
      <c r="L969" s="8"/>
    </row>
    <row r="970" spans="3:12" x14ac:dyDescent="0.25">
      <c r="C970" s="7"/>
      <c r="E970" s="8"/>
      <c r="F970" s="8"/>
      <c r="G970" s="8"/>
      <c r="H970" s="8"/>
      <c r="I970" s="8"/>
      <c r="J970" s="8"/>
      <c r="K970" s="8"/>
      <c r="L970" s="8"/>
    </row>
    <row r="971" spans="3:12" x14ac:dyDescent="0.25">
      <c r="C971" s="7"/>
      <c r="E971" s="8"/>
      <c r="F971" s="8"/>
      <c r="G971" s="8"/>
      <c r="H971" s="8"/>
      <c r="I971" s="8"/>
      <c r="J971" s="8"/>
      <c r="K971" s="8"/>
      <c r="L971" s="8"/>
    </row>
    <row r="972" spans="3:12" x14ac:dyDescent="0.25">
      <c r="C972" s="7"/>
      <c r="E972" s="8"/>
      <c r="F972" s="8"/>
      <c r="G972" s="8"/>
      <c r="H972" s="8"/>
      <c r="I972" s="8"/>
      <c r="J972" s="8"/>
      <c r="K972" s="8"/>
      <c r="L972" s="8"/>
    </row>
    <row r="973" spans="3:12" x14ac:dyDescent="0.25">
      <c r="C973" s="7"/>
      <c r="E973" s="8"/>
      <c r="F973" s="8"/>
      <c r="G973" s="8"/>
      <c r="H973" s="8"/>
      <c r="I973" s="8"/>
      <c r="J973" s="8"/>
      <c r="K973" s="8"/>
      <c r="L973" s="8"/>
    </row>
    <row r="974" spans="3:12" x14ac:dyDescent="0.25">
      <c r="C974" s="7"/>
      <c r="E974" s="8"/>
      <c r="F974" s="8"/>
      <c r="G974" s="8"/>
      <c r="H974" s="8"/>
      <c r="I974" s="8"/>
      <c r="J974" s="8"/>
      <c r="K974" s="8"/>
      <c r="L974" s="8"/>
    </row>
    <row r="975" spans="3:12" x14ac:dyDescent="0.25">
      <c r="C975" s="7"/>
      <c r="E975" s="8"/>
      <c r="F975" s="8"/>
      <c r="G975" s="8"/>
      <c r="H975" s="8"/>
      <c r="I975" s="8"/>
      <c r="J975" s="8"/>
      <c r="K975" s="8"/>
      <c r="L975" s="8"/>
    </row>
    <row r="976" spans="3:12" x14ac:dyDescent="0.25">
      <c r="C976" s="7"/>
      <c r="E976" s="8"/>
      <c r="F976" s="8"/>
      <c r="G976" s="8"/>
      <c r="H976" s="8"/>
      <c r="I976" s="8"/>
      <c r="J976" s="8"/>
      <c r="K976" s="8"/>
      <c r="L976" s="8"/>
    </row>
    <row r="977" spans="3:12" x14ac:dyDescent="0.25">
      <c r="C977" s="7"/>
      <c r="E977" s="8"/>
      <c r="F977" s="8"/>
      <c r="G977" s="8"/>
      <c r="H977" s="8"/>
      <c r="I977" s="8"/>
      <c r="J977" s="8"/>
      <c r="K977" s="8"/>
      <c r="L977" s="8"/>
    </row>
    <row r="978" spans="3:12" x14ac:dyDescent="0.25">
      <c r="C978" s="7"/>
      <c r="E978" s="8"/>
      <c r="F978" s="8"/>
      <c r="G978" s="8"/>
      <c r="H978" s="8"/>
      <c r="I978" s="8"/>
      <c r="J978" s="8"/>
      <c r="K978" s="8"/>
      <c r="L978" s="8"/>
    </row>
    <row r="979" spans="3:12" x14ac:dyDescent="0.25">
      <c r="C979" s="7"/>
      <c r="E979" s="8"/>
      <c r="F979" s="8"/>
      <c r="G979" s="8"/>
      <c r="H979" s="8"/>
      <c r="I979" s="8"/>
      <c r="J979" s="8"/>
      <c r="K979" s="8"/>
      <c r="L979" s="8"/>
    </row>
    <row r="980" spans="3:12" x14ac:dyDescent="0.25">
      <c r="C980" s="7"/>
      <c r="E980" s="8"/>
      <c r="F980" s="8"/>
      <c r="G980" s="8"/>
      <c r="H980" s="8"/>
      <c r="I980" s="8"/>
      <c r="J980" s="8"/>
      <c r="K980" s="8"/>
      <c r="L980" s="8"/>
    </row>
    <row r="981" spans="3:12" x14ac:dyDescent="0.25">
      <c r="C981" s="7"/>
      <c r="E981" s="8"/>
      <c r="F981" s="8"/>
      <c r="G981" s="8"/>
      <c r="H981" s="8"/>
      <c r="I981" s="8"/>
      <c r="J981" s="8"/>
      <c r="K981" s="8"/>
      <c r="L981" s="8"/>
    </row>
    <row r="982" spans="3:12" x14ac:dyDescent="0.25">
      <c r="C982" s="7"/>
      <c r="E982" s="8"/>
      <c r="F982" s="8"/>
      <c r="G982" s="8"/>
      <c r="H982" s="8"/>
      <c r="I982" s="8"/>
      <c r="J982" s="8"/>
      <c r="K982" s="8"/>
      <c r="L982" s="8"/>
    </row>
    <row r="983" spans="3:12" x14ac:dyDescent="0.25">
      <c r="C983" s="7"/>
      <c r="E983" s="8"/>
      <c r="F983" s="8"/>
      <c r="G983" s="8"/>
      <c r="H983" s="8"/>
      <c r="I983" s="8"/>
      <c r="J983" s="8"/>
      <c r="K983" s="8"/>
      <c r="L983" s="8"/>
    </row>
    <row r="984" spans="3:12" x14ac:dyDescent="0.25">
      <c r="C984" s="7"/>
      <c r="E984" s="8"/>
      <c r="F984" s="8"/>
      <c r="G984" s="8"/>
      <c r="H984" s="8"/>
      <c r="I984" s="8"/>
      <c r="J984" s="8"/>
      <c r="K984" s="8"/>
      <c r="L984" s="8"/>
    </row>
    <row r="985" spans="3:12" x14ac:dyDescent="0.25">
      <c r="C985" s="7"/>
      <c r="E985" s="8"/>
      <c r="F985" s="8"/>
      <c r="G985" s="8"/>
      <c r="H985" s="8"/>
      <c r="I985" s="8"/>
      <c r="J985" s="8"/>
      <c r="K985" s="8"/>
      <c r="L985" s="8"/>
    </row>
    <row r="986" spans="3:12" x14ac:dyDescent="0.25">
      <c r="C986" s="7"/>
      <c r="E986" s="8"/>
      <c r="F986" s="8"/>
      <c r="G986" s="8"/>
      <c r="H986" s="8"/>
      <c r="I986" s="8"/>
      <c r="J986" s="8"/>
      <c r="K986" s="8"/>
      <c r="L986" s="8"/>
    </row>
    <row r="987" spans="3:12" x14ac:dyDescent="0.25">
      <c r="C987" s="7"/>
      <c r="E987" s="8"/>
      <c r="F987" s="8"/>
      <c r="G987" s="8"/>
      <c r="H987" s="8"/>
      <c r="I987" s="8"/>
      <c r="J987" s="8"/>
      <c r="K987" s="8"/>
      <c r="L987" s="8"/>
    </row>
    <row r="988" spans="3:12" x14ac:dyDescent="0.25">
      <c r="C988" s="7"/>
      <c r="E988" s="8"/>
      <c r="F988" s="8"/>
      <c r="G988" s="8"/>
      <c r="H988" s="8"/>
      <c r="I988" s="8"/>
      <c r="J988" s="8"/>
      <c r="K988" s="8"/>
      <c r="L988" s="8"/>
    </row>
    <row r="989" spans="3:12" x14ac:dyDescent="0.25">
      <c r="C989" s="7"/>
      <c r="E989" s="8"/>
      <c r="F989" s="8"/>
      <c r="G989" s="8"/>
      <c r="H989" s="8"/>
      <c r="I989" s="8"/>
      <c r="J989" s="8"/>
      <c r="K989" s="8"/>
      <c r="L989" s="8"/>
    </row>
    <row r="990" spans="3:12" x14ac:dyDescent="0.25">
      <c r="C990" s="7"/>
      <c r="E990" s="8"/>
      <c r="F990" s="8"/>
      <c r="G990" s="8"/>
      <c r="H990" s="8"/>
      <c r="I990" s="8"/>
      <c r="J990" s="8"/>
      <c r="K990" s="8"/>
      <c r="L990" s="8"/>
    </row>
    <row r="991" spans="3:12" x14ac:dyDescent="0.25">
      <c r="C991" s="7"/>
      <c r="E991" s="8"/>
      <c r="F991" s="8"/>
      <c r="G991" s="8"/>
      <c r="H991" s="8"/>
      <c r="I991" s="8"/>
      <c r="J991" s="8"/>
      <c r="K991" s="8"/>
      <c r="L991" s="8"/>
    </row>
    <row r="992" spans="3:12" x14ac:dyDescent="0.25">
      <c r="C992" s="7"/>
      <c r="E992" s="8"/>
      <c r="F992" s="8"/>
      <c r="G992" s="8"/>
      <c r="H992" s="8"/>
      <c r="I992" s="8"/>
      <c r="J992" s="8"/>
      <c r="K992" s="8"/>
      <c r="L992" s="8"/>
    </row>
    <row r="993" spans="3:12" x14ac:dyDescent="0.25">
      <c r="C993" s="7"/>
      <c r="E993" s="8"/>
      <c r="F993" s="8"/>
      <c r="G993" s="8"/>
      <c r="H993" s="8"/>
      <c r="I993" s="8"/>
      <c r="J993" s="8"/>
      <c r="K993" s="8"/>
      <c r="L993" s="8"/>
    </row>
    <row r="994" spans="3:12" x14ac:dyDescent="0.25">
      <c r="C994" s="7"/>
      <c r="E994" s="8"/>
      <c r="F994" s="8"/>
      <c r="G994" s="8"/>
      <c r="H994" s="8"/>
      <c r="I994" s="8"/>
      <c r="J994" s="8"/>
      <c r="K994" s="8"/>
      <c r="L994" s="8"/>
    </row>
    <row r="995" spans="3:12" x14ac:dyDescent="0.25">
      <c r="C995" s="7"/>
      <c r="E995" s="8"/>
      <c r="F995" s="8"/>
      <c r="G995" s="8"/>
      <c r="H995" s="8"/>
      <c r="I995" s="8"/>
      <c r="J995" s="8"/>
      <c r="K995" s="8"/>
      <c r="L995" s="8"/>
    </row>
    <row r="996" spans="3:12" x14ac:dyDescent="0.25">
      <c r="C996" s="7"/>
      <c r="E996" s="8"/>
      <c r="F996" s="8"/>
      <c r="G996" s="8"/>
      <c r="H996" s="8"/>
      <c r="I996" s="8"/>
      <c r="J996" s="8"/>
      <c r="K996" s="8"/>
      <c r="L996" s="8"/>
    </row>
    <row r="997" spans="3:12" x14ac:dyDescent="0.25">
      <c r="C997" s="7"/>
      <c r="E997" s="8"/>
      <c r="F997" s="8"/>
      <c r="G997" s="8"/>
      <c r="H997" s="8"/>
      <c r="I997" s="8"/>
      <c r="J997" s="8"/>
      <c r="K997" s="8"/>
      <c r="L997" s="8"/>
    </row>
    <row r="998" spans="3:12" x14ac:dyDescent="0.25">
      <c r="C998" s="7"/>
      <c r="E998" s="8"/>
      <c r="F998" s="8"/>
      <c r="G998" s="8"/>
      <c r="H998" s="8"/>
      <c r="I998" s="8"/>
      <c r="J998" s="8"/>
      <c r="K998" s="8"/>
      <c r="L998" s="8"/>
    </row>
    <row r="999" spans="3:12" x14ac:dyDescent="0.25">
      <c r="C999" s="7"/>
      <c r="E999" s="8"/>
      <c r="F999" s="8"/>
      <c r="G999" s="8"/>
      <c r="H999" s="8"/>
      <c r="I999" s="8"/>
      <c r="J999" s="8"/>
      <c r="K999" s="8"/>
      <c r="L999" s="8"/>
    </row>
    <row r="1000" spans="3:12" x14ac:dyDescent="0.25">
      <c r="C1000" s="7"/>
      <c r="E1000" s="8"/>
      <c r="F1000" s="8"/>
      <c r="G1000" s="8"/>
      <c r="H1000" s="8"/>
      <c r="I1000" s="8"/>
      <c r="J1000" s="8"/>
      <c r="K1000" s="8"/>
      <c r="L1000" s="8"/>
    </row>
    <row r="1001" spans="3:12" x14ac:dyDescent="0.25">
      <c r="C1001" s="7"/>
      <c r="E1001" s="8"/>
      <c r="F1001" s="8"/>
      <c r="G1001" s="8"/>
      <c r="H1001" s="8"/>
      <c r="I1001" s="8"/>
      <c r="J1001" s="8"/>
      <c r="K1001" s="8"/>
      <c r="L1001" s="8"/>
    </row>
    <row r="1002" spans="3:12" x14ac:dyDescent="0.25">
      <c r="C1002" s="7"/>
      <c r="E1002" s="8"/>
      <c r="F1002" s="8"/>
      <c r="G1002" s="8"/>
      <c r="H1002" s="8"/>
      <c r="I1002" s="8"/>
      <c r="J1002" s="8"/>
      <c r="K1002" s="8"/>
      <c r="L1002" s="8"/>
    </row>
    <row r="1003" spans="3:12" x14ac:dyDescent="0.25">
      <c r="C1003" s="7"/>
      <c r="E1003" s="8"/>
      <c r="F1003" s="8"/>
      <c r="G1003" s="8"/>
      <c r="H1003" s="8"/>
      <c r="I1003" s="8"/>
      <c r="J1003" s="8"/>
      <c r="K1003" s="8"/>
      <c r="L1003" s="8"/>
    </row>
    <row r="1004" spans="3:12" x14ac:dyDescent="0.25">
      <c r="C1004" s="7"/>
      <c r="E1004" s="8"/>
      <c r="F1004" s="8"/>
      <c r="G1004" s="8"/>
      <c r="H1004" s="8"/>
      <c r="I1004" s="8"/>
      <c r="J1004" s="8"/>
      <c r="K1004" s="8"/>
      <c r="L1004" s="8"/>
    </row>
    <row r="1005" spans="3:12" x14ac:dyDescent="0.25">
      <c r="C1005" s="7"/>
      <c r="E1005" s="8"/>
      <c r="F1005" s="8"/>
      <c r="G1005" s="8"/>
      <c r="H1005" s="8"/>
      <c r="I1005" s="8"/>
      <c r="J1005" s="8"/>
      <c r="K1005" s="8"/>
      <c r="L1005" s="8"/>
    </row>
    <row r="1006" spans="3:12" x14ac:dyDescent="0.25">
      <c r="C1006" s="7"/>
      <c r="E1006" s="8"/>
      <c r="F1006" s="8"/>
      <c r="G1006" s="8"/>
      <c r="H1006" s="8"/>
      <c r="I1006" s="8"/>
      <c r="J1006" s="8"/>
      <c r="K1006" s="8"/>
      <c r="L1006" s="8"/>
    </row>
    <row r="1007" spans="3:12" x14ac:dyDescent="0.25">
      <c r="C1007" s="7"/>
      <c r="E1007" s="8"/>
      <c r="F1007" s="8"/>
      <c r="G1007" s="8"/>
      <c r="H1007" s="8"/>
      <c r="I1007" s="8"/>
      <c r="J1007" s="8"/>
      <c r="K1007" s="8"/>
      <c r="L1007" s="8"/>
    </row>
    <row r="1008" spans="3:12" x14ac:dyDescent="0.25">
      <c r="C1008" s="7"/>
      <c r="E1008" s="8"/>
      <c r="F1008" s="8"/>
      <c r="G1008" s="8"/>
      <c r="H1008" s="8"/>
      <c r="I1008" s="8"/>
      <c r="J1008" s="8"/>
      <c r="K1008" s="8"/>
      <c r="L1008" s="8"/>
    </row>
    <row r="1009" spans="3:12" x14ac:dyDescent="0.25">
      <c r="C1009" s="7"/>
      <c r="E1009" s="8"/>
      <c r="F1009" s="8"/>
      <c r="G1009" s="8"/>
      <c r="H1009" s="8"/>
      <c r="I1009" s="8"/>
      <c r="J1009" s="8"/>
      <c r="K1009" s="8"/>
      <c r="L1009" s="8"/>
    </row>
    <row r="1010" spans="3:12" x14ac:dyDescent="0.25">
      <c r="C1010" s="7"/>
      <c r="E1010" s="8"/>
      <c r="F1010" s="8"/>
      <c r="G1010" s="8"/>
      <c r="H1010" s="8"/>
      <c r="I1010" s="8"/>
      <c r="J1010" s="8"/>
      <c r="K1010" s="8"/>
      <c r="L1010" s="8"/>
    </row>
    <row r="1011" spans="3:12" x14ac:dyDescent="0.25">
      <c r="C1011" s="7"/>
      <c r="E1011" s="8"/>
      <c r="F1011" s="8"/>
      <c r="G1011" s="8"/>
      <c r="H1011" s="8"/>
      <c r="I1011" s="8"/>
      <c r="J1011" s="8"/>
      <c r="K1011" s="8"/>
      <c r="L1011" s="8"/>
    </row>
    <row r="1012" spans="3:12" x14ac:dyDescent="0.25">
      <c r="C1012" s="7"/>
      <c r="E1012" s="8"/>
      <c r="F1012" s="8"/>
      <c r="G1012" s="8"/>
      <c r="H1012" s="8"/>
      <c r="I1012" s="8"/>
      <c r="J1012" s="8"/>
      <c r="K1012" s="8"/>
      <c r="L1012" s="8"/>
    </row>
    <row r="1013" spans="3:12" x14ac:dyDescent="0.25">
      <c r="C1013" s="7"/>
      <c r="E1013" s="8"/>
      <c r="F1013" s="8"/>
      <c r="G1013" s="8"/>
      <c r="H1013" s="8"/>
      <c r="I1013" s="8"/>
      <c r="J1013" s="8"/>
      <c r="K1013" s="8"/>
      <c r="L1013" s="8"/>
    </row>
    <row r="1014" spans="3:12" x14ac:dyDescent="0.25">
      <c r="C1014" s="7"/>
      <c r="E1014" s="8"/>
      <c r="F1014" s="8"/>
      <c r="G1014" s="8"/>
      <c r="H1014" s="8"/>
      <c r="I1014" s="8"/>
      <c r="J1014" s="8"/>
      <c r="K1014" s="8"/>
      <c r="L1014" s="8"/>
    </row>
    <row r="1015" spans="3:12" x14ac:dyDescent="0.25">
      <c r="C1015" s="7"/>
      <c r="E1015" s="8"/>
      <c r="F1015" s="8"/>
      <c r="G1015" s="8"/>
      <c r="H1015" s="8"/>
      <c r="I1015" s="8"/>
      <c r="J1015" s="8"/>
      <c r="K1015" s="8"/>
      <c r="L1015" s="8"/>
    </row>
    <row r="1016" spans="3:12" x14ac:dyDescent="0.25">
      <c r="C1016" s="7"/>
      <c r="E1016" s="8"/>
      <c r="F1016" s="8"/>
      <c r="G1016" s="8"/>
      <c r="H1016" s="8"/>
      <c r="I1016" s="8"/>
      <c r="J1016" s="8"/>
      <c r="K1016" s="8"/>
      <c r="L1016" s="8"/>
    </row>
    <row r="1017" spans="3:12" x14ac:dyDescent="0.25">
      <c r="C1017" s="7"/>
      <c r="E1017" s="8"/>
      <c r="F1017" s="8"/>
      <c r="G1017" s="8"/>
      <c r="H1017" s="8"/>
      <c r="I1017" s="8"/>
      <c r="J1017" s="8"/>
      <c r="K1017" s="8"/>
      <c r="L1017" s="8"/>
    </row>
    <row r="1018" spans="3:12" x14ac:dyDescent="0.25">
      <c r="C1018" s="7"/>
      <c r="E1018" s="8"/>
      <c r="F1018" s="8"/>
      <c r="G1018" s="8"/>
      <c r="H1018" s="8"/>
      <c r="I1018" s="8"/>
      <c r="J1018" s="8"/>
      <c r="K1018" s="8"/>
      <c r="L1018" s="8"/>
    </row>
    <row r="1019" spans="3:12" x14ac:dyDescent="0.25">
      <c r="C1019" s="7"/>
      <c r="E1019" s="8"/>
      <c r="F1019" s="8"/>
      <c r="G1019" s="8"/>
      <c r="H1019" s="8"/>
      <c r="I1019" s="8"/>
      <c r="J1019" s="8"/>
      <c r="K1019" s="8"/>
      <c r="L1019" s="8"/>
    </row>
    <row r="1020" spans="3:12" x14ac:dyDescent="0.25">
      <c r="C1020" s="7"/>
      <c r="E1020" s="8"/>
      <c r="F1020" s="8"/>
      <c r="G1020" s="8"/>
      <c r="H1020" s="8"/>
      <c r="I1020" s="8"/>
      <c r="J1020" s="8"/>
      <c r="K1020" s="8"/>
      <c r="L1020" s="8"/>
    </row>
    <row r="1021" spans="3:12" x14ac:dyDescent="0.25">
      <c r="C1021" s="7"/>
      <c r="E1021" s="8"/>
      <c r="F1021" s="8"/>
      <c r="G1021" s="8"/>
      <c r="H1021" s="8"/>
      <c r="I1021" s="8"/>
      <c r="J1021" s="8"/>
      <c r="K1021" s="8"/>
      <c r="L1021" s="8"/>
    </row>
    <row r="1022" spans="3:12" x14ac:dyDescent="0.25">
      <c r="C1022" s="7"/>
      <c r="E1022" s="8"/>
      <c r="F1022" s="8"/>
      <c r="G1022" s="8"/>
      <c r="H1022" s="8"/>
      <c r="I1022" s="8"/>
      <c r="J1022" s="8"/>
      <c r="K1022" s="8"/>
      <c r="L1022" s="8"/>
    </row>
    <row r="1023" spans="3:12" x14ac:dyDescent="0.25">
      <c r="C1023" s="7"/>
      <c r="E1023" s="8"/>
      <c r="F1023" s="8"/>
      <c r="G1023" s="8"/>
      <c r="H1023" s="8"/>
      <c r="I1023" s="8"/>
      <c r="J1023" s="8"/>
      <c r="K1023" s="8"/>
      <c r="L1023" s="8"/>
    </row>
    <row r="1024" spans="3:12" x14ac:dyDescent="0.25">
      <c r="C1024" s="7"/>
      <c r="E1024" s="8"/>
      <c r="F1024" s="8"/>
      <c r="G1024" s="8"/>
      <c r="H1024" s="8"/>
      <c r="I1024" s="8"/>
      <c r="J1024" s="8"/>
      <c r="K1024" s="8"/>
      <c r="L1024" s="8"/>
    </row>
    <row r="1025" spans="3:12" x14ac:dyDescent="0.25">
      <c r="C1025" s="7"/>
      <c r="E1025" s="8"/>
      <c r="F1025" s="8"/>
      <c r="G1025" s="8"/>
      <c r="H1025" s="8"/>
      <c r="I1025" s="8"/>
      <c r="J1025" s="8"/>
      <c r="K1025" s="8"/>
      <c r="L1025" s="8"/>
    </row>
    <row r="1026" spans="3:12" x14ac:dyDescent="0.25">
      <c r="C1026" s="7"/>
      <c r="E1026" s="8"/>
      <c r="F1026" s="8"/>
      <c r="G1026" s="8"/>
      <c r="H1026" s="8"/>
      <c r="I1026" s="8"/>
      <c r="J1026" s="8"/>
      <c r="K1026" s="8"/>
      <c r="L1026" s="8"/>
    </row>
    <row r="1027" spans="3:12" x14ac:dyDescent="0.25">
      <c r="C1027" s="7"/>
      <c r="E1027" s="8"/>
      <c r="F1027" s="8"/>
      <c r="G1027" s="8"/>
      <c r="H1027" s="8"/>
      <c r="I1027" s="8"/>
      <c r="J1027" s="8"/>
      <c r="K1027" s="8"/>
      <c r="L1027" s="8"/>
    </row>
    <row r="1028" spans="3:12" x14ac:dyDescent="0.25">
      <c r="C1028" s="7"/>
      <c r="E1028" s="8"/>
      <c r="F1028" s="8"/>
      <c r="G1028" s="8"/>
      <c r="H1028" s="8"/>
      <c r="I1028" s="8"/>
      <c r="J1028" s="8"/>
      <c r="K1028" s="8"/>
      <c r="L1028" s="8"/>
    </row>
    <row r="1029" spans="3:12" x14ac:dyDescent="0.25">
      <c r="C1029" s="7"/>
      <c r="E1029" s="8"/>
      <c r="F1029" s="8"/>
      <c r="G1029" s="8"/>
      <c r="H1029" s="8"/>
      <c r="I1029" s="8"/>
      <c r="J1029" s="8"/>
      <c r="K1029" s="8"/>
      <c r="L1029" s="8"/>
    </row>
    <row r="1030" spans="3:12" x14ac:dyDescent="0.25">
      <c r="C1030" s="7"/>
      <c r="E1030" s="8"/>
      <c r="F1030" s="8"/>
      <c r="G1030" s="8"/>
      <c r="H1030" s="8"/>
      <c r="I1030" s="8"/>
      <c r="J1030" s="8"/>
      <c r="K1030" s="8"/>
      <c r="L1030" s="8"/>
    </row>
    <row r="1031" spans="3:12" x14ac:dyDescent="0.25">
      <c r="C1031" s="7"/>
      <c r="E1031" s="8"/>
      <c r="F1031" s="8"/>
      <c r="G1031" s="8"/>
      <c r="H1031" s="8"/>
      <c r="I1031" s="8"/>
      <c r="J1031" s="8"/>
      <c r="K1031" s="8"/>
      <c r="L1031" s="8"/>
    </row>
    <row r="1032" spans="3:12" x14ac:dyDescent="0.25">
      <c r="C1032" s="7"/>
      <c r="E1032" s="8"/>
      <c r="F1032" s="8"/>
      <c r="G1032" s="8"/>
      <c r="H1032" s="8"/>
      <c r="I1032" s="8"/>
      <c r="J1032" s="8"/>
      <c r="K1032" s="8"/>
      <c r="L1032" s="8"/>
    </row>
    <row r="1033" spans="3:12" x14ac:dyDescent="0.25">
      <c r="C1033" s="7"/>
      <c r="E1033" s="8"/>
      <c r="F1033" s="8"/>
      <c r="G1033" s="8"/>
      <c r="H1033" s="8"/>
      <c r="I1033" s="8"/>
      <c r="J1033" s="8"/>
      <c r="K1033" s="8"/>
      <c r="L1033" s="8"/>
    </row>
    <row r="1034" spans="3:12" x14ac:dyDescent="0.25">
      <c r="C1034" s="7"/>
      <c r="E1034" s="8"/>
      <c r="F1034" s="8"/>
      <c r="G1034" s="8"/>
      <c r="H1034" s="8"/>
      <c r="I1034" s="8"/>
      <c r="J1034" s="8"/>
      <c r="K1034" s="8"/>
      <c r="L1034" s="8"/>
    </row>
    <row r="1035" spans="3:12" x14ac:dyDescent="0.25">
      <c r="C1035" s="7"/>
      <c r="E1035" s="8"/>
      <c r="F1035" s="8"/>
      <c r="G1035" s="8"/>
      <c r="H1035" s="8"/>
      <c r="I1035" s="8"/>
      <c r="J1035" s="8"/>
      <c r="K1035" s="8"/>
      <c r="L1035" s="8"/>
    </row>
    <row r="1036" spans="3:12" x14ac:dyDescent="0.25">
      <c r="C1036" s="7"/>
      <c r="E1036" s="8"/>
      <c r="F1036" s="8"/>
      <c r="G1036" s="8"/>
      <c r="H1036" s="8"/>
      <c r="I1036" s="8"/>
      <c r="J1036" s="8"/>
      <c r="K1036" s="8"/>
      <c r="L1036" s="8"/>
    </row>
    <row r="1037" spans="3:12" x14ac:dyDescent="0.25">
      <c r="C1037" s="7"/>
      <c r="E1037" s="8"/>
      <c r="F1037" s="8"/>
      <c r="G1037" s="8"/>
      <c r="H1037" s="8"/>
      <c r="I1037" s="8"/>
      <c r="J1037" s="8"/>
      <c r="K1037" s="8"/>
      <c r="L1037" s="8"/>
    </row>
    <row r="1038" spans="3:12" x14ac:dyDescent="0.25">
      <c r="C1038" s="7"/>
      <c r="E1038" s="8"/>
      <c r="F1038" s="8"/>
      <c r="G1038" s="8"/>
      <c r="H1038" s="8"/>
      <c r="I1038" s="8"/>
      <c r="J1038" s="8"/>
      <c r="K1038" s="8"/>
      <c r="L1038" s="8"/>
    </row>
    <row r="1039" spans="3:12" x14ac:dyDescent="0.25">
      <c r="C1039" s="7"/>
      <c r="E1039" s="8"/>
      <c r="F1039" s="8"/>
      <c r="G1039" s="8"/>
      <c r="H1039" s="8"/>
      <c r="I1039" s="8"/>
      <c r="J1039" s="8"/>
      <c r="K1039" s="8"/>
      <c r="L1039" s="8"/>
    </row>
    <row r="1040" spans="3:12" x14ac:dyDescent="0.25">
      <c r="C1040" s="7"/>
      <c r="E1040" s="8"/>
      <c r="F1040" s="8"/>
      <c r="G1040" s="8"/>
      <c r="H1040" s="8"/>
      <c r="I1040" s="8"/>
      <c r="J1040" s="8"/>
      <c r="K1040" s="8"/>
      <c r="L1040" s="8"/>
    </row>
    <row r="1041" spans="3:12" x14ac:dyDescent="0.25">
      <c r="C1041" s="7"/>
      <c r="E1041" s="8"/>
      <c r="F1041" s="8"/>
      <c r="G1041" s="8"/>
      <c r="H1041" s="8"/>
      <c r="I1041" s="8"/>
      <c r="J1041" s="8"/>
      <c r="K1041" s="8"/>
      <c r="L1041" s="8"/>
    </row>
    <row r="1042" spans="3:12" x14ac:dyDescent="0.25">
      <c r="C1042" s="7"/>
      <c r="E1042" s="8"/>
      <c r="F1042" s="8"/>
      <c r="G1042" s="8"/>
      <c r="H1042" s="8"/>
      <c r="I1042" s="8"/>
      <c r="J1042" s="8"/>
      <c r="K1042" s="8"/>
      <c r="L1042" s="8"/>
    </row>
    <row r="1043" spans="3:12" x14ac:dyDescent="0.25">
      <c r="C1043" s="7"/>
      <c r="E1043" s="8"/>
      <c r="F1043" s="8"/>
      <c r="G1043" s="8"/>
      <c r="H1043" s="8"/>
      <c r="I1043" s="8"/>
      <c r="J1043" s="8"/>
      <c r="K1043" s="8"/>
      <c r="L1043" s="8"/>
    </row>
    <row r="1044" spans="3:12" x14ac:dyDescent="0.25">
      <c r="C1044" s="7"/>
      <c r="E1044" s="8"/>
      <c r="F1044" s="8"/>
      <c r="G1044" s="8"/>
      <c r="H1044" s="8"/>
      <c r="I1044" s="8"/>
      <c r="J1044" s="8"/>
      <c r="K1044" s="8"/>
      <c r="L1044" s="8"/>
    </row>
    <row r="1045" spans="3:12" x14ac:dyDescent="0.25">
      <c r="C1045" s="7"/>
      <c r="E1045" s="8"/>
      <c r="F1045" s="8"/>
      <c r="G1045" s="8"/>
      <c r="H1045" s="8"/>
      <c r="I1045" s="8"/>
      <c r="J1045" s="8"/>
      <c r="K1045" s="8"/>
      <c r="L1045" s="8"/>
    </row>
    <row r="1046" spans="3:12" x14ac:dyDescent="0.25">
      <c r="C1046" s="7"/>
      <c r="E1046" s="8"/>
      <c r="F1046" s="8"/>
      <c r="G1046" s="8"/>
      <c r="H1046" s="8"/>
      <c r="I1046" s="8"/>
      <c r="J1046" s="8"/>
      <c r="K1046" s="8"/>
      <c r="L1046" s="8"/>
    </row>
    <row r="1047" spans="3:12" x14ac:dyDescent="0.25">
      <c r="C1047" s="7"/>
      <c r="E1047" s="8"/>
      <c r="F1047" s="8"/>
      <c r="G1047" s="8"/>
      <c r="H1047" s="8"/>
      <c r="I1047" s="8"/>
      <c r="J1047" s="8"/>
      <c r="K1047" s="8"/>
      <c r="L1047" s="8"/>
    </row>
    <row r="1048" spans="3:12" x14ac:dyDescent="0.25">
      <c r="C1048" s="7"/>
      <c r="E1048" s="8"/>
      <c r="F1048" s="8"/>
      <c r="G1048" s="8"/>
      <c r="H1048" s="8"/>
      <c r="I1048" s="8"/>
      <c r="J1048" s="8"/>
      <c r="K1048" s="8"/>
      <c r="L1048" s="8"/>
    </row>
    <row r="1049" spans="3:12" x14ac:dyDescent="0.25">
      <c r="C1049" s="7"/>
      <c r="E1049" s="8"/>
      <c r="F1049" s="8"/>
      <c r="G1049" s="8"/>
      <c r="H1049" s="8"/>
      <c r="I1049" s="8"/>
      <c r="J1049" s="8"/>
      <c r="K1049" s="8"/>
      <c r="L1049" s="8"/>
    </row>
    <row r="1050" spans="3:12" x14ac:dyDescent="0.25">
      <c r="C1050" s="7"/>
      <c r="E1050" s="8"/>
      <c r="F1050" s="8"/>
      <c r="G1050" s="8"/>
      <c r="H1050" s="8"/>
      <c r="I1050" s="8"/>
      <c r="J1050" s="8"/>
      <c r="K1050" s="8"/>
      <c r="L1050" s="8"/>
    </row>
    <row r="1051" spans="3:12" x14ac:dyDescent="0.25">
      <c r="C1051" s="7"/>
      <c r="E1051" s="8"/>
      <c r="F1051" s="8"/>
      <c r="G1051" s="8"/>
      <c r="H1051" s="8"/>
      <c r="I1051" s="8"/>
      <c r="J1051" s="8"/>
      <c r="K1051" s="8"/>
      <c r="L1051" s="8"/>
    </row>
    <row r="1052" spans="3:12" x14ac:dyDescent="0.25">
      <c r="C1052" s="7"/>
      <c r="E1052" s="8"/>
      <c r="F1052" s="8"/>
      <c r="G1052" s="8"/>
      <c r="H1052" s="8"/>
      <c r="I1052" s="8"/>
      <c r="J1052" s="8"/>
      <c r="K1052" s="8"/>
      <c r="L1052" s="8"/>
    </row>
    <row r="1053" spans="3:12" x14ac:dyDescent="0.25">
      <c r="C1053" s="7"/>
      <c r="E1053" s="8"/>
      <c r="F1053" s="8"/>
      <c r="G1053" s="8"/>
      <c r="H1053" s="8"/>
      <c r="I1053" s="8"/>
      <c r="J1053" s="8"/>
      <c r="K1053" s="8"/>
      <c r="L1053" s="8"/>
    </row>
    <row r="1054" spans="3:12" x14ac:dyDescent="0.25">
      <c r="C1054" s="7"/>
      <c r="E1054" s="8"/>
      <c r="F1054" s="8"/>
      <c r="G1054" s="8"/>
      <c r="H1054" s="8"/>
      <c r="I1054" s="8"/>
      <c r="J1054" s="8"/>
      <c r="K1054" s="8"/>
      <c r="L1054" s="8"/>
    </row>
    <row r="1055" spans="3:12" x14ac:dyDescent="0.25">
      <c r="C1055" s="7"/>
      <c r="E1055" s="8"/>
      <c r="F1055" s="8"/>
      <c r="G1055" s="8"/>
      <c r="H1055" s="8"/>
      <c r="I1055" s="8"/>
      <c r="J1055" s="8"/>
      <c r="K1055" s="8"/>
      <c r="L1055" s="8"/>
    </row>
    <row r="1056" spans="3:12" x14ac:dyDescent="0.25">
      <c r="C1056" s="7"/>
      <c r="E1056" s="8"/>
      <c r="F1056" s="8"/>
      <c r="G1056" s="8"/>
      <c r="H1056" s="8"/>
      <c r="I1056" s="8"/>
      <c r="J1056" s="8"/>
      <c r="K1056" s="8"/>
      <c r="L1056" s="8"/>
    </row>
    <row r="1057" spans="3:12" x14ac:dyDescent="0.25">
      <c r="C1057" s="7"/>
      <c r="E1057" s="8"/>
      <c r="F1057" s="8"/>
      <c r="G1057" s="8"/>
      <c r="H1057" s="8"/>
      <c r="I1057" s="8"/>
      <c r="J1057" s="8"/>
      <c r="K1057" s="8"/>
      <c r="L1057" s="8"/>
    </row>
    <row r="1058" spans="3:12" x14ac:dyDescent="0.25">
      <c r="C1058" s="7"/>
      <c r="E1058" s="8"/>
      <c r="F1058" s="8"/>
      <c r="G1058" s="8"/>
      <c r="H1058" s="8"/>
      <c r="I1058" s="8"/>
      <c r="J1058" s="8"/>
      <c r="K1058" s="8"/>
      <c r="L1058" s="8"/>
    </row>
    <row r="1059" spans="3:12" x14ac:dyDescent="0.25">
      <c r="C1059" s="7"/>
      <c r="E1059" s="8"/>
      <c r="F1059" s="8"/>
      <c r="G1059" s="8"/>
      <c r="H1059" s="8"/>
      <c r="I1059" s="8"/>
      <c r="J1059" s="8"/>
      <c r="K1059" s="8"/>
      <c r="L1059" s="8"/>
    </row>
    <row r="1060" spans="3:12" x14ac:dyDescent="0.25">
      <c r="C1060" s="7"/>
      <c r="E1060" s="8"/>
      <c r="F1060" s="8"/>
      <c r="G1060" s="8"/>
      <c r="H1060" s="8"/>
      <c r="I1060" s="8"/>
      <c r="J1060" s="8"/>
      <c r="K1060" s="8"/>
      <c r="L1060" s="8"/>
    </row>
    <row r="1061" spans="3:12" x14ac:dyDescent="0.25">
      <c r="C1061" s="7"/>
      <c r="E1061" s="8"/>
      <c r="F1061" s="8"/>
      <c r="G1061" s="8"/>
      <c r="H1061" s="8"/>
      <c r="I1061" s="8"/>
      <c r="J1061" s="8"/>
      <c r="K1061" s="8"/>
      <c r="L1061" s="8"/>
    </row>
    <row r="1062" spans="3:12" x14ac:dyDescent="0.25">
      <c r="C1062" s="7"/>
      <c r="E1062" s="8"/>
      <c r="F1062" s="8"/>
      <c r="G1062" s="8"/>
      <c r="H1062" s="8"/>
      <c r="I1062" s="8"/>
      <c r="J1062" s="8"/>
      <c r="K1062" s="8"/>
      <c r="L1062" s="8"/>
    </row>
    <row r="1063" spans="3:12" x14ac:dyDescent="0.25">
      <c r="C1063" s="7"/>
      <c r="E1063" s="8"/>
      <c r="F1063" s="8"/>
      <c r="G1063" s="8"/>
      <c r="H1063" s="8"/>
      <c r="I1063" s="8"/>
      <c r="J1063" s="8"/>
      <c r="K1063" s="8"/>
      <c r="L1063" s="8"/>
    </row>
    <row r="1064" spans="3:12" x14ac:dyDescent="0.25">
      <c r="C1064" s="7"/>
      <c r="E1064" s="8"/>
      <c r="F1064" s="8"/>
      <c r="G1064" s="8"/>
      <c r="H1064" s="8"/>
      <c r="I1064" s="8"/>
      <c r="J1064" s="8"/>
      <c r="K1064" s="8"/>
      <c r="L1064" s="8"/>
    </row>
    <row r="1065" spans="3:12" x14ac:dyDescent="0.25">
      <c r="C1065" s="7"/>
      <c r="E1065" s="8"/>
      <c r="F1065" s="8"/>
      <c r="G1065" s="8"/>
      <c r="H1065" s="8"/>
      <c r="I1065" s="8"/>
      <c r="J1065" s="8"/>
      <c r="K1065" s="8"/>
      <c r="L1065" s="8"/>
    </row>
    <row r="1066" spans="3:12" x14ac:dyDescent="0.25">
      <c r="C1066" s="7"/>
      <c r="E1066" s="8"/>
      <c r="F1066" s="8"/>
      <c r="G1066" s="8"/>
      <c r="H1066" s="8"/>
      <c r="I1066" s="8"/>
      <c r="J1066" s="8"/>
      <c r="K1066" s="8"/>
      <c r="L1066" s="8"/>
    </row>
    <row r="1067" spans="3:12" x14ac:dyDescent="0.25">
      <c r="C1067" s="7"/>
      <c r="E1067" s="8"/>
      <c r="F1067" s="8"/>
      <c r="G1067" s="8"/>
      <c r="H1067" s="8"/>
      <c r="I1067" s="8"/>
      <c r="J1067" s="8"/>
      <c r="K1067" s="8"/>
      <c r="L1067" s="8"/>
    </row>
    <row r="1068" spans="3:12" x14ac:dyDescent="0.25">
      <c r="C1068" s="7"/>
      <c r="E1068" s="8"/>
      <c r="F1068" s="8"/>
      <c r="G1068" s="8"/>
      <c r="H1068" s="8"/>
      <c r="I1068" s="8"/>
      <c r="J1068" s="8"/>
      <c r="K1068" s="8"/>
      <c r="L1068" s="8"/>
    </row>
    <row r="1069" spans="3:12" x14ac:dyDescent="0.25">
      <c r="C1069" s="7"/>
      <c r="E1069" s="8"/>
      <c r="F1069" s="8"/>
      <c r="G1069" s="8"/>
      <c r="H1069" s="8"/>
      <c r="I1069" s="8"/>
      <c r="J1069" s="8"/>
      <c r="K1069" s="8"/>
      <c r="L1069" s="8"/>
    </row>
    <row r="1070" spans="3:12" x14ac:dyDescent="0.25">
      <c r="C1070" s="7"/>
      <c r="E1070" s="8"/>
      <c r="F1070" s="8"/>
      <c r="G1070" s="8"/>
      <c r="H1070" s="8"/>
      <c r="I1070" s="8"/>
      <c r="J1070" s="8"/>
      <c r="K1070" s="8"/>
      <c r="L1070" s="8"/>
    </row>
    <row r="1071" spans="3:12" x14ac:dyDescent="0.25">
      <c r="C1071" s="7"/>
      <c r="E1071" s="8"/>
      <c r="F1071" s="8"/>
      <c r="G1071" s="8"/>
      <c r="H1071" s="8"/>
      <c r="I1071" s="8"/>
      <c r="J1071" s="8"/>
      <c r="K1071" s="8"/>
      <c r="L1071" s="8"/>
    </row>
    <row r="1072" spans="3:12" x14ac:dyDescent="0.25">
      <c r="C1072" s="7"/>
      <c r="E1072" s="8"/>
      <c r="F1072" s="8"/>
      <c r="G1072" s="8"/>
      <c r="H1072" s="8"/>
      <c r="I1072" s="8"/>
      <c r="J1072" s="8"/>
      <c r="K1072" s="8"/>
      <c r="L1072" s="8"/>
    </row>
    <row r="1073" spans="3:12" x14ac:dyDescent="0.25">
      <c r="C1073" s="7"/>
      <c r="E1073" s="8"/>
      <c r="F1073" s="8"/>
      <c r="G1073" s="8"/>
      <c r="H1073" s="8"/>
      <c r="I1073" s="8"/>
      <c r="J1073" s="8"/>
      <c r="K1073" s="8"/>
      <c r="L1073" s="8"/>
    </row>
    <row r="1074" spans="3:12" x14ac:dyDescent="0.25">
      <c r="C1074" s="7"/>
      <c r="E1074" s="8"/>
      <c r="F1074" s="8"/>
      <c r="G1074" s="8"/>
      <c r="H1074" s="8"/>
      <c r="I1074" s="8"/>
      <c r="J1074" s="8"/>
      <c r="K1074" s="8"/>
      <c r="L1074" s="8"/>
    </row>
    <row r="1075" spans="3:12" x14ac:dyDescent="0.25">
      <c r="C1075" s="7"/>
      <c r="E1075" s="8"/>
      <c r="F1075" s="8"/>
      <c r="G1075" s="8"/>
      <c r="H1075" s="8"/>
      <c r="I1075" s="8"/>
      <c r="J1075" s="8"/>
      <c r="K1075" s="8"/>
      <c r="L1075" s="8"/>
    </row>
    <row r="1076" spans="3:12" x14ac:dyDescent="0.25">
      <c r="C1076" s="7"/>
      <c r="E1076" s="8"/>
      <c r="F1076" s="8"/>
      <c r="G1076" s="8"/>
      <c r="H1076" s="8"/>
      <c r="I1076" s="8"/>
      <c r="J1076" s="8"/>
      <c r="K1076" s="8"/>
      <c r="L1076" s="8"/>
    </row>
    <row r="1077" spans="3:12" x14ac:dyDescent="0.25">
      <c r="C1077" s="7"/>
      <c r="E1077" s="8"/>
      <c r="F1077" s="8"/>
      <c r="G1077" s="8"/>
      <c r="H1077" s="8"/>
      <c r="I1077" s="8"/>
      <c r="J1077" s="8"/>
      <c r="K1077" s="8"/>
      <c r="L1077" s="8"/>
    </row>
    <row r="1078" spans="3:12" x14ac:dyDescent="0.25">
      <c r="C1078" s="7"/>
      <c r="E1078" s="8"/>
      <c r="F1078" s="8"/>
      <c r="G1078" s="8"/>
      <c r="H1078" s="8"/>
      <c r="I1078" s="8"/>
      <c r="J1078" s="8"/>
      <c r="K1078" s="8"/>
      <c r="L1078" s="8"/>
    </row>
    <row r="1079" spans="3:12" x14ac:dyDescent="0.25">
      <c r="C1079" s="7"/>
      <c r="E1079" s="8"/>
      <c r="F1079" s="8"/>
      <c r="G1079" s="8"/>
      <c r="H1079" s="8"/>
      <c r="I1079" s="8"/>
      <c r="J1079" s="8"/>
      <c r="K1079" s="8"/>
      <c r="L1079" s="8"/>
    </row>
    <row r="1080" spans="3:12" x14ac:dyDescent="0.25">
      <c r="C1080" s="7"/>
      <c r="E1080" s="8"/>
      <c r="F1080" s="8"/>
      <c r="G1080" s="8"/>
      <c r="H1080" s="8"/>
      <c r="I1080" s="8"/>
      <c r="J1080" s="8"/>
      <c r="K1080" s="8"/>
      <c r="L1080" s="8"/>
    </row>
    <row r="1081" spans="3:12" x14ac:dyDescent="0.25">
      <c r="C1081" s="7"/>
      <c r="E1081" s="8"/>
      <c r="F1081" s="8"/>
      <c r="G1081" s="8"/>
      <c r="H1081" s="8"/>
      <c r="I1081" s="8"/>
      <c r="J1081" s="8"/>
      <c r="K1081" s="8"/>
      <c r="L1081" s="8"/>
    </row>
    <row r="1082" spans="3:12" x14ac:dyDescent="0.25">
      <c r="C1082" s="7"/>
      <c r="E1082" s="8"/>
      <c r="F1082" s="8"/>
      <c r="G1082" s="8"/>
      <c r="H1082" s="8"/>
      <c r="I1082" s="8"/>
      <c r="J1082" s="8"/>
      <c r="K1082" s="8"/>
      <c r="L1082" s="8"/>
    </row>
    <row r="1083" spans="3:12" x14ac:dyDescent="0.25">
      <c r="C1083" s="7"/>
      <c r="E1083" s="8"/>
      <c r="F1083" s="8"/>
      <c r="G1083" s="8"/>
      <c r="H1083" s="8"/>
      <c r="I1083" s="8"/>
      <c r="J1083" s="8"/>
      <c r="K1083" s="8"/>
      <c r="L1083" s="8"/>
    </row>
    <row r="1084" spans="3:12" x14ac:dyDescent="0.25">
      <c r="C1084" s="7"/>
      <c r="E1084" s="8"/>
      <c r="F1084" s="8"/>
      <c r="G1084" s="8"/>
      <c r="H1084" s="8"/>
      <c r="I1084" s="8"/>
      <c r="J1084" s="8"/>
      <c r="K1084" s="8"/>
      <c r="L1084" s="8"/>
    </row>
    <row r="1085" spans="3:12" x14ac:dyDescent="0.25">
      <c r="C1085" s="7"/>
      <c r="E1085" s="8"/>
      <c r="F1085" s="8"/>
      <c r="G1085" s="8"/>
      <c r="H1085" s="8"/>
      <c r="I1085" s="8"/>
      <c r="J1085" s="8"/>
      <c r="K1085" s="8"/>
      <c r="L1085" s="8"/>
    </row>
    <row r="1086" spans="3:12" x14ac:dyDescent="0.25">
      <c r="C1086" s="7"/>
      <c r="E1086" s="8"/>
      <c r="F1086" s="8"/>
      <c r="G1086" s="8"/>
      <c r="H1086" s="8"/>
      <c r="I1086" s="8"/>
      <c r="J1086" s="8"/>
      <c r="K1086" s="8"/>
      <c r="L1086" s="8"/>
    </row>
    <row r="1087" spans="3:12" x14ac:dyDescent="0.25">
      <c r="C1087" s="7"/>
      <c r="E1087" s="8"/>
      <c r="F1087" s="8"/>
      <c r="G1087" s="8"/>
      <c r="H1087" s="8"/>
      <c r="I1087" s="8"/>
      <c r="J1087" s="8"/>
      <c r="K1087" s="8"/>
      <c r="L1087" s="8"/>
    </row>
    <row r="1088" spans="3:12" x14ac:dyDescent="0.25">
      <c r="C1088" s="7"/>
      <c r="E1088" s="8"/>
      <c r="F1088" s="8"/>
      <c r="G1088" s="8"/>
      <c r="H1088" s="8"/>
      <c r="I1088" s="8"/>
      <c r="J1088" s="8"/>
      <c r="K1088" s="8"/>
      <c r="L1088" s="8"/>
    </row>
    <row r="1089" spans="3:12" x14ac:dyDescent="0.25">
      <c r="C1089" s="7"/>
      <c r="E1089" s="8"/>
      <c r="F1089" s="8"/>
      <c r="G1089" s="8"/>
      <c r="H1089" s="8"/>
      <c r="I1089" s="8"/>
      <c r="J1089" s="8"/>
      <c r="K1089" s="8"/>
      <c r="L1089" s="8"/>
    </row>
    <row r="1090" spans="3:12" x14ac:dyDescent="0.25">
      <c r="C1090" s="7"/>
      <c r="E1090" s="8"/>
      <c r="F1090" s="8"/>
      <c r="G1090" s="8"/>
      <c r="H1090" s="8"/>
      <c r="I1090" s="8"/>
      <c r="J1090" s="8"/>
      <c r="K1090" s="8"/>
      <c r="L1090" s="8"/>
    </row>
    <row r="1091" spans="3:12" x14ac:dyDescent="0.25">
      <c r="C1091" s="7"/>
      <c r="E1091" s="8"/>
      <c r="F1091" s="8"/>
      <c r="G1091" s="8"/>
      <c r="H1091" s="8"/>
      <c r="I1091" s="8"/>
      <c r="J1091" s="8"/>
      <c r="K1091" s="8"/>
      <c r="L1091" s="8"/>
    </row>
    <row r="1092" spans="3:12" x14ac:dyDescent="0.25">
      <c r="C1092" s="7"/>
      <c r="E1092" s="8"/>
      <c r="F1092" s="8"/>
      <c r="G1092" s="8"/>
      <c r="H1092" s="8"/>
      <c r="I1092" s="8"/>
      <c r="J1092" s="8"/>
      <c r="K1092" s="8"/>
      <c r="L1092" s="8"/>
    </row>
    <row r="1093" spans="3:12" x14ac:dyDescent="0.25">
      <c r="C1093" s="7"/>
      <c r="E1093" s="8"/>
      <c r="F1093" s="8"/>
      <c r="G1093" s="8"/>
      <c r="H1093" s="8"/>
      <c r="I1093" s="8"/>
      <c r="J1093" s="8"/>
      <c r="K1093" s="8"/>
      <c r="L1093" s="8"/>
    </row>
    <row r="1094" spans="3:12" x14ac:dyDescent="0.25">
      <c r="C1094" s="7"/>
      <c r="E1094" s="8"/>
      <c r="F1094" s="8"/>
      <c r="G1094" s="8"/>
      <c r="H1094" s="8"/>
      <c r="I1094" s="8"/>
      <c r="J1094" s="8"/>
      <c r="K1094" s="8"/>
      <c r="L1094" s="8"/>
    </row>
    <row r="1095" spans="3:12" x14ac:dyDescent="0.25">
      <c r="C1095" s="7"/>
      <c r="E1095" s="8"/>
      <c r="F1095" s="8"/>
      <c r="G1095" s="8"/>
      <c r="H1095" s="8"/>
      <c r="I1095" s="8"/>
      <c r="J1095" s="8"/>
      <c r="K1095" s="8"/>
      <c r="L1095" s="8"/>
    </row>
    <row r="1096" spans="3:12" x14ac:dyDescent="0.25">
      <c r="C1096" s="7"/>
      <c r="E1096" s="8"/>
      <c r="F1096" s="8"/>
      <c r="G1096" s="8"/>
      <c r="H1096" s="8"/>
      <c r="I1096" s="8"/>
      <c r="J1096" s="8"/>
      <c r="K1096" s="8"/>
      <c r="L1096" s="8"/>
    </row>
    <row r="1097" spans="3:12" x14ac:dyDescent="0.25">
      <c r="C1097" s="7"/>
      <c r="E1097" s="8"/>
      <c r="F1097" s="8"/>
      <c r="G1097" s="8"/>
      <c r="H1097" s="8"/>
      <c r="I1097" s="8"/>
      <c r="J1097" s="8"/>
      <c r="K1097" s="8"/>
      <c r="L1097" s="8"/>
    </row>
    <row r="1098" spans="3:12" x14ac:dyDescent="0.25">
      <c r="C1098" s="7"/>
      <c r="E1098" s="8"/>
      <c r="F1098" s="8"/>
      <c r="G1098" s="8"/>
      <c r="H1098" s="8"/>
      <c r="I1098" s="8"/>
      <c r="J1098" s="8"/>
      <c r="K1098" s="8"/>
      <c r="L1098" s="8"/>
    </row>
    <row r="1099" spans="3:12" x14ac:dyDescent="0.25">
      <c r="C1099" s="7"/>
      <c r="E1099" s="8"/>
      <c r="F1099" s="8"/>
      <c r="G1099" s="8"/>
      <c r="H1099" s="8"/>
      <c r="I1099" s="8"/>
      <c r="J1099" s="8"/>
      <c r="K1099" s="8"/>
      <c r="L1099" s="8"/>
    </row>
    <row r="1100" spans="3:12" x14ac:dyDescent="0.25">
      <c r="C1100" s="7"/>
      <c r="E1100" s="8"/>
      <c r="F1100" s="8"/>
      <c r="G1100" s="8"/>
      <c r="H1100" s="8"/>
      <c r="I1100" s="8"/>
      <c r="J1100" s="8"/>
      <c r="K1100" s="8"/>
      <c r="L1100" s="8"/>
    </row>
    <row r="1101" spans="3:12" x14ac:dyDescent="0.25">
      <c r="C1101" s="7"/>
      <c r="E1101" s="8"/>
      <c r="F1101" s="8"/>
      <c r="G1101" s="8"/>
      <c r="H1101" s="8"/>
      <c r="I1101" s="8"/>
      <c r="J1101" s="8"/>
      <c r="K1101" s="8"/>
      <c r="L1101" s="8"/>
    </row>
    <row r="1102" spans="3:12" x14ac:dyDescent="0.25">
      <c r="C1102" s="7"/>
      <c r="E1102" s="8"/>
      <c r="F1102" s="8"/>
      <c r="G1102" s="8"/>
      <c r="H1102" s="8"/>
      <c r="I1102" s="8"/>
      <c r="J1102" s="8"/>
      <c r="K1102" s="8"/>
      <c r="L1102" s="8"/>
    </row>
    <row r="1103" spans="3:12" x14ac:dyDescent="0.25">
      <c r="C1103" s="7"/>
      <c r="E1103" s="8"/>
      <c r="F1103" s="8"/>
      <c r="G1103" s="8"/>
      <c r="H1103" s="8"/>
      <c r="I1103" s="8"/>
      <c r="J1103" s="8"/>
      <c r="K1103" s="8"/>
      <c r="L1103" s="8"/>
    </row>
    <row r="1104" spans="3:12" x14ac:dyDescent="0.25">
      <c r="C1104" s="7"/>
      <c r="E1104" s="8"/>
      <c r="F1104" s="8"/>
      <c r="G1104" s="8"/>
      <c r="H1104" s="8"/>
      <c r="I1104" s="8"/>
      <c r="J1104" s="8"/>
      <c r="K1104" s="8"/>
      <c r="L1104" s="8"/>
    </row>
    <row r="1105" spans="3:12" x14ac:dyDescent="0.25">
      <c r="C1105" s="7"/>
      <c r="E1105" s="8"/>
      <c r="F1105" s="8"/>
      <c r="G1105" s="8"/>
      <c r="H1105" s="8"/>
      <c r="I1105" s="8"/>
      <c r="J1105" s="8"/>
      <c r="K1105" s="8"/>
      <c r="L1105" s="8"/>
    </row>
    <row r="1106" spans="3:12" x14ac:dyDescent="0.25">
      <c r="C1106" s="7"/>
      <c r="E1106" s="8"/>
      <c r="F1106" s="8"/>
      <c r="G1106" s="8"/>
      <c r="H1106" s="8"/>
      <c r="I1106" s="8"/>
      <c r="J1106" s="8"/>
      <c r="K1106" s="8"/>
      <c r="L1106" s="8"/>
    </row>
    <row r="1107" spans="3:12" x14ac:dyDescent="0.25">
      <c r="C1107" s="7"/>
      <c r="E1107" s="8"/>
      <c r="F1107" s="8"/>
      <c r="G1107" s="8"/>
      <c r="H1107" s="8"/>
      <c r="I1107" s="8"/>
      <c r="J1107" s="8"/>
      <c r="K1107" s="8"/>
      <c r="L1107" s="8"/>
    </row>
    <row r="1108" spans="3:12" x14ac:dyDescent="0.25">
      <c r="C1108" s="7"/>
      <c r="E1108" s="8"/>
      <c r="F1108" s="8"/>
      <c r="G1108" s="8"/>
      <c r="H1108" s="8"/>
      <c r="I1108" s="8"/>
      <c r="J1108" s="8"/>
      <c r="K1108" s="8"/>
      <c r="L1108" s="8"/>
    </row>
    <row r="1109" spans="3:12" x14ac:dyDescent="0.25">
      <c r="C1109" s="7"/>
      <c r="E1109" s="8"/>
      <c r="F1109" s="8"/>
      <c r="G1109" s="8"/>
      <c r="H1109" s="8"/>
      <c r="I1109" s="8"/>
      <c r="J1109" s="8"/>
      <c r="K1109" s="8"/>
      <c r="L1109" s="8"/>
    </row>
    <row r="1110" spans="3:12" x14ac:dyDescent="0.25">
      <c r="C1110" s="7"/>
      <c r="E1110" s="8"/>
      <c r="F1110" s="8"/>
      <c r="G1110" s="8"/>
      <c r="H1110" s="8"/>
      <c r="I1110" s="8"/>
      <c r="J1110" s="8"/>
      <c r="K1110" s="8"/>
      <c r="L1110" s="8"/>
    </row>
    <row r="1111" spans="3:12" x14ac:dyDescent="0.25">
      <c r="C1111" s="7"/>
      <c r="E1111" s="8"/>
      <c r="F1111" s="8"/>
      <c r="G1111" s="8"/>
      <c r="H1111" s="8"/>
      <c r="I1111" s="8"/>
      <c r="J1111" s="8"/>
      <c r="K1111" s="8"/>
      <c r="L1111" s="8"/>
    </row>
    <row r="1112" spans="3:12" x14ac:dyDescent="0.25">
      <c r="C1112" s="7"/>
      <c r="E1112" s="8"/>
      <c r="F1112" s="8"/>
      <c r="G1112" s="8"/>
      <c r="H1112" s="8"/>
      <c r="I1112" s="8"/>
      <c r="J1112" s="8"/>
      <c r="K1112" s="8"/>
      <c r="L1112" s="8"/>
    </row>
    <row r="1113" spans="3:12" x14ac:dyDescent="0.25">
      <c r="C1113" s="7"/>
      <c r="E1113" s="8"/>
      <c r="F1113" s="8"/>
      <c r="G1113" s="8"/>
      <c r="H1113" s="8"/>
      <c r="I1113" s="8"/>
      <c r="J1113" s="8"/>
      <c r="K1113" s="8"/>
      <c r="L1113" s="8"/>
    </row>
    <row r="1114" spans="3:12" x14ac:dyDescent="0.25">
      <c r="C1114" s="7"/>
      <c r="E1114" s="8"/>
      <c r="F1114" s="8"/>
      <c r="G1114" s="8"/>
      <c r="H1114" s="8"/>
      <c r="I1114" s="8"/>
      <c r="J1114" s="8"/>
      <c r="K1114" s="8"/>
      <c r="L1114" s="8"/>
    </row>
    <row r="1115" spans="3:12" x14ac:dyDescent="0.25">
      <c r="C1115" s="7"/>
      <c r="E1115" s="8"/>
      <c r="F1115" s="8"/>
      <c r="G1115" s="8"/>
      <c r="H1115" s="8"/>
      <c r="I1115" s="8"/>
      <c r="J1115" s="8"/>
      <c r="K1115" s="8"/>
      <c r="L1115" s="8"/>
    </row>
    <row r="1116" spans="3:12" x14ac:dyDescent="0.25">
      <c r="C1116" s="7"/>
      <c r="E1116" s="8"/>
      <c r="F1116" s="8"/>
      <c r="G1116" s="8"/>
      <c r="H1116" s="8"/>
      <c r="I1116" s="8"/>
      <c r="J1116" s="8"/>
      <c r="K1116" s="8"/>
      <c r="L1116" s="8"/>
    </row>
    <row r="1117" spans="3:12" x14ac:dyDescent="0.25">
      <c r="C1117" s="7"/>
      <c r="E1117" s="8"/>
      <c r="F1117" s="8"/>
      <c r="G1117" s="8"/>
      <c r="H1117" s="8"/>
      <c r="I1117" s="8"/>
      <c r="J1117" s="8"/>
      <c r="K1117" s="8"/>
      <c r="L1117" s="8"/>
    </row>
    <row r="1118" spans="3:12" x14ac:dyDescent="0.25">
      <c r="C1118" s="7"/>
      <c r="E1118" s="8"/>
      <c r="F1118" s="8"/>
      <c r="G1118" s="8"/>
      <c r="H1118" s="8"/>
      <c r="I1118" s="8"/>
      <c r="J1118" s="8"/>
      <c r="K1118" s="8"/>
      <c r="L1118" s="8"/>
    </row>
    <row r="1119" spans="3:12" x14ac:dyDescent="0.25">
      <c r="C1119" s="7"/>
      <c r="E1119" s="8"/>
      <c r="F1119" s="8"/>
      <c r="G1119" s="8"/>
      <c r="H1119" s="8"/>
      <c r="I1119" s="8"/>
      <c r="J1119" s="8"/>
      <c r="K1119" s="8"/>
      <c r="L1119" s="8"/>
    </row>
    <row r="1120" spans="3:12" x14ac:dyDescent="0.25">
      <c r="C1120" s="7"/>
      <c r="E1120" s="8"/>
      <c r="F1120" s="8"/>
      <c r="G1120" s="8"/>
      <c r="H1120" s="8"/>
      <c r="I1120" s="8"/>
      <c r="J1120" s="8"/>
      <c r="K1120" s="8"/>
      <c r="L1120" s="8"/>
    </row>
    <row r="1121" spans="3:12" x14ac:dyDescent="0.25">
      <c r="C1121" s="7"/>
      <c r="E1121" s="8"/>
      <c r="F1121" s="8"/>
      <c r="G1121" s="8"/>
      <c r="H1121" s="8"/>
      <c r="I1121" s="8"/>
      <c r="J1121" s="8"/>
      <c r="K1121" s="8"/>
      <c r="L1121" s="8"/>
    </row>
    <row r="1122" spans="3:12" x14ac:dyDescent="0.25">
      <c r="C1122" s="7"/>
      <c r="E1122" s="8"/>
      <c r="F1122" s="8"/>
      <c r="G1122" s="8"/>
      <c r="H1122" s="8"/>
      <c r="I1122" s="8"/>
      <c r="J1122" s="8"/>
      <c r="K1122" s="8"/>
      <c r="L1122" s="8"/>
    </row>
    <row r="1123" spans="3:12" x14ac:dyDescent="0.25">
      <c r="C1123" s="7"/>
      <c r="E1123" s="8"/>
      <c r="F1123" s="8"/>
      <c r="G1123" s="8"/>
      <c r="H1123" s="8"/>
      <c r="I1123" s="8"/>
      <c r="J1123" s="8"/>
      <c r="K1123" s="8"/>
      <c r="L1123" s="8"/>
    </row>
    <row r="1124" spans="3:12" x14ac:dyDescent="0.25">
      <c r="C1124" s="7"/>
      <c r="E1124" s="8"/>
      <c r="F1124" s="8"/>
      <c r="G1124" s="8"/>
      <c r="H1124" s="8"/>
      <c r="I1124" s="8"/>
      <c r="J1124" s="8"/>
      <c r="K1124" s="8"/>
      <c r="L1124" s="8"/>
    </row>
    <row r="1125" spans="3:12" x14ac:dyDescent="0.25">
      <c r="C1125" s="7"/>
      <c r="E1125" s="8"/>
      <c r="F1125" s="8"/>
      <c r="G1125" s="8"/>
      <c r="H1125" s="8"/>
      <c r="I1125" s="8"/>
      <c r="J1125" s="8"/>
      <c r="K1125" s="8"/>
      <c r="L1125" s="8"/>
    </row>
    <row r="1126" spans="3:12" x14ac:dyDescent="0.25">
      <c r="C1126" s="7"/>
      <c r="E1126" s="8"/>
      <c r="F1126" s="8"/>
      <c r="G1126" s="8"/>
      <c r="H1126" s="8"/>
      <c r="I1126" s="8"/>
      <c r="J1126" s="8"/>
      <c r="K1126" s="8"/>
      <c r="L1126" s="8"/>
    </row>
    <row r="1127" spans="3:12" x14ac:dyDescent="0.25">
      <c r="C1127" s="7"/>
      <c r="E1127" s="8"/>
      <c r="F1127" s="8"/>
      <c r="G1127" s="8"/>
      <c r="H1127" s="8"/>
      <c r="I1127" s="8"/>
      <c r="J1127" s="8"/>
      <c r="K1127" s="8"/>
      <c r="L1127" s="8"/>
    </row>
    <row r="1128" spans="3:12" x14ac:dyDescent="0.25">
      <c r="C1128" s="7"/>
      <c r="E1128" s="8"/>
      <c r="F1128" s="8"/>
      <c r="G1128" s="8"/>
      <c r="H1128" s="8"/>
      <c r="I1128" s="8"/>
      <c r="J1128" s="8"/>
      <c r="K1128" s="8"/>
      <c r="L1128" s="8"/>
    </row>
    <row r="1129" spans="3:12" x14ac:dyDescent="0.25">
      <c r="C1129" s="7"/>
      <c r="E1129" s="8"/>
      <c r="F1129" s="8"/>
      <c r="G1129" s="8"/>
      <c r="H1129" s="8"/>
      <c r="I1129" s="8"/>
      <c r="J1129" s="8"/>
      <c r="K1129" s="8"/>
      <c r="L1129" s="8"/>
    </row>
    <row r="1130" spans="3:12" x14ac:dyDescent="0.25">
      <c r="C1130" s="7"/>
      <c r="E1130" s="8"/>
      <c r="F1130" s="8"/>
      <c r="G1130" s="8"/>
      <c r="H1130" s="8"/>
      <c r="I1130" s="8"/>
      <c r="J1130" s="8"/>
      <c r="K1130" s="8"/>
      <c r="L1130" s="8"/>
    </row>
    <row r="1131" spans="3:12" x14ac:dyDescent="0.25">
      <c r="C1131" s="7"/>
      <c r="E1131" s="8"/>
      <c r="F1131" s="8"/>
      <c r="G1131" s="8"/>
      <c r="H1131" s="8"/>
      <c r="I1131" s="8"/>
      <c r="J1131" s="8"/>
      <c r="K1131" s="8"/>
      <c r="L1131" s="8"/>
    </row>
    <row r="1132" spans="3:12" x14ac:dyDescent="0.25">
      <c r="C1132" s="7"/>
      <c r="E1132" s="8"/>
      <c r="F1132" s="8"/>
      <c r="G1132" s="8"/>
      <c r="H1132" s="8"/>
      <c r="I1132" s="8"/>
      <c r="J1132" s="8"/>
      <c r="K1132" s="8"/>
      <c r="L1132" s="8"/>
    </row>
    <row r="1133" spans="3:12" x14ac:dyDescent="0.25">
      <c r="C1133" s="7"/>
      <c r="E1133" s="8"/>
      <c r="F1133" s="8"/>
      <c r="G1133" s="8"/>
      <c r="H1133" s="8"/>
      <c r="I1133" s="8"/>
      <c r="J1133" s="8"/>
      <c r="K1133" s="8"/>
      <c r="L1133" s="8"/>
    </row>
    <row r="1134" spans="3:12" x14ac:dyDescent="0.25">
      <c r="C1134" s="7"/>
      <c r="E1134" s="8"/>
      <c r="F1134" s="8"/>
      <c r="G1134" s="8"/>
      <c r="H1134" s="8"/>
      <c r="I1134" s="8"/>
      <c r="J1134" s="8"/>
      <c r="K1134" s="8"/>
      <c r="L1134" s="8"/>
    </row>
    <row r="1135" spans="3:12" x14ac:dyDescent="0.25">
      <c r="C1135" s="7"/>
      <c r="E1135" s="8"/>
      <c r="F1135" s="8"/>
      <c r="G1135" s="8"/>
      <c r="H1135" s="8"/>
      <c r="I1135" s="8"/>
      <c r="J1135" s="8"/>
      <c r="K1135" s="8"/>
      <c r="L1135" s="8"/>
    </row>
    <row r="1136" spans="3:12" x14ac:dyDescent="0.25">
      <c r="C1136" s="7"/>
      <c r="E1136" s="8"/>
      <c r="F1136" s="8"/>
      <c r="G1136" s="8"/>
      <c r="H1136" s="8"/>
      <c r="I1136" s="8"/>
      <c r="J1136" s="8"/>
      <c r="K1136" s="8"/>
      <c r="L1136" s="8"/>
    </row>
    <row r="1137" spans="3:12" x14ac:dyDescent="0.25">
      <c r="C1137" s="7"/>
      <c r="E1137" s="8"/>
      <c r="F1137" s="8"/>
      <c r="G1137" s="8"/>
      <c r="H1137" s="8"/>
      <c r="I1137" s="8"/>
      <c r="J1137" s="8"/>
      <c r="K1137" s="8"/>
      <c r="L1137" s="8"/>
    </row>
    <row r="1138" spans="3:12" x14ac:dyDescent="0.25">
      <c r="C1138" s="7"/>
      <c r="E1138" s="8"/>
      <c r="F1138" s="8"/>
      <c r="G1138" s="8"/>
      <c r="H1138" s="8"/>
      <c r="I1138" s="8"/>
      <c r="J1138" s="8"/>
      <c r="K1138" s="8"/>
      <c r="L1138" s="8"/>
    </row>
    <row r="1139" spans="3:12" x14ac:dyDescent="0.25">
      <c r="C1139" s="7"/>
      <c r="E1139" s="8"/>
      <c r="F1139" s="8"/>
      <c r="G1139" s="8"/>
      <c r="H1139" s="8"/>
      <c r="I1139" s="8"/>
      <c r="J1139" s="8"/>
      <c r="K1139" s="8"/>
      <c r="L1139" s="8"/>
    </row>
    <row r="1140" spans="3:12" x14ac:dyDescent="0.25">
      <c r="C1140" s="7"/>
      <c r="E1140" s="8"/>
      <c r="F1140" s="8"/>
      <c r="G1140" s="8"/>
      <c r="H1140" s="8"/>
      <c r="I1140" s="8"/>
      <c r="J1140" s="8"/>
      <c r="K1140" s="8"/>
      <c r="L1140" s="8"/>
    </row>
    <row r="1141" spans="3:12" x14ac:dyDescent="0.25">
      <c r="C1141" s="7"/>
      <c r="E1141" s="8"/>
      <c r="F1141" s="8"/>
      <c r="G1141" s="8"/>
      <c r="H1141" s="8"/>
      <c r="I1141" s="8"/>
      <c r="J1141" s="8"/>
      <c r="K1141" s="8"/>
      <c r="L1141" s="8"/>
    </row>
    <row r="1142" spans="3:12" x14ac:dyDescent="0.25">
      <c r="C1142" s="7"/>
      <c r="E1142" s="8"/>
      <c r="F1142" s="8"/>
      <c r="G1142" s="8"/>
      <c r="H1142" s="8"/>
      <c r="I1142" s="8"/>
      <c r="J1142" s="8"/>
      <c r="K1142" s="8"/>
      <c r="L1142" s="8"/>
    </row>
    <row r="1143" spans="3:12" x14ac:dyDescent="0.25">
      <c r="C1143" s="7"/>
      <c r="E1143" s="8"/>
      <c r="F1143" s="8"/>
      <c r="G1143" s="8"/>
      <c r="H1143" s="8"/>
      <c r="I1143" s="8"/>
      <c r="J1143" s="8"/>
      <c r="K1143" s="8"/>
      <c r="L1143" s="8"/>
    </row>
    <row r="1144" spans="3:12" x14ac:dyDescent="0.25">
      <c r="C1144" s="7"/>
      <c r="E1144" s="8"/>
      <c r="F1144" s="8"/>
      <c r="G1144" s="8"/>
      <c r="H1144" s="8"/>
      <c r="I1144" s="8"/>
      <c r="J1144" s="8"/>
      <c r="K1144" s="8"/>
      <c r="L1144" s="8"/>
    </row>
    <row r="1145" spans="3:12" x14ac:dyDescent="0.25">
      <c r="C1145" s="7"/>
      <c r="E1145" s="8"/>
      <c r="F1145" s="8"/>
      <c r="G1145" s="8"/>
      <c r="H1145" s="8"/>
      <c r="I1145" s="8"/>
      <c r="J1145" s="8"/>
      <c r="K1145" s="8"/>
      <c r="L1145" s="8"/>
    </row>
    <row r="1146" spans="3:12" x14ac:dyDescent="0.25">
      <c r="C1146" s="7"/>
      <c r="E1146" s="8"/>
      <c r="F1146" s="8"/>
      <c r="G1146" s="8"/>
      <c r="H1146" s="8"/>
      <c r="I1146" s="8"/>
      <c r="J1146" s="8"/>
      <c r="K1146" s="8"/>
      <c r="L1146" s="8"/>
    </row>
    <row r="1147" spans="3:12" x14ac:dyDescent="0.25">
      <c r="C1147" s="7"/>
      <c r="E1147" s="8"/>
      <c r="F1147" s="8"/>
      <c r="G1147" s="8"/>
      <c r="H1147" s="8"/>
      <c r="I1147" s="8"/>
      <c r="J1147" s="8"/>
      <c r="K1147" s="8"/>
      <c r="L1147" s="8"/>
    </row>
    <row r="1148" spans="3:12" x14ac:dyDescent="0.25">
      <c r="C1148" s="7"/>
      <c r="E1148" s="8"/>
      <c r="F1148" s="8"/>
      <c r="G1148" s="8"/>
      <c r="H1148" s="8"/>
      <c r="I1148" s="8"/>
      <c r="J1148" s="8"/>
      <c r="K1148" s="8"/>
      <c r="L1148" s="8"/>
    </row>
    <row r="1149" spans="3:12" x14ac:dyDescent="0.25">
      <c r="C1149" s="7"/>
      <c r="E1149" s="8"/>
      <c r="F1149" s="8"/>
      <c r="G1149" s="8"/>
      <c r="H1149" s="8"/>
      <c r="I1149" s="8"/>
      <c r="J1149" s="8"/>
      <c r="K1149" s="8"/>
      <c r="L1149" s="8"/>
    </row>
    <row r="1150" spans="3:12" x14ac:dyDescent="0.25">
      <c r="C1150" s="7"/>
      <c r="E1150" s="8"/>
      <c r="F1150" s="8"/>
      <c r="G1150" s="8"/>
      <c r="H1150" s="8"/>
      <c r="I1150" s="8"/>
      <c r="J1150" s="8"/>
      <c r="K1150" s="8"/>
      <c r="L1150" s="8"/>
    </row>
    <row r="1151" spans="3:12" x14ac:dyDescent="0.25">
      <c r="C1151" s="7"/>
      <c r="E1151" s="8"/>
      <c r="F1151" s="8"/>
      <c r="G1151" s="8"/>
      <c r="H1151" s="8"/>
      <c r="I1151" s="8"/>
      <c r="J1151" s="8"/>
      <c r="K1151" s="8"/>
      <c r="L1151" s="8"/>
    </row>
    <row r="1152" spans="3:12" x14ac:dyDescent="0.25">
      <c r="C1152" s="7"/>
      <c r="E1152" s="8"/>
      <c r="F1152" s="8"/>
      <c r="G1152" s="8"/>
      <c r="H1152" s="8"/>
      <c r="I1152" s="8"/>
      <c r="J1152" s="8"/>
      <c r="K1152" s="8"/>
      <c r="L1152" s="8"/>
    </row>
    <row r="1153" spans="3:12" x14ac:dyDescent="0.25">
      <c r="C1153" s="7"/>
      <c r="E1153" s="8"/>
      <c r="F1153" s="8"/>
      <c r="G1153" s="8"/>
      <c r="H1153" s="8"/>
      <c r="I1153" s="8"/>
      <c r="J1153" s="8"/>
      <c r="K1153" s="8"/>
      <c r="L1153" s="8"/>
    </row>
    <row r="1154" spans="3:12" x14ac:dyDescent="0.25">
      <c r="C1154" s="7"/>
      <c r="E1154" s="8"/>
      <c r="F1154" s="8"/>
      <c r="G1154" s="8"/>
      <c r="H1154" s="8"/>
      <c r="I1154" s="8"/>
      <c r="J1154" s="8"/>
      <c r="K1154" s="8"/>
      <c r="L1154" s="8"/>
    </row>
    <row r="1155" spans="3:12" x14ac:dyDescent="0.25">
      <c r="C1155" s="7"/>
      <c r="E1155" s="8"/>
      <c r="F1155" s="8"/>
      <c r="G1155" s="8"/>
      <c r="H1155" s="8"/>
      <c r="I1155" s="8"/>
      <c r="J1155" s="8"/>
      <c r="K1155" s="8"/>
      <c r="L1155" s="8"/>
    </row>
    <row r="1156" spans="3:12" x14ac:dyDescent="0.25">
      <c r="C1156" s="7"/>
      <c r="E1156" s="8"/>
      <c r="F1156" s="8"/>
      <c r="G1156" s="8"/>
      <c r="H1156" s="8"/>
      <c r="I1156" s="8"/>
      <c r="J1156" s="8"/>
      <c r="K1156" s="8"/>
      <c r="L1156" s="8"/>
    </row>
    <row r="1157" spans="3:12" x14ac:dyDescent="0.25">
      <c r="C1157" s="7"/>
      <c r="E1157" s="8"/>
      <c r="F1157" s="8"/>
      <c r="G1157" s="8"/>
      <c r="H1157" s="8"/>
      <c r="I1157" s="8"/>
      <c r="J1157" s="8"/>
      <c r="K1157" s="8"/>
      <c r="L1157" s="8"/>
    </row>
    <row r="1158" spans="3:12" x14ac:dyDescent="0.25">
      <c r="C1158" s="7"/>
      <c r="E1158" s="8"/>
      <c r="F1158" s="8"/>
      <c r="G1158" s="8"/>
      <c r="H1158" s="8"/>
      <c r="I1158" s="8"/>
      <c r="J1158" s="8"/>
      <c r="K1158" s="8"/>
      <c r="L1158" s="8"/>
    </row>
    <row r="1159" spans="3:12" x14ac:dyDescent="0.25">
      <c r="C1159" s="7"/>
      <c r="E1159" s="8"/>
      <c r="F1159" s="8"/>
      <c r="G1159" s="8"/>
      <c r="H1159" s="8"/>
      <c r="I1159" s="8"/>
      <c r="J1159" s="8"/>
      <c r="K1159" s="8"/>
      <c r="L1159" s="8"/>
    </row>
    <row r="1160" spans="3:12" x14ac:dyDescent="0.25">
      <c r="C1160" s="7"/>
      <c r="E1160" s="8"/>
      <c r="F1160" s="8"/>
      <c r="G1160" s="8"/>
      <c r="H1160" s="8"/>
      <c r="I1160" s="8"/>
      <c r="J1160" s="8"/>
      <c r="K1160" s="8"/>
      <c r="L1160" s="8"/>
    </row>
    <row r="1161" spans="3:12" x14ac:dyDescent="0.25">
      <c r="C1161" s="7"/>
      <c r="E1161" s="8"/>
      <c r="F1161" s="8"/>
      <c r="G1161" s="8"/>
      <c r="H1161" s="8"/>
      <c r="I1161" s="8"/>
      <c r="J1161" s="8"/>
      <c r="K1161" s="8"/>
      <c r="L1161" s="8"/>
    </row>
    <row r="1162" spans="3:12" x14ac:dyDescent="0.25">
      <c r="C1162" s="7"/>
      <c r="E1162" s="8"/>
      <c r="F1162" s="8"/>
      <c r="G1162" s="8"/>
      <c r="H1162" s="8"/>
      <c r="I1162" s="8"/>
      <c r="J1162" s="8"/>
      <c r="K1162" s="8"/>
      <c r="L1162" s="8"/>
    </row>
    <row r="1163" spans="3:12" x14ac:dyDescent="0.25">
      <c r="C1163" s="7"/>
      <c r="E1163" s="8"/>
      <c r="F1163" s="8"/>
      <c r="G1163" s="8"/>
      <c r="H1163" s="8"/>
      <c r="I1163" s="8"/>
      <c r="J1163" s="8"/>
      <c r="K1163" s="8"/>
      <c r="L1163" s="8"/>
    </row>
    <row r="1164" spans="3:12" x14ac:dyDescent="0.25">
      <c r="C1164" s="7"/>
      <c r="E1164" s="8"/>
      <c r="F1164" s="8"/>
      <c r="G1164" s="8"/>
      <c r="H1164" s="8"/>
      <c r="I1164" s="8"/>
      <c r="J1164" s="8"/>
      <c r="K1164" s="8"/>
      <c r="L1164" s="8"/>
    </row>
    <row r="1165" spans="3:12" x14ac:dyDescent="0.25">
      <c r="C1165" s="7"/>
      <c r="E1165" s="8"/>
      <c r="F1165" s="8"/>
      <c r="G1165" s="8"/>
      <c r="H1165" s="8"/>
      <c r="I1165" s="8"/>
      <c r="J1165" s="8"/>
      <c r="K1165" s="8"/>
      <c r="L1165" s="8"/>
    </row>
    <row r="1166" spans="3:12" x14ac:dyDescent="0.25">
      <c r="C1166" s="7"/>
      <c r="E1166" s="8"/>
      <c r="F1166" s="8"/>
      <c r="G1166" s="8"/>
      <c r="H1166" s="8"/>
      <c r="I1166" s="8"/>
      <c r="J1166" s="8"/>
      <c r="K1166" s="8"/>
      <c r="L1166" s="8"/>
    </row>
    <row r="1167" spans="3:12" x14ac:dyDescent="0.25">
      <c r="C1167" s="7"/>
      <c r="E1167" s="8"/>
      <c r="F1167" s="8"/>
      <c r="G1167" s="8"/>
      <c r="H1167" s="8"/>
      <c r="I1167" s="8"/>
      <c r="J1167" s="8"/>
      <c r="K1167" s="8"/>
      <c r="L1167" s="8"/>
    </row>
    <row r="1168" spans="3:12" x14ac:dyDescent="0.25">
      <c r="C1168" s="7"/>
      <c r="E1168" s="8"/>
      <c r="F1168" s="8"/>
      <c r="G1168" s="8"/>
      <c r="H1168" s="8"/>
      <c r="I1168" s="8"/>
      <c r="J1168" s="8"/>
      <c r="K1168" s="8"/>
      <c r="L1168" s="8"/>
    </row>
    <row r="1169" spans="3:12" x14ac:dyDescent="0.25">
      <c r="C1169" s="7"/>
      <c r="E1169" s="8"/>
      <c r="F1169" s="8"/>
      <c r="G1169" s="8"/>
      <c r="H1169" s="8"/>
      <c r="I1169" s="8"/>
      <c r="J1169" s="8"/>
      <c r="K1169" s="8"/>
      <c r="L1169" s="8"/>
    </row>
    <row r="1170" spans="3:12" x14ac:dyDescent="0.25">
      <c r="C1170" s="7"/>
      <c r="E1170" s="8"/>
      <c r="F1170" s="8"/>
      <c r="G1170" s="8"/>
      <c r="H1170" s="8"/>
      <c r="I1170" s="8"/>
      <c r="J1170" s="8"/>
      <c r="K1170" s="8"/>
      <c r="L1170" s="8"/>
    </row>
    <row r="1171" spans="3:12" x14ac:dyDescent="0.25">
      <c r="C1171" s="7"/>
      <c r="E1171" s="8"/>
      <c r="F1171" s="8"/>
      <c r="G1171" s="8"/>
      <c r="H1171" s="8"/>
      <c r="I1171" s="8"/>
      <c r="J1171" s="8"/>
      <c r="K1171" s="8"/>
      <c r="L1171" s="8"/>
    </row>
    <row r="1172" spans="3:12" x14ac:dyDescent="0.25">
      <c r="C1172" s="7"/>
      <c r="E1172" s="8"/>
      <c r="F1172" s="8"/>
      <c r="G1172" s="8"/>
      <c r="H1172" s="8"/>
      <c r="I1172" s="8"/>
      <c r="J1172" s="8"/>
      <c r="K1172" s="8"/>
      <c r="L1172" s="8"/>
    </row>
    <row r="1173" spans="3:12" x14ac:dyDescent="0.25">
      <c r="C1173" s="7"/>
      <c r="E1173" s="8"/>
      <c r="F1173" s="8"/>
      <c r="G1173" s="8"/>
      <c r="H1173" s="8"/>
      <c r="I1173" s="8"/>
      <c r="J1173" s="8"/>
      <c r="K1173" s="8"/>
      <c r="L1173" s="8"/>
    </row>
    <row r="1174" spans="3:12" x14ac:dyDescent="0.25">
      <c r="C1174" s="7"/>
      <c r="E1174" s="8"/>
      <c r="F1174" s="8"/>
      <c r="G1174" s="8"/>
      <c r="H1174" s="8"/>
      <c r="I1174" s="8"/>
      <c r="J1174" s="8"/>
      <c r="K1174" s="8"/>
      <c r="L1174" s="8"/>
    </row>
    <row r="1175" spans="3:12" x14ac:dyDescent="0.25">
      <c r="C1175" s="7"/>
      <c r="E1175" s="8"/>
      <c r="F1175" s="8"/>
      <c r="G1175" s="8"/>
      <c r="H1175" s="8"/>
      <c r="I1175" s="8"/>
      <c r="J1175" s="8"/>
      <c r="K1175" s="8"/>
      <c r="L1175" s="8"/>
    </row>
    <row r="1176" spans="3:12" x14ac:dyDescent="0.25">
      <c r="C1176" s="7"/>
      <c r="E1176" s="8"/>
      <c r="F1176" s="8"/>
      <c r="G1176" s="8"/>
      <c r="H1176" s="8"/>
      <c r="I1176" s="8"/>
      <c r="J1176" s="8"/>
      <c r="K1176" s="8"/>
      <c r="L1176" s="8"/>
    </row>
    <row r="1177" spans="3:12" x14ac:dyDescent="0.25">
      <c r="C1177" s="7"/>
      <c r="E1177" s="8"/>
      <c r="F1177" s="8"/>
      <c r="G1177" s="8"/>
      <c r="H1177" s="8"/>
      <c r="I1177" s="8"/>
      <c r="J1177" s="8"/>
      <c r="K1177" s="8"/>
      <c r="L1177" s="8"/>
    </row>
    <row r="1178" spans="3:12" x14ac:dyDescent="0.25">
      <c r="C1178" s="7"/>
      <c r="E1178" s="8"/>
      <c r="F1178" s="8"/>
      <c r="G1178" s="8"/>
      <c r="H1178" s="8"/>
      <c r="I1178" s="8"/>
      <c r="J1178" s="8"/>
      <c r="K1178" s="8"/>
      <c r="L1178" s="8"/>
    </row>
    <row r="1179" spans="3:12" x14ac:dyDescent="0.25">
      <c r="C1179" s="7"/>
      <c r="E1179" s="8"/>
      <c r="F1179" s="8"/>
      <c r="G1179" s="8"/>
      <c r="H1179" s="8"/>
      <c r="I1179" s="8"/>
      <c r="J1179" s="8"/>
      <c r="K1179" s="8"/>
      <c r="L1179" s="8"/>
    </row>
    <row r="1180" spans="3:12" x14ac:dyDescent="0.25">
      <c r="C1180" s="7"/>
      <c r="E1180" s="8"/>
      <c r="F1180" s="8"/>
      <c r="G1180" s="8"/>
      <c r="H1180" s="8"/>
      <c r="I1180" s="8"/>
      <c r="J1180" s="8"/>
      <c r="K1180" s="8"/>
      <c r="L1180" s="8"/>
    </row>
    <row r="1181" spans="3:12" x14ac:dyDescent="0.25">
      <c r="C1181" s="7"/>
      <c r="E1181" s="8"/>
      <c r="F1181" s="8"/>
      <c r="G1181" s="8"/>
      <c r="H1181" s="8"/>
      <c r="I1181" s="8"/>
      <c r="J1181" s="8"/>
      <c r="K1181" s="8"/>
      <c r="L1181" s="8"/>
    </row>
    <row r="1182" spans="3:12" x14ac:dyDescent="0.25">
      <c r="C1182" s="7"/>
      <c r="E1182" s="8"/>
      <c r="F1182" s="8"/>
      <c r="G1182" s="8"/>
      <c r="H1182" s="8"/>
      <c r="I1182" s="8"/>
      <c r="J1182" s="8"/>
      <c r="K1182" s="8"/>
      <c r="L1182" s="8"/>
    </row>
    <row r="1183" spans="3:12" x14ac:dyDescent="0.25">
      <c r="C1183" s="7"/>
      <c r="E1183" s="8"/>
      <c r="F1183" s="8"/>
      <c r="G1183" s="8"/>
      <c r="H1183" s="8"/>
      <c r="I1183" s="8"/>
      <c r="J1183" s="8"/>
      <c r="K1183" s="8"/>
      <c r="L1183" s="8"/>
    </row>
    <row r="1184" spans="3:12" x14ac:dyDescent="0.25">
      <c r="C1184" s="7"/>
      <c r="E1184" s="8"/>
      <c r="F1184" s="8"/>
      <c r="G1184" s="8"/>
      <c r="H1184" s="8"/>
      <c r="I1184" s="8"/>
      <c r="J1184" s="8"/>
      <c r="K1184" s="8"/>
      <c r="L1184" s="8"/>
    </row>
    <row r="1185" spans="3:12" x14ac:dyDescent="0.25">
      <c r="C1185" s="7"/>
      <c r="E1185" s="8"/>
      <c r="F1185" s="8"/>
      <c r="G1185" s="8"/>
      <c r="H1185" s="8"/>
      <c r="I1185" s="8"/>
      <c r="J1185" s="8"/>
      <c r="K1185" s="8"/>
      <c r="L1185" s="8"/>
    </row>
    <row r="1186" spans="3:12" x14ac:dyDescent="0.25">
      <c r="C1186" s="7"/>
      <c r="E1186" s="8"/>
      <c r="F1186" s="8"/>
      <c r="G1186" s="8"/>
      <c r="H1186" s="8"/>
      <c r="I1186" s="8"/>
      <c r="J1186" s="8"/>
      <c r="K1186" s="8"/>
      <c r="L1186" s="8"/>
    </row>
    <row r="1187" spans="3:12" x14ac:dyDescent="0.25">
      <c r="C1187" s="7"/>
      <c r="E1187" s="8"/>
      <c r="F1187" s="8"/>
      <c r="G1187" s="8"/>
      <c r="H1187" s="8"/>
      <c r="I1187" s="8"/>
      <c r="J1187" s="8"/>
      <c r="K1187" s="8"/>
      <c r="L1187" s="8"/>
    </row>
    <row r="1188" spans="3:12" x14ac:dyDescent="0.25">
      <c r="C1188" s="7"/>
      <c r="E1188" s="8"/>
      <c r="F1188" s="8"/>
      <c r="G1188" s="8"/>
      <c r="H1188" s="8"/>
      <c r="I1188" s="8"/>
      <c r="J1188" s="8"/>
      <c r="K1188" s="8"/>
      <c r="L1188" s="8"/>
    </row>
    <row r="1189" spans="3:12" x14ac:dyDescent="0.25">
      <c r="C1189" s="7"/>
      <c r="E1189" s="8"/>
      <c r="F1189" s="8"/>
      <c r="G1189" s="8"/>
      <c r="H1189" s="8"/>
      <c r="I1189" s="8"/>
      <c r="J1189" s="8"/>
      <c r="K1189" s="8"/>
      <c r="L1189" s="8"/>
    </row>
    <row r="1190" spans="3:12" x14ac:dyDescent="0.25">
      <c r="C1190" s="7"/>
      <c r="E1190" s="8"/>
      <c r="F1190" s="8"/>
      <c r="G1190" s="8"/>
      <c r="H1190" s="8"/>
      <c r="I1190" s="8"/>
      <c r="J1190" s="8"/>
      <c r="K1190" s="8"/>
      <c r="L1190" s="8"/>
    </row>
    <row r="1191" spans="3:12" x14ac:dyDescent="0.25">
      <c r="C1191" s="7"/>
      <c r="E1191" s="8"/>
      <c r="F1191" s="8"/>
      <c r="G1191" s="8"/>
      <c r="H1191" s="8"/>
      <c r="I1191" s="8"/>
      <c r="J1191" s="8"/>
      <c r="K1191" s="8"/>
      <c r="L1191" s="8"/>
    </row>
    <row r="1192" spans="3:12" x14ac:dyDescent="0.25">
      <c r="C1192" s="7"/>
      <c r="E1192" s="8"/>
      <c r="F1192" s="8"/>
      <c r="G1192" s="8"/>
      <c r="H1192" s="8"/>
      <c r="I1192" s="8"/>
      <c r="J1192" s="8"/>
      <c r="K1192" s="8"/>
      <c r="L1192" s="8"/>
    </row>
    <row r="1193" spans="3:12" x14ac:dyDescent="0.25">
      <c r="C1193" s="7"/>
      <c r="E1193" s="8"/>
      <c r="F1193" s="8"/>
      <c r="G1193" s="8"/>
      <c r="H1193" s="8"/>
      <c r="I1193" s="8"/>
      <c r="J1193" s="8"/>
      <c r="K1193" s="8"/>
      <c r="L1193" s="8"/>
    </row>
    <row r="1194" spans="3:12" x14ac:dyDescent="0.25">
      <c r="C1194" s="7"/>
      <c r="E1194" s="8"/>
      <c r="F1194" s="8"/>
      <c r="G1194" s="8"/>
      <c r="H1194" s="8"/>
      <c r="I1194" s="8"/>
      <c r="J1194" s="8"/>
      <c r="K1194" s="8"/>
      <c r="L1194" s="8"/>
    </row>
    <row r="1195" spans="3:12" x14ac:dyDescent="0.25">
      <c r="C1195" s="7"/>
      <c r="E1195" s="8"/>
      <c r="F1195" s="8"/>
      <c r="G1195" s="8"/>
      <c r="H1195" s="8"/>
      <c r="I1195" s="8"/>
      <c r="J1195" s="8"/>
      <c r="K1195" s="8"/>
      <c r="L1195" s="8"/>
    </row>
    <row r="1196" spans="3:12" x14ac:dyDescent="0.25">
      <c r="C1196" s="7"/>
      <c r="E1196" s="8"/>
      <c r="F1196" s="8"/>
      <c r="G1196" s="8"/>
      <c r="H1196" s="8"/>
      <c r="I1196" s="8"/>
      <c r="J1196" s="8"/>
      <c r="K1196" s="8"/>
      <c r="L1196" s="8"/>
    </row>
    <row r="1197" spans="3:12" x14ac:dyDescent="0.25">
      <c r="C1197" s="7"/>
      <c r="E1197" s="8"/>
      <c r="F1197" s="8"/>
      <c r="G1197" s="8"/>
      <c r="H1197" s="8"/>
      <c r="I1197" s="8"/>
      <c r="J1197" s="8"/>
      <c r="K1197" s="8"/>
      <c r="L1197" s="8"/>
    </row>
    <row r="1198" spans="3:12" x14ac:dyDescent="0.25">
      <c r="C1198" s="7"/>
      <c r="E1198" s="8"/>
      <c r="F1198" s="8"/>
      <c r="G1198" s="8"/>
      <c r="H1198" s="8"/>
      <c r="I1198" s="8"/>
      <c r="J1198" s="8"/>
      <c r="K1198" s="8"/>
      <c r="L1198" s="8"/>
    </row>
    <row r="1199" spans="3:12" x14ac:dyDescent="0.25">
      <c r="C1199" s="7"/>
      <c r="E1199" s="8"/>
      <c r="F1199" s="8"/>
      <c r="G1199" s="8"/>
      <c r="H1199" s="8"/>
      <c r="I1199" s="8"/>
      <c r="J1199" s="8"/>
      <c r="K1199" s="8"/>
      <c r="L1199" s="8"/>
    </row>
    <row r="1200" spans="3:12" x14ac:dyDescent="0.25">
      <c r="C1200" s="7"/>
      <c r="E1200" s="8"/>
      <c r="F1200" s="8"/>
      <c r="G1200" s="8"/>
      <c r="H1200" s="8"/>
      <c r="I1200" s="8"/>
      <c r="J1200" s="8"/>
      <c r="K1200" s="8"/>
      <c r="L1200" s="8"/>
    </row>
    <row r="1201" spans="3:12" x14ac:dyDescent="0.25">
      <c r="C1201" s="7"/>
      <c r="E1201" s="8"/>
      <c r="F1201" s="8"/>
      <c r="G1201" s="8"/>
      <c r="H1201" s="8"/>
      <c r="I1201" s="8"/>
      <c r="J1201" s="8"/>
      <c r="K1201" s="8"/>
      <c r="L1201" s="8"/>
    </row>
    <row r="1202" spans="3:12" x14ac:dyDescent="0.25">
      <c r="C1202" s="7"/>
      <c r="E1202" s="8"/>
      <c r="F1202" s="8"/>
      <c r="G1202" s="8"/>
      <c r="H1202" s="8"/>
      <c r="I1202" s="8"/>
      <c r="J1202" s="8"/>
      <c r="K1202" s="8"/>
      <c r="L1202" s="8"/>
    </row>
    <row r="1203" spans="3:12" x14ac:dyDescent="0.25">
      <c r="C1203" s="7"/>
      <c r="E1203" s="8"/>
      <c r="F1203" s="8"/>
      <c r="G1203" s="8"/>
      <c r="H1203" s="8"/>
      <c r="I1203" s="8"/>
      <c r="J1203" s="8"/>
      <c r="K1203" s="8"/>
      <c r="L1203" s="8"/>
    </row>
    <row r="1204" spans="3:12" x14ac:dyDescent="0.25">
      <c r="C1204" s="7"/>
      <c r="E1204" s="8"/>
      <c r="F1204" s="8"/>
      <c r="G1204" s="8"/>
      <c r="H1204" s="8"/>
      <c r="I1204" s="8"/>
      <c r="J1204" s="8"/>
      <c r="K1204" s="8"/>
      <c r="L1204" s="8"/>
    </row>
    <row r="1205" spans="3:12" x14ac:dyDescent="0.25">
      <c r="C1205" s="7"/>
      <c r="E1205" s="8"/>
      <c r="F1205" s="8"/>
      <c r="G1205" s="8"/>
      <c r="H1205" s="8"/>
      <c r="I1205" s="8"/>
      <c r="J1205" s="8"/>
      <c r="K1205" s="8"/>
      <c r="L1205" s="8"/>
    </row>
    <row r="1206" spans="3:12" x14ac:dyDescent="0.25">
      <c r="C1206" s="7"/>
      <c r="E1206" s="8"/>
      <c r="F1206" s="8"/>
      <c r="G1206" s="8"/>
      <c r="H1206" s="8"/>
      <c r="I1206" s="8"/>
      <c r="J1206" s="8"/>
      <c r="K1206" s="8"/>
      <c r="L1206" s="8"/>
    </row>
    <row r="1207" spans="3:12" x14ac:dyDescent="0.25">
      <c r="C1207" s="7"/>
      <c r="E1207" s="8"/>
      <c r="F1207" s="8"/>
      <c r="G1207" s="8"/>
      <c r="H1207" s="8"/>
      <c r="I1207" s="8"/>
      <c r="J1207" s="8"/>
      <c r="K1207" s="8"/>
      <c r="L1207" s="8"/>
    </row>
    <row r="1208" spans="3:12" x14ac:dyDescent="0.25">
      <c r="C1208" s="7"/>
      <c r="E1208" s="8"/>
      <c r="F1208" s="8"/>
      <c r="G1208" s="8"/>
      <c r="H1208" s="8"/>
      <c r="I1208" s="8"/>
      <c r="J1208" s="8"/>
      <c r="K1208" s="8"/>
      <c r="L1208" s="8"/>
    </row>
    <row r="1209" spans="3:12" x14ac:dyDescent="0.25">
      <c r="C1209" s="7"/>
      <c r="E1209" s="8"/>
      <c r="F1209" s="8"/>
      <c r="G1209" s="8"/>
      <c r="H1209" s="8"/>
      <c r="I1209" s="8"/>
      <c r="J1209" s="8"/>
      <c r="K1209" s="8"/>
      <c r="L1209" s="8"/>
    </row>
    <row r="1210" spans="3:12" x14ac:dyDescent="0.25">
      <c r="C1210" s="7"/>
      <c r="E1210" s="8"/>
      <c r="F1210" s="8"/>
      <c r="G1210" s="8"/>
      <c r="H1210" s="8"/>
      <c r="I1210" s="8"/>
      <c r="J1210" s="8"/>
      <c r="K1210" s="8"/>
      <c r="L1210" s="8"/>
    </row>
    <row r="1211" spans="3:12" x14ac:dyDescent="0.25">
      <c r="C1211" s="7"/>
      <c r="E1211" s="8"/>
      <c r="F1211" s="8"/>
      <c r="G1211" s="8"/>
      <c r="H1211" s="8"/>
      <c r="I1211" s="8"/>
      <c r="J1211" s="8"/>
      <c r="K1211" s="8"/>
      <c r="L1211" s="8"/>
    </row>
    <row r="1212" spans="3:12" x14ac:dyDescent="0.25">
      <c r="C1212" s="7"/>
      <c r="E1212" s="8"/>
      <c r="F1212" s="8"/>
      <c r="G1212" s="8"/>
      <c r="H1212" s="8"/>
      <c r="I1212" s="8"/>
      <c r="J1212" s="8"/>
      <c r="K1212" s="8"/>
      <c r="L1212" s="8"/>
    </row>
    <row r="1213" spans="3:12" x14ac:dyDescent="0.25">
      <c r="C1213" s="7"/>
      <c r="E1213" s="8"/>
      <c r="F1213" s="8"/>
      <c r="G1213" s="8"/>
      <c r="H1213" s="8"/>
      <c r="I1213" s="8"/>
      <c r="J1213" s="8"/>
      <c r="K1213" s="8"/>
      <c r="L1213" s="8"/>
    </row>
    <row r="1214" spans="3:12" x14ac:dyDescent="0.25">
      <c r="C1214" s="7"/>
      <c r="E1214" s="8"/>
      <c r="F1214" s="8"/>
      <c r="G1214" s="8"/>
      <c r="H1214" s="8"/>
      <c r="I1214" s="8"/>
      <c r="J1214" s="8"/>
      <c r="K1214" s="8"/>
      <c r="L1214" s="8"/>
    </row>
    <row r="1215" spans="3:12" x14ac:dyDescent="0.25">
      <c r="C1215" s="7"/>
      <c r="E1215" s="8"/>
      <c r="F1215" s="8"/>
      <c r="G1215" s="8"/>
      <c r="H1215" s="8"/>
      <c r="I1215" s="8"/>
      <c r="J1215" s="8"/>
      <c r="K1215" s="8"/>
      <c r="L1215" s="8"/>
    </row>
    <row r="1216" spans="3:12" x14ac:dyDescent="0.25">
      <c r="C1216" s="7"/>
      <c r="E1216" s="8"/>
      <c r="F1216" s="8"/>
      <c r="G1216" s="8"/>
      <c r="H1216" s="8"/>
      <c r="I1216" s="8"/>
      <c r="J1216" s="8"/>
      <c r="K1216" s="8"/>
      <c r="L1216" s="8"/>
    </row>
    <row r="1217" spans="3:12" x14ac:dyDescent="0.25">
      <c r="C1217" s="7"/>
      <c r="E1217" s="8"/>
      <c r="F1217" s="8"/>
      <c r="G1217" s="8"/>
      <c r="H1217" s="8"/>
      <c r="I1217" s="8"/>
      <c r="J1217" s="8"/>
      <c r="K1217" s="8"/>
      <c r="L1217" s="8"/>
    </row>
    <row r="1218" spans="3:12" x14ac:dyDescent="0.25">
      <c r="C1218" s="7"/>
      <c r="E1218" s="8"/>
      <c r="F1218" s="8"/>
      <c r="G1218" s="8"/>
      <c r="H1218" s="8"/>
      <c r="I1218" s="8"/>
      <c r="J1218" s="8"/>
      <c r="K1218" s="8"/>
      <c r="L1218" s="8"/>
    </row>
    <row r="1219" spans="3:12" x14ac:dyDescent="0.25">
      <c r="C1219" s="7"/>
      <c r="E1219" s="8"/>
      <c r="F1219" s="8"/>
      <c r="G1219" s="8"/>
      <c r="H1219" s="8"/>
      <c r="I1219" s="8"/>
      <c r="J1219" s="8"/>
      <c r="K1219" s="8"/>
      <c r="L1219" s="8"/>
    </row>
    <row r="1220" spans="3:12" x14ac:dyDescent="0.25">
      <c r="C1220" s="7"/>
      <c r="E1220" s="8"/>
      <c r="F1220" s="8"/>
      <c r="G1220" s="8"/>
      <c r="H1220" s="8"/>
      <c r="I1220" s="8"/>
      <c r="J1220" s="8"/>
      <c r="K1220" s="8"/>
      <c r="L1220" s="8"/>
    </row>
    <row r="1221" spans="3:12" x14ac:dyDescent="0.25">
      <c r="C1221" s="7"/>
      <c r="E1221" s="8"/>
      <c r="F1221" s="8"/>
      <c r="G1221" s="8"/>
      <c r="H1221" s="8"/>
      <c r="I1221" s="8"/>
      <c r="J1221" s="8"/>
      <c r="K1221" s="8"/>
      <c r="L1221" s="8"/>
    </row>
    <row r="1222" spans="3:12" x14ac:dyDescent="0.25">
      <c r="C1222" s="7"/>
      <c r="E1222" s="8"/>
      <c r="F1222" s="8"/>
      <c r="G1222" s="8"/>
      <c r="H1222" s="8"/>
      <c r="I1222" s="8"/>
      <c r="J1222" s="8"/>
      <c r="K1222" s="8"/>
      <c r="L1222" s="8"/>
    </row>
    <row r="1223" spans="3:12" x14ac:dyDescent="0.25">
      <c r="C1223" s="7"/>
      <c r="E1223" s="8"/>
      <c r="F1223" s="8"/>
      <c r="G1223" s="8"/>
      <c r="H1223" s="8"/>
      <c r="I1223" s="8"/>
      <c r="J1223" s="8"/>
      <c r="K1223" s="8"/>
      <c r="L1223" s="8"/>
    </row>
    <row r="1224" spans="3:12" x14ac:dyDescent="0.25">
      <c r="C1224" s="7"/>
      <c r="E1224" s="8"/>
      <c r="F1224" s="8"/>
      <c r="G1224" s="8"/>
      <c r="H1224" s="8"/>
      <c r="I1224" s="8"/>
      <c r="J1224" s="8"/>
      <c r="K1224" s="8"/>
      <c r="L1224" s="8"/>
    </row>
    <row r="1225" spans="3:12" x14ac:dyDescent="0.25">
      <c r="C1225" s="7"/>
      <c r="E1225" s="8"/>
      <c r="F1225" s="8"/>
      <c r="G1225" s="8"/>
      <c r="H1225" s="8"/>
      <c r="I1225" s="8"/>
      <c r="J1225" s="8"/>
      <c r="K1225" s="8"/>
      <c r="L1225" s="8"/>
    </row>
    <row r="1226" spans="3:12" x14ac:dyDescent="0.25">
      <c r="C1226" s="7"/>
      <c r="E1226" s="8"/>
      <c r="F1226" s="8"/>
      <c r="G1226" s="8"/>
      <c r="H1226" s="8"/>
      <c r="I1226" s="8"/>
      <c r="J1226" s="8"/>
      <c r="K1226" s="8"/>
      <c r="L1226" s="8"/>
    </row>
    <row r="1227" spans="3:12" x14ac:dyDescent="0.25">
      <c r="C1227" s="7"/>
      <c r="E1227" s="8"/>
      <c r="F1227" s="8"/>
      <c r="G1227" s="8"/>
      <c r="H1227" s="8"/>
      <c r="I1227" s="8"/>
      <c r="J1227" s="8"/>
      <c r="K1227" s="8"/>
      <c r="L1227" s="8"/>
    </row>
    <row r="1228" spans="3:12" x14ac:dyDescent="0.25">
      <c r="C1228" s="7"/>
      <c r="E1228" s="8"/>
      <c r="F1228" s="8"/>
      <c r="G1228" s="8"/>
      <c r="H1228" s="8"/>
      <c r="I1228" s="8"/>
      <c r="J1228" s="8"/>
      <c r="K1228" s="8"/>
      <c r="L1228" s="8"/>
    </row>
    <row r="1229" spans="3:12" x14ac:dyDescent="0.25">
      <c r="C1229" s="7"/>
      <c r="E1229" s="8"/>
      <c r="F1229" s="8"/>
      <c r="G1229" s="8"/>
      <c r="H1229" s="8"/>
      <c r="I1229" s="8"/>
      <c r="J1229" s="8"/>
      <c r="K1229" s="8"/>
      <c r="L1229" s="8"/>
    </row>
    <row r="1230" spans="3:12" x14ac:dyDescent="0.25">
      <c r="C1230" s="7"/>
      <c r="E1230" s="8"/>
      <c r="F1230" s="8"/>
      <c r="G1230" s="8"/>
      <c r="H1230" s="8"/>
      <c r="I1230" s="8"/>
      <c r="J1230" s="8"/>
      <c r="K1230" s="8"/>
      <c r="L1230" s="8"/>
    </row>
    <row r="1231" spans="3:12" x14ac:dyDescent="0.25">
      <c r="C1231" s="7"/>
      <c r="E1231" s="8"/>
      <c r="F1231" s="8"/>
      <c r="G1231" s="8"/>
      <c r="H1231" s="8"/>
      <c r="I1231" s="8"/>
      <c r="J1231" s="8"/>
      <c r="K1231" s="8"/>
      <c r="L1231" s="8"/>
    </row>
    <row r="1232" spans="3:12" x14ac:dyDescent="0.25">
      <c r="C1232" s="7"/>
      <c r="E1232" s="8"/>
      <c r="F1232" s="8"/>
      <c r="G1232" s="8"/>
      <c r="H1232" s="8"/>
      <c r="I1232" s="8"/>
      <c r="J1232" s="8"/>
      <c r="K1232" s="8"/>
      <c r="L1232" s="8"/>
    </row>
    <row r="1233" spans="3:12" x14ac:dyDescent="0.25">
      <c r="C1233" s="7"/>
      <c r="E1233" s="8"/>
      <c r="F1233" s="8"/>
      <c r="G1233" s="8"/>
      <c r="H1233" s="8"/>
      <c r="I1233" s="8"/>
      <c r="J1233" s="8"/>
      <c r="K1233" s="8"/>
      <c r="L1233" s="8"/>
    </row>
    <row r="1234" spans="3:12" x14ac:dyDescent="0.25">
      <c r="C1234" s="7"/>
      <c r="E1234" s="8"/>
      <c r="F1234" s="8"/>
      <c r="G1234" s="8"/>
      <c r="H1234" s="8"/>
      <c r="I1234" s="8"/>
      <c r="J1234" s="8"/>
      <c r="K1234" s="8"/>
      <c r="L1234" s="8"/>
    </row>
    <row r="1235" spans="3:12" x14ac:dyDescent="0.25">
      <c r="C1235" s="7"/>
      <c r="E1235" s="8"/>
      <c r="F1235" s="8"/>
      <c r="G1235" s="8"/>
      <c r="H1235" s="8"/>
      <c r="I1235" s="8"/>
      <c r="J1235" s="8"/>
      <c r="K1235" s="8"/>
      <c r="L1235" s="8"/>
    </row>
    <row r="1236" spans="3:12" x14ac:dyDescent="0.25">
      <c r="C1236" s="7"/>
      <c r="E1236" s="8"/>
      <c r="F1236" s="8"/>
      <c r="G1236" s="8"/>
      <c r="H1236" s="8"/>
      <c r="I1236" s="8"/>
      <c r="J1236" s="8"/>
      <c r="K1236" s="8"/>
      <c r="L1236" s="8"/>
    </row>
    <row r="1237" spans="3:12" x14ac:dyDescent="0.25">
      <c r="C1237" s="7"/>
      <c r="E1237" s="8"/>
      <c r="F1237" s="8"/>
      <c r="G1237" s="8"/>
      <c r="H1237" s="8"/>
      <c r="I1237" s="8"/>
      <c r="J1237" s="8"/>
      <c r="K1237" s="8"/>
      <c r="L1237" s="8"/>
    </row>
    <row r="1238" spans="3:12" x14ac:dyDescent="0.25">
      <c r="C1238" s="7"/>
      <c r="E1238" s="8"/>
      <c r="F1238" s="8"/>
      <c r="G1238" s="8"/>
      <c r="H1238" s="8"/>
      <c r="I1238" s="8"/>
      <c r="J1238" s="8"/>
      <c r="K1238" s="8"/>
      <c r="L1238" s="8"/>
    </row>
    <row r="1239" spans="3:12" x14ac:dyDescent="0.25">
      <c r="C1239" s="7"/>
      <c r="E1239" s="8"/>
      <c r="F1239" s="8"/>
      <c r="G1239" s="8"/>
      <c r="H1239" s="8"/>
      <c r="I1239" s="8"/>
      <c r="J1239" s="8"/>
      <c r="K1239" s="8"/>
      <c r="L1239" s="8"/>
    </row>
    <row r="1240" spans="3:12" x14ac:dyDescent="0.25">
      <c r="C1240" s="7"/>
      <c r="E1240" s="8"/>
      <c r="F1240" s="8"/>
      <c r="G1240" s="8"/>
      <c r="H1240" s="8"/>
      <c r="I1240" s="8"/>
      <c r="J1240" s="8"/>
      <c r="K1240" s="8"/>
      <c r="L1240" s="8"/>
    </row>
    <row r="1241" spans="3:12" x14ac:dyDescent="0.25">
      <c r="C1241" s="7"/>
      <c r="E1241" s="8"/>
      <c r="F1241" s="8"/>
      <c r="G1241" s="8"/>
      <c r="H1241" s="8"/>
      <c r="I1241" s="8"/>
      <c r="J1241" s="8"/>
      <c r="K1241" s="8"/>
      <c r="L1241" s="8"/>
    </row>
    <row r="1242" spans="3:12" x14ac:dyDescent="0.25">
      <c r="C1242" s="7"/>
      <c r="E1242" s="8"/>
      <c r="F1242" s="8"/>
      <c r="G1242" s="8"/>
      <c r="H1242" s="8"/>
      <c r="I1242" s="8"/>
      <c r="J1242" s="8"/>
      <c r="K1242" s="8"/>
      <c r="L1242" s="8"/>
    </row>
    <row r="1243" spans="3:12" x14ac:dyDescent="0.25">
      <c r="C1243" s="7"/>
      <c r="E1243" s="8"/>
      <c r="F1243" s="8"/>
      <c r="G1243" s="8"/>
      <c r="H1243" s="8"/>
      <c r="I1243" s="8"/>
      <c r="J1243" s="8"/>
      <c r="K1243" s="8"/>
      <c r="L1243" s="8"/>
    </row>
    <row r="1244" spans="3:12" x14ac:dyDescent="0.25">
      <c r="C1244" s="7"/>
      <c r="E1244" s="8"/>
      <c r="F1244" s="8"/>
      <c r="G1244" s="8"/>
      <c r="H1244" s="8"/>
      <c r="I1244" s="8"/>
      <c r="J1244" s="8"/>
      <c r="K1244" s="8"/>
      <c r="L1244" s="8"/>
    </row>
    <row r="1245" spans="3:12" x14ac:dyDescent="0.25">
      <c r="C1245" s="7"/>
      <c r="E1245" s="8"/>
      <c r="F1245" s="8"/>
      <c r="G1245" s="8"/>
      <c r="H1245" s="8"/>
      <c r="I1245" s="8"/>
      <c r="J1245" s="8"/>
      <c r="K1245" s="8"/>
      <c r="L1245" s="8"/>
    </row>
    <row r="1246" spans="3:12" x14ac:dyDescent="0.25">
      <c r="C1246" s="7"/>
      <c r="E1246" s="8"/>
      <c r="F1246" s="8"/>
      <c r="G1246" s="8"/>
      <c r="H1246" s="8"/>
      <c r="I1246" s="8"/>
      <c r="J1246" s="8"/>
      <c r="K1246" s="8"/>
      <c r="L1246" s="8"/>
    </row>
    <row r="1247" spans="3:12" x14ac:dyDescent="0.25">
      <c r="C1247" s="7"/>
      <c r="E1247" s="8"/>
      <c r="F1247" s="8"/>
      <c r="G1247" s="8"/>
      <c r="H1247" s="8"/>
      <c r="I1247" s="8"/>
      <c r="J1247" s="8"/>
      <c r="K1247" s="8"/>
      <c r="L1247" s="8"/>
    </row>
    <row r="1248" spans="3:12" x14ac:dyDescent="0.25">
      <c r="C1248" s="7"/>
      <c r="E1248" s="8"/>
      <c r="F1248" s="8"/>
      <c r="G1248" s="8"/>
      <c r="H1248" s="8"/>
      <c r="I1248" s="8"/>
      <c r="J1248" s="8"/>
      <c r="K1248" s="8"/>
      <c r="L1248" s="8"/>
    </row>
    <row r="1249" spans="3:12" x14ac:dyDescent="0.25">
      <c r="C1249" s="7"/>
      <c r="E1249" s="8"/>
      <c r="F1249" s="8"/>
      <c r="G1249" s="8"/>
      <c r="H1249" s="8"/>
      <c r="I1249" s="8"/>
      <c r="J1249" s="8"/>
      <c r="K1249" s="8"/>
      <c r="L1249" s="8"/>
    </row>
    <row r="1250" spans="3:12" x14ac:dyDescent="0.25">
      <c r="C1250" s="7"/>
      <c r="E1250" s="8"/>
      <c r="F1250" s="8"/>
      <c r="G1250" s="8"/>
      <c r="H1250" s="8"/>
      <c r="I1250" s="8"/>
      <c r="J1250" s="8"/>
      <c r="K1250" s="8"/>
      <c r="L1250" s="8"/>
    </row>
    <row r="1251" spans="3:12" x14ac:dyDescent="0.25">
      <c r="C1251" s="7"/>
      <c r="E1251" s="8"/>
      <c r="F1251" s="8"/>
      <c r="G1251" s="8"/>
      <c r="H1251" s="8"/>
      <c r="I1251" s="8"/>
      <c r="J1251" s="8"/>
      <c r="K1251" s="8"/>
      <c r="L1251" s="8"/>
    </row>
    <row r="1252" spans="3:12" x14ac:dyDescent="0.25">
      <c r="C1252" s="7"/>
      <c r="E1252" s="8"/>
      <c r="F1252" s="8"/>
      <c r="G1252" s="8"/>
      <c r="H1252" s="8"/>
      <c r="I1252" s="8"/>
      <c r="J1252" s="8"/>
      <c r="K1252" s="8"/>
      <c r="L1252" s="8"/>
    </row>
    <row r="1253" spans="3:12" x14ac:dyDescent="0.25">
      <c r="C1253" s="7"/>
      <c r="E1253" s="8"/>
      <c r="F1253" s="8"/>
      <c r="G1253" s="8"/>
      <c r="H1253" s="8"/>
      <c r="I1253" s="8"/>
      <c r="J1253" s="8"/>
      <c r="K1253" s="8"/>
      <c r="L1253" s="8"/>
    </row>
    <row r="1254" spans="3:12" x14ac:dyDescent="0.25">
      <c r="C1254" s="7"/>
      <c r="E1254" s="8"/>
      <c r="F1254" s="8"/>
      <c r="G1254" s="8"/>
      <c r="H1254" s="8"/>
      <c r="I1254" s="8"/>
      <c r="J1254" s="8"/>
      <c r="K1254" s="8"/>
      <c r="L1254" s="8"/>
    </row>
    <row r="1255" spans="3:12" x14ac:dyDescent="0.25">
      <c r="C1255" s="7"/>
      <c r="E1255" s="8"/>
      <c r="F1255" s="8"/>
      <c r="G1255" s="8"/>
      <c r="H1255" s="8"/>
      <c r="I1255" s="8"/>
      <c r="J1255" s="8"/>
      <c r="K1255" s="8"/>
      <c r="L1255" s="8"/>
    </row>
    <row r="1256" spans="3:12" x14ac:dyDescent="0.25">
      <c r="C1256" s="7"/>
      <c r="E1256" s="8"/>
      <c r="F1256" s="8"/>
      <c r="G1256" s="8"/>
      <c r="H1256" s="8"/>
      <c r="I1256" s="8"/>
      <c r="J1256" s="8"/>
      <c r="K1256" s="8"/>
      <c r="L1256" s="8"/>
    </row>
    <row r="1257" spans="3:12" x14ac:dyDescent="0.25">
      <c r="C1257" s="7"/>
      <c r="E1257" s="8"/>
      <c r="F1257" s="8"/>
      <c r="G1257" s="8"/>
      <c r="H1257" s="8"/>
      <c r="I1257" s="8"/>
      <c r="J1257" s="8"/>
      <c r="K1257" s="8"/>
      <c r="L1257" s="8"/>
    </row>
    <row r="1258" spans="3:12" x14ac:dyDescent="0.25">
      <c r="C1258" s="7"/>
      <c r="E1258" s="8"/>
      <c r="F1258" s="8"/>
      <c r="G1258" s="8"/>
      <c r="H1258" s="8"/>
      <c r="I1258" s="8"/>
      <c r="J1258" s="8"/>
      <c r="K1258" s="8"/>
      <c r="L1258" s="8"/>
    </row>
    <row r="1259" spans="3:12" x14ac:dyDescent="0.25">
      <c r="C1259" s="7"/>
      <c r="E1259" s="8"/>
      <c r="F1259" s="8"/>
      <c r="G1259" s="8"/>
      <c r="H1259" s="8"/>
      <c r="I1259" s="8"/>
      <c r="J1259" s="8"/>
      <c r="K1259" s="8"/>
      <c r="L1259" s="8"/>
    </row>
    <row r="1260" spans="3:12" x14ac:dyDescent="0.25">
      <c r="C1260" s="7"/>
      <c r="E1260" s="8"/>
      <c r="F1260" s="8"/>
      <c r="G1260" s="8"/>
      <c r="H1260" s="8"/>
      <c r="I1260" s="8"/>
      <c r="J1260" s="8"/>
      <c r="K1260" s="8"/>
      <c r="L1260" s="8"/>
    </row>
    <row r="1261" spans="3:12" x14ac:dyDescent="0.25">
      <c r="C1261" s="7"/>
      <c r="E1261" s="8"/>
      <c r="F1261" s="8"/>
      <c r="G1261" s="8"/>
      <c r="H1261" s="8"/>
      <c r="I1261" s="8"/>
      <c r="J1261" s="8"/>
      <c r="K1261" s="8"/>
      <c r="L1261" s="8"/>
    </row>
    <row r="1262" spans="3:12" x14ac:dyDescent="0.25">
      <c r="C1262" s="7"/>
      <c r="E1262" s="8"/>
      <c r="F1262" s="8"/>
      <c r="G1262" s="8"/>
      <c r="H1262" s="8"/>
      <c r="I1262" s="8"/>
      <c r="J1262" s="8"/>
      <c r="K1262" s="8"/>
      <c r="L1262" s="8"/>
    </row>
    <row r="1263" spans="3:12" x14ac:dyDescent="0.25">
      <c r="C1263" s="7"/>
      <c r="E1263" s="8"/>
      <c r="F1263" s="8"/>
      <c r="G1263" s="8"/>
      <c r="H1263" s="8"/>
      <c r="I1263" s="8"/>
      <c r="J1263" s="8"/>
      <c r="K1263" s="8"/>
      <c r="L1263" s="8"/>
    </row>
    <row r="1264" spans="3:12" x14ac:dyDescent="0.25">
      <c r="C1264" s="7"/>
      <c r="E1264" s="8"/>
      <c r="F1264" s="8"/>
      <c r="G1264" s="8"/>
      <c r="H1264" s="8"/>
      <c r="I1264" s="8"/>
      <c r="J1264" s="8"/>
      <c r="K1264" s="8"/>
      <c r="L1264" s="8"/>
    </row>
    <row r="1265" spans="3:12" x14ac:dyDescent="0.25">
      <c r="C1265" s="7"/>
      <c r="E1265" s="8"/>
      <c r="F1265" s="8"/>
      <c r="G1265" s="8"/>
      <c r="H1265" s="8"/>
      <c r="I1265" s="8"/>
      <c r="J1265" s="8"/>
      <c r="K1265" s="8"/>
      <c r="L1265" s="8"/>
    </row>
    <row r="1266" spans="3:12" x14ac:dyDescent="0.25">
      <c r="C1266" s="7"/>
      <c r="E1266" s="8"/>
      <c r="F1266" s="8"/>
      <c r="G1266" s="8"/>
      <c r="H1266" s="8"/>
      <c r="I1266" s="8"/>
      <c r="J1266" s="8"/>
      <c r="K1266" s="8"/>
      <c r="L1266" s="8"/>
    </row>
    <row r="1267" spans="3:12" x14ac:dyDescent="0.25">
      <c r="C1267" s="7"/>
      <c r="E1267" s="8"/>
      <c r="F1267" s="8"/>
      <c r="G1267" s="8"/>
      <c r="H1267" s="8"/>
      <c r="I1267" s="8"/>
      <c r="J1267" s="8"/>
      <c r="K1267" s="8"/>
      <c r="L1267" s="8"/>
    </row>
    <row r="1268" spans="3:12" x14ac:dyDescent="0.25">
      <c r="C1268" s="7"/>
      <c r="E1268" s="8"/>
      <c r="F1268" s="8"/>
      <c r="G1268" s="8"/>
      <c r="H1268" s="8"/>
      <c r="I1268" s="8"/>
      <c r="J1268" s="8"/>
      <c r="K1268" s="8"/>
      <c r="L1268" s="8"/>
    </row>
    <row r="1269" spans="3:12" x14ac:dyDescent="0.25">
      <c r="C1269" s="7"/>
      <c r="E1269" s="8"/>
      <c r="F1269" s="8"/>
      <c r="G1269" s="8"/>
      <c r="H1269" s="8"/>
      <c r="I1269" s="8"/>
      <c r="J1269" s="8"/>
      <c r="K1269" s="8"/>
      <c r="L1269" s="8"/>
    </row>
    <row r="1270" spans="3:12" x14ac:dyDescent="0.25">
      <c r="C1270" s="7"/>
      <c r="E1270" s="8"/>
      <c r="F1270" s="8"/>
      <c r="G1270" s="8"/>
      <c r="H1270" s="8"/>
      <c r="I1270" s="8"/>
      <c r="J1270" s="8"/>
      <c r="K1270" s="8"/>
      <c r="L1270" s="8"/>
    </row>
    <row r="1271" spans="3:12" x14ac:dyDescent="0.25">
      <c r="C1271" s="7"/>
      <c r="E1271" s="8"/>
      <c r="F1271" s="8"/>
      <c r="G1271" s="8"/>
      <c r="H1271" s="8"/>
      <c r="I1271" s="8"/>
      <c r="J1271" s="8"/>
      <c r="K1271" s="8"/>
      <c r="L1271" s="8"/>
    </row>
    <row r="1272" spans="3:12" x14ac:dyDescent="0.25">
      <c r="C1272" s="7"/>
      <c r="E1272" s="8"/>
      <c r="F1272" s="8"/>
      <c r="G1272" s="8"/>
      <c r="H1272" s="8"/>
      <c r="I1272" s="8"/>
      <c r="J1272" s="8"/>
      <c r="K1272" s="8"/>
      <c r="L1272" s="8"/>
    </row>
    <row r="1273" spans="3:12" x14ac:dyDescent="0.25">
      <c r="C1273" s="7"/>
      <c r="E1273" s="8"/>
      <c r="F1273" s="8"/>
      <c r="G1273" s="8"/>
      <c r="H1273" s="8"/>
      <c r="I1273" s="8"/>
      <c r="J1273" s="8"/>
      <c r="K1273" s="8"/>
      <c r="L1273" s="8"/>
    </row>
    <row r="1274" spans="3:12" x14ac:dyDescent="0.25">
      <c r="C1274" s="7"/>
      <c r="E1274" s="8"/>
      <c r="F1274" s="8"/>
      <c r="G1274" s="8"/>
      <c r="H1274" s="8"/>
      <c r="I1274" s="8"/>
      <c r="J1274" s="8"/>
      <c r="K1274" s="8"/>
      <c r="L1274" s="8"/>
    </row>
    <row r="1275" spans="3:12" x14ac:dyDescent="0.25">
      <c r="C1275" s="7"/>
      <c r="E1275" s="8"/>
      <c r="F1275" s="8"/>
      <c r="G1275" s="8"/>
      <c r="H1275" s="8"/>
      <c r="I1275" s="8"/>
      <c r="J1275" s="8"/>
      <c r="K1275" s="8"/>
      <c r="L1275" s="8"/>
    </row>
    <row r="1276" spans="3:12" x14ac:dyDescent="0.25">
      <c r="C1276" s="7"/>
      <c r="E1276" s="8"/>
      <c r="F1276" s="8"/>
      <c r="G1276" s="8"/>
      <c r="H1276" s="8"/>
      <c r="I1276" s="8"/>
      <c r="J1276" s="8"/>
      <c r="K1276" s="8"/>
      <c r="L1276" s="8"/>
    </row>
    <row r="1277" spans="3:12" x14ac:dyDescent="0.25">
      <c r="C1277" s="7"/>
      <c r="E1277" s="8"/>
      <c r="F1277" s="8"/>
      <c r="G1277" s="8"/>
      <c r="H1277" s="8"/>
      <c r="I1277" s="8"/>
      <c r="J1277" s="8"/>
      <c r="K1277" s="8"/>
      <c r="L1277" s="8"/>
    </row>
    <row r="1278" spans="3:12" x14ac:dyDescent="0.25">
      <c r="C1278" s="7"/>
      <c r="E1278" s="8"/>
      <c r="F1278" s="8"/>
      <c r="G1278" s="8"/>
      <c r="H1278" s="8"/>
      <c r="I1278" s="8"/>
      <c r="J1278" s="8"/>
      <c r="K1278" s="8"/>
      <c r="L1278" s="8"/>
    </row>
    <row r="1279" spans="3:12" x14ac:dyDescent="0.25">
      <c r="C1279" s="7"/>
      <c r="E1279" s="8"/>
      <c r="F1279" s="8"/>
      <c r="G1279" s="8"/>
      <c r="H1279" s="8"/>
      <c r="I1279" s="8"/>
      <c r="J1279" s="8"/>
      <c r="K1279" s="8"/>
      <c r="L1279" s="8"/>
    </row>
    <row r="1280" spans="3:12" x14ac:dyDescent="0.25">
      <c r="C1280" s="7"/>
      <c r="E1280" s="8"/>
      <c r="F1280" s="8"/>
      <c r="G1280" s="8"/>
      <c r="H1280" s="8"/>
      <c r="I1280" s="8"/>
      <c r="J1280" s="8"/>
      <c r="K1280" s="8"/>
      <c r="L1280" s="8"/>
    </row>
    <row r="1281" spans="3:12" x14ac:dyDescent="0.25">
      <c r="C1281" s="7"/>
      <c r="E1281" s="8"/>
      <c r="F1281" s="8"/>
      <c r="G1281" s="8"/>
      <c r="H1281" s="8"/>
      <c r="I1281" s="8"/>
      <c r="J1281" s="8"/>
      <c r="K1281" s="8"/>
      <c r="L1281" s="8"/>
    </row>
    <row r="1282" spans="3:12" x14ac:dyDescent="0.25">
      <c r="C1282" s="7"/>
      <c r="E1282" s="8"/>
      <c r="F1282" s="8"/>
      <c r="G1282" s="8"/>
      <c r="H1282" s="8"/>
      <c r="I1282" s="8"/>
      <c r="J1282" s="8"/>
      <c r="K1282" s="8"/>
      <c r="L1282" s="8"/>
    </row>
    <row r="1283" spans="3:12" x14ac:dyDescent="0.25">
      <c r="C1283" s="7"/>
      <c r="E1283" s="8"/>
      <c r="F1283" s="8"/>
      <c r="G1283" s="8"/>
      <c r="H1283" s="8"/>
      <c r="I1283" s="8"/>
      <c r="J1283" s="8"/>
      <c r="K1283" s="8"/>
      <c r="L1283" s="8"/>
    </row>
    <row r="1284" spans="3:12" x14ac:dyDescent="0.25">
      <c r="C1284" s="7"/>
      <c r="E1284" s="8"/>
      <c r="F1284" s="8"/>
      <c r="G1284" s="8"/>
      <c r="H1284" s="8"/>
      <c r="I1284" s="8"/>
      <c r="J1284" s="8"/>
      <c r="K1284" s="8"/>
      <c r="L1284" s="8"/>
    </row>
    <row r="1285" spans="3:12" x14ac:dyDescent="0.25">
      <c r="C1285" s="7"/>
      <c r="E1285" s="8"/>
      <c r="F1285" s="8"/>
      <c r="G1285" s="8"/>
      <c r="H1285" s="8"/>
      <c r="I1285" s="8"/>
      <c r="J1285" s="8"/>
      <c r="K1285" s="8"/>
      <c r="L1285" s="8"/>
    </row>
    <row r="1286" spans="3:12" x14ac:dyDescent="0.25">
      <c r="C1286" s="7"/>
      <c r="E1286" s="8"/>
      <c r="F1286" s="8"/>
      <c r="G1286" s="8"/>
      <c r="H1286" s="8"/>
      <c r="I1286" s="8"/>
      <c r="J1286" s="8"/>
      <c r="K1286" s="8"/>
      <c r="L1286" s="8"/>
    </row>
    <row r="1287" spans="3:12" x14ac:dyDescent="0.25">
      <c r="C1287" s="7"/>
      <c r="E1287" s="8"/>
      <c r="F1287" s="8"/>
      <c r="G1287" s="8"/>
      <c r="H1287" s="8"/>
      <c r="I1287" s="8"/>
      <c r="J1287" s="8"/>
      <c r="K1287" s="8"/>
      <c r="L1287" s="8"/>
    </row>
    <row r="1288" spans="3:12" x14ac:dyDescent="0.25">
      <c r="C1288" s="7"/>
      <c r="E1288" s="8"/>
      <c r="F1288" s="8"/>
      <c r="G1288" s="8"/>
      <c r="H1288" s="8"/>
      <c r="I1288" s="8"/>
      <c r="J1288" s="8"/>
      <c r="K1288" s="8"/>
      <c r="L1288" s="8"/>
    </row>
    <row r="1289" spans="3:12" x14ac:dyDescent="0.25">
      <c r="C1289" s="7"/>
      <c r="E1289" s="8"/>
      <c r="F1289" s="8"/>
      <c r="G1289" s="8"/>
      <c r="H1289" s="8"/>
      <c r="I1289" s="8"/>
      <c r="J1289" s="8"/>
      <c r="K1289" s="8"/>
      <c r="L1289" s="8"/>
    </row>
    <row r="1290" spans="3:12" x14ac:dyDescent="0.25">
      <c r="C1290" s="7"/>
      <c r="E1290" s="8"/>
      <c r="F1290" s="8"/>
      <c r="G1290" s="8"/>
      <c r="H1290" s="8"/>
      <c r="I1290" s="8"/>
      <c r="J1290" s="8"/>
      <c r="K1290" s="8"/>
      <c r="L1290" s="8"/>
    </row>
    <row r="1291" spans="3:12" x14ac:dyDescent="0.25">
      <c r="C1291" s="7"/>
      <c r="E1291" s="8"/>
      <c r="F1291" s="8"/>
      <c r="G1291" s="8"/>
      <c r="H1291" s="8"/>
      <c r="I1291" s="8"/>
      <c r="J1291" s="8"/>
      <c r="K1291" s="8"/>
      <c r="L1291" s="8"/>
    </row>
    <row r="1292" spans="3:12" x14ac:dyDescent="0.25">
      <c r="C1292" s="7"/>
      <c r="E1292" s="8"/>
      <c r="F1292" s="8"/>
      <c r="G1292" s="8"/>
      <c r="H1292" s="8"/>
      <c r="I1292" s="8"/>
      <c r="J1292" s="8"/>
      <c r="K1292" s="8"/>
      <c r="L1292" s="8"/>
    </row>
    <row r="1293" spans="3:12" x14ac:dyDescent="0.25">
      <c r="C1293" s="7"/>
      <c r="E1293" s="8"/>
      <c r="F1293" s="8"/>
      <c r="G1293" s="8"/>
      <c r="H1293" s="8"/>
      <c r="I1293" s="8"/>
      <c r="J1293" s="8"/>
      <c r="K1293" s="8"/>
      <c r="L1293" s="8"/>
    </row>
    <row r="1294" spans="3:12" x14ac:dyDescent="0.25">
      <c r="C1294" s="7"/>
      <c r="E1294" s="8"/>
      <c r="F1294" s="8"/>
      <c r="G1294" s="8"/>
      <c r="H1294" s="8"/>
      <c r="I1294" s="8"/>
      <c r="J1294" s="8"/>
      <c r="K1294" s="8"/>
      <c r="L1294" s="8"/>
    </row>
    <row r="1295" spans="3:12" x14ac:dyDescent="0.25">
      <c r="C1295" s="7"/>
      <c r="E1295" s="8"/>
      <c r="F1295" s="8"/>
      <c r="G1295" s="8"/>
      <c r="H1295" s="8"/>
      <c r="I1295" s="8"/>
      <c r="J1295" s="8"/>
      <c r="K1295" s="8"/>
      <c r="L1295" s="8"/>
    </row>
    <row r="1296" spans="3:12" x14ac:dyDescent="0.25">
      <c r="C1296" s="7"/>
      <c r="E1296" s="8"/>
      <c r="F1296" s="8"/>
      <c r="G1296" s="8"/>
      <c r="H1296" s="8"/>
      <c r="I1296" s="8"/>
      <c r="J1296" s="8"/>
      <c r="K1296" s="8"/>
      <c r="L1296" s="8"/>
    </row>
    <row r="1297" spans="3:12" x14ac:dyDescent="0.25">
      <c r="C1297" s="7"/>
      <c r="E1297" s="8"/>
      <c r="F1297" s="8"/>
      <c r="G1297" s="8"/>
      <c r="H1297" s="8"/>
      <c r="I1297" s="8"/>
      <c r="J1297" s="8"/>
      <c r="K1297" s="8"/>
      <c r="L1297" s="8"/>
    </row>
    <row r="1298" spans="3:12" x14ac:dyDescent="0.25">
      <c r="C1298" s="7"/>
      <c r="E1298" s="8"/>
      <c r="F1298" s="8"/>
      <c r="G1298" s="8"/>
      <c r="H1298" s="8"/>
      <c r="I1298" s="8"/>
      <c r="J1298" s="8"/>
      <c r="K1298" s="8"/>
      <c r="L1298" s="8"/>
    </row>
    <row r="1299" spans="3:12" x14ac:dyDescent="0.25">
      <c r="C1299" s="7"/>
      <c r="E1299" s="8"/>
      <c r="F1299" s="8"/>
      <c r="G1299" s="8"/>
      <c r="H1299" s="8"/>
      <c r="I1299" s="8"/>
      <c r="J1299" s="8"/>
      <c r="K1299" s="8"/>
      <c r="L1299" s="8"/>
    </row>
    <row r="1300" spans="3:12" x14ac:dyDescent="0.25">
      <c r="C1300" s="7"/>
      <c r="E1300" s="8"/>
      <c r="F1300" s="8"/>
      <c r="G1300" s="8"/>
      <c r="H1300" s="8"/>
      <c r="I1300" s="8"/>
      <c r="J1300" s="8"/>
      <c r="K1300" s="8"/>
      <c r="L1300" s="8"/>
    </row>
    <row r="1301" spans="3:12" x14ac:dyDescent="0.25">
      <c r="C1301" s="7"/>
      <c r="E1301" s="8"/>
      <c r="F1301" s="8"/>
      <c r="G1301" s="8"/>
      <c r="H1301" s="8"/>
      <c r="I1301" s="8"/>
      <c r="J1301" s="8"/>
      <c r="K1301" s="8"/>
      <c r="L1301" s="8"/>
    </row>
    <row r="1302" spans="3:12" x14ac:dyDescent="0.25">
      <c r="C1302" s="7"/>
      <c r="E1302" s="8"/>
      <c r="F1302" s="8"/>
      <c r="G1302" s="8"/>
      <c r="H1302" s="8"/>
      <c r="I1302" s="8"/>
      <c r="J1302" s="8"/>
      <c r="K1302" s="8"/>
      <c r="L1302" s="8"/>
    </row>
    <row r="1303" spans="3:12" x14ac:dyDescent="0.25">
      <c r="C1303" s="7"/>
      <c r="E1303" s="8"/>
      <c r="F1303" s="8"/>
      <c r="G1303" s="8"/>
      <c r="H1303" s="8"/>
      <c r="I1303" s="8"/>
      <c r="J1303" s="8"/>
      <c r="K1303" s="8"/>
      <c r="L1303" s="8"/>
    </row>
    <row r="1304" spans="3:12" x14ac:dyDescent="0.25">
      <c r="C1304" s="7"/>
      <c r="E1304" s="8"/>
      <c r="F1304" s="8"/>
      <c r="G1304" s="8"/>
      <c r="H1304" s="8"/>
      <c r="I1304" s="8"/>
      <c r="J1304" s="8"/>
      <c r="K1304" s="8"/>
      <c r="L1304" s="8"/>
    </row>
    <row r="1305" spans="3:12" x14ac:dyDescent="0.25">
      <c r="C1305" s="7"/>
      <c r="E1305" s="8"/>
      <c r="F1305" s="8"/>
      <c r="G1305" s="8"/>
      <c r="H1305" s="8"/>
      <c r="I1305" s="8"/>
      <c r="J1305" s="8"/>
      <c r="K1305" s="8"/>
      <c r="L1305" s="8"/>
    </row>
    <row r="1306" spans="3:12" x14ac:dyDescent="0.25">
      <c r="C1306" s="7"/>
      <c r="E1306" s="8"/>
      <c r="F1306" s="8"/>
      <c r="G1306" s="8"/>
      <c r="H1306" s="8"/>
      <c r="I1306" s="8"/>
      <c r="J1306" s="8"/>
      <c r="K1306" s="8"/>
      <c r="L1306" s="8"/>
    </row>
    <row r="1307" spans="3:12" x14ac:dyDescent="0.25">
      <c r="C1307" s="7"/>
      <c r="E1307" s="8"/>
      <c r="F1307" s="8"/>
      <c r="G1307" s="8"/>
      <c r="H1307" s="8"/>
      <c r="I1307" s="8"/>
      <c r="J1307" s="8"/>
      <c r="K1307" s="8"/>
      <c r="L1307" s="8"/>
    </row>
    <row r="1308" spans="3:12" x14ac:dyDescent="0.25">
      <c r="C1308" s="7"/>
      <c r="E1308" s="8"/>
      <c r="F1308" s="8"/>
      <c r="G1308" s="8"/>
      <c r="H1308" s="8"/>
      <c r="I1308" s="8"/>
      <c r="J1308" s="8"/>
      <c r="K1308" s="8"/>
      <c r="L1308" s="8"/>
    </row>
    <row r="1309" spans="3:12" x14ac:dyDescent="0.25">
      <c r="C1309" s="7"/>
      <c r="E1309" s="8"/>
      <c r="F1309" s="8"/>
      <c r="G1309" s="8"/>
      <c r="H1309" s="8"/>
      <c r="I1309" s="8"/>
      <c r="J1309" s="8"/>
      <c r="K1309" s="8"/>
      <c r="L1309" s="8"/>
    </row>
    <row r="1310" spans="3:12" x14ac:dyDescent="0.25">
      <c r="C1310" s="7"/>
      <c r="E1310" s="8"/>
      <c r="F1310" s="8"/>
      <c r="G1310" s="8"/>
      <c r="H1310" s="8"/>
      <c r="I1310" s="8"/>
      <c r="J1310" s="8"/>
      <c r="K1310" s="8"/>
      <c r="L1310" s="8"/>
    </row>
    <row r="1311" spans="3:12" x14ac:dyDescent="0.25">
      <c r="C1311" s="7"/>
      <c r="E1311" s="8"/>
      <c r="F1311" s="8"/>
      <c r="G1311" s="8"/>
      <c r="H1311" s="8"/>
      <c r="I1311" s="8"/>
      <c r="J1311" s="8"/>
      <c r="K1311" s="8"/>
      <c r="L1311" s="8"/>
    </row>
    <row r="1312" spans="3:12" x14ac:dyDescent="0.25">
      <c r="C1312" s="7"/>
      <c r="E1312" s="8"/>
      <c r="F1312" s="8"/>
      <c r="G1312" s="8"/>
      <c r="H1312" s="8"/>
      <c r="I1312" s="8"/>
      <c r="J1312" s="8"/>
      <c r="K1312" s="8"/>
      <c r="L1312" s="8"/>
    </row>
    <row r="1313" spans="3:12" x14ac:dyDescent="0.25">
      <c r="C1313" s="7"/>
      <c r="E1313" s="8"/>
      <c r="F1313" s="8"/>
      <c r="G1313" s="8"/>
      <c r="H1313" s="8"/>
      <c r="I1313" s="8"/>
      <c r="J1313" s="8"/>
      <c r="K1313" s="8"/>
      <c r="L1313" s="8"/>
    </row>
    <row r="1314" spans="3:12" x14ac:dyDescent="0.25">
      <c r="C1314" s="7"/>
      <c r="E1314" s="8"/>
      <c r="F1314" s="8"/>
      <c r="G1314" s="8"/>
      <c r="H1314" s="8"/>
      <c r="I1314" s="8"/>
      <c r="J1314" s="8"/>
      <c r="K1314" s="8"/>
      <c r="L1314" s="8"/>
    </row>
    <row r="1315" spans="3:12" x14ac:dyDescent="0.25">
      <c r="C1315" s="7"/>
      <c r="E1315" s="8"/>
      <c r="F1315" s="8"/>
      <c r="G1315" s="8"/>
      <c r="H1315" s="8"/>
      <c r="I1315" s="8"/>
      <c r="J1315" s="8"/>
      <c r="K1315" s="8"/>
      <c r="L1315" s="8"/>
    </row>
    <row r="1316" spans="3:12" x14ac:dyDescent="0.25">
      <c r="C1316" s="7"/>
      <c r="E1316" s="8"/>
      <c r="F1316" s="8"/>
      <c r="G1316" s="8"/>
      <c r="H1316" s="8"/>
      <c r="I1316" s="8"/>
      <c r="J1316" s="8"/>
      <c r="K1316" s="8"/>
      <c r="L1316" s="8"/>
    </row>
    <row r="1317" spans="3:12" x14ac:dyDescent="0.25">
      <c r="C1317" s="7"/>
      <c r="E1317" s="8"/>
      <c r="F1317" s="8"/>
      <c r="G1317" s="8"/>
      <c r="H1317" s="8"/>
      <c r="I1317" s="8"/>
      <c r="J1317" s="8"/>
      <c r="K1317" s="8"/>
      <c r="L1317" s="8"/>
    </row>
    <row r="1318" spans="3:12" x14ac:dyDescent="0.25">
      <c r="C1318" s="7"/>
      <c r="E1318" s="8"/>
      <c r="F1318" s="8"/>
      <c r="G1318" s="8"/>
      <c r="H1318" s="8"/>
      <c r="I1318" s="8"/>
      <c r="J1318" s="8"/>
      <c r="K1318" s="8"/>
      <c r="L1318" s="8"/>
    </row>
    <row r="1319" spans="3:12" x14ac:dyDescent="0.25">
      <c r="C1319" s="7"/>
      <c r="E1319" s="8"/>
      <c r="F1319" s="8"/>
      <c r="G1319" s="8"/>
      <c r="H1319" s="8"/>
      <c r="I1319" s="8"/>
      <c r="J1319" s="8"/>
      <c r="K1319" s="8"/>
      <c r="L1319" s="8"/>
    </row>
    <row r="1320" spans="3:12" x14ac:dyDescent="0.25">
      <c r="C1320" s="7"/>
      <c r="E1320" s="8"/>
      <c r="F1320" s="8"/>
      <c r="G1320" s="8"/>
      <c r="H1320" s="8"/>
      <c r="I1320" s="8"/>
      <c r="J1320" s="8"/>
      <c r="K1320" s="8"/>
      <c r="L1320" s="8"/>
    </row>
    <row r="1321" spans="3:12" x14ac:dyDescent="0.25">
      <c r="C1321" s="7"/>
      <c r="E1321" s="8"/>
      <c r="F1321" s="8"/>
      <c r="G1321" s="8"/>
      <c r="H1321" s="8"/>
      <c r="I1321" s="8"/>
      <c r="J1321" s="8"/>
      <c r="K1321" s="8"/>
      <c r="L1321" s="8"/>
    </row>
    <row r="1322" spans="3:12" x14ac:dyDescent="0.25">
      <c r="C1322" s="7"/>
      <c r="E1322" s="8"/>
      <c r="F1322" s="8"/>
      <c r="G1322" s="8"/>
      <c r="H1322" s="8"/>
      <c r="I1322" s="8"/>
      <c r="J1322" s="8"/>
      <c r="K1322" s="8"/>
      <c r="L1322" s="8"/>
    </row>
    <row r="1323" spans="3:12" x14ac:dyDescent="0.25">
      <c r="C1323" s="7"/>
      <c r="E1323" s="8"/>
      <c r="F1323" s="8"/>
      <c r="G1323" s="8"/>
      <c r="H1323" s="8"/>
      <c r="I1323" s="8"/>
      <c r="J1323" s="8"/>
      <c r="K1323" s="8"/>
      <c r="L1323" s="8"/>
    </row>
    <row r="1324" spans="3:12" x14ac:dyDescent="0.25">
      <c r="C1324" s="7"/>
      <c r="E1324" s="8"/>
      <c r="F1324" s="8"/>
      <c r="G1324" s="8"/>
      <c r="H1324" s="8"/>
      <c r="I1324" s="8"/>
      <c r="J1324" s="8"/>
      <c r="K1324" s="8"/>
      <c r="L1324" s="8"/>
    </row>
    <row r="1325" spans="3:12" x14ac:dyDescent="0.25">
      <c r="C1325" s="7"/>
      <c r="E1325" s="8"/>
      <c r="F1325" s="8"/>
      <c r="G1325" s="8"/>
      <c r="H1325" s="8"/>
      <c r="I1325" s="8"/>
      <c r="J1325" s="8"/>
      <c r="K1325" s="8"/>
      <c r="L1325" s="8"/>
    </row>
    <row r="1326" spans="3:12" x14ac:dyDescent="0.25">
      <c r="C1326" s="7"/>
      <c r="E1326" s="8"/>
      <c r="F1326" s="8"/>
      <c r="G1326" s="8"/>
      <c r="H1326" s="8"/>
      <c r="I1326" s="8"/>
      <c r="J1326" s="8"/>
      <c r="K1326" s="8"/>
      <c r="L1326" s="8"/>
    </row>
    <row r="1327" spans="3:12" x14ac:dyDescent="0.25">
      <c r="C1327" s="7"/>
      <c r="E1327" s="8"/>
      <c r="F1327" s="8"/>
      <c r="G1327" s="8"/>
      <c r="H1327" s="8"/>
      <c r="I1327" s="8"/>
      <c r="J1327" s="8"/>
      <c r="K1327" s="8"/>
      <c r="L1327" s="8"/>
    </row>
    <row r="1328" spans="3:12" x14ac:dyDescent="0.25">
      <c r="C1328" s="7"/>
      <c r="E1328" s="8"/>
      <c r="F1328" s="8"/>
      <c r="G1328" s="8"/>
      <c r="H1328" s="8"/>
      <c r="I1328" s="8"/>
      <c r="J1328" s="8"/>
      <c r="K1328" s="8"/>
      <c r="L1328" s="8"/>
    </row>
    <row r="1329" spans="3:12" x14ac:dyDescent="0.25">
      <c r="C1329" s="7"/>
      <c r="E1329" s="8"/>
      <c r="F1329" s="8"/>
      <c r="G1329" s="8"/>
      <c r="H1329" s="8"/>
      <c r="I1329" s="8"/>
      <c r="J1329" s="8"/>
      <c r="K1329" s="8"/>
      <c r="L1329" s="8"/>
    </row>
    <row r="1330" spans="3:12" x14ac:dyDescent="0.25">
      <c r="C1330" s="7"/>
      <c r="E1330" s="8"/>
      <c r="F1330" s="8"/>
      <c r="G1330" s="8"/>
      <c r="H1330" s="8"/>
      <c r="I1330" s="8"/>
      <c r="J1330" s="8"/>
      <c r="K1330" s="8"/>
      <c r="L1330" s="8"/>
    </row>
    <row r="1331" spans="3:12" x14ac:dyDescent="0.25">
      <c r="C1331" s="7"/>
      <c r="E1331" s="8"/>
      <c r="F1331" s="8"/>
      <c r="G1331" s="8"/>
      <c r="H1331" s="8"/>
      <c r="I1331" s="8"/>
      <c r="J1331" s="8"/>
      <c r="K1331" s="8"/>
      <c r="L1331" s="8"/>
    </row>
    <row r="1332" spans="3:12" x14ac:dyDescent="0.25">
      <c r="C1332" s="7"/>
      <c r="E1332" s="8"/>
      <c r="F1332" s="8"/>
      <c r="G1332" s="8"/>
      <c r="H1332" s="8"/>
      <c r="I1332" s="8"/>
      <c r="J1332" s="8"/>
      <c r="K1332" s="8"/>
      <c r="L1332" s="8"/>
    </row>
    <row r="1333" spans="3:12" x14ac:dyDescent="0.25">
      <c r="C1333" s="7"/>
      <c r="E1333" s="8"/>
      <c r="F1333" s="8"/>
      <c r="G1333" s="8"/>
      <c r="H1333" s="8"/>
      <c r="I1333" s="8"/>
      <c r="J1333" s="8"/>
      <c r="K1333" s="8"/>
      <c r="L1333" s="8"/>
    </row>
    <row r="1334" spans="3:12" x14ac:dyDescent="0.25">
      <c r="C1334" s="7"/>
      <c r="E1334" s="8"/>
      <c r="F1334" s="8"/>
      <c r="G1334" s="8"/>
      <c r="H1334" s="8"/>
      <c r="I1334" s="8"/>
      <c r="J1334" s="8"/>
      <c r="K1334" s="8"/>
      <c r="L1334" s="8"/>
    </row>
    <row r="1335" spans="3:12" x14ac:dyDescent="0.25">
      <c r="C1335" s="7"/>
      <c r="E1335" s="8"/>
      <c r="F1335" s="8"/>
      <c r="G1335" s="8"/>
      <c r="H1335" s="8"/>
      <c r="I1335" s="8"/>
      <c r="J1335" s="8"/>
      <c r="K1335" s="8"/>
      <c r="L1335" s="8"/>
    </row>
    <row r="1336" spans="3:12" x14ac:dyDescent="0.25">
      <c r="C1336" s="7"/>
      <c r="E1336" s="8"/>
      <c r="F1336" s="8"/>
      <c r="G1336" s="8"/>
      <c r="H1336" s="8"/>
      <c r="I1336" s="8"/>
      <c r="J1336" s="8"/>
      <c r="K1336" s="8"/>
      <c r="L1336" s="8"/>
    </row>
    <row r="1337" spans="3:12" x14ac:dyDescent="0.25">
      <c r="C1337" s="7"/>
      <c r="E1337" s="8"/>
      <c r="F1337" s="8"/>
      <c r="G1337" s="8"/>
      <c r="H1337" s="8"/>
      <c r="I1337" s="8"/>
      <c r="J1337" s="8"/>
      <c r="K1337" s="8"/>
      <c r="L1337" s="8"/>
    </row>
    <row r="1338" spans="3:12" x14ac:dyDescent="0.25">
      <c r="C1338" s="7"/>
      <c r="E1338" s="8"/>
      <c r="F1338" s="8"/>
      <c r="G1338" s="8"/>
      <c r="H1338" s="8"/>
      <c r="I1338" s="8"/>
      <c r="J1338" s="8"/>
      <c r="K1338" s="8"/>
      <c r="L1338" s="8"/>
    </row>
    <row r="1339" spans="3:12" x14ac:dyDescent="0.25">
      <c r="C1339" s="7"/>
      <c r="E1339" s="8"/>
      <c r="F1339" s="8"/>
      <c r="G1339" s="8"/>
      <c r="H1339" s="8"/>
      <c r="I1339" s="8"/>
      <c r="J1339" s="8"/>
      <c r="K1339" s="8"/>
      <c r="L1339" s="8"/>
    </row>
    <row r="1340" spans="3:12" x14ac:dyDescent="0.25">
      <c r="C1340" s="7"/>
      <c r="E1340" s="8"/>
      <c r="F1340" s="8"/>
      <c r="G1340" s="8"/>
      <c r="H1340" s="8"/>
      <c r="I1340" s="8"/>
      <c r="J1340" s="8"/>
      <c r="K1340" s="8"/>
      <c r="L1340" s="8"/>
    </row>
    <row r="1341" spans="3:12" x14ac:dyDescent="0.25">
      <c r="C1341" s="7"/>
      <c r="E1341" s="8"/>
      <c r="F1341" s="8"/>
      <c r="G1341" s="8"/>
      <c r="H1341" s="8"/>
      <c r="I1341" s="8"/>
      <c r="J1341" s="8"/>
      <c r="K1341" s="8"/>
      <c r="L1341" s="8"/>
    </row>
    <row r="1342" spans="3:12" x14ac:dyDescent="0.25">
      <c r="C1342" s="7"/>
      <c r="E1342" s="8"/>
      <c r="F1342" s="8"/>
      <c r="G1342" s="8"/>
      <c r="H1342" s="8"/>
      <c r="I1342" s="8"/>
      <c r="J1342" s="8"/>
      <c r="K1342" s="8"/>
      <c r="L1342" s="8"/>
    </row>
    <row r="1343" spans="3:12" x14ac:dyDescent="0.25">
      <c r="C1343" s="7"/>
      <c r="E1343" s="8"/>
      <c r="F1343" s="8"/>
      <c r="G1343" s="8"/>
      <c r="H1343" s="8"/>
      <c r="I1343" s="8"/>
      <c r="J1343" s="8"/>
      <c r="K1343" s="8"/>
      <c r="L1343" s="8"/>
    </row>
    <row r="1344" spans="3:12" x14ac:dyDescent="0.25">
      <c r="C1344" s="7"/>
      <c r="E1344" s="8"/>
      <c r="F1344" s="8"/>
      <c r="G1344" s="8"/>
      <c r="H1344" s="8"/>
      <c r="I1344" s="8"/>
      <c r="J1344" s="8"/>
      <c r="K1344" s="8"/>
      <c r="L1344" s="8"/>
    </row>
    <row r="1345" spans="3:12" x14ac:dyDescent="0.25">
      <c r="C1345" s="7"/>
      <c r="E1345" s="8"/>
      <c r="F1345" s="8"/>
      <c r="G1345" s="8"/>
      <c r="H1345" s="8"/>
      <c r="I1345" s="8"/>
      <c r="J1345" s="8"/>
      <c r="K1345" s="8"/>
      <c r="L1345" s="8"/>
    </row>
    <row r="1346" spans="3:12" x14ac:dyDescent="0.25">
      <c r="C1346" s="7"/>
      <c r="E1346" s="8"/>
      <c r="F1346" s="8"/>
      <c r="G1346" s="8"/>
      <c r="H1346" s="8"/>
      <c r="I1346" s="8"/>
      <c r="J1346" s="8"/>
      <c r="K1346" s="8"/>
      <c r="L1346" s="8"/>
    </row>
    <row r="1347" spans="3:12" x14ac:dyDescent="0.25">
      <c r="C1347" s="7"/>
      <c r="E1347" s="8"/>
      <c r="F1347" s="8"/>
      <c r="G1347" s="8"/>
      <c r="H1347" s="8"/>
      <c r="I1347" s="8"/>
      <c r="J1347" s="8"/>
      <c r="K1347" s="8"/>
      <c r="L1347" s="8"/>
    </row>
    <row r="1348" spans="3:12" x14ac:dyDescent="0.25">
      <c r="C1348" s="7"/>
      <c r="E1348" s="8"/>
      <c r="F1348" s="8"/>
      <c r="G1348" s="8"/>
      <c r="H1348" s="8"/>
      <c r="I1348" s="8"/>
      <c r="J1348" s="8"/>
      <c r="K1348" s="8"/>
      <c r="L1348" s="8"/>
    </row>
    <row r="1349" spans="3:12" x14ac:dyDescent="0.25">
      <c r="C1349" s="7"/>
      <c r="E1349" s="8"/>
      <c r="F1349" s="8"/>
      <c r="G1349" s="8"/>
      <c r="H1349" s="8"/>
      <c r="I1349" s="8"/>
      <c r="J1349" s="8"/>
      <c r="K1349" s="8"/>
      <c r="L1349" s="8"/>
    </row>
    <row r="1350" spans="3:12" x14ac:dyDescent="0.25">
      <c r="C1350" s="7"/>
      <c r="E1350" s="8"/>
      <c r="F1350" s="8"/>
      <c r="G1350" s="8"/>
      <c r="H1350" s="8"/>
      <c r="I1350" s="8"/>
      <c r="J1350" s="8"/>
      <c r="K1350" s="8"/>
      <c r="L1350" s="8"/>
    </row>
    <row r="1351" spans="3:12" x14ac:dyDescent="0.25">
      <c r="C1351" s="7"/>
      <c r="E1351" s="8"/>
      <c r="F1351" s="8"/>
      <c r="G1351" s="8"/>
      <c r="H1351" s="8"/>
      <c r="I1351" s="8"/>
      <c r="J1351" s="8"/>
      <c r="K1351" s="8"/>
      <c r="L1351" s="8"/>
    </row>
    <row r="1352" spans="3:12" x14ac:dyDescent="0.25">
      <c r="C1352" s="7"/>
      <c r="E1352" s="8"/>
      <c r="F1352" s="8"/>
      <c r="G1352" s="8"/>
      <c r="H1352" s="8"/>
      <c r="I1352" s="8"/>
      <c r="J1352" s="8"/>
      <c r="K1352" s="8"/>
      <c r="L1352" s="8"/>
    </row>
    <row r="1353" spans="3:12" x14ac:dyDescent="0.25">
      <c r="C1353" s="7"/>
      <c r="E1353" s="8"/>
      <c r="F1353" s="8"/>
      <c r="G1353" s="8"/>
      <c r="H1353" s="8"/>
      <c r="I1353" s="8"/>
      <c r="J1353" s="8"/>
      <c r="K1353" s="8"/>
      <c r="L1353" s="8"/>
    </row>
    <row r="1354" spans="3:12" x14ac:dyDescent="0.25">
      <c r="C1354" s="7"/>
      <c r="E1354" s="8"/>
      <c r="F1354" s="8"/>
      <c r="G1354" s="8"/>
      <c r="H1354" s="8"/>
      <c r="I1354" s="8"/>
      <c r="J1354" s="8"/>
      <c r="K1354" s="8"/>
      <c r="L1354" s="8"/>
    </row>
    <row r="1355" spans="3:12" x14ac:dyDescent="0.25">
      <c r="C1355" s="7"/>
      <c r="E1355" s="8"/>
      <c r="F1355" s="8"/>
      <c r="G1355" s="8"/>
      <c r="H1355" s="8"/>
      <c r="I1355" s="8"/>
      <c r="J1355" s="8"/>
      <c r="K1355" s="8"/>
      <c r="L1355" s="8"/>
    </row>
    <row r="1356" spans="3:12" x14ac:dyDescent="0.25">
      <c r="C1356" s="7"/>
      <c r="E1356" s="8"/>
      <c r="F1356" s="8"/>
      <c r="G1356" s="8"/>
      <c r="H1356" s="8"/>
      <c r="I1356" s="8"/>
      <c r="J1356" s="8"/>
      <c r="K1356" s="8"/>
      <c r="L1356" s="8"/>
    </row>
    <row r="1357" spans="3:12" x14ac:dyDescent="0.25">
      <c r="C1357" s="7"/>
      <c r="E1357" s="8"/>
      <c r="F1357" s="8"/>
      <c r="G1357" s="8"/>
      <c r="H1357" s="8"/>
      <c r="I1357" s="8"/>
      <c r="J1357" s="8"/>
      <c r="K1357" s="8"/>
      <c r="L1357" s="8"/>
    </row>
    <row r="1358" spans="3:12" x14ac:dyDescent="0.25">
      <c r="C1358" s="7"/>
      <c r="E1358" s="8"/>
      <c r="F1358" s="8"/>
      <c r="G1358" s="8"/>
      <c r="H1358" s="8"/>
      <c r="I1358" s="8"/>
      <c r="J1358" s="8"/>
      <c r="K1358" s="8"/>
      <c r="L1358" s="8"/>
    </row>
    <row r="1359" spans="3:12" x14ac:dyDescent="0.25">
      <c r="C1359" s="7"/>
      <c r="E1359" s="8"/>
      <c r="F1359" s="8"/>
      <c r="G1359" s="8"/>
      <c r="H1359" s="8"/>
      <c r="I1359" s="8"/>
      <c r="J1359" s="8"/>
      <c r="K1359" s="8"/>
      <c r="L1359" s="8"/>
    </row>
    <row r="1360" spans="3:12" x14ac:dyDescent="0.25">
      <c r="C1360" s="7"/>
      <c r="E1360" s="8"/>
      <c r="F1360" s="8"/>
      <c r="G1360" s="8"/>
      <c r="H1360" s="8"/>
      <c r="I1360" s="8"/>
      <c r="J1360" s="8"/>
      <c r="K1360" s="8"/>
      <c r="L1360" s="8"/>
    </row>
    <row r="1361" spans="3:12" x14ac:dyDescent="0.25">
      <c r="C1361" s="7"/>
      <c r="E1361" s="8"/>
      <c r="F1361" s="8"/>
      <c r="G1361" s="8"/>
      <c r="H1361" s="8"/>
      <c r="I1361" s="8"/>
      <c r="J1361" s="8"/>
      <c r="K1361" s="8"/>
      <c r="L1361" s="8"/>
    </row>
    <row r="1362" spans="3:12" x14ac:dyDescent="0.25">
      <c r="C1362" s="7"/>
      <c r="E1362" s="8"/>
      <c r="F1362" s="8"/>
      <c r="G1362" s="8"/>
      <c r="H1362" s="8"/>
      <c r="I1362" s="8"/>
      <c r="J1362" s="8"/>
      <c r="K1362" s="8"/>
      <c r="L1362" s="8"/>
    </row>
    <row r="1363" spans="3:12" x14ac:dyDescent="0.25">
      <c r="C1363" s="7"/>
      <c r="E1363" s="8"/>
      <c r="F1363" s="8"/>
      <c r="G1363" s="8"/>
      <c r="H1363" s="8"/>
      <c r="I1363" s="8"/>
      <c r="J1363" s="8"/>
      <c r="K1363" s="8"/>
      <c r="L1363" s="8"/>
    </row>
    <row r="1364" spans="3:12" x14ac:dyDescent="0.25">
      <c r="C1364" s="7"/>
      <c r="E1364" s="8"/>
      <c r="F1364" s="8"/>
      <c r="G1364" s="8"/>
      <c r="H1364" s="8"/>
      <c r="I1364" s="8"/>
      <c r="J1364" s="8"/>
      <c r="K1364" s="8"/>
      <c r="L1364" s="8"/>
    </row>
    <row r="1365" spans="3:12" x14ac:dyDescent="0.25">
      <c r="C1365" s="7"/>
      <c r="E1365" s="8"/>
      <c r="F1365" s="8"/>
      <c r="G1365" s="8"/>
      <c r="H1365" s="8"/>
      <c r="I1365" s="8"/>
      <c r="J1365" s="8"/>
      <c r="K1365" s="8"/>
      <c r="L1365" s="8"/>
    </row>
    <row r="1366" spans="3:12" x14ac:dyDescent="0.25">
      <c r="C1366" s="7"/>
      <c r="E1366" s="8"/>
      <c r="F1366" s="8"/>
      <c r="G1366" s="8"/>
      <c r="H1366" s="8"/>
      <c r="I1366" s="8"/>
      <c r="J1366" s="8"/>
      <c r="K1366" s="8"/>
      <c r="L1366" s="8"/>
    </row>
    <row r="1367" spans="3:12" x14ac:dyDescent="0.25">
      <c r="C1367" s="7"/>
      <c r="E1367" s="8"/>
      <c r="F1367" s="8"/>
      <c r="G1367" s="8"/>
      <c r="H1367" s="8"/>
      <c r="I1367" s="8"/>
      <c r="J1367" s="8"/>
      <c r="K1367" s="8"/>
      <c r="L1367" s="8"/>
    </row>
    <row r="1368" spans="3:12" x14ac:dyDescent="0.25">
      <c r="C1368" s="7"/>
      <c r="E1368" s="8"/>
      <c r="F1368" s="8"/>
      <c r="G1368" s="8"/>
      <c r="H1368" s="8"/>
      <c r="I1368" s="8"/>
      <c r="J1368" s="8"/>
      <c r="K1368" s="8"/>
      <c r="L1368" s="8"/>
    </row>
    <row r="1369" spans="3:12" x14ac:dyDescent="0.25">
      <c r="C1369" s="7"/>
      <c r="E1369" s="8"/>
      <c r="F1369" s="8"/>
      <c r="G1369" s="8"/>
      <c r="H1369" s="8"/>
      <c r="I1369" s="8"/>
      <c r="J1369" s="8"/>
      <c r="K1369" s="8"/>
      <c r="L1369" s="8"/>
    </row>
    <row r="1370" spans="3:12" x14ac:dyDescent="0.25">
      <c r="C1370" s="7"/>
      <c r="E1370" s="8"/>
      <c r="F1370" s="8"/>
      <c r="G1370" s="8"/>
      <c r="H1370" s="8"/>
      <c r="I1370" s="8"/>
      <c r="J1370" s="8"/>
      <c r="K1370" s="8"/>
      <c r="L1370" s="8"/>
    </row>
    <row r="1371" spans="3:12" x14ac:dyDescent="0.25">
      <c r="C1371" s="7"/>
      <c r="E1371" s="8"/>
      <c r="F1371" s="8"/>
      <c r="G1371" s="8"/>
      <c r="H1371" s="8"/>
      <c r="I1371" s="8"/>
      <c r="J1371" s="8"/>
      <c r="K1371" s="8"/>
      <c r="L1371" s="8"/>
    </row>
    <row r="1372" spans="3:12" x14ac:dyDescent="0.25">
      <c r="C1372" s="7"/>
      <c r="E1372" s="8"/>
      <c r="F1372" s="8"/>
      <c r="G1372" s="8"/>
      <c r="H1372" s="8"/>
      <c r="I1372" s="8"/>
      <c r="J1372" s="8"/>
      <c r="K1372" s="8"/>
      <c r="L1372" s="8"/>
    </row>
    <row r="1373" spans="3:12" x14ac:dyDescent="0.25">
      <c r="C1373" s="7"/>
      <c r="E1373" s="8"/>
      <c r="F1373" s="8"/>
      <c r="G1373" s="8"/>
      <c r="H1373" s="8"/>
      <c r="I1373" s="8"/>
      <c r="J1373" s="8"/>
      <c r="K1373" s="8"/>
      <c r="L1373" s="8"/>
    </row>
    <row r="1374" spans="3:12" x14ac:dyDescent="0.25">
      <c r="C1374" s="7"/>
      <c r="E1374" s="8"/>
      <c r="F1374" s="8"/>
      <c r="G1374" s="8"/>
      <c r="H1374" s="8"/>
      <c r="I1374" s="8"/>
      <c r="J1374" s="8"/>
      <c r="K1374" s="8"/>
      <c r="L1374" s="8"/>
    </row>
    <row r="1375" spans="3:12" x14ac:dyDescent="0.25">
      <c r="C1375" s="7"/>
      <c r="E1375" s="8"/>
      <c r="F1375" s="8"/>
      <c r="G1375" s="8"/>
      <c r="H1375" s="8"/>
      <c r="I1375" s="8"/>
      <c r="J1375" s="8"/>
      <c r="K1375" s="8"/>
      <c r="L1375" s="8"/>
    </row>
    <row r="1376" spans="3:12" x14ac:dyDescent="0.25">
      <c r="C1376" s="7"/>
      <c r="E1376" s="8"/>
      <c r="F1376" s="8"/>
      <c r="G1376" s="8"/>
      <c r="H1376" s="8"/>
      <c r="I1376" s="8"/>
      <c r="J1376" s="8"/>
      <c r="K1376" s="8"/>
      <c r="L1376" s="8"/>
    </row>
    <row r="1377" spans="3:12" x14ac:dyDescent="0.25">
      <c r="C1377" s="7"/>
      <c r="E1377" s="8"/>
      <c r="F1377" s="8"/>
      <c r="G1377" s="8"/>
      <c r="H1377" s="8"/>
      <c r="I1377" s="8"/>
      <c r="J1377" s="8"/>
      <c r="K1377" s="8"/>
      <c r="L1377" s="8"/>
    </row>
    <row r="1378" spans="3:12" x14ac:dyDescent="0.25">
      <c r="C1378" s="7"/>
      <c r="E1378" s="8"/>
      <c r="F1378" s="8"/>
      <c r="G1378" s="8"/>
      <c r="H1378" s="8"/>
      <c r="I1378" s="8"/>
      <c r="J1378" s="8"/>
      <c r="K1378" s="8"/>
      <c r="L1378" s="8"/>
    </row>
    <row r="1379" spans="3:12" x14ac:dyDescent="0.25">
      <c r="C1379" s="7"/>
      <c r="E1379" s="8"/>
      <c r="F1379" s="8"/>
      <c r="G1379" s="8"/>
      <c r="H1379" s="8"/>
      <c r="I1379" s="8"/>
      <c r="J1379" s="8"/>
      <c r="K1379" s="8"/>
      <c r="L1379" s="8"/>
    </row>
    <row r="1380" spans="3:12" x14ac:dyDescent="0.25">
      <c r="C1380" s="7"/>
      <c r="E1380" s="8"/>
      <c r="F1380" s="8"/>
      <c r="G1380" s="8"/>
      <c r="H1380" s="8"/>
      <c r="I1380" s="8"/>
      <c r="J1380" s="8"/>
      <c r="K1380" s="8"/>
      <c r="L1380" s="8"/>
    </row>
    <row r="1381" spans="3:12" x14ac:dyDescent="0.25">
      <c r="C1381" s="7"/>
      <c r="E1381" s="8"/>
      <c r="F1381" s="8"/>
      <c r="G1381" s="8"/>
      <c r="H1381" s="8"/>
      <c r="I1381" s="8"/>
      <c r="J1381" s="8"/>
      <c r="K1381" s="8"/>
      <c r="L1381" s="8"/>
    </row>
    <row r="1382" spans="3:12" x14ac:dyDescent="0.25">
      <c r="C1382" s="7"/>
      <c r="E1382" s="8"/>
      <c r="F1382" s="8"/>
      <c r="G1382" s="8"/>
      <c r="H1382" s="8"/>
      <c r="I1382" s="8"/>
      <c r="J1382" s="8"/>
      <c r="K1382" s="8"/>
      <c r="L1382" s="8"/>
    </row>
    <row r="1383" spans="3:12" x14ac:dyDescent="0.25">
      <c r="C1383" s="7"/>
      <c r="E1383" s="8"/>
      <c r="F1383" s="8"/>
      <c r="G1383" s="8"/>
      <c r="H1383" s="8"/>
      <c r="I1383" s="8"/>
      <c r="J1383" s="8"/>
      <c r="K1383" s="8"/>
      <c r="L1383" s="8"/>
    </row>
    <row r="1384" spans="3:12" x14ac:dyDescent="0.25">
      <c r="C1384" s="7"/>
      <c r="E1384" s="8"/>
      <c r="F1384" s="8"/>
      <c r="G1384" s="8"/>
      <c r="H1384" s="8"/>
      <c r="I1384" s="8"/>
      <c r="J1384" s="8"/>
      <c r="K1384" s="8"/>
      <c r="L1384" s="8"/>
    </row>
    <row r="1385" spans="3:12" x14ac:dyDescent="0.25">
      <c r="C1385" s="7"/>
      <c r="E1385" s="8"/>
      <c r="F1385" s="8"/>
      <c r="G1385" s="8"/>
      <c r="H1385" s="8"/>
      <c r="I1385" s="8"/>
      <c r="J1385" s="8"/>
      <c r="K1385" s="8"/>
      <c r="L1385" s="8"/>
    </row>
    <row r="1386" spans="3:12" x14ac:dyDescent="0.25">
      <c r="C1386" s="7"/>
      <c r="E1386" s="8"/>
      <c r="F1386" s="8"/>
      <c r="G1386" s="8"/>
      <c r="H1386" s="8"/>
      <c r="I1386" s="8"/>
      <c r="J1386" s="8"/>
      <c r="K1386" s="8"/>
      <c r="L1386" s="8"/>
    </row>
    <row r="1387" spans="3:12" x14ac:dyDescent="0.25">
      <c r="C1387" s="7"/>
      <c r="E1387" s="8"/>
      <c r="F1387" s="8"/>
      <c r="G1387" s="8"/>
      <c r="H1387" s="8"/>
      <c r="I1387" s="8"/>
      <c r="J1387" s="8"/>
      <c r="K1387" s="8"/>
      <c r="L1387" s="8"/>
    </row>
    <row r="1388" spans="3:12" x14ac:dyDescent="0.25">
      <c r="C1388" s="7"/>
      <c r="E1388" s="8"/>
      <c r="F1388" s="8"/>
      <c r="G1388" s="8"/>
      <c r="H1388" s="8"/>
      <c r="I1388" s="8"/>
      <c r="J1388" s="8"/>
      <c r="K1388" s="8"/>
      <c r="L1388" s="8"/>
    </row>
    <row r="1389" spans="3:12" x14ac:dyDescent="0.25">
      <c r="C1389" s="7"/>
      <c r="E1389" s="8"/>
      <c r="F1389" s="8"/>
      <c r="G1389" s="8"/>
      <c r="H1389" s="8"/>
      <c r="I1389" s="8"/>
      <c r="J1389" s="8"/>
      <c r="K1389" s="8"/>
      <c r="L1389" s="8"/>
    </row>
    <row r="1390" spans="3:12" x14ac:dyDescent="0.25">
      <c r="C1390" s="7"/>
      <c r="E1390" s="8"/>
      <c r="F1390" s="8"/>
      <c r="G1390" s="8"/>
      <c r="H1390" s="8"/>
      <c r="I1390" s="8"/>
      <c r="J1390" s="8"/>
      <c r="K1390" s="8"/>
      <c r="L1390" s="8"/>
    </row>
    <row r="1391" spans="3:12" x14ac:dyDescent="0.25">
      <c r="C1391" s="7"/>
      <c r="E1391" s="8"/>
      <c r="F1391" s="8"/>
      <c r="G1391" s="8"/>
      <c r="H1391" s="8"/>
      <c r="I1391" s="8"/>
      <c r="J1391" s="8"/>
      <c r="K1391" s="8"/>
      <c r="L1391" s="8"/>
    </row>
    <row r="1392" spans="3:12" x14ac:dyDescent="0.25">
      <c r="C1392" s="7"/>
      <c r="E1392" s="8"/>
      <c r="F1392" s="8"/>
      <c r="G1392" s="8"/>
      <c r="H1392" s="8"/>
      <c r="I1392" s="8"/>
      <c r="J1392" s="8"/>
      <c r="K1392" s="8"/>
      <c r="L1392" s="8"/>
    </row>
    <row r="1393" spans="3:12" x14ac:dyDescent="0.25">
      <c r="C1393" s="7"/>
      <c r="E1393" s="8"/>
      <c r="F1393" s="8"/>
      <c r="G1393" s="8"/>
      <c r="H1393" s="8"/>
      <c r="I1393" s="8"/>
      <c r="J1393" s="8"/>
      <c r="K1393" s="8"/>
      <c r="L1393" s="8"/>
    </row>
    <row r="1394" spans="3:12" x14ac:dyDescent="0.25">
      <c r="C1394" s="7"/>
      <c r="E1394" s="8"/>
      <c r="F1394" s="8"/>
      <c r="G1394" s="8"/>
      <c r="H1394" s="8"/>
      <c r="I1394" s="8"/>
      <c r="J1394" s="8"/>
      <c r="K1394" s="8"/>
      <c r="L1394" s="8"/>
    </row>
    <row r="1395" spans="3:12" x14ac:dyDescent="0.25">
      <c r="C1395" s="7"/>
      <c r="E1395" s="8"/>
      <c r="F1395" s="8"/>
      <c r="G1395" s="8"/>
      <c r="H1395" s="8"/>
      <c r="I1395" s="8"/>
      <c r="J1395" s="8"/>
      <c r="K1395" s="8"/>
      <c r="L1395" s="8"/>
    </row>
    <row r="1396" spans="3:12" x14ac:dyDescent="0.25">
      <c r="C1396" s="7"/>
      <c r="E1396" s="8"/>
      <c r="F1396" s="8"/>
      <c r="G1396" s="8"/>
      <c r="H1396" s="8"/>
      <c r="I1396" s="8"/>
      <c r="J1396" s="8"/>
      <c r="K1396" s="8"/>
      <c r="L1396" s="8"/>
    </row>
    <row r="1397" spans="3:12" x14ac:dyDescent="0.25">
      <c r="C1397" s="7"/>
      <c r="E1397" s="8"/>
      <c r="F1397" s="8"/>
      <c r="G1397" s="8"/>
      <c r="H1397" s="8"/>
      <c r="I1397" s="8"/>
      <c r="J1397" s="8"/>
      <c r="K1397" s="8"/>
      <c r="L1397" s="8"/>
    </row>
    <row r="1398" spans="3:12" x14ac:dyDescent="0.25">
      <c r="C1398" s="7"/>
      <c r="E1398" s="8"/>
      <c r="F1398" s="8"/>
      <c r="G1398" s="8"/>
      <c r="H1398" s="8"/>
      <c r="I1398" s="8"/>
      <c r="J1398" s="8"/>
      <c r="K1398" s="8"/>
      <c r="L1398" s="8"/>
    </row>
    <row r="1399" spans="3:12" x14ac:dyDescent="0.25">
      <c r="C1399" s="7"/>
      <c r="E1399" s="8"/>
      <c r="F1399" s="8"/>
      <c r="G1399" s="8"/>
      <c r="H1399" s="8"/>
      <c r="I1399" s="8"/>
      <c r="J1399" s="8"/>
      <c r="K1399" s="8"/>
      <c r="L1399" s="8"/>
    </row>
    <row r="1400" spans="3:12" x14ac:dyDescent="0.25">
      <c r="C1400" s="7"/>
      <c r="E1400" s="8"/>
      <c r="F1400" s="8"/>
      <c r="G1400" s="8"/>
      <c r="H1400" s="8"/>
      <c r="I1400" s="8"/>
      <c r="J1400" s="8"/>
      <c r="K1400" s="8"/>
      <c r="L1400" s="8"/>
    </row>
    <row r="1401" spans="3:12" x14ac:dyDescent="0.25">
      <c r="C1401" s="7"/>
      <c r="E1401" s="8"/>
      <c r="F1401" s="8"/>
      <c r="G1401" s="8"/>
      <c r="H1401" s="8"/>
      <c r="I1401" s="8"/>
      <c r="J1401" s="8"/>
      <c r="K1401" s="8"/>
      <c r="L1401" s="8"/>
    </row>
    <row r="1402" spans="3:12" x14ac:dyDescent="0.25">
      <c r="C1402" s="7"/>
      <c r="E1402" s="8"/>
      <c r="F1402" s="8"/>
      <c r="G1402" s="8"/>
      <c r="H1402" s="8"/>
      <c r="I1402" s="8"/>
      <c r="J1402" s="8"/>
      <c r="K1402" s="8"/>
      <c r="L1402" s="8"/>
    </row>
    <row r="1403" spans="3:12" x14ac:dyDescent="0.25">
      <c r="C1403" s="7"/>
      <c r="E1403" s="8"/>
      <c r="F1403" s="8"/>
      <c r="G1403" s="8"/>
      <c r="H1403" s="8"/>
      <c r="I1403" s="8"/>
      <c r="J1403" s="8"/>
      <c r="K1403" s="8"/>
      <c r="L1403" s="8"/>
    </row>
    <row r="1404" spans="3:12" x14ac:dyDescent="0.25">
      <c r="C1404" s="7"/>
      <c r="E1404" s="8"/>
      <c r="F1404" s="8"/>
      <c r="G1404" s="8"/>
      <c r="H1404" s="8"/>
      <c r="I1404" s="8"/>
      <c r="J1404" s="8"/>
      <c r="K1404" s="8"/>
      <c r="L1404" s="8"/>
    </row>
    <row r="1405" spans="3:12" x14ac:dyDescent="0.25">
      <c r="C1405" s="7"/>
      <c r="E1405" s="8"/>
      <c r="F1405" s="8"/>
      <c r="G1405" s="8"/>
      <c r="H1405" s="8"/>
      <c r="I1405" s="8"/>
      <c r="J1405" s="8"/>
      <c r="K1405" s="8"/>
      <c r="L1405" s="8"/>
    </row>
    <row r="1406" spans="3:12" x14ac:dyDescent="0.25">
      <c r="C1406" s="7"/>
      <c r="E1406" s="8"/>
      <c r="F1406" s="8"/>
      <c r="G1406" s="8"/>
      <c r="H1406" s="8"/>
      <c r="I1406" s="8"/>
      <c r="J1406" s="8"/>
      <c r="K1406" s="8"/>
      <c r="L1406" s="8"/>
    </row>
    <row r="1407" spans="3:12" x14ac:dyDescent="0.25">
      <c r="C1407" s="7"/>
      <c r="E1407" s="8"/>
      <c r="F1407" s="8"/>
      <c r="G1407" s="8"/>
      <c r="H1407" s="8"/>
      <c r="I1407" s="8"/>
      <c r="J1407" s="8"/>
      <c r="K1407" s="8"/>
      <c r="L1407" s="8"/>
    </row>
    <row r="1408" spans="3:12" x14ac:dyDescent="0.25">
      <c r="C1408" s="7"/>
      <c r="E1408" s="8"/>
      <c r="F1408" s="8"/>
      <c r="G1408" s="8"/>
      <c r="H1408" s="8"/>
      <c r="I1408" s="8"/>
      <c r="J1408" s="8"/>
      <c r="K1408" s="8"/>
      <c r="L1408" s="8"/>
    </row>
    <row r="1409" spans="3:12" x14ac:dyDescent="0.25">
      <c r="C1409" s="7"/>
      <c r="E1409" s="8"/>
      <c r="F1409" s="8"/>
      <c r="G1409" s="8"/>
      <c r="H1409" s="8"/>
      <c r="I1409" s="8"/>
      <c r="J1409" s="8"/>
      <c r="K1409" s="8"/>
      <c r="L1409" s="8"/>
    </row>
    <row r="1410" spans="3:12" x14ac:dyDescent="0.25">
      <c r="C1410" s="7"/>
      <c r="E1410" s="8"/>
      <c r="F1410" s="8"/>
      <c r="G1410" s="8"/>
      <c r="H1410" s="8"/>
      <c r="I1410" s="8"/>
      <c r="J1410" s="8"/>
      <c r="K1410" s="8"/>
      <c r="L1410" s="8"/>
    </row>
    <row r="1411" spans="3:12" x14ac:dyDescent="0.25">
      <c r="C1411" s="7"/>
      <c r="E1411" s="8"/>
      <c r="F1411" s="8"/>
      <c r="G1411" s="8"/>
      <c r="H1411" s="8"/>
      <c r="I1411" s="8"/>
      <c r="J1411" s="8"/>
      <c r="K1411" s="8"/>
      <c r="L1411" s="8"/>
    </row>
    <row r="1412" spans="3:12" x14ac:dyDescent="0.25">
      <c r="C1412" s="7"/>
      <c r="E1412" s="8"/>
      <c r="F1412" s="8"/>
      <c r="G1412" s="8"/>
      <c r="H1412" s="8"/>
      <c r="I1412" s="8"/>
      <c r="J1412" s="8"/>
      <c r="K1412" s="8"/>
      <c r="L1412" s="8"/>
    </row>
    <row r="1413" spans="3:12" x14ac:dyDescent="0.25">
      <c r="C1413" s="7"/>
      <c r="E1413" s="8"/>
      <c r="F1413" s="8"/>
      <c r="G1413" s="8"/>
      <c r="H1413" s="8"/>
      <c r="I1413" s="8"/>
      <c r="J1413" s="8"/>
      <c r="K1413" s="8"/>
      <c r="L1413" s="8"/>
    </row>
    <row r="1414" spans="3:12" x14ac:dyDescent="0.25">
      <c r="C1414" s="7"/>
      <c r="E1414" s="8"/>
      <c r="F1414" s="8"/>
      <c r="G1414" s="8"/>
      <c r="H1414" s="8"/>
      <c r="I1414" s="8"/>
      <c r="J1414" s="8"/>
      <c r="K1414" s="8"/>
      <c r="L1414" s="8"/>
    </row>
    <row r="1415" spans="3:12" x14ac:dyDescent="0.25">
      <c r="C1415" s="7"/>
      <c r="E1415" s="8"/>
      <c r="F1415" s="8"/>
      <c r="G1415" s="8"/>
      <c r="H1415" s="8"/>
      <c r="I1415" s="8"/>
      <c r="J1415" s="8"/>
      <c r="K1415" s="8"/>
      <c r="L1415" s="8"/>
    </row>
    <row r="1416" spans="3:12" x14ac:dyDescent="0.25">
      <c r="C1416" s="7"/>
      <c r="E1416" s="8"/>
      <c r="F1416" s="8"/>
      <c r="G1416" s="8"/>
      <c r="H1416" s="8"/>
      <c r="I1416" s="8"/>
      <c r="J1416" s="8"/>
      <c r="K1416" s="8"/>
      <c r="L1416" s="8"/>
    </row>
    <row r="1417" spans="3:12" x14ac:dyDescent="0.25">
      <c r="C1417" s="7"/>
      <c r="E1417" s="8"/>
      <c r="F1417" s="8"/>
      <c r="G1417" s="8"/>
      <c r="H1417" s="8"/>
      <c r="I1417" s="8"/>
      <c r="J1417" s="8"/>
      <c r="K1417" s="8"/>
      <c r="L1417" s="8"/>
    </row>
    <row r="1418" spans="3:12" x14ac:dyDescent="0.25">
      <c r="C1418" s="7"/>
      <c r="E1418" s="8"/>
      <c r="F1418" s="8"/>
      <c r="G1418" s="8"/>
      <c r="H1418" s="8"/>
      <c r="I1418" s="8"/>
      <c r="J1418" s="8"/>
      <c r="K1418" s="8"/>
      <c r="L1418" s="8"/>
    </row>
    <row r="1419" spans="3:12" x14ac:dyDescent="0.25">
      <c r="C1419" s="7"/>
      <c r="E1419" s="8"/>
      <c r="F1419" s="8"/>
      <c r="G1419" s="8"/>
      <c r="H1419" s="8"/>
      <c r="I1419" s="8"/>
      <c r="J1419" s="8"/>
      <c r="K1419" s="8"/>
      <c r="L1419" s="8"/>
    </row>
    <row r="1420" spans="3:12" x14ac:dyDescent="0.25">
      <c r="C1420" s="7"/>
      <c r="E1420" s="8"/>
      <c r="F1420" s="8"/>
      <c r="G1420" s="8"/>
      <c r="H1420" s="8"/>
      <c r="I1420" s="8"/>
      <c r="J1420" s="8"/>
      <c r="K1420" s="8"/>
      <c r="L1420" s="8"/>
    </row>
    <row r="1421" spans="3:12" x14ac:dyDescent="0.25">
      <c r="C1421" s="7"/>
      <c r="E1421" s="8"/>
      <c r="F1421" s="8"/>
      <c r="G1421" s="8"/>
      <c r="H1421" s="8"/>
      <c r="I1421" s="8"/>
      <c r="J1421" s="8"/>
      <c r="K1421" s="8"/>
      <c r="L1421" s="8"/>
    </row>
    <row r="1422" spans="3:12" x14ac:dyDescent="0.25">
      <c r="C1422" s="7"/>
      <c r="E1422" s="8"/>
      <c r="F1422" s="8"/>
      <c r="G1422" s="8"/>
      <c r="H1422" s="8"/>
      <c r="I1422" s="8"/>
      <c r="J1422" s="8"/>
      <c r="K1422" s="8"/>
      <c r="L1422" s="8"/>
    </row>
    <row r="1423" spans="3:12" x14ac:dyDescent="0.25">
      <c r="C1423" s="7"/>
      <c r="E1423" s="8"/>
      <c r="F1423" s="8"/>
      <c r="G1423" s="8"/>
      <c r="H1423" s="8"/>
      <c r="I1423" s="8"/>
      <c r="J1423" s="8"/>
      <c r="K1423" s="8"/>
      <c r="L1423" s="8"/>
    </row>
    <row r="1424" spans="3:12" x14ac:dyDescent="0.25">
      <c r="C1424" s="7"/>
      <c r="E1424" s="8"/>
      <c r="F1424" s="8"/>
      <c r="G1424" s="8"/>
      <c r="H1424" s="8"/>
      <c r="I1424" s="8"/>
      <c r="J1424" s="8"/>
      <c r="K1424" s="8"/>
      <c r="L1424" s="8"/>
    </row>
    <row r="1425" spans="3:12" x14ac:dyDescent="0.25">
      <c r="C1425" s="7"/>
      <c r="E1425" s="8"/>
      <c r="F1425" s="8"/>
      <c r="G1425" s="8"/>
      <c r="H1425" s="8"/>
      <c r="I1425" s="8"/>
      <c r="J1425" s="8"/>
      <c r="K1425" s="8"/>
      <c r="L1425" s="8"/>
    </row>
    <row r="1426" spans="3:12" x14ac:dyDescent="0.25">
      <c r="C1426" s="7"/>
      <c r="E1426" s="8"/>
      <c r="F1426" s="8"/>
      <c r="G1426" s="8"/>
      <c r="H1426" s="8"/>
      <c r="I1426" s="8"/>
      <c r="J1426" s="8"/>
      <c r="K1426" s="8"/>
      <c r="L1426" s="8"/>
    </row>
    <row r="1427" spans="3:12" x14ac:dyDescent="0.25">
      <c r="C1427" s="7"/>
      <c r="E1427" s="8"/>
      <c r="F1427" s="8"/>
      <c r="G1427" s="8"/>
      <c r="H1427" s="8"/>
      <c r="I1427" s="8"/>
      <c r="J1427" s="8"/>
      <c r="K1427" s="8"/>
      <c r="L1427" s="8"/>
    </row>
    <row r="1428" spans="3:12" x14ac:dyDescent="0.25">
      <c r="C1428" s="7"/>
      <c r="E1428" s="8"/>
      <c r="F1428" s="8"/>
      <c r="G1428" s="8"/>
      <c r="H1428" s="8"/>
      <c r="I1428" s="8"/>
      <c r="J1428" s="8"/>
      <c r="K1428" s="8"/>
      <c r="L1428" s="8"/>
    </row>
    <row r="1429" spans="3:12" x14ac:dyDescent="0.25">
      <c r="C1429" s="7"/>
      <c r="E1429" s="8"/>
      <c r="F1429" s="8"/>
      <c r="G1429" s="8"/>
      <c r="H1429" s="8"/>
      <c r="I1429" s="8"/>
      <c r="J1429" s="8"/>
      <c r="K1429" s="8"/>
      <c r="L1429" s="8"/>
    </row>
    <row r="1430" spans="3:12" x14ac:dyDescent="0.25">
      <c r="C1430" s="7"/>
      <c r="E1430" s="8"/>
      <c r="F1430" s="8"/>
      <c r="G1430" s="8"/>
      <c r="H1430" s="8"/>
      <c r="I1430" s="8"/>
      <c r="J1430" s="8"/>
      <c r="K1430" s="8"/>
      <c r="L1430" s="8"/>
    </row>
    <row r="1431" spans="3:12" x14ac:dyDescent="0.25">
      <c r="C1431" s="7"/>
      <c r="E1431" s="8"/>
      <c r="F1431" s="8"/>
      <c r="G1431" s="8"/>
      <c r="H1431" s="8"/>
      <c r="I1431" s="8"/>
      <c r="J1431" s="8"/>
      <c r="K1431" s="8"/>
      <c r="L1431" s="8"/>
    </row>
    <row r="1432" spans="3:12" x14ac:dyDescent="0.25">
      <c r="C1432" s="7"/>
      <c r="E1432" s="8"/>
      <c r="F1432" s="8"/>
      <c r="G1432" s="8"/>
      <c r="H1432" s="8"/>
      <c r="I1432" s="8"/>
      <c r="J1432" s="8"/>
      <c r="K1432" s="8"/>
      <c r="L1432" s="8"/>
    </row>
    <row r="1433" spans="3:12" x14ac:dyDescent="0.25">
      <c r="C1433" s="7"/>
      <c r="E1433" s="8"/>
      <c r="F1433" s="8"/>
      <c r="G1433" s="8"/>
      <c r="H1433" s="8"/>
      <c r="I1433" s="8"/>
      <c r="J1433" s="8"/>
      <c r="K1433" s="8"/>
      <c r="L1433" s="8"/>
    </row>
    <row r="1434" spans="3:12" x14ac:dyDescent="0.25">
      <c r="C1434" s="7"/>
      <c r="E1434" s="8"/>
      <c r="F1434" s="8"/>
      <c r="G1434" s="8"/>
      <c r="H1434" s="8"/>
      <c r="I1434" s="8"/>
      <c r="J1434" s="8"/>
      <c r="K1434" s="8"/>
      <c r="L1434" s="8"/>
    </row>
    <row r="1435" spans="3:12" x14ac:dyDescent="0.25">
      <c r="C1435" s="7"/>
      <c r="E1435" s="8"/>
      <c r="F1435" s="8"/>
      <c r="G1435" s="8"/>
      <c r="H1435" s="8"/>
      <c r="I1435" s="8"/>
      <c r="J1435" s="8"/>
      <c r="K1435" s="8"/>
      <c r="L1435" s="8"/>
    </row>
    <row r="1436" spans="3:12" x14ac:dyDescent="0.25">
      <c r="C1436" s="7"/>
      <c r="E1436" s="8"/>
      <c r="F1436" s="8"/>
      <c r="G1436" s="8"/>
      <c r="H1436" s="8"/>
      <c r="I1436" s="8"/>
      <c r="J1436" s="8"/>
      <c r="K1436" s="8"/>
      <c r="L1436" s="8"/>
    </row>
    <row r="1437" spans="3:12" x14ac:dyDescent="0.25">
      <c r="C1437" s="7"/>
      <c r="E1437" s="8"/>
      <c r="F1437" s="8"/>
      <c r="G1437" s="8"/>
      <c r="H1437" s="8"/>
      <c r="I1437" s="8"/>
      <c r="J1437" s="8"/>
      <c r="K1437" s="8"/>
      <c r="L1437" s="8"/>
    </row>
    <row r="1438" spans="3:12" x14ac:dyDescent="0.25">
      <c r="C1438" s="7"/>
      <c r="E1438" s="8"/>
      <c r="F1438" s="8"/>
      <c r="G1438" s="8"/>
      <c r="H1438" s="8"/>
      <c r="I1438" s="8"/>
      <c r="J1438" s="8"/>
      <c r="K1438" s="8"/>
      <c r="L1438" s="8"/>
    </row>
    <row r="1439" spans="3:12" x14ac:dyDescent="0.25">
      <c r="C1439" s="7"/>
      <c r="E1439" s="8"/>
      <c r="F1439" s="8"/>
      <c r="G1439" s="8"/>
      <c r="H1439" s="8"/>
      <c r="I1439" s="8"/>
      <c r="J1439" s="8"/>
      <c r="K1439" s="8"/>
      <c r="L1439" s="8"/>
    </row>
    <row r="1440" spans="3:12" x14ac:dyDescent="0.25">
      <c r="C1440" s="7"/>
      <c r="E1440" s="8"/>
      <c r="F1440" s="8"/>
      <c r="G1440" s="8"/>
      <c r="H1440" s="8"/>
      <c r="I1440" s="8"/>
      <c r="J1440" s="8"/>
      <c r="K1440" s="8"/>
      <c r="L1440" s="8"/>
    </row>
    <row r="1441" spans="3:12" x14ac:dyDescent="0.25">
      <c r="C1441" s="7"/>
      <c r="E1441" s="8"/>
      <c r="F1441" s="8"/>
      <c r="G1441" s="8"/>
      <c r="H1441" s="8"/>
      <c r="I1441" s="8"/>
      <c r="J1441" s="8"/>
      <c r="K1441" s="8"/>
      <c r="L1441" s="8"/>
    </row>
    <row r="1442" spans="3:12" x14ac:dyDescent="0.25">
      <c r="C1442" s="7"/>
      <c r="E1442" s="8"/>
      <c r="F1442" s="8"/>
      <c r="G1442" s="8"/>
      <c r="H1442" s="8"/>
      <c r="I1442" s="8"/>
      <c r="J1442" s="8"/>
      <c r="K1442" s="8"/>
      <c r="L1442" s="8"/>
    </row>
    <row r="1443" spans="3:12" x14ac:dyDescent="0.25">
      <c r="C1443" s="7"/>
      <c r="E1443" s="8"/>
      <c r="F1443" s="8"/>
      <c r="G1443" s="8"/>
      <c r="H1443" s="8"/>
      <c r="I1443" s="8"/>
      <c r="J1443" s="8"/>
      <c r="K1443" s="8"/>
      <c r="L1443" s="8"/>
    </row>
    <row r="1444" spans="3:12" x14ac:dyDescent="0.25">
      <c r="C1444" s="7"/>
      <c r="E1444" s="8"/>
      <c r="F1444" s="8"/>
      <c r="G1444" s="8"/>
      <c r="H1444" s="8"/>
      <c r="I1444" s="8"/>
      <c r="J1444" s="8"/>
      <c r="K1444" s="8"/>
      <c r="L1444" s="8"/>
    </row>
    <row r="1445" spans="3:12" x14ac:dyDescent="0.25">
      <c r="C1445" s="7"/>
      <c r="E1445" s="8"/>
      <c r="F1445" s="8"/>
      <c r="G1445" s="8"/>
      <c r="H1445" s="8"/>
      <c r="I1445" s="8"/>
      <c r="J1445" s="8"/>
      <c r="K1445" s="8"/>
      <c r="L1445" s="8"/>
    </row>
    <row r="1446" spans="3:12" x14ac:dyDescent="0.25">
      <c r="C1446" s="7"/>
      <c r="E1446" s="8"/>
      <c r="F1446" s="8"/>
      <c r="G1446" s="8"/>
      <c r="H1446" s="8"/>
      <c r="I1446" s="8"/>
      <c r="J1446" s="8"/>
      <c r="K1446" s="8"/>
      <c r="L1446" s="8"/>
    </row>
    <row r="1447" spans="3:12" x14ac:dyDescent="0.25">
      <c r="C1447" s="7"/>
      <c r="E1447" s="8"/>
      <c r="F1447" s="8"/>
      <c r="G1447" s="8"/>
      <c r="H1447" s="8"/>
      <c r="I1447" s="8"/>
      <c r="J1447" s="8"/>
      <c r="K1447" s="8"/>
      <c r="L1447" s="8"/>
    </row>
    <row r="1448" spans="3:12" x14ac:dyDescent="0.25">
      <c r="C1448" s="7"/>
      <c r="E1448" s="8"/>
      <c r="F1448" s="8"/>
      <c r="G1448" s="8"/>
      <c r="H1448" s="8"/>
      <c r="I1448" s="8"/>
      <c r="J1448" s="8"/>
      <c r="K1448" s="8"/>
      <c r="L1448" s="8"/>
    </row>
    <row r="1449" spans="3:12" x14ac:dyDescent="0.25">
      <c r="C1449" s="7"/>
      <c r="E1449" s="8"/>
      <c r="F1449" s="8"/>
      <c r="G1449" s="8"/>
      <c r="H1449" s="8"/>
      <c r="I1449" s="8"/>
      <c r="J1449" s="8"/>
      <c r="K1449" s="8"/>
      <c r="L1449" s="8"/>
    </row>
    <row r="1450" spans="3:12" x14ac:dyDescent="0.25">
      <c r="C1450" s="7"/>
      <c r="E1450" s="8"/>
      <c r="F1450" s="8"/>
      <c r="G1450" s="8"/>
      <c r="H1450" s="8"/>
      <c r="I1450" s="8"/>
      <c r="J1450" s="8"/>
      <c r="K1450" s="8"/>
      <c r="L1450" s="8"/>
    </row>
    <row r="1451" spans="3:12" x14ac:dyDescent="0.25">
      <c r="C1451" s="7"/>
      <c r="E1451" s="8"/>
      <c r="F1451" s="8"/>
      <c r="G1451" s="8"/>
      <c r="H1451" s="8"/>
      <c r="I1451" s="8"/>
      <c r="J1451" s="8"/>
      <c r="K1451" s="8"/>
      <c r="L1451" s="8"/>
    </row>
    <row r="1452" spans="3:12" x14ac:dyDescent="0.25">
      <c r="C1452" s="7"/>
      <c r="E1452" s="8"/>
      <c r="F1452" s="8"/>
      <c r="G1452" s="8"/>
      <c r="H1452" s="8"/>
      <c r="I1452" s="8"/>
      <c r="J1452" s="8"/>
      <c r="K1452" s="8"/>
      <c r="L1452" s="8"/>
    </row>
    <row r="1453" spans="3:12" x14ac:dyDescent="0.25">
      <c r="C1453" s="7"/>
      <c r="E1453" s="8"/>
      <c r="F1453" s="8"/>
      <c r="G1453" s="8"/>
      <c r="H1453" s="8"/>
      <c r="I1453" s="8"/>
      <c r="J1453" s="8"/>
      <c r="K1453" s="8"/>
      <c r="L1453" s="8"/>
    </row>
    <row r="1454" spans="3:12" x14ac:dyDescent="0.25">
      <c r="C1454" s="7"/>
      <c r="E1454" s="8"/>
      <c r="F1454" s="8"/>
      <c r="G1454" s="8"/>
      <c r="H1454" s="8"/>
      <c r="I1454" s="8"/>
      <c r="J1454" s="8"/>
      <c r="K1454" s="8"/>
      <c r="L1454" s="8"/>
    </row>
    <row r="1455" spans="3:12" x14ac:dyDescent="0.25">
      <c r="C1455" s="7"/>
      <c r="E1455" s="8"/>
      <c r="F1455" s="8"/>
      <c r="G1455" s="8"/>
      <c r="H1455" s="8"/>
      <c r="I1455" s="8"/>
      <c r="J1455" s="8"/>
      <c r="K1455" s="8"/>
      <c r="L1455" s="8"/>
    </row>
    <row r="1456" spans="3:12" x14ac:dyDescent="0.25">
      <c r="C1456" s="7"/>
      <c r="E1456" s="8"/>
      <c r="F1456" s="8"/>
      <c r="G1456" s="8"/>
      <c r="H1456" s="8"/>
      <c r="I1456" s="8"/>
      <c r="J1456" s="8"/>
      <c r="K1456" s="8"/>
      <c r="L1456" s="8"/>
    </row>
    <row r="1457" spans="3:12" x14ac:dyDescent="0.25">
      <c r="C1457" s="7"/>
      <c r="E1457" s="8"/>
      <c r="F1457" s="8"/>
      <c r="G1457" s="8"/>
      <c r="H1457" s="8"/>
      <c r="I1457" s="8"/>
      <c r="J1457" s="8"/>
      <c r="K1457" s="8"/>
      <c r="L1457" s="8"/>
    </row>
    <row r="1458" spans="3:12" x14ac:dyDescent="0.25">
      <c r="C1458" s="7"/>
      <c r="E1458" s="8"/>
      <c r="F1458" s="8"/>
      <c r="G1458" s="8"/>
      <c r="H1458" s="8"/>
      <c r="I1458" s="8"/>
      <c r="J1458" s="8"/>
      <c r="K1458" s="8"/>
      <c r="L1458" s="8"/>
    </row>
    <row r="1459" spans="3:12" x14ac:dyDescent="0.25">
      <c r="C1459" s="7"/>
      <c r="E1459" s="8"/>
      <c r="F1459" s="8"/>
      <c r="G1459" s="8"/>
      <c r="H1459" s="8"/>
      <c r="I1459" s="8"/>
      <c r="J1459" s="8"/>
      <c r="K1459" s="8"/>
      <c r="L1459" s="8"/>
    </row>
    <row r="1460" spans="3:12" x14ac:dyDescent="0.25">
      <c r="C1460" s="7"/>
      <c r="E1460" s="8"/>
      <c r="F1460" s="8"/>
      <c r="G1460" s="8"/>
      <c r="H1460" s="8"/>
      <c r="I1460" s="8"/>
      <c r="J1460" s="8"/>
      <c r="K1460" s="8"/>
      <c r="L1460" s="8"/>
    </row>
    <row r="1461" spans="3:12" x14ac:dyDescent="0.25">
      <c r="C1461" s="7"/>
      <c r="E1461" s="8"/>
      <c r="F1461" s="8"/>
      <c r="G1461" s="8"/>
      <c r="H1461" s="8"/>
      <c r="I1461" s="8"/>
      <c r="J1461" s="8"/>
      <c r="K1461" s="8"/>
      <c r="L1461" s="8"/>
    </row>
    <row r="1462" spans="3:12" x14ac:dyDescent="0.25">
      <c r="C1462" s="7"/>
      <c r="E1462" s="8"/>
      <c r="F1462" s="8"/>
      <c r="G1462" s="8"/>
      <c r="H1462" s="8"/>
      <c r="I1462" s="8"/>
      <c r="J1462" s="8"/>
      <c r="K1462" s="8"/>
      <c r="L1462" s="8"/>
    </row>
    <row r="1463" spans="3:12" x14ac:dyDescent="0.25">
      <c r="C1463" s="7"/>
      <c r="E1463" s="8"/>
      <c r="F1463" s="8"/>
      <c r="G1463" s="8"/>
      <c r="H1463" s="8"/>
      <c r="I1463" s="8"/>
      <c r="J1463" s="8"/>
      <c r="K1463" s="8"/>
      <c r="L1463" s="8"/>
    </row>
    <row r="1464" spans="3:12" x14ac:dyDescent="0.25">
      <c r="C1464" s="7"/>
      <c r="E1464" s="8"/>
      <c r="F1464" s="8"/>
      <c r="G1464" s="8"/>
      <c r="H1464" s="8"/>
      <c r="I1464" s="8"/>
      <c r="J1464" s="8"/>
      <c r="K1464" s="8"/>
      <c r="L1464" s="8"/>
    </row>
    <row r="1465" spans="3:12" x14ac:dyDescent="0.25">
      <c r="C1465" s="7"/>
      <c r="E1465" s="8"/>
      <c r="F1465" s="8"/>
      <c r="G1465" s="8"/>
      <c r="H1465" s="8"/>
      <c r="I1465" s="8"/>
      <c r="J1465" s="8"/>
      <c r="K1465" s="8"/>
      <c r="L1465" s="8"/>
    </row>
    <row r="1466" spans="3:12" x14ac:dyDescent="0.25">
      <c r="C1466" s="7"/>
      <c r="E1466" s="8"/>
      <c r="F1466" s="8"/>
      <c r="G1466" s="8"/>
      <c r="H1466" s="8"/>
      <c r="I1466" s="8"/>
      <c r="J1466" s="8"/>
      <c r="K1466" s="8"/>
      <c r="L1466" s="8"/>
    </row>
    <row r="1467" spans="3:12" x14ac:dyDescent="0.25">
      <c r="C1467" s="7"/>
      <c r="E1467" s="8"/>
      <c r="F1467" s="8"/>
      <c r="G1467" s="8"/>
      <c r="H1467" s="8"/>
      <c r="I1467" s="8"/>
      <c r="J1467" s="8"/>
      <c r="K1467" s="8"/>
      <c r="L1467" s="8"/>
    </row>
    <row r="1468" spans="3:12" x14ac:dyDescent="0.25">
      <c r="C1468" s="7"/>
      <c r="E1468" s="8"/>
      <c r="F1468" s="8"/>
      <c r="G1468" s="8"/>
      <c r="H1468" s="8"/>
      <c r="I1468" s="8"/>
      <c r="J1468" s="8"/>
      <c r="K1468" s="8"/>
      <c r="L1468" s="8"/>
    </row>
    <row r="1469" spans="3:12" x14ac:dyDescent="0.25">
      <c r="C1469" s="7"/>
      <c r="E1469" s="8"/>
      <c r="F1469" s="8"/>
      <c r="G1469" s="8"/>
      <c r="H1469" s="8"/>
      <c r="I1469" s="8"/>
      <c r="J1469" s="8"/>
      <c r="K1469" s="8"/>
      <c r="L1469" s="8"/>
    </row>
    <row r="1470" spans="3:12" x14ac:dyDescent="0.25">
      <c r="C1470" s="7"/>
      <c r="E1470" s="8"/>
      <c r="F1470" s="8"/>
      <c r="G1470" s="8"/>
      <c r="H1470" s="8"/>
      <c r="I1470" s="8"/>
      <c r="J1470" s="8"/>
      <c r="K1470" s="8"/>
      <c r="L1470" s="8"/>
    </row>
    <row r="1471" spans="3:12" x14ac:dyDescent="0.25">
      <c r="C1471" s="7"/>
      <c r="E1471" s="8"/>
      <c r="F1471" s="8"/>
      <c r="G1471" s="8"/>
      <c r="H1471" s="8"/>
      <c r="I1471" s="8"/>
      <c r="J1471" s="8"/>
      <c r="K1471" s="8"/>
      <c r="L1471" s="8"/>
    </row>
    <row r="1472" spans="3:12" x14ac:dyDescent="0.25">
      <c r="C1472" s="7"/>
      <c r="E1472" s="8"/>
      <c r="F1472" s="8"/>
      <c r="G1472" s="8"/>
      <c r="H1472" s="8"/>
      <c r="I1472" s="8"/>
      <c r="J1472" s="8"/>
      <c r="K1472" s="8"/>
      <c r="L1472" s="8"/>
    </row>
    <row r="1473" spans="3:12" x14ac:dyDescent="0.25">
      <c r="C1473" s="7"/>
      <c r="E1473" s="8"/>
      <c r="F1473" s="8"/>
      <c r="G1473" s="8"/>
      <c r="H1473" s="8"/>
      <c r="I1473" s="8"/>
      <c r="J1473" s="8"/>
      <c r="K1473" s="8"/>
      <c r="L1473" s="8"/>
    </row>
    <row r="1474" spans="3:12" x14ac:dyDescent="0.25">
      <c r="C1474" s="7"/>
      <c r="E1474" s="8"/>
      <c r="F1474" s="8"/>
      <c r="G1474" s="8"/>
      <c r="H1474" s="8"/>
      <c r="I1474" s="8"/>
      <c r="J1474" s="8"/>
      <c r="K1474" s="8"/>
      <c r="L1474" s="8"/>
    </row>
    <row r="1475" spans="3:12" x14ac:dyDescent="0.25">
      <c r="C1475" s="7"/>
      <c r="E1475" s="8"/>
      <c r="F1475" s="8"/>
      <c r="G1475" s="8"/>
      <c r="H1475" s="8"/>
      <c r="I1475" s="8"/>
      <c r="J1475" s="8"/>
      <c r="K1475" s="8"/>
      <c r="L1475" s="8"/>
    </row>
    <row r="1476" spans="3:12" x14ac:dyDescent="0.25">
      <c r="C1476" s="7"/>
      <c r="E1476" s="8"/>
      <c r="F1476" s="8"/>
      <c r="G1476" s="8"/>
      <c r="H1476" s="8"/>
      <c r="I1476" s="8"/>
      <c r="J1476" s="8"/>
      <c r="K1476" s="8"/>
      <c r="L1476" s="8"/>
    </row>
    <row r="1477" spans="3:12" x14ac:dyDescent="0.25">
      <c r="C1477" s="7"/>
      <c r="E1477" s="8"/>
      <c r="F1477" s="8"/>
      <c r="G1477" s="8"/>
      <c r="H1477" s="8"/>
      <c r="I1477" s="8"/>
      <c r="J1477" s="8"/>
      <c r="K1477" s="8"/>
      <c r="L1477" s="8"/>
    </row>
    <row r="1478" spans="3:12" x14ac:dyDescent="0.25">
      <c r="C1478" s="7"/>
      <c r="E1478" s="8"/>
      <c r="F1478" s="8"/>
      <c r="G1478" s="8"/>
      <c r="H1478" s="8"/>
      <c r="I1478" s="8"/>
      <c r="J1478" s="8"/>
      <c r="K1478" s="8"/>
      <c r="L1478" s="8"/>
    </row>
    <row r="1479" spans="3:12" x14ac:dyDescent="0.25">
      <c r="C1479" s="7"/>
      <c r="E1479" s="8"/>
      <c r="F1479" s="8"/>
      <c r="G1479" s="8"/>
      <c r="H1479" s="8"/>
      <c r="I1479" s="8"/>
      <c r="J1479" s="8"/>
      <c r="K1479" s="8"/>
      <c r="L1479" s="8"/>
    </row>
    <row r="1480" spans="3:12" x14ac:dyDescent="0.25">
      <c r="C1480" s="7"/>
      <c r="E1480" s="8"/>
      <c r="F1480" s="8"/>
      <c r="G1480" s="8"/>
      <c r="H1480" s="8"/>
      <c r="I1480" s="8"/>
      <c r="J1480" s="8"/>
      <c r="K1480" s="8"/>
      <c r="L1480" s="8"/>
    </row>
    <row r="1481" spans="3:12" x14ac:dyDescent="0.25">
      <c r="C1481" s="7"/>
      <c r="E1481" s="8"/>
      <c r="F1481" s="8"/>
      <c r="G1481" s="8"/>
      <c r="H1481" s="8"/>
      <c r="I1481" s="8"/>
      <c r="J1481" s="8"/>
      <c r="K1481" s="8"/>
      <c r="L1481" s="8"/>
    </row>
    <row r="1482" spans="3:12" x14ac:dyDescent="0.25">
      <c r="C1482" s="7"/>
      <c r="E1482" s="8"/>
      <c r="F1482" s="8"/>
      <c r="G1482" s="8"/>
      <c r="H1482" s="8"/>
      <c r="I1482" s="8"/>
      <c r="J1482" s="8"/>
      <c r="K1482" s="8"/>
      <c r="L1482" s="8"/>
    </row>
    <row r="1483" spans="3:12" x14ac:dyDescent="0.25">
      <c r="C1483" s="7"/>
      <c r="E1483" s="8"/>
      <c r="F1483" s="8"/>
      <c r="G1483" s="8"/>
      <c r="H1483" s="8"/>
      <c r="I1483" s="8"/>
      <c r="J1483" s="8"/>
      <c r="K1483" s="8"/>
      <c r="L1483" s="8"/>
    </row>
    <row r="1484" spans="3:12" x14ac:dyDescent="0.25">
      <c r="C1484" s="7"/>
      <c r="E1484" s="8"/>
      <c r="F1484" s="8"/>
      <c r="G1484" s="8"/>
      <c r="H1484" s="8"/>
      <c r="I1484" s="8"/>
      <c r="J1484" s="8"/>
      <c r="K1484" s="8"/>
      <c r="L1484" s="8"/>
    </row>
    <row r="1485" spans="3:12" x14ac:dyDescent="0.25">
      <c r="C1485" s="7"/>
      <c r="E1485" s="8"/>
      <c r="F1485" s="8"/>
      <c r="G1485" s="8"/>
      <c r="H1485" s="8"/>
      <c r="I1485" s="8"/>
      <c r="J1485" s="8"/>
      <c r="K1485" s="8"/>
      <c r="L1485" s="8"/>
    </row>
    <row r="1486" spans="3:12" x14ac:dyDescent="0.25">
      <c r="C1486" s="7"/>
      <c r="E1486" s="8"/>
      <c r="F1486" s="8"/>
      <c r="G1486" s="8"/>
      <c r="H1486" s="8"/>
      <c r="I1486" s="8"/>
      <c r="J1486" s="8"/>
      <c r="K1486" s="8"/>
      <c r="L1486" s="8"/>
    </row>
    <row r="1487" spans="3:12" x14ac:dyDescent="0.25">
      <c r="C1487" s="7"/>
      <c r="E1487" s="8"/>
      <c r="F1487" s="8"/>
      <c r="G1487" s="8"/>
      <c r="H1487" s="8"/>
      <c r="I1487" s="8"/>
      <c r="J1487" s="8"/>
      <c r="K1487" s="8"/>
      <c r="L1487" s="8"/>
    </row>
    <row r="1488" spans="3:12" x14ac:dyDescent="0.25">
      <c r="C1488" s="7"/>
      <c r="E1488" s="8"/>
      <c r="F1488" s="8"/>
      <c r="G1488" s="8"/>
      <c r="H1488" s="8"/>
      <c r="I1488" s="8"/>
      <c r="J1488" s="8"/>
      <c r="K1488" s="8"/>
      <c r="L1488" s="8"/>
    </row>
    <row r="1489" spans="3:12" x14ac:dyDescent="0.25">
      <c r="C1489" s="7"/>
      <c r="E1489" s="8"/>
      <c r="F1489" s="8"/>
      <c r="G1489" s="8"/>
      <c r="H1489" s="8"/>
      <c r="I1489" s="8"/>
      <c r="J1489" s="8"/>
      <c r="K1489" s="8"/>
      <c r="L1489" s="8"/>
    </row>
    <row r="1490" spans="3:12" x14ac:dyDescent="0.25">
      <c r="C1490" s="7"/>
      <c r="E1490" s="8"/>
      <c r="F1490" s="8"/>
      <c r="G1490" s="8"/>
      <c r="H1490" s="8"/>
      <c r="I1490" s="8"/>
      <c r="J1490" s="8"/>
      <c r="K1490" s="8"/>
      <c r="L1490" s="8"/>
    </row>
    <row r="1491" spans="3:12" x14ac:dyDescent="0.25">
      <c r="C1491" s="7"/>
      <c r="E1491" s="8"/>
      <c r="F1491" s="8"/>
      <c r="G1491" s="8"/>
      <c r="H1491" s="8"/>
      <c r="I1491" s="8"/>
      <c r="J1491" s="8"/>
      <c r="K1491" s="8"/>
      <c r="L1491" s="8"/>
    </row>
    <row r="1492" spans="3:12" x14ac:dyDescent="0.25">
      <c r="C1492" s="7"/>
      <c r="E1492" s="8"/>
      <c r="F1492" s="8"/>
      <c r="G1492" s="8"/>
      <c r="H1492" s="8"/>
      <c r="I1492" s="8"/>
      <c r="J1492" s="8"/>
      <c r="K1492" s="8"/>
      <c r="L1492" s="8"/>
    </row>
    <row r="1493" spans="3:12" x14ac:dyDescent="0.25">
      <c r="C1493" s="7"/>
      <c r="E1493" s="8"/>
      <c r="F1493" s="8"/>
      <c r="G1493" s="8"/>
      <c r="H1493" s="8"/>
      <c r="I1493" s="8"/>
      <c r="J1493" s="8"/>
      <c r="K1493" s="8"/>
      <c r="L1493" s="8"/>
    </row>
    <row r="1494" spans="3:12" x14ac:dyDescent="0.25">
      <c r="C1494" s="7"/>
      <c r="E1494" s="8"/>
      <c r="F1494" s="8"/>
      <c r="G1494" s="8"/>
      <c r="H1494" s="8"/>
      <c r="I1494" s="8"/>
      <c r="J1494" s="8"/>
      <c r="K1494" s="8"/>
      <c r="L1494" s="8"/>
    </row>
    <row r="1495" spans="3:12" x14ac:dyDescent="0.25">
      <c r="C1495" s="7"/>
      <c r="E1495" s="8"/>
      <c r="F1495" s="8"/>
      <c r="G1495" s="8"/>
      <c r="H1495" s="8"/>
      <c r="I1495" s="8"/>
      <c r="J1495" s="8"/>
      <c r="K1495" s="8"/>
      <c r="L1495" s="8"/>
    </row>
    <row r="1496" spans="3:12" x14ac:dyDescent="0.25">
      <c r="C1496" s="7"/>
      <c r="E1496" s="8"/>
      <c r="F1496" s="8"/>
      <c r="G1496" s="8"/>
      <c r="H1496" s="8"/>
      <c r="I1496" s="8"/>
      <c r="J1496" s="8"/>
      <c r="K1496" s="8"/>
      <c r="L1496" s="8"/>
    </row>
    <row r="1497" spans="3:12" x14ac:dyDescent="0.25">
      <c r="C1497" s="7"/>
      <c r="E1497" s="8"/>
      <c r="F1497" s="8"/>
      <c r="G1497" s="8"/>
      <c r="H1497" s="8"/>
      <c r="I1497" s="8"/>
      <c r="J1497" s="8"/>
      <c r="K1497" s="8"/>
      <c r="L1497" s="8"/>
    </row>
    <row r="1498" spans="3:12" x14ac:dyDescent="0.25">
      <c r="C1498" s="7"/>
      <c r="E1498" s="8"/>
      <c r="F1498" s="8"/>
      <c r="G1498" s="8"/>
      <c r="H1498" s="8"/>
      <c r="I1498" s="8"/>
      <c r="J1498" s="8"/>
      <c r="K1498" s="8"/>
      <c r="L1498" s="8"/>
    </row>
    <row r="1499" spans="3:12" x14ac:dyDescent="0.25">
      <c r="C1499" s="7"/>
      <c r="E1499" s="8"/>
      <c r="F1499" s="8"/>
      <c r="G1499" s="8"/>
      <c r="H1499" s="8"/>
      <c r="I1499" s="8"/>
      <c r="J1499" s="8"/>
      <c r="K1499" s="8"/>
      <c r="L1499" s="8"/>
    </row>
    <row r="1500" spans="3:12" x14ac:dyDescent="0.25">
      <c r="C1500" s="7"/>
      <c r="E1500" s="8"/>
      <c r="F1500" s="8"/>
      <c r="G1500" s="8"/>
      <c r="H1500" s="8"/>
      <c r="I1500" s="8"/>
      <c r="J1500" s="8"/>
      <c r="K1500" s="8"/>
      <c r="L1500" s="8"/>
    </row>
    <row r="1501" spans="3:12" x14ac:dyDescent="0.25">
      <c r="C1501" s="7"/>
      <c r="E1501" s="8"/>
      <c r="F1501" s="8"/>
      <c r="G1501" s="8"/>
      <c r="H1501" s="8"/>
      <c r="I1501" s="8"/>
      <c r="J1501" s="8"/>
      <c r="K1501" s="8"/>
      <c r="L1501" s="8"/>
    </row>
    <row r="1502" spans="3:12" x14ac:dyDescent="0.25">
      <c r="C1502" s="7"/>
      <c r="E1502" s="8"/>
      <c r="F1502" s="8"/>
      <c r="G1502" s="8"/>
      <c r="H1502" s="8"/>
      <c r="I1502" s="8"/>
      <c r="J1502" s="8"/>
      <c r="K1502" s="8"/>
      <c r="L1502" s="8"/>
    </row>
    <row r="1503" spans="3:12" x14ac:dyDescent="0.25">
      <c r="C1503" s="7"/>
      <c r="E1503" s="8"/>
      <c r="F1503" s="8"/>
      <c r="G1503" s="8"/>
      <c r="H1503" s="8"/>
      <c r="I1503" s="8"/>
      <c r="J1503" s="8"/>
      <c r="K1503" s="8"/>
      <c r="L1503" s="8"/>
    </row>
    <row r="1504" spans="3:12" x14ac:dyDescent="0.25">
      <c r="C1504" s="7"/>
      <c r="E1504" s="8"/>
      <c r="F1504" s="8"/>
      <c r="G1504" s="8"/>
      <c r="H1504" s="8"/>
      <c r="I1504" s="8"/>
      <c r="J1504" s="8"/>
      <c r="K1504" s="8"/>
      <c r="L1504" s="8"/>
    </row>
    <row r="1505" spans="3:12" x14ac:dyDescent="0.25">
      <c r="C1505" s="7"/>
      <c r="E1505" s="8"/>
      <c r="F1505" s="8"/>
      <c r="G1505" s="8"/>
      <c r="H1505" s="8"/>
      <c r="I1505" s="8"/>
      <c r="J1505" s="8"/>
      <c r="K1505" s="8"/>
      <c r="L1505" s="8"/>
    </row>
    <row r="1506" spans="3:12" x14ac:dyDescent="0.25">
      <c r="C1506" s="7"/>
      <c r="E1506" s="8"/>
      <c r="F1506" s="8"/>
      <c r="G1506" s="8"/>
      <c r="H1506" s="8"/>
      <c r="I1506" s="8"/>
      <c r="J1506" s="8"/>
      <c r="K1506" s="8"/>
      <c r="L1506" s="8"/>
    </row>
    <row r="1507" spans="3:12" x14ac:dyDescent="0.25">
      <c r="C1507" s="7"/>
      <c r="E1507" s="8"/>
      <c r="F1507" s="8"/>
      <c r="G1507" s="8"/>
      <c r="H1507" s="8"/>
      <c r="I1507" s="8"/>
      <c r="J1507" s="8"/>
      <c r="K1507" s="8"/>
      <c r="L1507" s="8"/>
    </row>
    <row r="1508" spans="3:12" x14ac:dyDescent="0.25">
      <c r="C1508" s="7"/>
      <c r="E1508" s="8"/>
      <c r="F1508" s="8"/>
      <c r="G1508" s="8"/>
      <c r="H1508" s="8"/>
      <c r="I1508" s="8"/>
      <c r="J1508" s="8"/>
      <c r="K1508" s="8"/>
      <c r="L1508" s="8"/>
    </row>
    <row r="1509" spans="3:12" x14ac:dyDescent="0.25">
      <c r="C1509" s="7"/>
      <c r="E1509" s="8"/>
      <c r="F1509" s="8"/>
      <c r="G1509" s="8"/>
      <c r="H1509" s="8"/>
      <c r="I1509" s="8"/>
      <c r="J1509" s="8"/>
      <c r="K1509" s="8"/>
      <c r="L1509" s="8"/>
    </row>
    <row r="1510" spans="3:12" x14ac:dyDescent="0.25">
      <c r="C1510" s="7"/>
      <c r="E1510" s="8"/>
      <c r="F1510" s="8"/>
      <c r="G1510" s="8"/>
      <c r="H1510" s="8"/>
      <c r="I1510" s="8"/>
      <c r="J1510" s="8"/>
      <c r="K1510" s="8"/>
      <c r="L1510" s="8"/>
    </row>
    <row r="1511" spans="3:12" x14ac:dyDescent="0.25">
      <c r="C1511" s="7"/>
      <c r="E1511" s="8"/>
      <c r="F1511" s="8"/>
      <c r="G1511" s="8"/>
      <c r="H1511" s="8"/>
      <c r="I1511" s="8"/>
      <c r="J1511" s="8"/>
      <c r="K1511" s="8"/>
      <c r="L1511" s="8"/>
    </row>
    <row r="1512" spans="3:12" x14ac:dyDescent="0.25">
      <c r="C1512" s="7"/>
      <c r="E1512" s="8"/>
      <c r="F1512" s="8"/>
      <c r="G1512" s="8"/>
      <c r="H1512" s="8"/>
      <c r="I1512" s="8"/>
      <c r="J1512" s="8"/>
      <c r="K1512" s="8"/>
      <c r="L1512" s="8"/>
    </row>
    <row r="1513" spans="3:12" x14ac:dyDescent="0.25">
      <c r="C1513" s="7"/>
      <c r="E1513" s="8"/>
      <c r="F1513" s="8"/>
      <c r="G1513" s="8"/>
      <c r="H1513" s="8"/>
      <c r="I1513" s="8"/>
      <c r="J1513" s="8"/>
      <c r="K1513" s="8"/>
      <c r="L1513" s="8"/>
    </row>
    <row r="1514" spans="3:12" x14ac:dyDescent="0.25">
      <c r="C1514" s="7"/>
      <c r="E1514" s="8"/>
      <c r="F1514" s="8"/>
      <c r="G1514" s="8"/>
      <c r="H1514" s="8"/>
      <c r="I1514" s="8"/>
      <c r="J1514" s="8"/>
      <c r="K1514" s="8"/>
      <c r="L1514" s="8"/>
    </row>
    <row r="1515" spans="3:12" x14ac:dyDescent="0.25">
      <c r="C1515" s="7"/>
      <c r="E1515" s="8"/>
      <c r="F1515" s="8"/>
      <c r="G1515" s="8"/>
      <c r="H1515" s="8"/>
      <c r="I1515" s="8"/>
      <c r="J1515" s="8"/>
      <c r="K1515" s="8"/>
      <c r="L1515" s="8"/>
    </row>
    <row r="1516" spans="3:12" x14ac:dyDescent="0.25">
      <c r="C1516" s="7"/>
      <c r="E1516" s="8"/>
      <c r="F1516" s="8"/>
      <c r="G1516" s="8"/>
      <c r="H1516" s="8"/>
      <c r="I1516" s="8"/>
      <c r="J1516" s="8"/>
      <c r="K1516" s="8"/>
      <c r="L1516" s="8"/>
    </row>
    <row r="1517" spans="3:12" x14ac:dyDescent="0.25">
      <c r="C1517" s="7"/>
      <c r="E1517" s="8"/>
      <c r="F1517" s="8"/>
      <c r="G1517" s="8"/>
      <c r="H1517" s="8"/>
      <c r="I1517" s="8"/>
      <c r="J1517" s="8"/>
      <c r="K1517" s="8"/>
      <c r="L1517" s="8"/>
    </row>
    <row r="1518" spans="3:12" x14ac:dyDescent="0.25">
      <c r="C1518" s="7"/>
      <c r="E1518" s="8"/>
      <c r="F1518" s="8"/>
      <c r="G1518" s="8"/>
      <c r="H1518" s="8"/>
      <c r="I1518" s="8"/>
      <c r="J1518" s="8"/>
      <c r="K1518" s="8"/>
      <c r="L1518" s="8"/>
    </row>
    <row r="1519" spans="3:12" x14ac:dyDescent="0.25">
      <c r="C1519" s="7"/>
      <c r="E1519" s="8"/>
      <c r="F1519" s="8"/>
      <c r="G1519" s="8"/>
      <c r="H1519" s="8"/>
      <c r="I1519" s="8"/>
      <c r="J1519" s="8"/>
      <c r="K1519" s="8"/>
      <c r="L1519" s="8"/>
    </row>
    <row r="1520" spans="3:12" x14ac:dyDescent="0.25">
      <c r="C1520" s="7"/>
      <c r="E1520" s="8"/>
      <c r="F1520" s="8"/>
      <c r="G1520" s="8"/>
      <c r="H1520" s="8"/>
      <c r="I1520" s="8"/>
      <c r="J1520" s="8"/>
      <c r="K1520" s="8"/>
      <c r="L1520" s="8"/>
    </row>
    <row r="1521" spans="3:12" x14ac:dyDescent="0.25">
      <c r="C1521" s="7"/>
      <c r="E1521" s="8"/>
      <c r="F1521" s="8"/>
      <c r="G1521" s="8"/>
      <c r="H1521" s="8"/>
      <c r="I1521" s="8"/>
      <c r="J1521" s="8"/>
      <c r="K1521" s="8"/>
      <c r="L1521" s="8"/>
    </row>
    <row r="1522" spans="3:12" x14ac:dyDescent="0.25">
      <c r="C1522" s="7"/>
      <c r="E1522" s="8"/>
      <c r="F1522" s="8"/>
      <c r="G1522" s="8"/>
      <c r="H1522" s="8"/>
      <c r="I1522" s="8"/>
      <c r="J1522" s="8"/>
      <c r="K1522" s="8"/>
      <c r="L1522" s="8"/>
    </row>
    <row r="1523" spans="3:12" x14ac:dyDescent="0.25">
      <c r="C1523" s="7"/>
      <c r="E1523" s="8"/>
      <c r="F1523" s="8"/>
      <c r="G1523" s="8"/>
      <c r="H1523" s="8"/>
      <c r="I1523" s="8"/>
      <c r="J1523" s="8"/>
      <c r="K1523" s="8"/>
      <c r="L1523" s="8"/>
    </row>
    <row r="1524" spans="3:12" x14ac:dyDescent="0.25">
      <c r="C1524" s="7"/>
      <c r="E1524" s="8"/>
      <c r="F1524" s="8"/>
      <c r="G1524" s="8"/>
      <c r="H1524" s="8"/>
      <c r="I1524" s="8"/>
      <c r="J1524" s="8"/>
      <c r="K1524" s="8"/>
      <c r="L1524" s="8"/>
    </row>
    <row r="1525" spans="3:12" x14ac:dyDescent="0.25">
      <c r="C1525" s="7"/>
      <c r="E1525" s="8"/>
      <c r="F1525" s="8"/>
      <c r="G1525" s="8"/>
      <c r="H1525" s="8"/>
      <c r="I1525" s="8"/>
      <c r="J1525" s="8"/>
      <c r="K1525" s="8"/>
      <c r="L1525" s="8"/>
    </row>
    <row r="1526" spans="3:12" x14ac:dyDescent="0.25">
      <c r="C1526" s="7"/>
      <c r="E1526" s="8"/>
      <c r="F1526" s="8"/>
      <c r="G1526" s="8"/>
      <c r="H1526" s="8"/>
      <c r="I1526" s="8"/>
      <c r="J1526" s="8"/>
      <c r="K1526" s="8"/>
      <c r="L1526" s="8"/>
    </row>
    <row r="1527" spans="3:12" x14ac:dyDescent="0.25">
      <c r="C1527" s="7"/>
      <c r="E1527" s="8"/>
      <c r="F1527" s="8"/>
      <c r="G1527" s="8"/>
      <c r="H1527" s="8"/>
      <c r="I1527" s="8"/>
      <c r="J1527" s="8"/>
      <c r="K1527" s="8"/>
      <c r="L1527" s="8"/>
    </row>
    <row r="1528" spans="3:12" x14ac:dyDescent="0.25">
      <c r="C1528" s="7"/>
      <c r="E1528" s="8"/>
      <c r="F1528" s="8"/>
      <c r="G1528" s="8"/>
      <c r="H1528" s="8"/>
      <c r="I1528" s="8"/>
      <c r="J1528" s="8"/>
      <c r="K1528" s="8"/>
      <c r="L1528" s="8"/>
    </row>
    <row r="1529" spans="3:12" x14ac:dyDescent="0.25">
      <c r="C1529" s="7"/>
      <c r="E1529" s="8"/>
      <c r="F1529" s="8"/>
      <c r="G1529" s="8"/>
      <c r="H1529" s="8"/>
      <c r="I1529" s="8"/>
      <c r="J1529" s="8"/>
      <c r="K1529" s="8"/>
      <c r="L1529" s="8"/>
    </row>
    <row r="1530" spans="3:12" x14ac:dyDescent="0.25">
      <c r="C1530" s="7"/>
      <c r="E1530" s="8"/>
      <c r="F1530" s="8"/>
      <c r="G1530" s="8"/>
      <c r="H1530" s="8"/>
      <c r="I1530" s="8"/>
      <c r="J1530" s="8"/>
      <c r="K1530" s="8"/>
      <c r="L1530" s="8"/>
    </row>
    <row r="1531" spans="3:12" x14ac:dyDescent="0.25">
      <c r="C1531" s="7"/>
      <c r="E1531" s="8"/>
      <c r="F1531" s="8"/>
      <c r="G1531" s="8"/>
      <c r="H1531" s="8"/>
      <c r="I1531" s="8"/>
      <c r="J1531" s="8"/>
      <c r="K1531" s="8"/>
      <c r="L1531" s="8"/>
    </row>
    <row r="1532" spans="3:12" x14ac:dyDescent="0.25">
      <c r="C1532" s="7"/>
      <c r="E1532" s="8"/>
      <c r="F1532" s="8"/>
      <c r="G1532" s="8"/>
      <c r="H1532" s="8"/>
      <c r="I1532" s="8"/>
      <c r="J1532" s="8"/>
      <c r="K1532" s="8"/>
      <c r="L1532" s="8"/>
    </row>
    <row r="1533" spans="3:12" x14ac:dyDescent="0.25">
      <c r="C1533" s="7"/>
      <c r="E1533" s="8"/>
      <c r="F1533" s="8"/>
      <c r="G1533" s="8"/>
      <c r="H1533" s="8"/>
      <c r="I1533" s="8"/>
      <c r="J1533" s="8"/>
      <c r="K1533" s="8"/>
      <c r="L1533" s="8"/>
    </row>
    <row r="1534" spans="3:12" x14ac:dyDescent="0.25">
      <c r="C1534" s="7"/>
      <c r="E1534" s="8"/>
      <c r="F1534" s="8"/>
      <c r="G1534" s="8"/>
      <c r="H1534" s="8"/>
      <c r="I1534" s="8"/>
      <c r="J1534" s="8"/>
      <c r="K1534" s="8"/>
      <c r="L1534" s="8"/>
    </row>
    <row r="1535" spans="3:12" x14ac:dyDescent="0.25">
      <c r="C1535" s="7"/>
      <c r="E1535" s="8"/>
      <c r="F1535" s="8"/>
      <c r="G1535" s="8"/>
      <c r="H1535" s="8"/>
      <c r="I1535" s="8"/>
      <c r="J1535" s="8"/>
      <c r="K1535" s="8"/>
      <c r="L1535" s="8"/>
    </row>
    <row r="1536" spans="3:12" x14ac:dyDescent="0.25">
      <c r="C1536" s="7"/>
      <c r="E1536" s="8"/>
      <c r="F1536" s="8"/>
      <c r="G1536" s="8"/>
      <c r="H1536" s="8"/>
      <c r="I1536" s="8"/>
      <c r="J1536" s="8"/>
      <c r="K1536" s="8"/>
      <c r="L1536" s="8"/>
    </row>
    <row r="1537" spans="3:12" x14ac:dyDescent="0.25">
      <c r="C1537" s="7"/>
      <c r="E1537" s="8"/>
      <c r="F1537" s="8"/>
      <c r="G1537" s="8"/>
      <c r="H1537" s="8"/>
      <c r="I1537" s="8"/>
      <c r="J1537" s="8"/>
      <c r="K1537" s="8"/>
      <c r="L1537" s="8"/>
    </row>
    <row r="1538" spans="3:12" x14ac:dyDescent="0.25">
      <c r="C1538" s="7"/>
      <c r="E1538" s="8"/>
      <c r="F1538" s="8"/>
      <c r="G1538" s="8"/>
      <c r="H1538" s="8"/>
      <c r="I1538" s="8"/>
      <c r="J1538" s="8"/>
      <c r="K1538" s="8"/>
      <c r="L1538" s="8"/>
    </row>
    <row r="1539" spans="3:12" x14ac:dyDescent="0.25">
      <c r="C1539" s="7"/>
      <c r="E1539" s="8"/>
      <c r="F1539" s="8"/>
      <c r="G1539" s="8"/>
      <c r="H1539" s="8"/>
      <c r="I1539" s="8"/>
      <c r="J1539" s="8"/>
      <c r="K1539" s="8"/>
      <c r="L1539" s="8"/>
    </row>
    <row r="1540" spans="3:12" x14ac:dyDescent="0.25">
      <c r="C1540" s="7"/>
      <c r="E1540" s="8"/>
      <c r="F1540" s="8"/>
      <c r="G1540" s="8"/>
      <c r="H1540" s="8"/>
      <c r="I1540" s="8"/>
      <c r="J1540" s="8"/>
      <c r="K1540" s="8"/>
      <c r="L1540" s="8"/>
    </row>
    <row r="1541" spans="3:12" x14ac:dyDescent="0.25">
      <c r="C1541" s="7"/>
      <c r="E1541" s="8"/>
      <c r="F1541" s="8"/>
      <c r="G1541" s="8"/>
      <c r="H1541" s="8"/>
      <c r="I1541" s="8"/>
      <c r="J1541" s="8"/>
      <c r="K1541" s="8"/>
      <c r="L1541" s="8"/>
    </row>
    <row r="1542" spans="3:12" x14ac:dyDescent="0.25">
      <c r="C1542" s="7"/>
      <c r="E1542" s="8"/>
      <c r="F1542" s="8"/>
      <c r="G1542" s="8"/>
      <c r="H1542" s="8"/>
      <c r="I1542" s="8"/>
      <c r="J1542" s="8"/>
      <c r="K1542" s="8"/>
      <c r="L1542" s="8"/>
    </row>
    <row r="1543" spans="3:12" x14ac:dyDescent="0.25">
      <c r="C1543" s="7"/>
      <c r="E1543" s="8"/>
      <c r="F1543" s="8"/>
      <c r="G1543" s="8"/>
      <c r="H1543" s="8"/>
      <c r="I1543" s="8"/>
      <c r="J1543" s="8"/>
      <c r="K1543" s="8"/>
      <c r="L1543" s="8"/>
    </row>
    <row r="1544" spans="3:12" x14ac:dyDescent="0.25">
      <c r="C1544" s="7"/>
      <c r="E1544" s="8"/>
      <c r="F1544" s="8"/>
      <c r="G1544" s="8"/>
      <c r="H1544" s="8"/>
      <c r="I1544" s="8"/>
      <c r="J1544" s="8"/>
      <c r="K1544" s="8"/>
      <c r="L1544" s="8"/>
    </row>
    <row r="1545" spans="3:12" x14ac:dyDescent="0.25">
      <c r="C1545" s="7"/>
      <c r="E1545" s="8"/>
      <c r="F1545" s="8"/>
      <c r="G1545" s="8"/>
      <c r="H1545" s="8"/>
      <c r="I1545" s="8"/>
      <c r="J1545" s="8"/>
      <c r="K1545" s="8"/>
      <c r="L1545" s="8"/>
    </row>
    <row r="1546" spans="3:12" x14ac:dyDescent="0.25">
      <c r="C1546" s="7"/>
      <c r="E1546" s="8"/>
      <c r="F1546" s="8"/>
      <c r="G1546" s="8"/>
      <c r="H1546" s="8"/>
      <c r="I1546" s="8"/>
      <c r="J1546" s="8"/>
      <c r="K1546" s="8"/>
      <c r="L1546" s="8"/>
    </row>
    <row r="1547" spans="3:12" x14ac:dyDescent="0.25">
      <c r="C1547" s="7"/>
      <c r="E1547" s="8"/>
      <c r="F1547" s="8"/>
      <c r="G1547" s="8"/>
      <c r="H1547" s="8"/>
      <c r="I1547" s="8"/>
      <c r="J1547" s="8"/>
      <c r="K1547" s="8"/>
      <c r="L1547" s="8"/>
    </row>
    <row r="1548" spans="3:12" x14ac:dyDescent="0.25">
      <c r="C1548" s="7"/>
      <c r="E1548" s="8"/>
      <c r="F1548" s="8"/>
      <c r="G1548" s="8"/>
      <c r="H1548" s="8"/>
      <c r="I1548" s="8"/>
      <c r="J1548" s="8"/>
      <c r="K1548" s="8"/>
      <c r="L1548" s="8"/>
    </row>
    <row r="1549" spans="3:12" x14ac:dyDescent="0.25">
      <c r="C1549" s="7"/>
      <c r="E1549" s="8"/>
      <c r="F1549" s="8"/>
      <c r="G1549" s="8"/>
      <c r="H1549" s="8"/>
      <c r="I1549" s="8"/>
      <c r="J1549" s="8"/>
      <c r="K1549" s="8"/>
      <c r="L1549" s="8"/>
    </row>
    <row r="1550" spans="3:12" x14ac:dyDescent="0.25">
      <c r="C1550" s="7"/>
      <c r="E1550" s="8"/>
      <c r="F1550" s="8"/>
      <c r="G1550" s="8"/>
      <c r="H1550" s="8"/>
      <c r="I1550" s="8"/>
      <c r="J1550" s="8"/>
      <c r="K1550" s="8"/>
      <c r="L1550" s="8"/>
    </row>
    <row r="1551" spans="3:12" x14ac:dyDescent="0.25">
      <c r="C1551" s="7"/>
      <c r="E1551" s="8"/>
      <c r="F1551" s="8"/>
      <c r="G1551" s="8"/>
      <c r="H1551" s="8"/>
      <c r="I1551" s="8"/>
      <c r="J1551" s="8"/>
      <c r="K1551" s="8"/>
      <c r="L1551" s="8"/>
    </row>
    <row r="1552" spans="3:12" x14ac:dyDescent="0.25">
      <c r="C1552" s="7"/>
      <c r="E1552" s="8"/>
      <c r="F1552" s="8"/>
      <c r="G1552" s="8"/>
      <c r="H1552" s="8"/>
      <c r="I1552" s="8"/>
      <c r="J1552" s="8"/>
      <c r="K1552" s="8"/>
      <c r="L1552" s="8"/>
    </row>
    <row r="1553" spans="3:12" x14ac:dyDescent="0.25">
      <c r="C1553" s="7"/>
      <c r="E1553" s="8"/>
      <c r="F1553" s="8"/>
      <c r="G1553" s="8"/>
      <c r="H1553" s="8"/>
      <c r="I1553" s="8"/>
      <c r="J1553" s="8"/>
      <c r="K1553" s="8"/>
      <c r="L1553" s="8"/>
    </row>
    <row r="1554" spans="3:12" x14ac:dyDescent="0.25">
      <c r="C1554" s="7"/>
      <c r="E1554" s="8"/>
      <c r="F1554" s="8"/>
      <c r="G1554" s="8"/>
      <c r="H1554" s="8"/>
      <c r="I1554" s="8"/>
      <c r="J1554" s="8"/>
      <c r="K1554" s="8"/>
      <c r="L1554" s="8"/>
    </row>
    <row r="1555" spans="3:12" x14ac:dyDescent="0.25">
      <c r="C1555" s="7"/>
      <c r="E1555" s="8"/>
      <c r="F1555" s="8"/>
      <c r="G1555" s="8"/>
      <c r="H1555" s="8"/>
      <c r="I1555" s="8"/>
      <c r="J1555" s="8"/>
      <c r="K1555" s="8"/>
      <c r="L1555" s="8"/>
    </row>
    <row r="1556" spans="3:12" x14ac:dyDescent="0.25">
      <c r="C1556" s="7"/>
      <c r="E1556" s="8"/>
      <c r="F1556" s="8"/>
      <c r="G1556" s="8"/>
      <c r="H1556" s="8"/>
      <c r="I1556" s="8"/>
      <c r="J1556" s="8"/>
      <c r="K1556" s="8"/>
      <c r="L1556" s="8"/>
    </row>
    <row r="1557" spans="3:12" x14ac:dyDescent="0.25">
      <c r="C1557" s="7"/>
      <c r="E1557" s="8"/>
      <c r="F1557" s="8"/>
      <c r="G1557" s="8"/>
      <c r="H1557" s="8"/>
      <c r="I1557" s="8"/>
      <c r="J1557" s="8"/>
      <c r="K1557" s="8"/>
      <c r="L1557" s="8"/>
    </row>
    <row r="1558" spans="3:12" x14ac:dyDescent="0.25">
      <c r="C1558" s="7"/>
      <c r="E1558" s="8"/>
      <c r="F1558" s="8"/>
      <c r="G1558" s="8"/>
      <c r="H1558" s="8"/>
      <c r="I1558" s="8"/>
      <c r="J1558" s="8"/>
      <c r="K1558" s="8"/>
      <c r="L1558" s="8"/>
    </row>
    <row r="1559" spans="3:12" x14ac:dyDescent="0.25">
      <c r="C1559" s="7"/>
      <c r="E1559" s="8"/>
      <c r="F1559" s="8"/>
      <c r="G1559" s="8"/>
      <c r="H1559" s="8"/>
      <c r="I1559" s="8"/>
      <c r="J1559" s="8"/>
      <c r="K1559" s="8"/>
      <c r="L1559" s="8"/>
    </row>
    <row r="1560" spans="3:12" x14ac:dyDescent="0.25">
      <c r="C1560" s="7"/>
      <c r="E1560" s="8"/>
      <c r="F1560" s="8"/>
      <c r="G1560" s="8"/>
      <c r="H1560" s="8"/>
      <c r="I1560" s="8"/>
      <c r="J1560" s="8"/>
      <c r="K1560" s="8"/>
      <c r="L1560" s="8"/>
    </row>
    <row r="1561" spans="3:12" x14ac:dyDescent="0.25">
      <c r="C1561" s="7"/>
      <c r="E1561" s="8"/>
      <c r="F1561" s="8"/>
      <c r="G1561" s="8"/>
      <c r="H1561" s="8"/>
      <c r="I1561" s="8"/>
      <c r="J1561" s="8"/>
      <c r="K1561" s="8"/>
      <c r="L1561" s="8"/>
    </row>
    <row r="1562" spans="3:12" x14ac:dyDescent="0.25">
      <c r="C1562" s="7"/>
      <c r="E1562" s="8"/>
      <c r="F1562" s="8"/>
      <c r="G1562" s="8"/>
      <c r="H1562" s="8"/>
      <c r="I1562" s="8"/>
      <c r="J1562" s="8"/>
      <c r="K1562" s="8"/>
      <c r="L1562" s="8"/>
    </row>
    <row r="1563" spans="3:12" x14ac:dyDescent="0.25">
      <c r="C1563" s="7"/>
      <c r="E1563" s="8"/>
      <c r="F1563" s="8"/>
      <c r="G1563" s="8"/>
      <c r="H1563" s="8"/>
      <c r="I1563" s="8"/>
      <c r="J1563" s="8"/>
      <c r="K1563" s="8"/>
      <c r="L1563" s="8"/>
    </row>
    <row r="1564" spans="3:12" x14ac:dyDescent="0.25">
      <c r="C1564" s="7"/>
      <c r="E1564" s="8"/>
      <c r="F1564" s="8"/>
      <c r="G1564" s="8"/>
      <c r="H1564" s="8"/>
      <c r="I1564" s="8"/>
      <c r="J1564" s="8"/>
      <c r="K1564" s="8"/>
      <c r="L1564" s="8"/>
    </row>
    <row r="1565" spans="3:12" x14ac:dyDescent="0.25">
      <c r="C1565" s="7"/>
      <c r="E1565" s="8"/>
      <c r="F1565" s="8"/>
      <c r="G1565" s="8"/>
      <c r="H1565" s="8"/>
      <c r="I1565" s="8"/>
      <c r="J1565" s="8"/>
      <c r="K1565" s="8"/>
      <c r="L1565" s="8"/>
    </row>
    <row r="1566" spans="3:12" x14ac:dyDescent="0.25">
      <c r="C1566" s="7"/>
      <c r="E1566" s="8"/>
      <c r="F1566" s="8"/>
      <c r="G1566" s="8"/>
      <c r="H1566" s="8"/>
      <c r="I1566" s="8"/>
      <c r="J1566" s="8"/>
      <c r="K1566" s="8"/>
      <c r="L1566" s="8"/>
    </row>
    <row r="1567" spans="3:12" x14ac:dyDescent="0.25">
      <c r="C1567" s="7"/>
      <c r="E1567" s="8"/>
      <c r="F1567" s="8"/>
      <c r="G1567" s="8"/>
      <c r="H1567" s="8"/>
      <c r="I1567" s="8"/>
      <c r="J1567" s="8"/>
      <c r="K1567" s="8"/>
      <c r="L1567" s="8"/>
    </row>
    <row r="1568" spans="3:12" x14ac:dyDescent="0.25">
      <c r="C1568" s="7"/>
      <c r="E1568" s="8"/>
      <c r="F1568" s="8"/>
      <c r="G1568" s="8"/>
      <c r="H1568" s="8"/>
      <c r="I1568" s="8"/>
      <c r="J1568" s="8"/>
      <c r="K1568" s="8"/>
      <c r="L1568" s="8"/>
    </row>
    <row r="1569" spans="3:12" x14ac:dyDescent="0.25">
      <c r="C1569" s="7"/>
      <c r="E1569" s="8"/>
      <c r="F1569" s="8"/>
      <c r="G1569" s="8"/>
      <c r="H1569" s="8"/>
      <c r="I1569" s="8"/>
      <c r="J1569" s="8"/>
      <c r="K1569" s="8"/>
      <c r="L1569" s="8"/>
    </row>
    <row r="1570" spans="3:12" x14ac:dyDescent="0.25">
      <c r="C1570" s="7"/>
      <c r="E1570" s="8"/>
      <c r="F1570" s="8"/>
      <c r="G1570" s="8"/>
      <c r="H1570" s="8"/>
      <c r="I1570" s="8"/>
      <c r="J1570" s="8"/>
      <c r="K1570" s="8"/>
      <c r="L1570" s="8"/>
    </row>
    <row r="1571" spans="3:12" x14ac:dyDescent="0.25">
      <c r="C1571" s="7"/>
      <c r="E1571" s="8"/>
      <c r="F1571" s="8"/>
      <c r="G1571" s="8"/>
      <c r="H1571" s="8"/>
      <c r="I1571" s="8"/>
      <c r="J1571" s="8"/>
      <c r="K1571" s="8"/>
      <c r="L1571" s="8"/>
    </row>
    <row r="1572" spans="3:12" x14ac:dyDescent="0.25">
      <c r="C1572" s="7"/>
      <c r="E1572" s="8"/>
      <c r="F1572" s="8"/>
      <c r="G1572" s="8"/>
      <c r="H1572" s="8"/>
      <c r="I1572" s="8"/>
      <c r="J1572" s="8"/>
      <c r="K1572" s="8"/>
      <c r="L1572" s="8"/>
    </row>
    <row r="1573" spans="3:12" x14ac:dyDescent="0.25">
      <c r="C1573" s="7"/>
      <c r="E1573" s="8"/>
      <c r="F1573" s="8"/>
      <c r="G1573" s="8"/>
      <c r="H1573" s="8"/>
      <c r="I1573" s="8"/>
      <c r="J1573" s="8"/>
      <c r="K1573" s="8"/>
      <c r="L1573" s="8"/>
    </row>
    <row r="1574" spans="3:12" x14ac:dyDescent="0.25">
      <c r="C1574" s="7"/>
      <c r="E1574" s="8"/>
      <c r="F1574" s="8"/>
      <c r="G1574" s="8"/>
      <c r="H1574" s="8"/>
      <c r="I1574" s="8"/>
      <c r="J1574" s="8"/>
      <c r="K1574" s="8"/>
      <c r="L1574" s="8"/>
    </row>
    <row r="1575" spans="3:12" x14ac:dyDescent="0.25">
      <c r="C1575" s="7"/>
      <c r="E1575" s="8"/>
      <c r="F1575" s="8"/>
      <c r="G1575" s="8"/>
      <c r="H1575" s="8"/>
      <c r="I1575" s="8"/>
      <c r="J1575" s="8"/>
      <c r="K1575" s="8"/>
      <c r="L1575" s="8"/>
    </row>
    <row r="1576" spans="3:12" x14ac:dyDescent="0.25">
      <c r="C1576" s="7"/>
      <c r="E1576" s="8"/>
      <c r="F1576" s="8"/>
      <c r="G1576" s="8"/>
      <c r="H1576" s="8"/>
      <c r="I1576" s="8"/>
      <c r="J1576" s="8"/>
      <c r="K1576" s="8"/>
      <c r="L1576" s="8"/>
    </row>
    <row r="1577" spans="3:12" x14ac:dyDescent="0.25">
      <c r="C1577" s="7"/>
      <c r="E1577" s="8"/>
      <c r="F1577" s="8"/>
      <c r="G1577" s="8"/>
      <c r="H1577" s="8"/>
      <c r="I1577" s="8"/>
      <c r="J1577" s="8"/>
      <c r="K1577" s="8"/>
      <c r="L1577" s="8"/>
    </row>
    <row r="1578" spans="3:12" x14ac:dyDescent="0.25">
      <c r="C1578" s="7"/>
      <c r="E1578" s="8"/>
      <c r="F1578" s="8"/>
      <c r="G1578" s="8"/>
      <c r="H1578" s="8"/>
      <c r="I1578" s="8"/>
      <c r="J1578" s="8"/>
      <c r="K1578" s="8"/>
      <c r="L1578" s="8"/>
    </row>
    <row r="1579" spans="3:12" x14ac:dyDescent="0.25">
      <c r="C1579" s="7"/>
      <c r="E1579" s="8"/>
      <c r="F1579" s="8"/>
      <c r="G1579" s="8"/>
      <c r="H1579" s="8"/>
      <c r="I1579" s="8"/>
      <c r="J1579" s="8"/>
      <c r="K1579" s="8"/>
      <c r="L1579" s="8"/>
    </row>
    <row r="1580" spans="3:12" x14ac:dyDescent="0.25">
      <c r="C1580" s="7"/>
      <c r="E1580" s="8"/>
      <c r="F1580" s="8"/>
      <c r="G1580" s="8"/>
      <c r="H1580" s="8"/>
      <c r="I1580" s="8"/>
      <c r="J1580" s="8"/>
      <c r="K1580" s="8"/>
      <c r="L1580" s="8"/>
    </row>
    <row r="1581" spans="3:12" x14ac:dyDescent="0.25">
      <c r="C1581" s="7"/>
      <c r="E1581" s="8"/>
      <c r="F1581" s="8"/>
      <c r="G1581" s="8"/>
      <c r="H1581" s="8"/>
      <c r="I1581" s="8"/>
      <c r="J1581" s="8"/>
      <c r="K1581" s="8"/>
      <c r="L1581" s="8"/>
    </row>
    <row r="1582" spans="3:12" x14ac:dyDescent="0.25">
      <c r="C1582" s="7"/>
      <c r="E1582" s="8"/>
      <c r="F1582" s="8"/>
      <c r="G1582" s="8"/>
      <c r="H1582" s="8"/>
      <c r="I1582" s="8"/>
      <c r="J1582" s="8"/>
      <c r="K1582" s="8"/>
      <c r="L1582" s="8"/>
    </row>
    <row r="1583" spans="3:12" x14ac:dyDescent="0.25">
      <c r="C1583" s="7"/>
      <c r="E1583" s="8"/>
      <c r="F1583" s="8"/>
      <c r="G1583" s="8"/>
      <c r="H1583" s="8"/>
      <c r="I1583" s="8"/>
      <c r="J1583" s="8"/>
      <c r="K1583" s="8"/>
      <c r="L1583" s="8"/>
    </row>
    <row r="1584" spans="3:12" x14ac:dyDescent="0.25">
      <c r="C1584" s="7"/>
      <c r="E1584" s="8"/>
      <c r="F1584" s="8"/>
      <c r="G1584" s="8"/>
      <c r="H1584" s="8"/>
      <c r="I1584" s="8"/>
      <c r="J1584" s="8"/>
      <c r="K1584" s="8"/>
      <c r="L1584" s="8"/>
    </row>
    <row r="1585" spans="3:12" x14ac:dyDescent="0.25">
      <c r="C1585" s="7"/>
      <c r="E1585" s="8"/>
      <c r="F1585" s="8"/>
      <c r="G1585" s="8"/>
      <c r="H1585" s="8"/>
      <c r="I1585" s="8"/>
      <c r="J1585" s="8"/>
      <c r="K1585" s="8"/>
      <c r="L1585" s="8"/>
    </row>
    <row r="1586" spans="3:12" x14ac:dyDescent="0.25">
      <c r="C1586" s="7"/>
      <c r="E1586" s="8"/>
      <c r="F1586" s="8"/>
      <c r="G1586" s="8"/>
      <c r="H1586" s="8"/>
      <c r="I1586" s="8"/>
      <c r="J1586" s="8"/>
      <c r="K1586" s="8"/>
      <c r="L1586" s="8"/>
    </row>
    <row r="1587" spans="3:12" x14ac:dyDescent="0.25">
      <c r="C1587" s="7"/>
      <c r="E1587" s="8"/>
      <c r="F1587" s="8"/>
      <c r="G1587" s="8"/>
      <c r="H1587" s="8"/>
      <c r="I1587" s="8"/>
      <c r="J1587" s="8"/>
      <c r="K1587" s="8"/>
      <c r="L1587" s="8"/>
    </row>
    <row r="1588" spans="3:12" x14ac:dyDescent="0.25">
      <c r="C1588" s="7"/>
      <c r="E1588" s="8"/>
      <c r="F1588" s="8"/>
      <c r="G1588" s="8"/>
      <c r="H1588" s="8"/>
      <c r="I1588" s="8"/>
      <c r="J1588" s="8"/>
      <c r="K1588" s="8"/>
      <c r="L1588" s="8"/>
    </row>
    <row r="1589" spans="3:12" x14ac:dyDescent="0.25">
      <c r="C1589" s="7"/>
      <c r="E1589" s="8"/>
      <c r="F1589" s="8"/>
      <c r="G1589" s="8"/>
      <c r="H1589" s="8"/>
      <c r="I1589" s="8"/>
      <c r="J1589" s="8"/>
      <c r="K1589" s="8"/>
      <c r="L1589" s="8"/>
    </row>
    <row r="1590" spans="3:12" x14ac:dyDescent="0.25">
      <c r="C1590" s="7"/>
      <c r="E1590" s="8"/>
      <c r="F1590" s="8"/>
      <c r="G1590" s="8"/>
      <c r="H1590" s="8"/>
      <c r="I1590" s="8"/>
      <c r="J1590" s="8"/>
      <c r="K1590" s="8"/>
      <c r="L1590" s="8"/>
    </row>
    <row r="1591" spans="3:12" x14ac:dyDescent="0.25">
      <c r="C1591" s="7"/>
      <c r="E1591" s="8"/>
      <c r="F1591" s="8"/>
      <c r="G1591" s="8"/>
      <c r="H1591" s="8"/>
      <c r="I1591" s="8"/>
      <c r="J1591" s="8"/>
      <c r="K1591" s="8"/>
      <c r="L1591" s="8"/>
    </row>
    <row r="1592" spans="3:12" x14ac:dyDescent="0.25">
      <c r="C1592" s="7"/>
      <c r="E1592" s="8"/>
      <c r="F1592" s="8"/>
      <c r="G1592" s="8"/>
      <c r="H1592" s="8"/>
      <c r="I1592" s="8"/>
      <c r="J1592" s="8"/>
      <c r="K1592" s="8"/>
      <c r="L1592" s="8"/>
    </row>
    <row r="1593" spans="3:12" x14ac:dyDescent="0.25">
      <c r="C1593" s="7"/>
      <c r="E1593" s="8"/>
      <c r="F1593" s="8"/>
      <c r="G1593" s="8"/>
      <c r="H1593" s="8"/>
      <c r="I1593" s="8"/>
      <c r="J1593" s="8"/>
      <c r="K1593" s="8"/>
      <c r="L1593" s="8"/>
    </row>
    <row r="1594" spans="3:12" x14ac:dyDescent="0.25">
      <c r="C1594" s="7"/>
      <c r="E1594" s="8"/>
      <c r="F1594" s="8"/>
      <c r="G1594" s="8"/>
      <c r="H1594" s="8"/>
      <c r="I1594" s="8"/>
      <c r="J1594" s="8"/>
      <c r="K1594" s="8"/>
      <c r="L1594" s="8"/>
    </row>
    <row r="1595" spans="3:12" x14ac:dyDescent="0.25">
      <c r="C1595" s="7"/>
      <c r="E1595" s="8"/>
      <c r="F1595" s="8"/>
      <c r="G1595" s="8"/>
      <c r="H1595" s="8"/>
      <c r="I1595" s="8"/>
      <c r="J1595" s="8"/>
      <c r="K1595" s="8"/>
      <c r="L1595" s="8"/>
    </row>
    <row r="1596" spans="3:12" x14ac:dyDescent="0.25">
      <c r="C1596" s="7"/>
      <c r="E1596" s="8"/>
      <c r="F1596" s="8"/>
      <c r="G1596" s="8"/>
      <c r="H1596" s="8"/>
      <c r="I1596" s="8"/>
      <c r="J1596" s="8"/>
      <c r="K1596" s="8"/>
      <c r="L1596" s="8"/>
    </row>
    <row r="1597" spans="3:12" x14ac:dyDescent="0.25">
      <c r="C1597" s="7"/>
      <c r="E1597" s="8"/>
      <c r="F1597" s="8"/>
      <c r="G1597" s="8"/>
      <c r="H1597" s="8"/>
      <c r="I1597" s="8"/>
      <c r="J1597" s="8"/>
      <c r="K1597" s="8"/>
      <c r="L1597" s="8"/>
    </row>
    <row r="1598" spans="3:12" x14ac:dyDescent="0.25">
      <c r="C1598" s="7"/>
      <c r="E1598" s="8"/>
      <c r="F1598" s="8"/>
      <c r="G1598" s="8"/>
      <c r="H1598" s="8"/>
      <c r="I1598" s="8"/>
      <c r="J1598" s="8"/>
      <c r="K1598" s="8"/>
      <c r="L1598" s="8"/>
    </row>
    <row r="1599" spans="3:12" x14ac:dyDescent="0.25">
      <c r="C1599" s="7"/>
      <c r="E1599" s="8"/>
      <c r="F1599" s="8"/>
      <c r="G1599" s="8"/>
      <c r="H1599" s="8"/>
      <c r="I1599" s="8"/>
      <c r="J1599" s="8"/>
      <c r="K1599" s="8"/>
      <c r="L1599" s="8"/>
    </row>
    <row r="1600" spans="3:12" x14ac:dyDescent="0.25">
      <c r="C1600" s="7"/>
      <c r="E1600" s="8"/>
      <c r="F1600" s="8"/>
      <c r="G1600" s="8"/>
      <c r="H1600" s="8"/>
      <c r="I1600" s="8"/>
      <c r="J1600" s="8"/>
      <c r="K1600" s="8"/>
      <c r="L1600" s="8"/>
    </row>
    <row r="1601" spans="3:12" x14ac:dyDescent="0.25">
      <c r="C1601" s="7"/>
      <c r="E1601" s="8"/>
      <c r="F1601" s="8"/>
      <c r="G1601" s="8"/>
      <c r="H1601" s="8"/>
      <c r="I1601" s="8"/>
      <c r="J1601" s="8"/>
      <c r="K1601" s="8"/>
      <c r="L1601" s="8"/>
    </row>
    <row r="1602" spans="3:12" x14ac:dyDescent="0.25">
      <c r="C1602" s="7"/>
      <c r="E1602" s="8"/>
      <c r="F1602" s="8"/>
      <c r="G1602" s="8"/>
      <c r="H1602" s="8"/>
      <c r="I1602" s="8"/>
      <c r="J1602" s="8"/>
      <c r="K1602" s="8"/>
      <c r="L1602" s="8"/>
    </row>
    <row r="1603" spans="3:12" x14ac:dyDescent="0.25">
      <c r="C1603" s="7"/>
      <c r="E1603" s="8"/>
      <c r="F1603" s="8"/>
      <c r="G1603" s="8"/>
      <c r="H1603" s="8"/>
      <c r="I1603" s="8"/>
      <c r="J1603" s="8"/>
      <c r="K1603" s="8"/>
      <c r="L1603" s="8"/>
    </row>
    <row r="1604" spans="3:12" x14ac:dyDescent="0.25">
      <c r="C1604" s="7"/>
      <c r="E1604" s="8"/>
      <c r="F1604" s="8"/>
      <c r="G1604" s="8"/>
      <c r="H1604" s="8"/>
      <c r="I1604" s="8"/>
      <c r="J1604" s="8"/>
      <c r="K1604" s="8"/>
      <c r="L1604" s="8"/>
    </row>
    <row r="1605" spans="3:12" x14ac:dyDescent="0.25">
      <c r="C1605" s="7"/>
      <c r="E1605" s="8"/>
      <c r="F1605" s="8"/>
      <c r="G1605" s="8"/>
      <c r="H1605" s="8"/>
      <c r="I1605" s="8"/>
      <c r="J1605" s="8"/>
      <c r="K1605" s="8"/>
      <c r="L1605" s="8"/>
    </row>
    <row r="1606" spans="3:12" x14ac:dyDescent="0.25">
      <c r="C1606" s="7"/>
      <c r="E1606" s="8"/>
      <c r="F1606" s="8"/>
      <c r="G1606" s="8"/>
      <c r="H1606" s="8"/>
      <c r="I1606" s="8"/>
      <c r="J1606" s="8"/>
      <c r="K1606" s="8"/>
      <c r="L1606" s="8"/>
    </row>
    <row r="1607" spans="3:12" x14ac:dyDescent="0.25">
      <c r="C1607" s="7"/>
      <c r="E1607" s="8"/>
      <c r="F1607" s="8"/>
      <c r="G1607" s="8"/>
      <c r="H1607" s="8"/>
      <c r="I1607" s="8"/>
      <c r="J1607" s="8"/>
      <c r="K1607" s="8"/>
      <c r="L1607" s="8"/>
    </row>
    <row r="1608" spans="3:12" x14ac:dyDescent="0.25">
      <c r="C1608" s="7"/>
      <c r="E1608" s="8"/>
      <c r="F1608" s="8"/>
      <c r="G1608" s="8"/>
      <c r="H1608" s="8"/>
      <c r="I1608" s="8"/>
      <c r="J1608" s="8"/>
      <c r="K1608" s="8"/>
      <c r="L1608" s="8"/>
    </row>
    <row r="1609" spans="3:12" x14ac:dyDescent="0.25">
      <c r="C1609" s="7"/>
      <c r="E1609" s="8"/>
      <c r="F1609" s="8"/>
      <c r="G1609" s="8"/>
      <c r="H1609" s="8"/>
      <c r="I1609" s="8"/>
      <c r="J1609" s="8"/>
      <c r="K1609" s="8"/>
      <c r="L1609" s="8"/>
    </row>
    <row r="1610" spans="3:12" x14ac:dyDescent="0.25">
      <c r="C1610" s="7"/>
      <c r="E1610" s="8"/>
      <c r="F1610" s="8"/>
      <c r="G1610" s="8"/>
      <c r="H1610" s="8"/>
      <c r="I1610" s="8"/>
      <c r="J1610" s="8"/>
      <c r="K1610" s="8"/>
      <c r="L1610" s="8"/>
    </row>
    <row r="1611" spans="3:12" x14ac:dyDescent="0.25">
      <c r="C1611" s="7"/>
      <c r="E1611" s="8"/>
      <c r="F1611" s="8"/>
      <c r="G1611" s="8"/>
      <c r="H1611" s="8"/>
      <c r="I1611" s="8"/>
      <c r="J1611" s="8"/>
      <c r="K1611" s="8"/>
      <c r="L1611" s="8"/>
    </row>
    <row r="1612" spans="3:12" x14ac:dyDescent="0.25">
      <c r="C1612" s="7"/>
      <c r="E1612" s="8"/>
      <c r="F1612" s="8"/>
      <c r="G1612" s="8"/>
      <c r="H1612" s="8"/>
      <c r="I1612" s="8"/>
      <c r="J1612" s="8"/>
      <c r="K1612" s="8"/>
      <c r="L1612" s="8"/>
    </row>
    <row r="1613" spans="3:12" x14ac:dyDescent="0.25">
      <c r="C1613" s="7"/>
      <c r="E1613" s="8"/>
      <c r="F1613" s="8"/>
      <c r="G1613" s="8"/>
      <c r="H1613" s="8"/>
      <c r="I1613" s="8"/>
      <c r="J1613" s="8"/>
      <c r="K1613" s="8"/>
      <c r="L1613" s="8"/>
    </row>
    <row r="1614" spans="3:12" x14ac:dyDescent="0.25">
      <c r="C1614" s="7"/>
      <c r="E1614" s="8"/>
      <c r="F1614" s="8"/>
      <c r="G1614" s="8"/>
      <c r="H1614" s="8"/>
      <c r="I1614" s="8"/>
      <c r="J1614" s="8"/>
      <c r="K1614" s="8"/>
      <c r="L1614" s="8"/>
    </row>
    <row r="1615" spans="3:12" x14ac:dyDescent="0.25">
      <c r="C1615" s="7"/>
      <c r="E1615" s="8"/>
      <c r="F1615" s="8"/>
      <c r="G1615" s="8"/>
      <c r="H1615" s="8"/>
      <c r="I1615" s="8"/>
      <c r="J1615" s="8"/>
      <c r="K1615" s="8"/>
      <c r="L1615" s="8"/>
    </row>
    <row r="1616" spans="3:12" x14ac:dyDescent="0.25">
      <c r="C1616" s="7"/>
      <c r="E1616" s="8"/>
      <c r="F1616" s="8"/>
      <c r="G1616" s="8"/>
      <c r="H1616" s="8"/>
      <c r="I1616" s="8"/>
      <c r="J1616" s="8"/>
      <c r="K1616" s="8"/>
      <c r="L1616" s="8"/>
    </row>
    <row r="1617" spans="3:12" x14ac:dyDescent="0.25">
      <c r="C1617" s="7"/>
      <c r="E1617" s="8"/>
      <c r="F1617" s="8"/>
      <c r="G1617" s="8"/>
      <c r="H1617" s="8"/>
      <c r="I1617" s="8"/>
      <c r="J1617" s="8"/>
      <c r="K1617" s="8"/>
      <c r="L1617" s="8"/>
    </row>
    <row r="1618" spans="3:12" x14ac:dyDescent="0.25">
      <c r="C1618" s="7"/>
      <c r="E1618" s="8"/>
      <c r="F1618" s="8"/>
      <c r="G1618" s="8"/>
      <c r="H1618" s="8"/>
      <c r="I1618" s="8"/>
      <c r="J1618" s="8"/>
      <c r="K1618" s="8"/>
      <c r="L1618" s="8"/>
    </row>
    <row r="1619" spans="3:12" x14ac:dyDescent="0.25">
      <c r="C1619" s="7"/>
      <c r="E1619" s="8"/>
      <c r="F1619" s="8"/>
      <c r="G1619" s="8"/>
      <c r="H1619" s="8"/>
      <c r="I1619" s="8"/>
      <c r="J1619" s="8"/>
      <c r="K1619" s="8"/>
      <c r="L1619" s="8"/>
    </row>
    <row r="1620" spans="3:12" x14ac:dyDescent="0.25">
      <c r="C1620" s="7"/>
      <c r="E1620" s="8"/>
      <c r="F1620" s="8"/>
      <c r="G1620" s="8"/>
      <c r="H1620" s="8"/>
      <c r="I1620" s="8"/>
      <c r="J1620" s="8"/>
      <c r="K1620" s="8"/>
      <c r="L1620" s="8"/>
    </row>
    <row r="1621" spans="3:12" x14ac:dyDescent="0.25">
      <c r="C1621" s="7"/>
      <c r="E1621" s="8"/>
      <c r="F1621" s="8"/>
      <c r="G1621" s="8"/>
      <c r="H1621" s="8"/>
      <c r="I1621" s="8"/>
      <c r="J1621" s="8"/>
      <c r="K1621" s="8"/>
      <c r="L1621" s="8"/>
    </row>
    <row r="1622" spans="3:12" x14ac:dyDescent="0.25">
      <c r="C1622" s="7"/>
      <c r="E1622" s="8"/>
      <c r="F1622" s="8"/>
      <c r="G1622" s="8"/>
      <c r="H1622" s="8"/>
      <c r="I1622" s="8"/>
      <c r="J1622" s="8"/>
      <c r="K1622" s="8"/>
      <c r="L1622" s="8"/>
    </row>
    <row r="1623" spans="3:12" x14ac:dyDescent="0.25">
      <c r="C1623" s="7"/>
      <c r="E1623" s="8"/>
      <c r="F1623" s="8"/>
      <c r="G1623" s="8"/>
      <c r="H1623" s="8"/>
      <c r="I1623" s="8"/>
      <c r="J1623" s="8"/>
      <c r="K1623" s="8"/>
      <c r="L1623" s="8"/>
    </row>
    <row r="1624" spans="3:12" x14ac:dyDescent="0.25">
      <c r="C1624" s="7"/>
      <c r="E1624" s="8"/>
      <c r="F1624" s="8"/>
      <c r="G1624" s="8"/>
      <c r="H1624" s="8"/>
      <c r="I1624" s="8"/>
      <c r="J1624" s="8"/>
      <c r="K1624" s="8"/>
      <c r="L1624" s="8"/>
    </row>
    <row r="1625" spans="3:12" x14ac:dyDescent="0.25">
      <c r="C1625" s="7"/>
      <c r="E1625" s="8"/>
      <c r="F1625" s="8"/>
      <c r="G1625" s="8"/>
      <c r="H1625" s="8"/>
      <c r="I1625" s="8"/>
      <c r="J1625" s="8"/>
      <c r="K1625" s="8"/>
      <c r="L1625" s="8"/>
    </row>
    <row r="1626" spans="3:12" x14ac:dyDescent="0.25">
      <c r="C1626" s="7"/>
      <c r="E1626" s="8"/>
      <c r="F1626" s="8"/>
      <c r="G1626" s="8"/>
      <c r="H1626" s="8"/>
      <c r="I1626" s="8"/>
      <c r="J1626" s="8"/>
      <c r="K1626" s="8"/>
      <c r="L1626" s="8"/>
    </row>
    <row r="1627" spans="3:12" x14ac:dyDescent="0.25">
      <c r="C1627" s="7"/>
      <c r="E1627" s="8"/>
      <c r="F1627" s="8"/>
      <c r="G1627" s="8"/>
      <c r="H1627" s="8"/>
      <c r="I1627" s="8"/>
      <c r="J1627" s="8"/>
      <c r="K1627" s="8"/>
      <c r="L1627" s="8"/>
    </row>
    <row r="1628" spans="3:12" x14ac:dyDescent="0.25">
      <c r="C1628" s="7"/>
      <c r="E1628" s="8"/>
      <c r="F1628" s="8"/>
      <c r="G1628" s="8"/>
      <c r="H1628" s="8"/>
      <c r="I1628" s="8"/>
      <c r="J1628" s="8"/>
      <c r="K1628" s="8"/>
      <c r="L1628" s="8"/>
    </row>
    <row r="1629" spans="3:12" x14ac:dyDescent="0.25">
      <c r="C1629" s="7"/>
      <c r="E1629" s="8"/>
      <c r="F1629" s="8"/>
      <c r="G1629" s="8"/>
      <c r="H1629" s="8"/>
      <c r="I1629" s="8"/>
      <c r="J1629" s="8"/>
      <c r="K1629" s="8"/>
      <c r="L1629" s="8"/>
    </row>
    <row r="1630" spans="3:12" x14ac:dyDescent="0.25">
      <c r="C1630" s="7"/>
      <c r="E1630" s="8"/>
      <c r="F1630" s="8"/>
      <c r="G1630" s="8"/>
      <c r="H1630" s="8"/>
      <c r="I1630" s="8"/>
      <c r="J1630" s="8"/>
      <c r="K1630" s="8"/>
      <c r="L1630" s="8"/>
    </row>
    <row r="1631" spans="3:12" x14ac:dyDescent="0.25">
      <c r="C1631" s="7"/>
      <c r="E1631" s="8"/>
      <c r="F1631" s="8"/>
      <c r="G1631" s="8"/>
      <c r="H1631" s="8"/>
      <c r="I1631" s="8"/>
      <c r="J1631" s="8"/>
      <c r="K1631" s="8"/>
      <c r="L1631" s="8"/>
    </row>
    <row r="1632" spans="3:12" x14ac:dyDescent="0.25">
      <c r="C1632" s="7"/>
      <c r="E1632" s="8"/>
      <c r="F1632" s="8"/>
      <c r="G1632" s="8"/>
      <c r="H1632" s="8"/>
      <c r="I1632" s="8"/>
      <c r="J1632" s="8"/>
      <c r="K1632" s="8"/>
      <c r="L1632" s="8"/>
    </row>
    <row r="1633" spans="3:12" x14ac:dyDescent="0.25">
      <c r="C1633" s="7"/>
      <c r="E1633" s="8"/>
      <c r="F1633" s="8"/>
      <c r="G1633" s="8"/>
      <c r="H1633" s="8"/>
      <c r="I1633" s="8"/>
      <c r="J1633" s="8"/>
      <c r="K1633" s="8"/>
      <c r="L1633" s="8"/>
    </row>
    <row r="1634" spans="3:12" x14ac:dyDescent="0.25">
      <c r="C1634" s="7"/>
      <c r="E1634" s="8"/>
      <c r="F1634" s="8"/>
      <c r="G1634" s="8"/>
      <c r="H1634" s="8"/>
      <c r="I1634" s="8"/>
      <c r="J1634" s="8"/>
      <c r="K1634" s="8"/>
      <c r="L1634" s="8"/>
    </row>
    <row r="1635" spans="3:12" x14ac:dyDescent="0.25">
      <c r="C1635" s="7"/>
      <c r="E1635" s="8"/>
      <c r="F1635" s="8"/>
      <c r="G1635" s="8"/>
      <c r="H1635" s="8"/>
      <c r="I1635" s="8"/>
      <c r="J1635" s="8"/>
      <c r="K1635" s="8"/>
      <c r="L1635" s="8"/>
    </row>
    <row r="1636" spans="3:12" x14ac:dyDescent="0.25">
      <c r="C1636" s="7"/>
      <c r="E1636" s="8"/>
      <c r="F1636" s="8"/>
      <c r="G1636" s="8"/>
      <c r="H1636" s="8"/>
      <c r="I1636" s="8"/>
      <c r="J1636" s="8"/>
      <c r="K1636" s="8"/>
      <c r="L1636" s="8"/>
    </row>
    <row r="1637" spans="3:12" x14ac:dyDescent="0.25">
      <c r="C1637" s="7"/>
      <c r="E1637" s="8"/>
      <c r="F1637" s="8"/>
      <c r="G1637" s="8"/>
      <c r="H1637" s="8"/>
      <c r="I1637" s="8"/>
      <c r="J1637" s="8"/>
      <c r="K1637" s="8"/>
      <c r="L1637" s="8"/>
    </row>
    <row r="1638" spans="3:12" x14ac:dyDescent="0.25">
      <c r="C1638" s="7"/>
      <c r="E1638" s="8"/>
      <c r="F1638" s="8"/>
      <c r="G1638" s="8"/>
      <c r="H1638" s="8"/>
      <c r="I1638" s="8"/>
      <c r="J1638" s="8"/>
      <c r="K1638" s="8"/>
      <c r="L1638" s="8"/>
    </row>
    <row r="1639" spans="3:12" x14ac:dyDescent="0.25">
      <c r="C1639" s="7"/>
      <c r="E1639" s="8"/>
      <c r="F1639" s="8"/>
      <c r="G1639" s="8"/>
      <c r="H1639" s="8"/>
      <c r="I1639" s="8"/>
      <c r="J1639" s="8"/>
      <c r="K1639" s="8"/>
      <c r="L1639" s="8"/>
    </row>
    <row r="1640" spans="3:12" x14ac:dyDescent="0.25">
      <c r="C1640" s="7"/>
      <c r="E1640" s="8"/>
      <c r="F1640" s="8"/>
      <c r="G1640" s="8"/>
      <c r="H1640" s="8"/>
      <c r="I1640" s="8"/>
      <c r="J1640" s="8"/>
      <c r="K1640" s="8"/>
      <c r="L1640" s="8"/>
    </row>
    <row r="1641" spans="3:12" x14ac:dyDescent="0.25">
      <c r="C1641" s="7"/>
      <c r="E1641" s="8"/>
      <c r="F1641" s="8"/>
      <c r="G1641" s="8"/>
      <c r="H1641" s="8"/>
      <c r="I1641" s="8"/>
      <c r="J1641" s="8"/>
      <c r="K1641" s="8"/>
      <c r="L1641" s="8"/>
    </row>
    <row r="1642" spans="3:12" x14ac:dyDescent="0.25">
      <c r="C1642" s="7"/>
      <c r="E1642" s="8"/>
      <c r="F1642" s="8"/>
      <c r="G1642" s="8"/>
      <c r="H1642" s="8"/>
      <c r="I1642" s="8"/>
      <c r="J1642" s="8"/>
      <c r="K1642" s="8"/>
      <c r="L1642" s="8"/>
    </row>
    <row r="1643" spans="3:12" x14ac:dyDescent="0.25">
      <c r="C1643" s="7"/>
      <c r="E1643" s="8"/>
      <c r="F1643" s="8"/>
      <c r="G1643" s="8"/>
      <c r="H1643" s="8"/>
      <c r="I1643" s="8"/>
      <c r="J1643" s="8"/>
      <c r="K1643" s="8"/>
      <c r="L1643" s="8"/>
    </row>
    <row r="1644" spans="3:12" x14ac:dyDescent="0.25">
      <c r="C1644" s="7"/>
      <c r="E1644" s="8"/>
      <c r="F1644" s="8"/>
      <c r="G1644" s="8"/>
      <c r="H1644" s="8"/>
      <c r="I1644" s="8"/>
      <c r="J1644" s="8"/>
      <c r="K1644" s="8"/>
      <c r="L1644" s="8"/>
    </row>
    <row r="1645" spans="3:12" x14ac:dyDescent="0.25">
      <c r="C1645" s="7"/>
      <c r="E1645" s="8"/>
      <c r="F1645" s="8"/>
      <c r="G1645" s="8"/>
      <c r="H1645" s="8"/>
      <c r="I1645" s="8"/>
      <c r="J1645" s="8"/>
      <c r="K1645" s="8"/>
      <c r="L1645" s="8"/>
    </row>
    <row r="1646" spans="3:12" x14ac:dyDescent="0.25">
      <c r="C1646" s="7"/>
      <c r="E1646" s="8"/>
      <c r="F1646" s="8"/>
      <c r="G1646" s="8"/>
      <c r="H1646" s="8"/>
      <c r="I1646" s="8"/>
      <c r="J1646" s="8"/>
      <c r="K1646" s="8"/>
      <c r="L1646" s="8"/>
    </row>
    <row r="1647" spans="3:12" x14ac:dyDescent="0.25">
      <c r="C1647" s="7"/>
      <c r="E1647" s="8"/>
      <c r="F1647" s="8"/>
      <c r="G1647" s="8"/>
      <c r="H1647" s="8"/>
      <c r="I1647" s="8"/>
      <c r="J1647" s="8"/>
      <c r="K1647" s="8"/>
      <c r="L1647" s="8"/>
    </row>
    <row r="1648" spans="3:12" x14ac:dyDescent="0.25">
      <c r="C1648" s="7"/>
      <c r="E1648" s="8"/>
      <c r="F1648" s="8"/>
      <c r="G1648" s="8"/>
      <c r="H1648" s="8"/>
      <c r="I1648" s="8"/>
      <c r="J1648" s="8"/>
      <c r="K1648" s="8"/>
      <c r="L1648" s="8"/>
    </row>
    <row r="1649" spans="3:12" x14ac:dyDescent="0.25">
      <c r="C1649" s="7"/>
      <c r="E1649" s="8"/>
      <c r="F1649" s="8"/>
      <c r="G1649" s="8"/>
      <c r="H1649" s="8"/>
      <c r="I1649" s="8"/>
      <c r="J1649" s="8"/>
      <c r="K1649" s="8"/>
      <c r="L1649" s="8"/>
    </row>
    <row r="1650" spans="3:12" x14ac:dyDescent="0.25">
      <c r="C1650" s="7"/>
      <c r="E1650" s="8"/>
      <c r="F1650" s="8"/>
      <c r="G1650" s="8"/>
      <c r="H1650" s="8"/>
      <c r="I1650" s="8"/>
      <c r="J1650" s="8"/>
      <c r="K1650" s="8"/>
      <c r="L1650" s="8"/>
    </row>
    <row r="1651" spans="3:12" x14ac:dyDescent="0.25">
      <c r="C1651" s="7"/>
      <c r="E1651" s="8"/>
      <c r="F1651" s="8"/>
      <c r="G1651" s="8"/>
      <c r="H1651" s="8"/>
      <c r="I1651" s="8"/>
      <c r="J1651" s="8"/>
      <c r="K1651" s="8"/>
      <c r="L1651" s="8"/>
    </row>
    <row r="1652" spans="3:12" x14ac:dyDescent="0.25">
      <c r="C1652" s="7"/>
      <c r="E1652" s="8"/>
      <c r="F1652" s="8"/>
      <c r="G1652" s="8"/>
      <c r="H1652" s="8"/>
      <c r="I1652" s="8"/>
      <c r="J1652" s="8"/>
      <c r="K1652" s="8"/>
      <c r="L1652" s="8"/>
    </row>
    <row r="1653" spans="3:12" x14ac:dyDescent="0.25">
      <c r="C1653" s="7"/>
      <c r="E1653" s="8"/>
      <c r="F1653" s="8"/>
      <c r="G1653" s="8"/>
      <c r="H1653" s="8"/>
      <c r="I1653" s="8"/>
      <c r="J1653" s="8"/>
      <c r="K1653" s="8"/>
      <c r="L1653" s="8"/>
    </row>
    <row r="1654" spans="3:12" x14ac:dyDescent="0.25">
      <c r="C1654" s="7"/>
      <c r="E1654" s="8"/>
      <c r="F1654" s="8"/>
      <c r="G1654" s="8"/>
      <c r="H1654" s="8"/>
      <c r="I1654" s="8"/>
      <c r="J1654" s="8"/>
      <c r="K1654" s="8"/>
      <c r="L1654" s="8"/>
    </row>
    <row r="1655" spans="3:12" x14ac:dyDescent="0.25">
      <c r="C1655" s="7"/>
      <c r="E1655" s="8"/>
      <c r="F1655" s="8"/>
      <c r="G1655" s="8"/>
      <c r="H1655" s="8"/>
      <c r="I1655" s="8"/>
      <c r="J1655" s="8"/>
      <c r="K1655" s="8"/>
      <c r="L1655" s="8"/>
    </row>
    <row r="1656" spans="3:12" x14ac:dyDescent="0.25">
      <c r="C1656" s="7"/>
      <c r="E1656" s="8"/>
      <c r="F1656" s="8"/>
      <c r="G1656" s="8"/>
      <c r="H1656" s="8"/>
      <c r="I1656" s="8"/>
      <c r="J1656" s="8"/>
      <c r="K1656" s="8"/>
      <c r="L1656" s="8"/>
    </row>
    <row r="1657" spans="3:12" x14ac:dyDescent="0.25">
      <c r="C1657" s="7"/>
      <c r="E1657" s="8"/>
      <c r="F1657" s="8"/>
      <c r="G1657" s="8"/>
      <c r="H1657" s="8"/>
      <c r="I1657" s="8"/>
      <c r="J1657" s="8"/>
      <c r="K1657" s="8"/>
      <c r="L1657" s="8"/>
    </row>
    <row r="1658" spans="3:12" x14ac:dyDescent="0.25">
      <c r="C1658" s="7"/>
      <c r="E1658" s="8"/>
      <c r="F1658" s="8"/>
      <c r="G1658" s="8"/>
      <c r="H1658" s="8"/>
      <c r="I1658" s="8"/>
      <c r="J1658" s="8"/>
      <c r="K1658" s="8"/>
      <c r="L1658" s="8"/>
    </row>
    <row r="1659" spans="3:12" x14ac:dyDescent="0.25">
      <c r="C1659" s="7"/>
      <c r="E1659" s="8"/>
      <c r="F1659" s="8"/>
      <c r="G1659" s="8"/>
      <c r="H1659" s="8"/>
      <c r="I1659" s="8"/>
      <c r="J1659" s="8"/>
      <c r="K1659" s="8"/>
      <c r="L1659" s="8"/>
    </row>
    <row r="1660" spans="3:12" x14ac:dyDescent="0.25">
      <c r="C1660" s="7"/>
      <c r="E1660" s="8"/>
      <c r="F1660" s="8"/>
      <c r="G1660" s="8"/>
      <c r="H1660" s="8"/>
      <c r="I1660" s="8"/>
      <c r="J1660" s="8"/>
      <c r="K1660" s="8"/>
      <c r="L1660" s="8"/>
    </row>
    <row r="1661" spans="3:12" x14ac:dyDescent="0.25">
      <c r="C1661" s="7"/>
      <c r="E1661" s="8"/>
      <c r="F1661" s="8"/>
      <c r="G1661" s="8"/>
      <c r="H1661" s="8"/>
      <c r="I1661" s="8"/>
      <c r="J1661" s="8"/>
      <c r="K1661" s="8"/>
      <c r="L1661" s="8"/>
    </row>
    <row r="1662" spans="3:12" x14ac:dyDescent="0.25">
      <c r="C1662" s="7"/>
      <c r="E1662" s="8"/>
      <c r="F1662" s="8"/>
      <c r="G1662" s="8"/>
      <c r="H1662" s="8"/>
      <c r="I1662" s="8"/>
      <c r="J1662" s="8"/>
      <c r="K1662" s="8"/>
      <c r="L1662" s="8"/>
    </row>
    <row r="1663" spans="3:12" x14ac:dyDescent="0.25">
      <c r="C1663" s="7"/>
      <c r="E1663" s="8"/>
      <c r="F1663" s="8"/>
      <c r="G1663" s="8"/>
      <c r="H1663" s="8"/>
      <c r="I1663" s="8"/>
      <c r="J1663" s="8"/>
      <c r="K1663" s="8"/>
      <c r="L1663" s="8"/>
    </row>
    <row r="1664" spans="3:12" x14ac:dyDescent="0.25">
      <c r="C1664" s="7"/>
      <c r="E1664" s="8"/>
      <c r="F1664" s="8"/>
      <c r="G1664" s="8"/>
      <c r="H1664" s="8"/>
      <c r="I1664" s="8"/>
      <c r="J1664" s="8"/>
      <c r="K1664" s="8"/>
      <c r="L1664" s="8"/>
    </row>
    <row r="1665" spans="3:12" x14ac:dyDescent="0.25">
      <c r="C1665" s="7"/>
      <c r="E1665" s="8"/>
      <c r="F1665" s="8"/>
      <c r="G1665" s="8"/>
      <c r="H1665" s="8"/>
      <c r="I1665" s="8"/>
      <c r="J1665" s="8"/>
      <c r="K1665" s="8"/>
      <c r="L1665" s="8"/>
    </row>
    <row r="1666" spans="3:12" x14ac:dyDescent="0.25">
      <c r="C1666" s="7"/>
      <c r="E1666" s="8"/>
      <c r="F1666" s="8"/>
      <c r="G1666" s="8"/>
      <c r="H1666" s="8"/>
      <c r="I1666" s="8"/>
      <c r="J1666" s="8"/>
      <c r="K1666" s="8"/>
      <c r="L1666" s="8"/>
    </row>
    <row r="1667" spans="3:12" x14ac:dyDescent="0.25">
      <c r="C1667" s="7"/>
      <c r="E1667" s="8"/>
      <c r="F1667" s="8"/>
      <c r="G1667" s="8"/>
      <c r="H1667" s="8"/>
      <c r="I1667" s="8"/>
      <c r="J1667" s="8"/>
      <c r="K1667" s="8"/>
      <c r="L1667" s="8"/>
    </row>
    <row r="1668" spans="3:12" x14ac:dyDescent="0.25">
      <c r="C1668" s="7"/>
      <c r="E1668" s="8"/>
      <c r="F1668" s="8"/>
      <c r="G1668" s="8"/>
      <c r="H1668" s="8"/>
      <c r="I1668" s="8"/>
      <c r="J1668" s="8"/>
      <c r="K1668" s="8"/>
      <c r="L1668" s="8"/>
    </row>
    <row r="1669" spans="3:12" x14ac:dyDescent="0.25">
      <c r="C1669" s="7"/>
      <c r="E1669" s="8"/>
      <c r="F1669" s="8"/>
      <c r="G1669" s="8"/>
      <c r="H1669" s="8"/>
      <c r="I1669" s="8"/>
      <c r="J1669" s="8"/>
      <c r="K1669" s="8"/>
      <c r="L1669" s="8"/>
    </row>
    <row r="1670" spans="3:12" x14ac:dyDescent="0.25">
      <c r="C1670" s="7"/>
      <c r="E1670" s="8"/>
      <c r="F1670" s="8"/>
      <c r="G1670" s="8"/>
      <c r="H1670" s="8"/>
      <c r="I1670" s="8"/>
      <c r="J1670" s="8"/>
      <c r="K1670" s="8"/>
      <c r="L1670" s="8"/>
    </row>
    <row r="1671" spans="3:12" x14ac:dyDescent="0.25">
      <c r="C1671" s="7"/>
      <c r="E1671" s="8"/>
      <c r="F1671" s="8"/>
      <c r="G1671" s="8"/>
      <c r="H1671" s="8"/>
      <c r="I1671" s="8"/>
      <c r="J1671" s="8"/>
      <c r="K1671" s="8"/>
      <c r="L1671" s="8"/>
    </row>
    <row r="1672" spans="3:12" x14ac:dyDescent="0.25">
      <c r="C1672" s="7"/>
      <c r="E1672" s="8"/>
      <c r="F1672" s="8"/>
      <c r="G1672" s="8"/>
      <c r="H1672" s="8"/>
      <c r="I1672" s="8"/>
      <c r="J1672" s="8"/>
      <c r="K1672" s="8"/>
      <c r="L1672" s="8"/>
    </row>
    <row r="1673" spans="3:12" x14ac:dyDescent="0.25">
      <c r="C1673" s="7"/>
      <c r="E1673" s="8"/>
      <c r="F1673" s="8"/>
      <c r="G1673" s="8"/>
      <c r="H1673" s="8"/>
      <c r="I1673" s="8"/>
      <c r="J1673" s="8"/>
      <c r="K1673" s="8"/>
      <c r="L1673" s="8"/>
    </row>
    <row r="1674" spans="3:12" x14ac:dyDescent="0.25">
      <c r="C1674" s="7"/>
      <c r="E1674" s="8"/>
      <c r="F1674" s="8"/>
      <c r="G1674" s="8"/>
      <c r="H1674" s="8"/>
      <c r="I1674" s="8"/>
      <c r="J1674" s="8"/>
      <c r="K1674" s="8"/>
      <c r="L1674" s="8"/>
    </row>
    <row r="1675" spans="3:12" x14ac:dyDescent="0.25">
      <c r="C1675" s="7"/>
      <c r="E1675" s="8"/>
      <c r="F1675" s="8"/>
      <c r="G1675" s="8"/>
      <c r="H1675" s="8"/>
      <c r="I1675" s="8"/>
      <c r="J1675" s="8"/>
      <c r="K1675" s="8"/>
      <c r="L1675" s="8"/>
    </row>
    <row r="1676" spans="3:12" x14ac:dyDescent="0.25">
      <c r="C1676" s="7"/>
      <c r="E1676" s="8"/>
      <c r="F1676" s="8"/>
      <c r="G1676" s="8"/>
      <c r="H1676" s="8"/>
      <c r="I1676" s="8"/>
      <c r="J1676" s="8"/>
      <c r="K1676" s="8"/>
      <c r="L1676" s="8"/>
    </row>
    <row r="1677" spans="3:12" x14ac:dyDescent="0.25">
      <c r="C1677" s="7"/>
      <c r="E1677" s="8"/>
      <c r="F1677" s="8"/>
      <c r="G1677" s="8"/>
      <c r="H1677" s="8"/>
      <c r="I1677" s="8"/>
      <c r="J1677" s="8"/>
      <c r="K1677" s="8"/>
      <c r="L1677" s="8"/>
    </row>
    <row r="1678" spans="3:12" x14ac:dyDescent="0.25">
      <c r="C1678" s="7"/>
      <c r="E1678" s="8"/>
      <c r="F1678" s="8"/>
      <c r="G1678" s="8"/>
      <c r="H1678" s="8"/>
      <c r="I1678" s="8"/>
      <c r="J1678" s="8"/>
      <c r="K1678" s="8"/>
      <c r="L1678" s="8"/>
    </row>
    <row r="1679" spans="3:12" x14ac:dyDescent="0.25">
      <c r="C1679" s="7"/>
      <c r="E1679" s="8"/>
      <c r="F1679" s="8"/>
      <c r="G1679" s="8"/>
      <c r="H1679" s="8"/>
      <c r="I1679" s="8"/>
      <c r="J1679" s="8"/>
      <c r="K1679" s="8"/>
      <c r="L1679" s="8"/>
    </row>
    <row r="1680" spans="3:12" x14ac:dyDescent="0.25">
      <c r="C1680" s="7"/>
      <c r="E1680" s="8"/>
      <c r="F1680" s="8"/>
      <c r="G1680" s="8"/>
      <c r="H1680" s="8"/>
      <c r="I1680" s="8"/>
      <c r="J1680" s="8"/>
      <c r="K1680" s="8"/>
      <c r="L1680" s="8"/>
    </row>
    <row r="1681" spans="3:12" x14ac:dyDescent="0.25">
      <c r="C1681" s="7"/>
      <c r="E1681" s="8"/>
      <c r="F1681" s="8"/>
      <c r="G1681" s="8"/>
      <c r="H1681" s="8"/>
      <c r="I1681" s="8"/>
      <c r="J1681" s="8"/>
      <c r="K1681" s="8"/>
      <c r="L1681" s="8"/>
    </row>
    <row r="1682" spans="3:12" x14ac:dyDescent="0.25">
      <c r="C1682" s="7"/>
      <c r="E1682" s="8"/>
      <c r="F1682" s="8"/>
      <c r="G1682" s="8"/>
      <c r="H1682" s="8"/>
      <c r="I1682" s="8"/>
      <c r="J1682" s="8"/>
      <c r="K1682" s="8"/>
      <c r="L1682" s="8"/>
    </row>
    <row r="1683" spans="3:12" x14ac:dyDescent="0.25">
      <c r="C1683" s="7"/>
      <c r="E1683" s="8"/>
      <c r="F1683" s="8"/>
      <c r="G1683" s="8"/>
      <c r="H1683" s="8"/>
      <c r="I1683" s="8"/>
      <c r="J1683" s="8"/>
      <c r="K1683" s="8"/>
      <c r="L1683" s="8"/>
    </row>
    <row r="1684" spans="3:12" x14ac:dyDescent="0.25">
      <c r="C1684" s="7"/>
      <c r="E1684" s="8"/>
      <c r="F1684" s="8"/>
      <c r="G1684" s="8"/>
      <c r="H1684" s="8"/>
      <c r="I1684" s="8"/>
      <c r="J1684" s="8"/>
      <c r="K1684" s="8"/>
      <c r="L1684" s="8"/>
    </row>
    <row r="1685" spans="3:12" x14ac:dyDescent="0.25">
      <c r="C1685" s="7"/>
      <c r="E1685" s="8"/>
      <c r="F1685" s="8"/>
      <c r="G1685" s="8"/>
      <c r="H1685" s="8"/>
      <c r="I1685" s="8"/>
      <c r="J1685" s="8"/>
      <c r="K1685" s="8"/>
      <c r="L1685" s="8"/>
    </row>
    <row r="1686" spans="3:12" x14ac:dyDescent="0.25">
      <c r="C1686" s="7"/>
      <c r="E1686" s="8"/>
      <c r="F1686" s="8"/>
      <c r="G1686" s="8"/>
      <c r="H1686" s="8"/>
      <c r="I1686" s="8"/>
      <c r="J1686" s="8"/>
      <c r="K1686" s="8"/>
      <c r="L1686" s="8"/>
    </row>
    <row r="1687" spans="3:12" x14ac:dyDescent="0.25">
      <c r="C1687" s="7"/>
      <c r="E1687" s="8"/>
      <c r="F1687" s="8"/>
      <c r="G1687" s="8"/>
      <c r="H1687" s="8"/>
      <c r="I1687" s="8"/>
      <c r="J1687" s="8"/>
      <c r="K1687" s="8"/>
      <c r="L1687" s="8"/>
    </row>
    <row r="1688" spans="3:12" x14ac:dyDescent="0.25">
      <c r="C1688" s="7"/>
      <c r="E1688" s="8"/>
      <c r="F1688" s="8"/>
      <c r="G1688" s="8"/>
      <c r="H1688" s="8"/>
      <c r="I1688" s="8"/>
      <c r="J1688" s="8"/>
      <c r="K1688" s="8"/>
      <c r="L1688" s="8"/>
    </row>
    <row r="1689" spans="3:12" x14ac:dyDescent="0.25">
      <c r="C1689" s="7"/>
      <c r="E1689" s="8"/>
      <c r="F1689" s="8"/>
      <c r="G1689" s="8"/>
      <c r="H1689" s="8"/>
      <c r="I1689" s="8"/>
      <c r="J1689" s="8"/>
      <c r="K1689" s="8"/>
      <c r="L1689" s="8"/>
    </row>
    <row r="1690" spans="3:12" x14ac:dyDescent="0.25">
      <c r="C1690" s="7"/>
      <c r="E1690" s="8"/>
      <c r="F1690" s="8"/>
      <c r="G1690" s="8"/>
      <c r="H1690" s="8"/>
      <c r="I1690" s="8"/>
      <c r="J1690" s="8"/>
      <c r="K1690" s="8"/>
      <c r="L1690" s="8"/>
    </row>
    <row r="1691" spans="3:12" x14ac:dyDescent="0.25">
      <c r="C1691" s="7"/>
      <c r="E1691" s="8"/>
      <c r="F1691" s="8"/>
      <c r="G1691" s="8"/>
      <c r="H1691" s="8"/>
      <c r="I1691" s="8"/>
      <c r="J1691" s="8"/>
      <c r="K1691" s="8"/>
      <c r="L1691" s="8"/>
    </row>
    <row r="1692" spans="3:12" x14ac:dyDescent="0.25">
      <c r="C1692" s="7"/>
      <c r="E1692" s="8"/>
      <c r="F1692" s="8"/>
      <c r="G1692" s="8"/>
      <c r="H1692" s="8"/>
      <c r="I1692" s="8"/>
      <c r="J1692" s="8"/>
      <c r="K1692" s="8"/>
      <c r="L1692" s="8"/>
    </row>
    <row r="1693" spans="3:12" x14ac:dyDescent="0.25">
      <c r="C1693" s="7"/>
      <c r="E1693" s="8"/>
      <c r="F1693" s="8"/>
      <c r="G1693" s="8"/>
      <c r="H1693" s="8"/>
      <c r="I1693" s="8"/>
      <c r="J1693" s="8"/>
      <c r="K1693" s="8"/>
      <c r="L1693" s="8"/>
    </row>
    <row r="1694" spans="3:12" x14ac:dyDescent="0.25">
      <c r="C1694" s="7"/>
      <c r="E1694" s="8"/>
      <c r="F1694" s="8"/>
      <c r="G1694" s="8"/>
      <c r="H1694" s="8"/>
      <c r="I1694" s="8"/>
      <c r="J1694" s="8"/>
      <c r="K1694" s="8"/>
      <c r="L1694" s="8"/>
    </row>
    <row r="1695" spans="3:12" x14ac:dyDescent="0.25">
      <c r="C1695" s="7"/>
      <c r="E1695" s="8"/>
      <c r="F1695" s="8"/>
      <c r="G1695" s="8"/>
      <c r="H1695" s="8"/>
      <c r="I1695" s="8"/>
      <c r="J1695" s="8"/>
      <c r="K1695" s="8"/>
      <c r="L1695" s="8"/>
    </row>
    <row r="1696" spans="3:12" x14ac:dyDescent="0.25">
      <c r="C1696" s="7"/>
      <c r="E1696" s="8"/>
      <c r="F1696" s="8"/>
      <c r="G1696" s="8"/>
      <c r="H1696" s="8"/>
      <c r="I1696" s="8"/>
      <c r="J1696" s="8"/>
      <c r="K1696" s="8"/>
      <c r="L1696" s="8"/>
    </row>
    <row r="1697" spans="3:12" x14ac:dyDescent="0.25">
      <c r="C1697" s="7"/>
      <c r="E1697" s="8"/>
      <c r="F1697" s="8"/>
      <c r="G1697" s="8"/>
      <c r="H1697" s="8"/>
      <c r="I1697" s="8"/>
      <c r="J1697" s="8"/>
      <c r="K1697" s="8"/>
      <c r="L1697" s="8"/>
    </row>
    <row r="1698" spans="3:12" x14ac:dyDescent="0.25">
      <c r="C1698" s="7"/>
      <c r="E1698" s="8"/>
      <c r="F1698" s="8"/>
      <c r="G1698" s="8"/>
      <c r="H1698" s="8"/>
      <c r="I1698" s="8"/>
      <c r="J1698" s="8"/>
      <c r="K1698" s="8"/>
      <c r="L1698" s="8"/>
    </row>
    <row r="1699" spans="3:12" x14ac:dyDescent="0.25">
      <c r="C1699" s="7"/>
      <c r="E1699" s="8"/>
      <c r="F1699" s="8"/>
      <c r="G1699" s="8"/>
      <c r="H1699" s="8"/>
      <c r="I1699" s="8"/>
      <c r="J1699" s="8"/>
      <c r="K1699" s="8"/>
      <c r="L1699" s="8"/>
    </row>
    <row r="1700" spans="3:12" x14ac:dyDescent="0.25">
      <c r="C1700" s="7"/>
      <c r="E1700" s="8"/>
      <c r="F1700" s="8"/>
      <c r="G1700" s="8"/>
      <c r="H1700" s="8"/>
      <c r="I1700" s="8"/>
      <c r="J1700" s="8"/>
      <c r="K1700" s="8"/>
      <c r="L1700" s="8"/>
    </row>
    <row r="1701" spans="3:12" x14ac:dyDescent="0.25">
      <c r="C1701" s="7"/>
      <c r="E1701" s="8"/>
      <c r="F1701" s="8"/>
      <c r="G1701" s="8"/>
      <c r="H1701" s="8"/>
      <c r="I1701" s="8"/>
      <c r="J1701" s="8"/>
      <c r="K1701" s="8"/>
      <c r="L1701" s="8"/>
    </row>
    <row r="1702" spans="3:12" x14ac:dyDescent="0.25">
      <c r="C1702" s="7"/>
      <c r="E1702" s="8"/>
      <c r="F1702" s="8"/>
      <c r="G1702" s="8"/>
      <c r="H1702" s="8"/>
      <c r="I1702" s="8"/>
      <c r="J1702" s="8"/>
      <c r="K1702" s="8"/>
      <c r="L1702" s="8"/>
    </row>
    <row r="1703" spans="3:12" x14ac:dyDescent="0.25">
      <c r="C1703" s="7"/>
      <c r="E1703" s="8"/>
      <c r="F1703" s="8"/>
      <c r="G1703" s="8"/>
      <c r="H1703" s="8"/>
      <c r="I1703" s="8"/>
      <c r="J1703" s="8"/>
      <c r="K1703" s="8"/>
      <c r="L1703" s="8"/>
    </row>
    <row r="1704" spans="3:12" x14ac:dyDescent="0.25">
      <c r="C1704" s="7"/>
      <c r="E1704" s="8"/>
      <c r="F1704" s="8"/>
      <c r="G1704" s="8"/>
      <c r="H1704" s="8"/>
      <c r="I1704" s="8"/>
      <c r="J1704" s="8"/>
      <c r="K1704" s="8"/>
      <c r="L1704" s="8"/>
    </row>
    <row r="1705" spans="3:12" x14ac:dyDescent="0.25">
      <c r="C1705" s="7"/>
      <c r="E1705" s="8"/>
      <c r="F1705" s="8"/>
      <c r="G1705" s="8"/>
      <c r="H1705" s="8"/>
      <c r="I1705" s="8"/>
      <c r="J1705" s="8"/>
      <c r="K1705" s="8"/>
      <c r="L1705" s="8"/>
    </row>
    <row r="1706" spans="3:12" x14ac:dyDescent="0.25">
      <c r="C1706" s="7"/>
      <c r="E1706" s="8"/>
      <c r="F1706" s="8"/>
      <c r="G1706" s="8"/>
      <c r="H1706" s="8"/>
      <c r="I1706" s="8"/>
      <c r="J1706" s="8"/>
      <c r="K1706" s="8"/>
      <c r="L1706" s="8"/>
    </row>
    <row r="1707" spans="3:12" x14ac:dyDescent="0.25">
      <c r="C1707" s="7"/>
      <c r="E1707" s="8"/>
      <c r="F1707" s="8"/>
      <c r="G1707" s="8"/>
      <c r="H1707" s="8"/>
      <c r="I1707" s="8"/>
      <c r="J1707" s="8"/>
      <c r="K1707" s="8"/>
      <c r="L1707" s="8"/>
    </row>
    <row r="1708" spans="3:12" x14ac:dyDescent="0.25">
      <c r="C1708" s="7"/>
      <c r="E1708" s="8"/>
      <c r="F1708" s="8"/>
      <c r="G1708" s="8"/>
      <c r="H1708" s="8"/>
      <c r="I1708" s="8"/>
      <c r="J1708" s="8"/>
      <c r="K1708" s="8"/>
      <c r="L1708" s="8"/>
    </row>
    <row r="1709" spans="3:12" x14ac:dyDescent="0.25">
      <c r="C1709" s="7"/>
      <c r="E1709" s="8"/>
      <c r="F1709" s="8"/>
      <c r="G1709" s="8"/>
      <c r="H1709" s="8"/>
      <c r="I1709" s="8"/>
      <c r="J1709" s="8"/>
      <c r="K1709" s="8"/>
      <c r="L1709" s="8"/>
    </row>
    <row r="1710" spans="3:12" x14ac:dyDescent="0.25">
      <c r="C1710" s="7"/>
      <c r="E1710" s="8"/>
      <c r="F1710" s="8"/>
      <c r="G1710" s="8"/>
      <c r="H1710" s="8"/>
      <c r="I1710" s="8"/>
      <c r="J1710" s="8"/>
      <c r="K1710" s="8"/>
      <c r="L1710" s="8"/>
    </row>
    <row r="1711" spans="3:12" x14ac:dyDescent="0.25">
      <c r="C1711" s="7"/>
      <c r="E1711" s="8"/>
      <c r="F1711" s="8"/>
      <c r="G1711" s="8"/>
      <c r="H1711" s="8"/>
      <c r="I1711" s="8"/>
      <c r="J1711" s="8"/>
      <c r="K1711" s="8"/>
      <c r="L1711" s="8"/>
    </row>
    <row r="1712" spans="3:12" x14ac:dyDescent="0.25">
      <c r="C1712" s="7"/>
      <c r="E1712" s="8"/>
      <c r="F1712" s="8"/>
      <c r="G1712" s="8"/>
      <c r="H1712" s="8"/>
      <c r="I1712" s="8"/>
      <c r="J1712" s="8"/>
      <c r="K1712" s="8"/>
      <c r="L1712" s="8"/>
    </row>
    <row r="1713" spans="3:12" x14ac:dyDescent="0.25">
      <c r="C1713" s="7"/>
      <c r="E1713" s="8"/>
      <c r="F1713" s="8"/>
      <c r="G1713" s="8"/>
      <c r="H1713" s="8"/>
      <c r="I1713" s="8"/>
      <c r="J1713" s="8"/>
      <c r="K1713" s="8"/>
      <c r="L1713" s="8"/>
    </row>
    <row r="1714" spans="3:12" x14ac:dyDescent="0.25">
      <c r="C1714" s="7"/>
      <c r="E1714" s="8"/>
      <c r="F1714" s="8"/>
      <c r="G1714" s="8"/>
      <c r="H1714" s="8"/>
      <c r="I1714" s="8"/>
      <c r="J1714" s="8"/>
      <c r="K1714" s="8"/>
      <c r="L1714" s="8"/>
    </row>
    <row r="1715" spans="3:12" x14ac:dyDescent="0.25">
      <c r="C1715" s="7"/>
      <c r="E1715" s="8"/>
      <c r="F1715" s="8"/>
      <c r="G1715" s="8"/>
      <c r="H1715" s="8"/>
      <c r="I1715" s="8"/>
      <c r="J1715" s="8"/>
      <c r="K1715" s="8"/>
      <c r="L1715" s="8"/>
    </row>
    <row r="1716" spans="3:12" x14ac:dyDescent="0.25">
      <c r="C1716" s="7"/>
      <c r="E1716" s="8"/>
      <c r="F1716" s="8"/>
      <c r="G1716" s="8"/>
      <c r="H1716" s="8"/>
      <c r="I1716" s="8"/>
      <c r="J1716" s="8"/>
      <c r="K1716" s="8"/>
      <c r="L1716" s="8"/>
    </row>
    <row r="1717" spans="3:12" x14ac:dyDescent="0.25">
      <c r="C1717" s="7"/>
      <c r="E1717" s="8"/>
      <c r="F1717" s="8"/>
      <c r="G1717" s="8"/>
      <c r="H1717" s="8"/>
      <c r="I1717" s="8"/>
      <c r="J1717" s="8"/>
      <c r="K1717" s="8"/>
      <c r="L1717" s="8"/>
    </row>
    <row r="1718" spans="3:12" x14ac:dyDescent="0.25">
      <c r="C1718" s="7"/>
      <c r="E1718" s="8"/>
      <c r="F1718" s="8"/>
      <c r="G1718" s="8"/>
      <c r="H1718" s="8"/>
      <c r="I1718" s="8"/>
      <c r="J1718" s="8"/>
      <c r="K1718" s="8"/>
      <c r="L1718" s="8"/>
    </row>
    <row r="1719" spans="3:12" x14ac:dyDescent="0.25">
      <c r="C1719" s="7"/>
      <c r="E1719" s="8"/>
      <c r="F1719" s="8"/>
      <c r="G1719" s="8"/>
      <c r="H1719" s="8"/>
      <c r="I1719" s="8"/>
      <c r="J1719" s="8"/>
      <c r="K1719" s="8"/>
      <c r="L1719" s="8"/>
    </row>
    <row r="1720" spans="3:12" x14ac:dyDescent="0.25">
      <c r="C1720" s="7"/>
      <c r="E1720" s="8"/>
      <c r="F1720" s="8"/>
      <c r="G1720" s="8"/>
      <c r="H1720" s="8"/>
      <c r="I1720" s="8"/>
      <c r="J1720" s="8"/>
      <c r="K1720" s="8"/>
      <c r="L1720" s="8"/>
    </row>
    <row r="1721" spans="3:12" x14ac:dyDescent="0.25">
      <c r="C1721" s="7"/>
      <c r="E1721" s="8"/>
      <c r="F1721" s="8"/>
      <c r="G1721" s="8"/>
      <c r="H1721" s="8"/>
      <c r="I1721" s="8"/>
      <c r="J1721" s="8"/>
      <c r="K1721" s="8"/>
      <c r="L1721" s="8"/>
    </row>
    <row r="1722" spans="3:12" x14ac:dyDescent="0.25">
      <c r="C1722" s="7"/>
      <c r="E1722" s="8"/>
      <c r="F1722" s="8"/>
      <c r="G1722" s="8"/>
      <c r="H1722" s="8"/>
      <c r="I1722" s="8"/>
      <c r="J1722" s="8"/>
      <c r="K1722" s="8"/>
      <c r="L1722" s="8"/>
    </row>
    <row r="1723" spans="3:12" x14ac:dyDescent="0.25">
      <c r="C1723" s="7"/>
      <c r="E1723" s="8"/>
      <c r="F1723" s="8"/>
      <c r="G1723" s="8"/>
      <c r="H1723" s="8"/>
      <c r="I1723" s="8"/>
      <c r="J1723" s="8"/>
      <c r="K1723" s="8"/>
      <c r="L1723" s="8"/>
    </row>
    <row r="1724" spans="3:12" x14ac:dyDescent="0.25">
      <c r="C1724" s="7"/>
      <c r="E1724" s="8"/>
      <c r="F1724" s="8"/>
      <c r="G1724" s="8"/>
      <c r="H1724" s="8"/>
      <c r="I1724" s="8"/>
      <c r="J1724" s="8"/>
      <c r="K1724" s="8"/>
      <c r="L1724" s="8"/>
    </row>
    <row r="1725" spans="3:12" x14ac:dyDescent="0.25">
      <c r="C1725" s="7"/>
      <c r="E1725" s="8"/>
      <c r="F1725" s="8"/>
      <c r="G1725" s="8"/>
      <c r="H1725" s="8"/>
      <c r="I1725" s="8"/>
      <c r="J1725" s="8"/>
      <c r="K1725" s="8"/>
      <c r="L1725" s="8"/>
    </row>
    <row r="1726" spans="3:12" x14ac:dyDescent="0.25">
      <c r="C1726" s="7"/>
      <c r="E1726" s="8"/>
      <c r="F1726" s="8"/>
      <c r="G1726" s="8"/>
      <c r="H1726" s="8"/>
      <c r="I1726" s="8"/>
      <c r="J1726" s="8"/>
      <c r="K1726" s="8"/>
      <c r="L1726" s="8"/>
    </row>
    <row r="1727" spans="3:12" x14ac:dyDescent="0.25">
      <c r="C1727" s="7"/>
      <c r="E1727" s="8"/>
      <c r="F1727" s="8"/>
      <c r="G1727" s="8"/>
      <c r="H1727" s="8"/>
      <c r="I1727" s="8"/>
      <c r="J1727" s="8"/>
      <c r="K1727" s="8"/>
      <c r="L1727" s="8"/>
    </row>
    <row r="1728" spans="3:12" x14ac:dyDescent="0.25">
      <c r="C1728" s="7"/>
      <c r="E1728" s="8"/>
      <c r="F1728" s="8"/>
      <c r="G1728" s="8"/>
      <c r="H1728" s="8"/>
      <c r="I1728" s="8"/>
      <c r="J1728" s="8"/>
      <c r="K1728" s="8"/>
      <c r="L1728" s="8"/>
    </row>
    <row r="1729" spans="3:12" x14ac:dyDescent="0.25">
      <c r="C1729" s="7"/>
      <c r="E1729" s="8"/>
      <c r="F1729" s="8"/>
      <c r="G1729" s="8"/>
      <c r="H1729" s="8"/>
      <c r="I1729" s="8"/>
      <c r="J1729" s="8"/>
      <c r="K1729" s="8"/>
      <c r="L1729" s="8"/>
    </row>
    <row r="1730" spans="3:12" x14ac:dyDescent="0.25">
      <c r="C1730" s="7"/>
      <c r="E1730" s="8"/>
      <c r="F1730" s="8"/>
      <c r="G1730" s="8"/>
      <c r="H1730" s="8"/>
      <c r="I1730" s="8"/>
      <c r="J1730" s="8"/>
      <c r="K1730" s="8"/>
      <c r="L1730" s="8"/>
    </row>
    <row r="1731" spans="3:12" x14ac:dyDescent="0.25">
      <c r="C1731" s="7"/>
      <c r="E1731" s="8"/>
      <c r="F1731" s="8"/>
      <c r="G1731" s="8"/>
      <c r="H1731" s="8"/>
      <c r="I1731" s="8"/>
      <c r="J1731" s="8"/>
      <c r="K1731" s="8"/>
      <c r="L1731" s="8"/>
    </row>
    <row r="1732" spans="3:12" x14ac:dyDescent="0.25">
      <c r="C1732" s="7"/>
      <c r="E1732" s="8"/>
      <c r="F1732" s="8"/>
      <c r="G1732" s="8"/>
      <c r="H1732" s="8"/>
      <c r="I1732" s="8"/>
      <c r="J1732" s="8"/>
      <c r="K1732" s="8"/>
      <c r="L1732" s="8"/>
    </row>
    <row r="1733" spans="3:12" x14ac:dyDescent="0.25">
      <c r="C1733" s="7"/>
      <c r="E1733" s="8"/>
      <c r="F1733" s="8"/>
      <c r="G1733" s="8"/>
      <c r="H1733" s="8"/>
      <c r="I1733" s="8"/>
      <c r="J1733" s="8"/>
      <c r="K1733" s="8"/>
      <c r="L1733" s="8"/>
    </row>
    <row r="1734" spans="3:12" x14ac:dyDescent="0.25">
      <c r="C1734" s="7"/>
      <c r="E1734" s="8"/>
      <c r="F1734" s="8"/>
      <c r="G1734" s="8"/>
      <c r="H1734" s="8"/>
      <c r="I1734" s="8"/>
      <c r="J1734" s="8"/>
      <c r="K1734" s="8"/>
      <c r="L1734" s="8"/>
    </row>
    <row r="1735" spans="3:12" x14ac:dyDescent="0.25">
      <c r="C1735" s="7"/>
      <c r="E1735" s="8"/>
      <c r="F1735" s="8"/>
      <c r="G1735" s="8"/>
      <c r="H1735" s="8"/>
      <c r="I1735" s="8"/>
      <c r="J1735" s="8"/>
      <c r="K1735" s="8"/>
      <c r="L1735" s="8"/>
    </row>
    <row r="1736" spans="3:12" x14ac:dyDescent="0.25">
      <c r="C1736" s="7"/>
      <c r="E1736" s="8"/>
      <c r="F1736" s="8"/>
      <c r="G1736" s="8"/>
      <c r="H1736" s="8"/>
      <c r="I1736" s="8"/>
      <c r="J1736" s="8"/>
      <c r="K1736" s="8"/>
      <c r="L1736" s="8"/>
    </row>
    <row r="1737" spans="3:12" x14ac:dyDescent="0.25">
      <c r="C1737" s="7"/>
      <c r="E1737" s="8"/>
      <c r="F1737" s="8"/>
      <c r="G1737" s="8"/>
      <c r="H1737" s="8"/>
      <c r="I1737" s="8"/>
      <c r="J1737" s="8"/>
      <c r="K1737" s="8"/>
      <c r="L1737" s="8"/>
    </row>
    <row r="1738" spans="3:12" x14ac:dyDescent="0.25">
      <c r="C1738" s="7"/>
      <c r="E1738" s="8"/>
      <c r="F1738" s="8"/>
      <c r="G1738" s="8"/>
      <c r="H1738" s="8"/>
      <c r="I1738" s="8"/>
      <c r="J1738" s="8"/>
      <c r="K1738" s="8"/>
      <c r="L1738" s="8"/>
    </row>
    <row r="1739" spans="3:12" x14ac:dyDescent="0.25">
      <c r="C1739" s="7"/>
      <c r="E1739" s="8"/>
      <c r="F1739" s="8"/>
      <c r="G1739" s="8"/>
      <c r="H1739" s="8"/>
      <c r="I1739" s="8"/>
      <c r="J1739" s="8"/>
      <c r="K1739" s="8"/>
      <c r="L1739" s="8"/>
    </row>
    <row r="1740" spans="3:12" x14ac:dyDescent="0.25">
      <c r="C1740" s="7"/>
      <c r="E1740" s="8"/>
      <c r="F1740" s="8"/>
      <c r="G1740" s="8"/>
      <c r="H1740" s="8"/>
      <c r="I1740" s="8"/>
      <c r="J1740" s="8"/>
      <c r="K1740" s="8"/>
      <c r="L1740" s="8"/>
    </row>
    <row r="1741" spans="3:12" x14ac:dyDescent="0.25">
      <c r="C1741" s="7"/>
      <c r="E1741" s="8"/>
      <c r="F1741" s="8"/>
      <c r="G1741" s="8"/>
      <c r="H1741" s="8"/>
      <c r="I1741" s="8"/>
      <c r="J1741" s="8"/>
      <c r="K1741" s="8"/>
      <c r="L1741" s="8"/>
    </row>
    <row r="1742" spans="3:12" x14ac:dyDescent="0.25">
      <c r="C1742" s="7"/>
      <c r="E1742" s="8"/>
      <c r="F1742" s="8"/>
      <c r="G1742" s="8"/>
      <c r="H1742" s="8"/>
      <c r="I1742" s="8"/>
      <c r="J1742" s="8"/>
      <c r="K1742" s="8"/>
      <c r="L1742" s="8"/>
    </row>
    <row r="1743" spans="3:12" x14ac:dyDescent="0.25">
      <c r="C1743" s="7"/>
      <c r="E1743" s="8"/>
      <c r="F1743" s="8"/>
      <c r="G1743" s="8"/>
      <c r="H1743" s="8"/>
      <c r="I1743" s="8"/>
      <c r="J1743" s="8"/>
      <c r="K1743" s="8"/>
      <c r="L1743" s="8"/>
    </row>
    <row r="1744" spans="3:12" x14ac:dyDescent="0.25">
      <c r="C1744" s="7"/>
      <c r="E1744" s="8"/>
      <c r="F1744" s="8"/>
      <c r="G1744" s="8"/>
      <c r="H1744" s="8"/>
      <c r="I1744" s="8"/>
      <c r="J1744" s="8"/>
      <c r="K1744" s="8"/>
      <c r="L1744" s="8"/>
    </row>
    <row r="1745" spans="3:12" x14ac:dyDescent="0.25">
      <c r="C1745" s="7"/>
      <c r="E1745" s="8"/>
      <c r="F1745" s="8"/>
      <c r="G1745" s="8"/>
      <c r="H1745" s="8"/>
      <c r="I1745" s="8"/>
      <c r="J1745" s="8"/>
      <c r="K1745" s="8"/>
      <c r="L1745" s="8"/>
    </row>
    <row r="1746" spans="3:12" x14ac:dyDescent="0.25">
      <c r="C1746" s="7"/>
      <c r="E1746" s="8"/>
      <c r="F1746" s="8"/>
      <c r="G1746" s="8"/>
      <c r="H1746" s="8"/>
      <c r="I1746" s="8"/>
      <c r="J1746" s="8"/>
      <c r="K1746" s="8"/>
      <c r="L1746" s="8"/>
    </row>
    <row r="1747" spans="3:12" x14ac:dyDescent="0.25">
      <c r="C1747" s="7"/>
      <c r="E1747" s="8"/>
      <c r="F1747" s="8"/>
      <c r="G1747" s="8"/>
      <c r="H1747" s="8"/>
      <c r="I1747" s="8"/>
      <c r="J1747" s="8"/>
      <c r="K1747" s="8"/>
      <c r="L1747" s="8"/>
    </row>
    <row r="1748" spans="3:12" x14ac:dyDescent="0.25">
      <c r="C1748" s="7"/>
      <c r="E1748" s="8"/>
      <c r="F1748" s="8"/>
      <c r="G1748" s="8"/>
      <c r="H1748" s="8"/>
      <c r="I1748" s="8"/>
      <c r="J1748" s="8"/>
      <c r="K1748" s="8"/>
      <c r="L1748" s="8"/>
    </row>
    <row r="1749" spans="3:12" x14ac:dyDescent="0.25">
      <c r="C1749" s="7"/>
      <c r="E1749" s="8"/>
      <c r="F1749" s="8"/>
      <c r="G1749" s="8"/>
      <c r="H1749" s="8"/>
      <c r="I1749" s="8"/>
      <c r="J1749" s="8"/>
      <c r="K1749" s="8"/>
      <c r="L1749" s="8"/>
    </row>
    <row r="1750" spans="3:12" x14ac:dyDescent="0.25">
      <c r="C1750" s="7"/>
      <c r="E1750" s="8"/>
      <c r="F1750" s="8"/>
      <c r="G1750" s="8"/>
      <c r="H1750" s="8"/>
      <c r="I1750" s="8"/>
      <c r="J1750" s="8"/>
      <c r="K1750" s="8"/>
      <c r="L1750" s="8"/>
    </row>
    <row r="1751" spans="3:12" x14ac:dyDescent="0.25">
      <c r="C1751" s="7"/>
      <c r="E1751" s="8"/>
      <c r="F1751" s="8"/>
      <c r="G1751" s="8"/>
      <c r="H1751" s="8"/>
      <c r="I1751" s="8"/>
      <c r="J1751" s="8"/>
      <c r="K1751" s="8"/>
      <c r="L1751" s="8"/>
    </row>
    <row r="1752" spans="3:12" x14ac:dyDescent="0.25">
      <c r="C1752" s="7"/>
      <c r="E1752" s="8"/>
      <c r="F1752" s="8"/>
      <c r="G1752" s="8"/>
      <c r="H1752" s="8"/>
      <c r="I1752" s="8"/>
      <c r="J1752" s="8"/>
      <c r="K1752" s="8"/>
      <c r="L1752" s="8"/>
    </row>
    <row r="1753" spans="3:12" x14ac:dyDescent="0.25">
      <c r="C1753" s="7"/>
      <c r="E1753" s="8"/>
      <c r="F1753" s="8"/>
      <c r="G1753" s="8"/>
      <c r="H1753" s="8"/>
      <c r="I1753" s="8"/>
      <c r="J1753" s="8"/>
      <c r="K1753" s="8"/>
      <c r="L1753" s="8"/>
    </row>
    <row r="1754" spans="3:12" x14ac:dyDescent="0.25">
      <c r="C1754" s="7"/>
      <c r="E1754" s="8"/>
      <c r="F1754" s="8"/>
      <c r="G1754" s="8"/>
      <c r="H1754" s="8"/>
      <c r="I1754" s="8"/>
      <c r="J1754" s="8"/>
      <c r="K1754" s="8"/>
      <c r="L1754" s="8"/>
    </row>
    <row r="1755" spans="3:12" x14ac:dyDescent="0.25">
      <c r="C1755" s="7"/>
      <c r="E1755" s="8"/>
      <c r="F1755" s="8"/>
      <c r="G1755" s="8"/>
      <c r="H1755" s="8"/>
      <c r="I1755" s="8"/>
      <c r="J1755" s="8"/>
      <c r="K1755" s="8"/>
      <c r="L1755" s="8"/>
    </row>
    <row r="1756" spans="3:12" x14ac:dyDescent="0.25">
      <c r="C1756" s="7"/>
      <c r="E1756" s="8"/>
      <c r="F1756" s="8"/>
      <c r="G1756" s="8"/>
      <c r="H1756" s="8"/>
      <c r="I1756" s="8"/>
      <c r="J1756" s="8"/>
      <c r="K1756" s="8"/>
      <c r="L1756" s="8"/>
    </row>
    <row r="1757" spans="3:12" x14ac:dyDescent="0.25">
      <c r="C1757" s="7"/>
      <c r="E1757" s="8"/>
      <c r="F1757" s="8"/>
      <c r="G1757" s="8"/>
      <c r="H1757" s="8"/>
      <c r="I1757" s="8"/>
      <c r="J1757" s="8"/>
      <c r="K1757" s="8"/>
      <c r="L1757" s="8"/>
    </row>
    <row r="1758" spans="3:12" x14ac:dyDescent="0.25">
      <c r="C1758" s="7"/>
      <c r="E1758" s="8"/>
      <c r="F1758" s="8"/>
      <c r="G1758" s="8"/>
      <c r="H1758" s="8"/>
      <c r="I1758" s="8"/>
      <c r="J1758" s="8"/>
      <c r="K1758" s="8"/>
      <c r="L1758" s="8"/>
    </row>
    <row r="1759" spans="3:12" x14ac:dyDescent="0.25">
      <c r="C1759" s="7"/>
      <c r="E1759" s="8"/>
      <c r="F1759" s="8"/>
      <c r="G1759" s="8"/>
      <c r="H1759" s="8"/>
      <c r="I1759" s="8"/>
      <c r="J1759" s="8"/>
      <c r="K1759" s="8"/>
      <c r="L1759" s="8"/>
    </row>
    <row r="1760" spans="3:12" x14ac:dyDescent="0.25">
      <c r="C1760" s="7"/>
      <c r="E1760" s="8"/>
      <c r="F1760" s="8"/>
      <c r="G1760" s="8"/>
      <c r="H1760" s="8"/>
      <c r="I1760" s="8"/>
      <c r="J1760" s="8"/>
      <c r="K1760" s="8"/>
      <c r="L1760" s="8"/>
    </row>
    <row r="1761" spans="3:12" x14ac:dyDescent="0.25">
      <c r="C1761" s="7"/>
      <c r="E1761" s="8"/>
      <c r="F1761" s="8"/>
      <c r="G1761" s="8"/>
      <c r="H1761" s="8"/>
      <c r="I1761" s="8"/>
      <c r="J1761" s="8"/>
      <c r="K1761" s="8"/>
      <c r="L1761" s="8"/>
    </row>
    <row r="1762" spans="3:12" x14ac:dyDescent="0.25">
      <c r="C1762" s="7"/>
      <c r="E1762" s="8"/>
      <c r="F1762" s="8"/>
      <c r="G1762" s="8"/>
      <c r="H1762" s="8"/>
      <c r="I1762" s="8"/>
      <c r="J1762" s="8"/>
      <c r="K1762" s="8"/>
      <c r="L1762" s="8"/>
    </row>
    <row r="1763" spans="3:12" x14ac:dyDescent="0.25">
      <c r="C1763" s="7"/>
      <c r="E1763" s="8"/>
      <c r="F1763" s="8"/>
      <c r="G1763" s="8"/>
      <c r="H1763" s="8"/>
      <c r="I1763" s="8"/>
      <c r="J1763" s="8"/>
      <c r="K1763" s="8"/>
      <c r="L1763" s="8"/>
    </row>
    <row r="1764" spans="3:12" x14ac:dyDescent="0.25">
      <c r="C1764" s="7"/>
      <c r="E1764" s="8"/>
      <c r="F1764" s="8"/>
      <c r="G1764" s="8"/>
      <c r="H1764" s="8"/>
      <c r="I1764" s="8"/>
      <c r="J1764" s="8"/>
      <c r="K1764" s="8"/>
      <c r="L1764" s="8"/>
    </row>
    <row r="1765" spans="3:12" x14ac:dyDescent="0.25">
      <c r="C1765" s="7"/>
      <c r="E1765" s="8"/>
      <c r="F1765" s="8"/>
      <c r="G1765" s="8"/>
      <c r="H1765" s="8"/>
      <c r="I1765" s="8"/>
      <c r="J1765" s="8"/>
      <c r="K1765" s="8"/>
      <c r="L1765" s="8"/>
    </row>
    <row r="1766" spans="3:12" x14ac:dyDescent="0.25">
      <c r="C1766" s="7"/>
      <c r="E1766" s="8"/>
      <c r="F1766" s="8"/>
      <c r="G1766" s="8"/>
      <c r="H1766" s="8"/>
      <c r="I1766" s="8"/>
      <c r="J1766" s="8"/>
      <c r="K1766" s="8"/>
      <c r="L1766" s="8"/>
    </row>
    <row r="1767" spans="3:12" x14ac:dyDescent="0.25">
      <c r="C1767" s="7"/>
      <c r="E1767" s="8"/>
      <c r="F1767" s="8"/>
      <c r="G1767" s="8"/>
      <c r="H1767" s="8"/>
      <c r="I1767" s="8"/>
      <c r="J1767" s="8"/>
      <c r="K1767" s="8"/>
      <c r="L1767" s="8"/>
    </row>
    <row r="1768" spans="3:12" x14ac:dyDescent="0.25">
      <c r="C1768" s="7"/>
      <c r="E1768" s="8"/>
      <c r="F1768" s="8"/>
      <c r="G1768" s="8"/>
      <c r="H1768" s="8"/>
      <c r="I1768" s="8"/>
      <c r="J1768" s="8"/>
      <c r="K1768" s="8"/>
      <c r="L1768" s="8"/>
    </row>
    <row r="1769" spans="3:12" x14ac:dyDescent="0.25">
      <c r="C1769" s="7"/>
      <c r="E1769" s="8"/>
      <c r="F1769" s="8"/>
      <c r="G1769" s="8"/>
      <c r="H1769" s="8"/>
      <c r="I1769" s="8"/>
      <c r="J1769" s="8"/>
      <c r="K1769" s="8"/>
      <c r="L1769" s="8"/>
    </row>
    <row r="1770" spans="3:12" x14ac:dyDescent="0.25">
      <c r="C1770" s="7"/>
      <c r="E1770" s="8"/>
      <c r="F1770" s="8"/>
      <c r="G1770" s="8"/>
      <c r="H1770" s="8"/>
      <c r="I1770" s="8"/>
      <c r="J1770" s="8"/>
      <c r="K1770" s="8"/>
      <c r="L1770" s="8"/>
    </row>
    <row r="1771" spans="3:12" x14ac:dyDescent="0.25">
      <c r="C1771" s="7"/>
      <c r="E1771" s="8"/>
      <c r="F1771" s="8"/>
      <c r="G1771" s="8"/>
      <c r="H1771" s="8"/>
      <c r="I1771" s="8"/>
      <c r="J1771" s="8"/>
      <c r="K1771" s="8"/>
      <c r="L1771" s="8"/>
    </row>
    <row r="1772" spans="3:12" x14ac:dyDescent="0.25">
      <c r="C1772" s="7"/>
      <c r="E1772" s="8"/>
      <c r="F1772" s="8"/>
      <c r="G1772" s="8"/>
      <c r="H1772" s="8"/>
      <c r="I1772" s="8"/>
      <c r="J1772" s="8"/>
      <c r="K1772" s="8"/>
      <c r="L1772" s="8"/>
    </row>
    <row r="1773" spans="3:12" x14ac:dyDescent="0.25">
      <c r="C1773" s="7"/>
      <c r="E1773" s="8"/>
      <c r="F1773" s="8"/>
      <c r="G1773" s="8"/>
      <c r="H1773" s="8"/>
      <c r="I1773" s="8"/>
      <c r="J1773" s="8"/>
      <c r="K1773" s="8"/>
      <c r="L1773" s="8"/>
    </row>
    <row r="1774" spans="3:12" x14ac:dyDescent="0.25">
      <c r="C1774" s="7"/>
      <c r="E1774" s="8"/>
      <c r="F1774" s="8"/>
      <c r="G1774" s="8"/>
      <c r="H1774" s="8"/>
      <c r="I1774" s="8"/>
      <c r="J1774" s="8"/>
      <c r="K1774" s="8"/>
      <c r="L1774" s="8"/>
    </row>
    <row r="1775" spans="3:12" x14ac:dyDescent="0.25">
      <c r="C1775" s="7"/>
      <c r="E1775" s="8"/>
      <c r="F1775" s="8"/>
      <c r="G1775" s="8"/>
      <c r="H1775" s="8"/>
      <c r="I1775" s="8"/>
      <c r="J1775" s="8"/>
      <c r="K1775" s="8"/>
      <c r="L1775" s="8"/>
    </row>
    <row r="1776" spans="3:12" x14ac:dyDescent="0.25">
      <c r="C1776" s="7"/>
      <c r="E1776" s="8"/>
      <c r="F1776" s="8"/>
      <c r="G1776" s="8"/>
      <c r="H1776" s="8"/>
      <c r="I1776" s="8"/>
      <c r="J1776" s="8"/>
      <c r="K1776" s="8"/>
      <c r="L1776" s="8"/>
    </row>
    <row r="1777" spans="3:12" x14ac:dyDescent="0.25">
      <c r="C1777" s="7"/>
      <c r="E1777" s="8"/>
      <c r="F1777" s="8"/>
      <c r="G1777" s="8"/>
      <c r="H1777" s="8"/>
      <c r="I1777" s="8"/>
      <c r="J1777" s="8"/>
      <c r="K1777" s="8"/>
      <c r="L1777" s="8"/>
    </row>
    <row r="1778" spans="3:12" x14ac:dyDescent="0.25">
      <c r="C1778" s="7"/>
      <c r="E1778" s="8"/>
      <c r="F1778" s="8"/>
      <c r="G1778" s="8"/>
      <c r="H1778" s="8"/>
      <c r="I1778" s="8"/>
      <c r="J1778" s="8"/>
      <c r="K1778" s="8"/>
      <c r="L1778" s="8"/>
    </row>
    <row r="1779" spans="3:12" x14ac:dyDescent="0.25">
      <c r="C1779" s="7"/>
      <c r="E1779" s="8"/>
      <c r="F1779" s="8"/>
      <c r="G1779" s="8"/>
      <c r="H1779" s="8"/>
      <c r="I1779" s="8"/>
      <c r="J1779" s="8"/>
      <c r="K1779" s="8"/>
      <c r="L1779" s="8"/>
    </row>
    <row r="1780" spans="3:12" x14ac:dyDescent="0.25">
      <c r="C1780" s="7"/>
      <c r="E1780" s="8"/>
      <c r="F1780" s="8"/>
      <c r="G1780" s="8"/>
      <c r="H1780" s="8"/>
      <c r="I1780" s="8"/>
      <c r="J1780" s="8"/>
      <c r="K1780" s="8"/>
      <c r="L1780" s="8"/>
    </row>
    <row r="1781" spans="3:12" x14ac:dyDescent="0.25">
      <c r="C1781" s="7"/>
      <c r="E1781" s="8"/>
      <c r="F1781" s="8"/>
      <c r="G1781" s="8"/>
      <c r="H1781" s="8"/>
      <c r="I1781" s="8"/>
      <c r="J1781" s="8"/>
      <c r="K1781" s="8"/>
      <c r="L1781" s="8"/>
    </row>
    <row r="1782" spans="3:12" x14ac:dyDescent="0.25">
      <c r="C1782" s="7"/>
      <c r="E1782" s="8"/>
      <c r="F1782" s="8"/>
      <c r="G1782" s="8"/>
      <c r="H1782" s="8"/>
      <c r="I1782" s="8"/>
      <c r="J1782" s="8"/>
      <c r="K1782" s="8"/>
      <c r="L1782" s="8"/>
    </row>
    <row r="1783" spans="3:12" x14ac:dyDescent="0.25">
      <c r="C1783" s="7"/>
      <c r="E1783" s="8"/>
      <c r="F1783" s="8"/>
      <c r="G1783" s="8"/>
      <c r="H1783" s="8"/>
      <c r="I1783" s="8"/>
      <c r="J1783" s="8"/>
      <c r="K1783" s="8"/>
      <c r="L1783" s="8"/>
    </row>
    <row r="1784" spans="3:12" x14ac:dyDescent="0.25">
      <c r="C1784" s="7"/>
      <c r="E1784" s="8"/>
      <c r="F1784" s="8"/>
      <c r="G1784" s="8"/>
      <c r="H1784" s="8"/>
      <c r="I1784" s="8"/>
      <c r="J1784" s="8"/>
      <c r="K1784" s="8"/>
      <c r="L1784" s="8"/>
    </row>
    <row r="1785" spans="3:12" x14ac:dyDescent="0.25">
      <c r="C1785" s="7"/>
      <c r="E1785" s="8"/>
      <c r="F1785" s="8"/>
      <c r="G1785" s="8"/>
      <c r="H1785" s="8"/>
      <c r="I1785" s="8"/>
      <c r="J1785" s="8"/>
      <c r="K1785" s="8"/>
      <c r="L1785" s="8"/>
    </row>
    <row r="1786" spans="3:12" x14ac:dyDescent="0.25">
      <c r="C1786" s="7"/>
      <c r="E1786" s="8"/>
      <c r="F1786" s="8"/>
      <c r="G1786" s="8"/>
      <c r="H1786" s="8"/>
      <c r="I1786" s="8"/>
      <c r="J1786" s="8"/>
      <c r="K1786" s="8"/>
      <c r="L1786" s="8"/>
    </row>
    <row r="1787" spans="3:12" x14ac:dyDescent="0.25">
      <c r="C1787" s="7"/>
      <c r="E1787" s="8"/>
      <c r="F1787" s="8"/>
      <c r="G1787" s="8"/>
      <c r="H1787" s="8"/>
      <c r="I1787" s="8"/>
      <c r="J1787" s="8"/>
      <c r="K1787" s="8"/>
      <c r="L1787" s="8"/>
    </row>
    <row r="1788" spans="3:12" x14ac:dyDescent="0.25">
      <c r="C1788" s="7"/>
      <c r="E1788" s="8"/>
      <c r="F1788" s="8"/>
      <c r="G1788" s="8"/>
      <c r="H1788" s="8"/>
      <c r="I1788" s="8"/>
      <c r="J1788" s="8"/>
      <c r="K1788" s="8"/>
      <c r="L1788" s="8"/>
    </row>
    <row r="1789" spans="3:12" x14ac:dyDescent="0.25">
      <c r="C1789" s="7"/>
      <c r="E1789" s="8"/>
      <c r="F1789" s="8"/>
      <c r="G1789" s="8"/>
      <c r="H1789" s="8"/>
      <c r="I1789" s="8"/>
      <c r="J1789" s="8"/>
      <c r="K1789" s="8"/>
      <c r="L1789" s="8"/>
    </row>
    <row r="1790" spans="3:12" x14ac:dyDescent="0.25">
      <c r="C1790" s="7"/>
      <c r="E1790" s="8"/>
      <c r="F1790" s="8"/>
      <c r="G1790" s="8"/>
      <c r="H1790" s="8"/>
      <c r="I1790" s="8"/>
      <c r="J1790" s="8"/>
      <c r="K1790" s="8"/>
      <c r="L1790" s="8"/>
    </row>
    <row r="1791" spans="3:12" x14ac:dyDescent="0.25">
      <c r="C1791" s="7"/>
      <c r="E1791" s="8"/>
      <c r="F1791" s="8"/>
      <c r="G1791" s="8"/>
      <c r="H1791" s="8"/>
      <c r="I1791" s="8"/>
      <c r="J1791" s="8"/>
      <c r="K1791" s="8"/>
      <c r="L1791" s="8"/>
    </row>
    <row r="1792" spans="3:12" x14ac:dyDescent="0.25">
      <c r="C1792" s="7"/>
      <c r="E1792" s="8"/>
      <c r="F1792" s="8"/>
      <c r="G1792" s="8"/>
      <c r="H1792" s="8"/>
      <c r="I1792" s="8"/>
      <c r="J1792" s="8"/>
      <c r="K1792" s="8"/>
      <c r="L1792" s="8"/>
    </row>
    <row r="1793" spans="3:12" x14ac:dyDescent="0.25">
      <c r="C1793" s="7"/>
      <c r="E1793" s="8"/>
      <c r="F1793" s="8"/>
      <c r="G1793" s="8"/>
      <c r="H1793" s="8"/>
      <c r="I1793" s="8"/>
      <c r="J1793" s="8"/>
      <c r="K1793" s="8"/>
      <c r="L1793" s="8"/>
    </row>
    <row r="1794" spans="3:12" x14ac:dyDescent="0.25">
      <c r="C1794" s="7"/>
      <c r="E1794" s="8"/>
      <c r="F1794" s="8"/>
      <c r="G1794" s="8"/>
      <c r="H1794" s="8"/>
      <c r="I1794" s="8"/>
      <c r="J1794" s="8"/>
      <c r="K1794" s="8"/>
      <c r="L1794" s="8"/>
    </row>
    <row r="1795" spans="3:12" x14ac:dyDescent="0.25">
      <c r="C1795" s="7"/>
      <c r="E1795" s="8"/>
      <c r="F1795" s="8"/>
      <c r="G1795" s="8"/>
      <c r="H1795" s="8"/>
      <c r="I1795" s="8"/>
      <c r="J1795" s="8"/>
      <c r="K1795" s="8"/>
      <c r="L1795" s="8"/>
    </row>
    <row r="1796" spans="3:12" x14ac:dyDescent="0.25">
      <c r="C1796" s="7"/>
      <c r="E1796" s="8"/>
      <c r="F1796" s="8"/>
      <c r="G1796" s="8"/>
      <c r="H1796" s="8"/>
      <c r="I1796" s="8"/>
      <c r="J1796" s="8"/>
      <c r="K1796" s="8"/>
      <c r="L1796" s="8"/>
    </row>
    <row r="1797" spans="3:12" x14ac:dyDescent="0.25">
      <c r="C1797" s="7"/>
      <c r="E1797" s="8"/>
      <c r="F1797" s="8"/>
      <c r="G1797" s="8"/>
      <c r="H1797" s="8"/>
      <c r="I1797" s="8"/>
      <c r="J1797" s="8"/>
      <c r="K1797" s="8"/>
      <c r="L1797" s="8"/>
    </row>
    <row r="1798" spans="3:12" x14ac:dyDescent="0.25">
      <c r="C1798" s="7"/>
      <c r="E1798" s="8"/>
      <c r="F1798" s="8"/>
      <c r="G1798" s="8"/>
      <c r="H1798" s="8"/>
      <c r="I1798" s="8"/>
      <c r="J1798" s="8"/>
      <c r="K1798" s="8"/>
      <c r="L1798" s="8"/>
    </row>
    <row r="1799" spans="3:12" x14ac:dyDescent="0.25">
      <c r="C1799" s="7"/>
      <c r="E1799" s="8"/>
      <c r="F1799" s="8"/>
      <c r="G1799" s="8"/>
      <c r="H1799" s="8"/>
      <c r="I1799" s="8"/>
      <c r="J1799" s="8"/>
      <c r="K1799" s="8"/>
      <c r="L1799" s="8"/>
    </row>
    <row r="1800" spans="3:12" x14ac:dyDescent="0.25">
      <c r="C1800" s="7"/>
      <c r="E1800" s="8"/>
      <c r="F1800" s="8"/>
      <c r="G1800" s="8"/>
      <c r="H1800" s="8"/>
      <c r="I1800" s="8"/>
      <c r="J1800" s="8"/>
      <c r="K1800" s="8"/>
      <c r="L1800" s="8"/>
    </row>
    <row r="1801" spans="3:12" x14ac:dyDescent="0.25">
      <c r="C1801" s="7"/>
      <c r="E1801" s="8"/>
      <c r="F1801" s="8"/>
      <c r="G1801" s="8"/>
      <c r="H1801" s="8"/>
      <c r="I1801" s="8"/>
      <c r="J1801" s="8"/>
      <c r="K1801" s="8"/>
      <c r="L1801" s="8"/>
    </row>
    <row r="1802" spans="3:12" x14ac:dyDescent="0.25">
      <c r="C1802" s="7"/>
      <c r="E1802" s="8"/>
      <c r="F1802" s="8"/>
      <c r="G1802" s="8"/>
      <c r="H1802" s="8"/>
      <c r="I1802" s="8"/>
      <c r="J1802" s="8"/>
      <c r="K1802" s="8"/>
      <c r="L1802" s="8"/>
    </row>
    <row r="1803" spans="3:12" x14ac:dyDescent="0.25">
      <c r="C1803" s="7"/>
      <c r="E1803" s="8"/>
      <c r="F1803" s="8"/>
      <c r="G1803" s="8"/>
      <c r="H1803" s="8"/>
      <c r="I1803" s="8"/>
      <c r="J1803" s="8"/>
      <c r="K1803" s="8"/>
      <c r="L1803" s="8"/>
    </row>
    <row r="1804" spans="3:12" x14ac:dyDescent="0.25">
      <c r="C1804" s="7"/>
      <c r="E1804" s="8"/>
      <c r="F1804" s="8"/>
      <c r="G1804" s="8"/>
      <c r="H1804" s="8"/>
      <c r="I1804" s="8"/>
      <c r="J1804" s="8"/>
      <c r="K1804" s="8"/>
      <c r="L1804" s="8"/>
    </row>
    <row r="1805" spans="3:12" x14ac:dyDescent="0.25">
      <c r="C1805" s="7"/>
      <c r="E1805" s="8"/>
      <c r="F1805" s="8"/>
      <c r="G1805" s="8"/>
      <c r="H1805" s="8"/>
      <c r="I1805" s="8"/>
      <c r="J1805" s="8"/>
      <c r="K1805" s="8"/>
      <c r="L1805" s="8"/>
    </row>
    <row r="1806" spans="3:12" x14ac:dyDescent="0.25">
      <c r="C1806" s="7"/>
      <c r="E1806" s="8"/>
      <c r="F1806" s="8"/>
      <c r="G1806" s="8"/>
      <c r="H1806" s="8"/>
      <c r="I1806" s="8"/>
      <c r="J1806" s="8"/>
      <c r="K1806" s="8"/>
      <c r="L1806" s="8"/>
    </row>
    <row r="1807" spans="3:12" x14ac:dyDescent="0.25">
      <c r="C1807" s="7"/>
      <c r="E1807" s="8"/>
      <c r="F1807" s="8"/>
      <c r="G1807" s="8"/>
      <c r="H1807" s="8"/>
      <c r="I1807" s="8"/>
      <c r="J1807" s="8"/>
      <c r="K1807" s="8"/>
      <c r="L1807" s="8"/>
    </row>
    <row r="1808" spans="3:12" x14ac:dyDescent="0.25">
      <c r="C1808" s="7"/>
      <c r="E1808" s="8"/>
      <c r="F1808" s="8"/>
      <c r="G1808" s="8"/>
      <c r="H1808" s="8"/>
      <c r="I1808" s="8"/>
      <c r="J1808" s="8"/>
      <c r="K1808" s="8"/>
      <c r="L1808" s="8"/>
    </row>
    <row r="1809" spans="3:12" x14ac:dyDescent="0.25">
      <c r="C1809" s="7"/>
      <c r="E1809" s="8"/>
      <c r="F1809" s="8"/>
      <c r="G1809" s="8"/>
      <c r="H1809" s="8"/>
      <c r="I1809" s="8"/>
      <c r="J1809" s="8"/>
      <c r="K1809" s="8"/>
      <c r="L1809" s="8"/>
    </row>
    <row r="1810" spans="3:12" x14ac:dyDescent="0.25">
      <c r="C1810" s="7"/>
      <c r="E1810" s="8"/>
      <c r="F1810" s="8"/>
      <c r="G1810" s="8"/>
      <c r="H1810" s="8"/>
      <c r="I1810" s="8"/>
      <c r="J1810" s="8"/>
      <c r="K1810" s="8"/>
      <c r="L1810" s="8"/>
    </row>
    <row r="1811" spans="3:12" x14ac:dyDescent="0.25">
      <c r="C1811" s="7"/>
      <c r="E1811" s="8"/>
      <c r="F1811" s="8"/>
      <c r="G1811" s="8"/>
      <c r="H1811" s="8"/>
      <c r="I1811" s="8"/>
      <c r="J1811" s="8"/>
      <c r="K1811" s="8"/>
      <c r="L1811" s="8"/>
    </row>
    <row r="1812" spans="3:12" x14ac:dyDescent="0.25">
      <c r="C1812" s="7"/>
      <c r="E1812" s="8"/>
      <c r="F1812" s="8"/>
      <c r="G1812" s="8"/>
      <c r="H1812" s="8"/>
      <c r="I1812" s="8"/>
      <c r="J1812" s="8"/>
      <c r="K1812" s="8"/>
      <c r="L1812" s="8"/>
    </row>
    <row r="1813" spans="3:12" x14ac:dyDescent="0.25">
      <c r="C1813" s="7"/>
      <c r="E1813" s="8"/>
      <c r="F1813" s="8"/>
      <c r="G1813" s="8"/>
      <c r="H1813" s="8"/>
      <c r="I1813" s="8"/>
      <c r="J1813" s="8"/>
      <c r="K1813" s="8"/>
      <c r="L1813" s="8"/>
    </row>
    <row r="1814" spans="3:12" x14ac:dyDescent="0.25">
      <c r="C1814" s="7"/>
      <c r="E1814" s="8"/>
      <c r="F1814" s="8"/>
      <c r="G1814" s="8"/>
      <c r="H1814" s="8"/>
      <c r="I1814" s="8"/>
      <c r="J1814" s="8"/>
      <c r="K1814" s="8"/>
      <c r="L1814" s="8"/>
    </row>
    <row r="1815" spans="3:12" x14ac:dyDescent="0.25">
      <c r="C1815" s="7"/>
      <c r="E1815" s="8"/>
      <c r="F1815" s="8"/>
      <c r="G1815" s="8"/>
      <c r="H1815" s="8"/>
      <c r="I1815" s="8"/>
      <c r="J1815" s="8"/>
      <c r="K1815" s="8"/>
      <c r="L1815" s="8"/>
    </row>
    <row r="1816" spans="3:12" x14ac:dyDescent="0.25">
      <c r="C1816" s="7"/>
      <c r="E1816" s="8"/>
      <c r="F1816" s="8"/>
      <c r="G1816" s="8"/>
      <c r="H1816" s="8"/>
      <c r="I1816" s="8"/>
      <c r="J1816" s="8"/>
      <c r="K1816" s="8"/>
      <c r="L1816" s="8"/>
    </row>
    <row r="1817" spans="3:12" x14ac:dyDescent="0.25">
      <c r="C1817" s="7"/>
      <c r="E1817" s="8"/>
      <c r="F1817" s="8"/>
      <c r="G1817" s="8"/>
      <c r="H1817" s="8"/>
      <c r="I1817" s="8"/>
      <c r="J1817" s="8"/>
      <c r="K1817" s="8"/>
      <c r="L1817" s="8"/>
    </row>
    <row r="1818" spans="3:12" x14ac:dyDescent="0.25">
      <c r="C1818" s="7"/>
      <c r="E1818" s="8"/>
      <c r="F1818" s="8"/>
      <c r="G1818" s="8"/>
      <c r="H1818" s="8"/>
      <c r="I1818" s="8"/>
      <c r="J1818" s="8"/>
      <c r="K1818" s="8"/>
      <c r="L1818" s="8"/>
    </row>
    <row r="1819" spans="3:12" x14ac:dyDescent="0.25">
      <c r="C1819" s="7"/>
      <c r="E1819" s="8"/>
      <c r="F1819" s="8"/>
      <c r="G1819" s="8"/>
      <c r="H1819" s="8"/>
      <c r="I1819" s="8"/>
      <c r="J1819" s="8"/>
      <c r="K1819" s="8"/>
      <c r="L1819" s="8"/>
    </row>
    <row r="1820" spans="3:12" x14ac:dyDescent="0.25">
      <c r="C1820" s="7"/>
      <c r="E1820" s="8"/>
      <c r="F1820" s="8"/>
      <c r="G1820" s="8"/>
      <c r="H1820" s="8"/>
      <c r="I1820" s="8"/>
      <c r="J1820" s="8"/>
      <c r="K1820" s="8"/>
      <c r="L1820" s="8"/>
    </row>
    <row r="1821" spans="3:12" x14ac:dyDescent="0.25">
      <c r="C1821" s="7"/>
      <c r="E1821" s="8"/>
      <c r="F1821" s="8"/>
      <c r="G1821" s="8"/>
      <c r="H1821" s="8"/>
      <c r="I1821" s="8"/>
      <c r="J1821" s="8"/>
      <c r="K1821" s="8"/>
      <c r="L1821" s="8"/>
    </row>
    <row r="1822" spans="3:12" x14ac:dyDescent="0.25">
      <c r="C1822" s="7"/>
      <c r="E1822" s="8"/>
      <c r="F1822" s="8"/>
      <c r="G1822" s="8"/>
      <c r="H1822" s="8"/>
      <c r="I1822" s="8"/>
      <c r="J1822" s="8"/>
      <c r="K1822" s="8"/>
      <c r="L1822" s="8"/>
    </row>
    <row r="1823" spans="3:12" x14ac:dyDescent="0.25">
      <c r="C1823" s="7"/>
      <c r="E1823" s="8"/>
      <c r="F1823" s="8"/>
      <c r="G1823" s="8"/>
      <c r="H1823" s="8"/>
      <c r="I1823" s="8"/>
      <c r="J1823" s="8"/>
      <c r="K1823" s="8"/>
      <c r="L1823" s="8"/>
    </row>
    <row r="1824" spans="3:12" x14ac:dyDescent="0.25">
      <c r="C1824" s="7"/>
      <c r="E1824" s="8"/>
      <c r="F1824" s="8"/>
      <c r="G1824" s="8"/>
      <c r="H1824" s="8"/>
      <c r="I1824" s="8"/>
      <c r="J1824" s="8"/>
      <c r="K1824" s="8"/>
      <c r="L1824" s="8"/>
    </row>
    <row r="1825" spans="3:12" x14ac:dyDescent="0.25">
      <c r="C1825" s="7"/>
      <c r="E1825" s="8"/>
      <c r="F1825" s="8"/>
      <c r="G1825" s="8"/>
      <c r="H1825" s="8"/>
      <c r="I1825" s="8"/>
      <c r="J1825" s="8"/>
      <c r="K1825" s="8"/>
      <c r="L1825" s="8"/>
    </row>
    <row r="1826" spans="3:12" x14ac:dyDescent="0.25">
      <c r="C1826" s="7"/>
      <c r="E1826" s="8"/>
      <c r="F1826" s="8"/>
      <c r="G1826" s="8"/>
      <c r="H1826" s="8"/>
      <c r="I1826" s="8"/>
      <c r="J1826" s="8"/>
      <c r="K1826" s="8"/>
      <c r="L1826" s="8"/>
    </row>
    <row r="1827" spans="3:12" x14ac:dyDescent="0.25">
      <c r="C1827" s="7"/>
      <c r="E1827" s="8"/>
      <c r="F1827" s="8"/>
      <c r="G1827" s="8"/>
      <c r="H1827" s="8"/>
      <c r="I1827" s="8"/>
      <c r="J1827" s="8"/>
      <c r="K1827" s="8"/>
      <c r="L1827" s="8"/>
    </row>
    <row r="1828" spans="3:12" x14ac:dyDescent="0.25">
      <c r="C1828" s="7"/>
      <c r="E1828" s="8"/>
      <c r="F1828" s="8"/>
      <c r="G1828" s="8"/>
      <c r="H1828" s="8"/>
      <c r="I1828" s="8"/>
      <c r="J1828" s="8"/>
      <c r="K1828" s="8"/>
      <c r="L1828" s="8"/>
    </row>
    <row r="1829" spans="3:12" x14ac:dyDescent="0.25">
      <c r="C1829" s="7"/>
      <c r="E1829" s="8"/>
      <c r="F1829" s="8"/>
      <c r="G1829" s="8"/>
      <c r="H1829" s="8"/>
      <c r="I1829" s="8"/>
      <c r="J1829" s="8"/>
      <c r="K1829" s="8"/>
      <c r="L1829" s="8"/>
    </row>
    <row r="1830" spans="3:12" x14ac:dyDescent="0.25">
      <c r="C1830" s="7"/>
      <c r="E1830" s="8"/>
      <c r="F1830" s="8"/>
      <c r="G1830" s="8"/>
      <c r="H1830" s="8"/>
      <c r="I1830" s="8"/>
      <c r="J1830" s="8"/>
      <c r="K1830" s="8"/>
      <c r="L1830" s="8"/>
    </row>
    <row r="1831" spans="3:12" x14ac:dyDescent="0.25">
      <c r="C1831" s="7"/>
      <c r="E1831" s="8"/>
      <c r="F1831" s="8"/>
      <c r="G1831" s="8"/>
      <c r="H1831" s="8"/>
      <c r="I1831" s="8"/>
      <c r="J1831" s="8"/>
      <c r="K1831" s="8"/>
      <c r="L1831" s="8"/>
    </row>
    <row r="1832" spans="3:12" x14ac:dyDescent="0.25">
      <c r="C1832" s="7"/>
      <c r="E1832" s="8"/>
      <c r="F1832" s="8"/>
      <c r="G1832" s="8"/>
      <c r="H1832" s="8"/>
      <c r="I1832" s="8"/>
      <c r="J1832" s="8"/>
      <c r="K1832" s="8"/>
      <c r="L1832" s="8"/>
    </row>
    <row r="1833" spans="3:12" x14ac:dyDescent="0.25">
      <c r="C1833" s="7"/>
      <c r="E1833" s="8"/>
      <c r="F1833" s="8"/>
      <c r="G1833" s="8"/>
      <c r="H1833" s="8"/>
      <c r="I1833" s="8"/>
      <c r="J1833" s="8"/>
      <c r="K1833" s="8"/>
      <c r="L1833" s="8"/>
    </row>
    <row r="1834" spans="3:12" x14ac:dyDescent="0.25">
      <c r="C1834" s="7"/>
      <c r="E1834" s="8"/>
      <c r="F1834" s="8"/>
      <c r="G1834" s="8"/>
      <c r="H1834" s="8"/>
      <c r="I1834" s="8"/>
      <c r="J1834" s="8"/>
      <c r="K1834" s="8"/>
      <c r="L1834" s="8"/>
    </row>
    <row r="1835" spans="3:12" x14ac:dyDescent="0.25">
      <c r="C1835" s="7"/>
      <c r="E1835" s="8"/>
      <c r="F1835" s="8"/>
      <c r="G1835" s="8"/>
      <c r="H1835" s="8"/>
      <c r="I1835" s="8"/>
      <c r="J1835" s="8"/>
      <c r="K1835" s="8"/>
      <c r="L1835" s="8"/>
    </row>
    <row r="1836" spans="3:12" x14ac:dyDescent="0.25">
      <c r="C1836" s="7"/>
      <c r="E1836" s="8"/>
      <c r="F1836" s="8"/>
      <c r="G1836" s="8"/>
      <c r="H1836" s="8"/>
      <c r="I1836" s="8"/>
      <c r="J1836" s="8"/>
      <c r="K1836" s="8"/>
      <c r="L1836" s="8"/>
    </row>
    <row r="1837" spans="3:12" x14ac:dyDescent="0.25">
      <c r="C1837" s="7"/>
      <c r="E1837" s="8"/>
      <c r="F1837" s="8"/>
      <c r="G1837" s="8"/>
      <c r="H1837" s="8"/>
      <c r="I1837" s="8"/>
      <c r="J1837" s="8"/>
      <c r="K1837" s="8"/>
      <c r="L1837" s="8"/>
    </row>
    <row r="1838" spans="3:12" x14ac:dyDescent="0.25">
      <c r="C1838" s="7"/>
      <c r="E1838" s="8"/>
      <c r="F1838" s="8"/>
      <c r="G1838" s="8"/>
      <c r="H1838" s="8"/>
      <c r="I1838" s="8"/>
      <c r="J1838" s="8"/>
      <c r="K1838" s="8"/>
      <c r="L1838" s="8"/>
    </row>
    <row r="1839" spans="3:12" x14ac:dyDescent="0.25">
      <c r="C1839" s="7"/>
      <c r="E1839" s="8"/>
      <c r="F1839" s="8"/>
      <c r="G1839" s="8"/>
      <c r="H1839" s="8"/>
      <c r="I1839" s="8"/>
      <c r="J1839" s="8"/>
      <c r="K1839" s="8"/>
      <c r="L1839" s="8"/>
    </row>
    <row r="1840" spans="3:12" x14ac:dyDescent="0.25">
      <c r="C1840" s="7"/>
      <c r="E1840" s="8"/>
      <c r="F1840" s="8"/>
      <c r="G1840" s="8"/>
      <c r="H1840" s="8"/>
      <c r="I1840" s="8"/>
      <c r="J1840" s="8"/>
      <c r="K1840" s="8"/>
      <c r="L1840" s="8"/>
    </row>
    <row r="1841" spans="3:12" x14ac:dyDescent="0.25">
      <c r="C1841" s="7"/>
      <c r="E1841" s="8"/>
      <c r="F1841" s="8"/>
      <c r="G1841" s="8"/>
      <c r="H1841" s="8"/>
      <c r="I1841" s="8"/>
      <c r="J1841" s="8"/>
      <c r="K1841" s="8"/>
      <c r="L1841" s="8"/>
    </row>
    <row r="1842" spans="3:12" x14ac:dyDescent="0.25">
      <c r="C1842" s="7"/>
      <c r="E1842" s="8"/>
      <c r="F1842" s="8"/>
      <c r="G1842" s="8"/>
      <c r="H1842" s="8"/>
      <c r="I1842" s="8"/>
      <c r="J1842" s="8"/>
      <c r="K1842" s="8"/>
      <c r="L1842" s="8"/>
    </row>
    <row r="1843" spans="3:12" x14ac:dyDescent="0.25">
      <c r="C1843" s="7"/>
      <c r="E1843" s="8"/>
      <c r="F1843" s="8"/>
      <c r="G1843" s="8"/>
      <c r="H1843" s="8"/>
      <c r="I1843" s="8"/>
      <c r="J1843" s="8"/>
      <c r="K1843" s="8"/>
      <c r="L1843" s="8"/>
    </row>
    <row r="1844" spans="3:12" x14ac:dyDescent="0.25">
      <c r="C1844" s="7"/>
      <c r="E1844" s="8"/>
      <c r="F1844" s="8"/>
      <c r="G1844" s="8"/>
      <c r="H1844" s="8"/>
      <c r="I1844" s="8"/>
      <c r="J1844" s="8"/>
      <c r="K1844" s="8"/>
      <c r="L1844" s="8"/>
    </row>
    <row r="1845" spans="3:12" x14ac:dyDescent="0.25">
      <c r="C1845" s="7"/>
      <c r="E1845" s="8"/>
      <c r="F1845" s="8"/>
      <c r="G1845" s="8"/>
      <c r="H1845" s="8"/>
      <c r="I1845" s="8"/>
      <c r="J1845" s="8"/>
      <c r="K1845" s="8"/>
      <c r="L1845" s="8"/>
    </row>
    <row r="1846" spans="3:12" x14ac:dyDescent="0.25">
      <c r="C1846" s="7"/>
      <c r="E1846" s="8"/>
      <c r="F1846" s="8"/>
      <c r="G1846" s="8"/>
      <c r="H1846" s="8"/>
      <c r="I1846" s="8"/>
      <c r="J1846" s="8"/>
      <c r="K1846" s="8"/>
      <c r="L1846" s="8"/>
    </row>
    <row r="1847" spans="3:12" x14ac:dyDescent="0.25">
      <c r="C1847" s="7"/>
      <c r="E1847" s="8"/>
      <c r="F1847" s="8"/>
      <c r="G1847" s="8"/>
      <c r="H1847" s="8"/>
      <c r="I1847" s="8"/>
      <c r="J1847" s="8"/>
      <c r="K1847" s="8"/>
      <c r="L1847" s="8"/>
    </row>
    <row r="1848" spans="3:12" x14ac:dyDescent="0.25">
      <c r="C1848" s="7"/>
      <c r="E1848" s="8"/>
      <c r="F1848" s="8"/>
      <c r="G1848" s="8"/>
      <c r="H1848" s="8"/>
      <c r="I1848" s="8"/>
      <c r="J1848" s="8"/>
      <c r="K1848" s="8"/>
      <c r="L1848" s="8"/>
    </row>
    <row r="1849" spans="3:12" x14ac:dyDescent="0.25">
      <c r="C1849" s="7"/>
      <c r="E1849" s="8"/>
      <c r="F1849" s="8"/>
      <c r="G1849" s="8"/>
      <c r="H1849" s="8"/>
      <c r="I1849" s="8"/>
      <c r="J1849" s="8"/>
      <c r="K1849" s="8"/>
      <c r="L1849" s="8"/>
    </row>
    <row r="1850" spans="3:12" x14ac:dyDescent="0.25">
      <c r="C1850" s="7"/>
      <c r="E1850" s="8"/>
      <c r="F1850" s="8"/>
      <c r="G1850" s="8"/>
      <c r="H1850" s="8"/>
      <c r="I1850" s="8"/>
      <c r="J1850" s="8"/>
      <c r="K1850" s="8"/>
      <c r="L1850" s="8"/>
    </row>
    <row r="1851" spans="3:12" x14ac:dyDescent="0.25">
      <c r="C1851" s="7"/>
      <c r="E1851" s="8"/>
      <c r="F1851" s="8"/>
      <c r="G1851" s="8"/>
      <c r="H1851" s="8"/>
      <c r="I1851" s="8"/>
      <c r="J1851" s="8"/>
      <c r="K1851" s="8"/>
      <c r="L1851" s="8"/>
    </row>
    <row r="1852" spans="3:12" x14ac:dyDescent="0.25">
      <c r="C1852" s="7"/>
      <c r="E1852" s="8"/>
      <c r="F1852" s="8"/>
      <c r="G1852" s="8"/>
      <c r="H1852" s="8"/>
      <c r="I1852" s="8"/>
      <c r="J1852" s="8"/>
      <c r="K1852" s="8"/>
      <c r="L1852" s="8"/>
    </row>
    <row r="1853" spans="3:12" x14ac:dyDescent="0.25">
      <c r="C1853" s="7"/>
      <c r="E1853" s="8"/>
      <c r="F1853" s="8"/>
      <c r="G1853" s="8"/>
      <c r="H1853" s="8"/>
      <c r="I1853" s="8"/>
      <c r="J1853" s="8"/>
      <c r="K1853" s="8"/>
      <c r="L1853" s="8"/>
    </row>
    <row r="1854" spans="3:12" x14ac:dyDescent="0.25">
      <c r="C1854" s="7"/>
      <c r="E1854" s="8"/>
      <c r="F1854" s="8"/>
      <c r="G1854" s="8"/>
      <c r="H1854" s="8"/>
      <c r="I1854" s="8"/>
      <c r="J1854" s="8"/>
      <c r="K1854" s="8"/>
      <c r="L1854" s="8"/>
    </row>
    <row r="1855" spans="3:12" x14ac:dyDescent="0.25">
      <c r="C1855" s="7"/>
      <c r="E1855" s="8"/>
      <c r="F1855" s="8"/>
      <c r="G1855" s="8"/>
      <c r="H1855" s="8"/>
      <c r="I1855" s="8"/>
      <c r="J1855" s="8"/>
      <c r="K1855" s="8"/>
      <c r="L1855" s="8"/>
    </row>
    <row r="1856" spans="3:12" x14ac:dyDescent="0.25">
      <c r="C1856" s="7"/>
      <c r="E1856" s="8"/>
      <c r="F1856" s="8"/>
      <c r="G1856" s="8"/>
      <c r="H1856" s="8"/>
      <c r="I1856" s="8"/>
      <c r="J1856" s="8"/>
      <c r="K1856" s="8"/>
      <c r="L1856" s="8"/>
    </row>
    <row r="1857" spans="3:12" x14ac:dyDescent="0.25">
      <c r="C1857" s="7"/>
      <c r="E1857" s="8"/>
      <c r="F1857" s="8"/>
      <c r="G1857" s="8"/>
      <c r="H1857" s="8"/>
      <c r="I1857" s="8"/>
      <c r="J1857" s="8"/>
      <c r="K1857" s="8"/>
      <c r="L1857" s="8"/>
    </row>
    <row r="1858" spans="3:12" x14ac:dyDescent="0.25">
      <c r="C1858" s="7"/>
      <c r="E1858" s="8"/>
      <c r="F1858" s="8"/>
      <c r="G1858" s="8"/>
      <c r="H1858" s="8"/>
      <c r="I1858" s="8"/>
      <c r="J1858" s="8"/>
      <c r="K1858" s="8"/>
      <c r="L1858" s="8"/>
    </row>
    <row r="1859" spans="3:12" x14ac:dyDescent="0.25">
      <c r="C1859" s="7"/>
      <c r="E1859" s="8"/>
      <c r="F1859" s="8"/>
      <c r="G1859" s="8"/>
      <c r="H1859" s="8"/>
      <c r="I1859" s="8"/>
      <c r="J1859" s="8"/>
      <c r="K1859" s="8"/>
      <c r="L1859" s="8"/>
    </row>
    <row r="1860" spans="3:12" x14ac:dyDescent="0.25">
      <c r="C1860" s="7"/>
      <c r="E1860" s="8"/>
      <c r="F1860" s="8"/>
      <c r="G1860" s="8"/>
      <c r="H1860" s="8"/>
      <c r="I1860" s="8"/>
      <c r="J1860" s="8"/>
      <c r="K1860" s="8"/>
      <c r="L1860" s="8"/>
    </row>
    <row r="1861" spans="3:12" x14ac:dyDescent="0.25">
      <c r="C1861" s="7"/>
      <c r="E1861" s="8"/>
      <c r="F1861" s="8"/>
      <c r="G1861" s="8"/>
      <c r="H1861" s="8"/>
      <c r="I1861" s="8"/>
      <c r="J1861" s="8"/>
      <c r="K1861" s="8"/>
      <c r="L1861" s="8"/>
    </row>
    <row r="1862" spans="3:12" x14ac:dyDescent="0.25">
      <c r="C1862" s="7"/>
      <c r="E1862" s="8"/>
      <c r="F1862" s="8"/>
      <c r="G1862" s="8"/>
      <c r="H1862" s="8"/>
      <c r="I1862" s="8"/>
      <c r="J1862" s="8"/>
      <c r="K1862" s="8"/>
      <c r="L1862" s="8"/>
    </row>
    <row r="1863" spans="3:12" x14ac:dyDescent="0.25">
      <c r="C1863" s="7"/>
      <c r="E1863" s="8"/>
      <c r="F1863" s="8"/>
      <c r="G1863" s="8"/>
      <c r="H1863" s="8"/>
      <c r="I1863" s="8"/>
      <c r="J1863" s="8"/>
      <c r="K1863" s="8"/>
      <c r="L1863" s="8"/>
    </row>
    <row r="1864" spans="3:12" x14ac:dyDescent="0.25">
      <c r="C1864" s="7"/>
      <c r="E1864" s="8"/>
      <c r="F1864" s="8"/>
      <c r="G1864" s="8"/>
      <c r="H1864" s="8"/>
      <c r="I1864" s="8"/>
      <c r="J1864" s="8"/>
      <c r="K1864" s="8"/>
      <c r="L1864" s="8"/>
    </row>
    <row r="1865" spans="3:12" x14ac:dyDescent="0.25">
      <c r="C1865" s="7"/>
      <c r="E1865" s="8"/>
      <c r="F1865" s="8"/>
      <c r="G1865" s="8"/>
      <c r="H1865" s="8"/>
      <c r="I1865" s="8"/>
      <c r="J1865" s="8"/>
      <c r="K1865" s="8"/>
      <c r="L1865" s="8"/>
    </row>
    <row r="1866" spans="3:12" x14ac:dyDescent="0.25">
      <c r="C1866" s="7"/>
      <c r="E1866" s="8"/>
      <c r="F1866" s="8"/>
      <c r="G1866" s="8"/>
      <c r="H1866" s="8"/>
      <c r="I1866" s="8"/>
      <c r="J1866" s="8"/>
      <c r="K1866" s="8"/>
      <c r="L1866" s="8"/>
    </row>
    <row r="1867" spans="3:12" x14ac:dyDescent="0.25">
      <c r="C1867" s="7"/>
      <c r="E1867" s="8"/>
      <c r="F1867" s="8"/>
      <c r="G1867" s="8"/>
      <c r="H1867" s="8"/>
      <c r="I1867" s="8"/>
      <c r="J1867" s="8"/>
      <c r="K1867" s="8"/>
      <c r="L1867" s="8"/>
    </row>
    <row r="1868" spans="3:12" x14ac:dyDescent="0.25">
      <c r="C1868" s="7"/>
      <c r="E1868" s="8"/>
      <c r="F1868" s="8"/>
      <c r="G1868" s="8"/>
      <c r="H1868" s="8"/>
      <c r="I1868" s="8"/>
      <c r="J1868" s="8"/>
      <c r="K1868" s="8"/>
      <c r="L1868" s="8"/>
    </row>
    <row r="1869" spans="3:12" x14ac:dyDescent="0.25">
      <c r="C1869" s="7"/>
      <c r="E1869" s="8"/>
      <c r="F1869" s="8"/>
      <c r="G1869" s="8"/>
      <c r="H1869" s="8"/>
      <c r="I1869" s="8"/>
      <c r="J1869" s="8"/>
      <c r="K1869" s="8"/>
      <c r="L1869" s="8"/>
    </row>
    <row r="1870" spans="3:12" x14ac:dyDescent="0.25">
      <c r="C1870" s="7"/>
      <c r="E1870" s="8"/>
      <c r="F1870" s="8"/>
      <c r="G1870" s="8"/>
      <c r="H1870" s="8"/>
      <c r="I1870" s="8"/>
      <c r="J1870" s="8"/>
      <c r="K1870" s="8"/>
      <c r="L1870" s="8"/>
    </row>
    <row r="1871" spans="3:12" x14ac:dyDescent="0.25">
      <c r="C1871" s="7"/>
      <c r="E1871" s="8"/>
      <c r="F1871" s="8"/>
      <c r="G1871" s="8"/>
      <c r="H1871" s="8"/>
      <c r="I1871" s="8"/>
      <c r="J1871" s="8"/>
      <c r="K1871" s="8"/>
      <c r="L1871" s="8"/>
    </row>
    <row r="1872" spans="3:12" x14ac:dyDescent="0.25">
      <c r="C1872" s="7"/>
      <c r="E1872" s="8"/>
      <c r="F1872" s="8"/>
      <c r="G1872" s="8"/>
      <c r="H1872" s="8"/>
      <c r="I1872" s="8"/>
      <c r="J1872" s="8"/>
      <c r="K1872" s="8"/>
      <c r="L1872" s="8"/>
    </row>
    <row r="1873" spans="3:12" x14ac:dyDescent="0.25">
      <c r="C1873" s="7"/>
      <c r="E1873" s="8"/>
      <c r="F1873" s="8"/>
      <c r="G1873" s="8"/>
      <c r="H1873" s="8"/>
      <c r="I1873" s="8"/>
      <c r="J1873" s="8"/>
      <c r="K1873" s="8"/>
      <c r="L1873" s="8"/>
    </row>
    <row r="1874" spans="3:12" x14ac:dyDescent="0.25">
      <c r="C1874" s="7"/>
      <c r="E1874" s="8"/>
      <c r="F1874" s="8"/>
      <c r="G1874" s="8"/>
      <c r="H1874" s="8"/>
      <c r="I1874" s="8"/>
      <c r="J1874" s="8"/>
      <c r="K1874" s="8"/>
      <c r="L1874" s="8"/>
    </row>
    <row r="1875" spans="3:12" x14ac:dyDescent="0.25">
      <c r="C1875" s="7"/>
      <c r="E1875" s="8"/>
      <c r="F1875" s="8"/>
      <c r="G1875" s="8"/>
      <c r="H1875" s="8"/>
      <c r="I1875" s="8"/>
      <c r="J1875" s="8"/>
      <c r="K1875" s="8"/>
      <c r="L1875" s="8"/>
    </row>
    <row r="1876" spans="3:12" x14ac:dyDescent="0.25">
      <c r="C1876" s="7"/>
      <c r="E1876" s="8"/>
      <c r="F1876" s="8"/>
      <c r="G1876" s="8"/>
      <c r="H1876" s="8"/>
      <c r="I1876" s="8"/>
      <c r="J1876" s="8"/>
      <c r="K1876" s="8"/>
      <c r="L1876" s="8"/>
    </row>
    <row r="1877" spans="3:12" x14ac:dyDescent="0.25">
      <c r="C1877" s="7"/>
      <c r="E1877" s="8"/>
      <c r="F1877" s="8"/>
      <c r="G1877" s="8"/>
      <c r="H1877" s="8"/>
      <c r="I1877" s="8"/>
      <c r="J1877" s="8"/>
      <c r="K1877" s="8"/>
      <c r="L1877" s="8"/>
    </row>
    <row r="1878" spans="3:12" x14ac:dyDescent="0.25">
      <c r="C1878" s="7"/>
      <c r="E1878" s="8"/>
      <c r="F1878" s="8"/>
      <c r="G1878" s="8"/>
      <c r="H1878" s="8"/>
      <c r="I1878" s="8"/>
      <c r="J1878" s="8"/>
      <c r="K1878" s="8"/>
      <c r="L1878" s="8"/>
    </row>
    <row r="1879" spans="3:12" x14ac:dyDescent="0.25">
      <c r="C1879" s="7"/>
      <c r="E1879" s="8"/>
      <c r="F1879" s="8"/>
      <c r="G1879" s="8"/>
      <c r="H1879" s="8"/>
      <c r="I1879" s="8"/>
      <c r="J1879" s="8"/>
      <c r="K1879" s="8"/>
      <c r="L1879" s="8"/>
    </row>
    <row r="1880" spans="3:12" x14ac:dyDescent="0.25">
      <c r="C1880" s="7"/>
      <c r="E1880" s="8"/>
      <c r="F1880" s="8"/>
      <c r="G1880" s="8"/>
      <c r="H1880" s="8"/>
      <c r="I1880" s="8"/>
      <c r="J1880" s="8"/>
      <c r="K1880" s="8"/>
      <c r="L1880" s="8"/>
    </row>
    <row r="1881" spans="3:12" x14ac:dyDescent="0.25">
      <c r="C1881" s="7"/>
      <c r="E1881" s="8"/>
      <c r="F1881" s="8"/>
      <c r="G1881" s="8"/>
      <c r="H1881" s="8"/>
      <c r="I1881" s="8"/>
      <c r="J1881" s="8"/>
      <c r="K1881" s="8"/>
      <c r="L1881" s="8"/>
    </row>
    <row r="1882" spans="3:12" x14ac:dyDescent="0.25">
      <c r="C1882" s="7"/>
      <c r="E1882" s="8"/>
      <c r="F1882" s="8"/>
      <c r="G1882" s="8"/>
      <c r="H1882" s="8"/>
      <c r="I1882" s="8"/>
      <c r="J1882" s="8"/>
      <c r="K1882" s="8"/>
      <c r="L1882" s="8"/>
    </row>
    <row r="1883" spans="3:12" x14ac:dyDescent="0.25">
      <c r="C1883" s="7"/>
      <c r="E1883" s="8"/>
      <c r="F1883" s="8"/>
      <c r="G1883" s="8"/>
      <c r="H1883" s="8"/>
      <c r="I1883" s="8"/>
      <c r="J1883" s="8"/>
      <c r="K1883" s="8"/>
      <c r="L1883" s="8"/>
    </row>
    <row r="1884" spans="3:12" x14ac:dyDescent="0.25">
      <c r="C1884" s="7"/>
      <c r="E1884" s="8"/>
      <c r="F1884" s="8"/>
      <c r="G1884" s="8"/>
      <c r="H1884" s="8"/>
      <c r="I1884" s="8"/>
      <c r="J1884" s="8"/>
      <c r="K1884" s="8"/>
      <c r="L1884" s="8"/>
    </row>
    <row r="1885" spans="3:12" x14ac:dyDescent="0.25">
      <c r="C1885" s="7"/>
      <c r="E1885" s="8"/>
      <c r="F1885" s="8"/>
      <c r="G1885" s="8"/>
      <c r="H1885" s="8"/>
      <c r="I1885" s="8"/>
      <c r="J1885" s="8"/>
      <c r="K1885" s="8"/>
      <c r="L1885" s="8"/>
    </row>
    <row r="1886" spans="3:12" x14ac:dyDescent="0.25">
      <c r="C1886" s="7"/>
      <c r="E1886" s="8"/>
      <c r="F1886" s="8"/>
      <c r="G1886" s="8"/>
      <c r="H1886" s="8"/>
      <c r="I1886" s="8"/>
      <c r="J1886" s="8"/>
      <c r="K1886" s="8"/>
      <c r="L1886" s="8"/>
    </row>
    <row r="1887" spans="3:12" x14ac:dyDescent="0.25">
      <c r="C1887" s="7"/>
      <c r="E1887" s="8"/>
      <c r="F1887" s="8"/>
      <c r="G1887" s="8"/>
      <c r="H1887" s="8"/>
      <c r="I1887" s="8"/>
      <c r="J1887" s="8"/>
      <c r="K1887" s="8"/>
      <c r="L1887" s="8"/>
    </row>
    <row r="1888" spans="3:12" x14ac:dyDescent="0.25">
      <c r="C1888" s="7"/>
      <c r="E1888" s="8"/>
      <c r="F1888" s="8"/>
      <c r="G1888" s="8"/>
      <c r="H1888" s="8"/>
      <c r="I1888" s="8"/>
      <c r="J1888" s="8"/>
      <c r="K1888" s="8"/>
      <c r="L1888" s="8"/>
    </row>
    <row r="1889" spans="3:12" x14ac:dyDescent="0.25">
      <c r="C1889" s="7"/>
      <c r="E1889" s="8"/>
      <c r="F1889" s="8"/>
      <c r="G1889" s="8"/>
      <c r="H1889" s="8"/>
      <c r="I1889" s="8"/>
      <c r="J1889" s="8"/>
      <c r="K1889" s="8"/>
      <c r="L1889" s="8"/>
    </row>
    <row r="1890" spans="3:12" x14ac:dyDescent="0.25">
      <c r="C1890" s="7"/>
      <c r="E1890" s="8"/>
      <c r="F1890" s="8"/>
      <c r="G1890" s="8"/>
      <c r="H1890" s="8"/>
      <c r="I1890" s="8"/>
      <c r="J1890" s="8"/>
      <c r="K1890" s="8"/>
      <c r="L1890" s="8"/>
    </row>
    <row r="1891" spans="3:12" x14ac:dyDescent="0.25">
      <c r="C1891" s="7"/>
      <c r="E1891" s="8"/>
      <c r="F1891" s="8"/>
      <c r="G1891" s="8"/>
      <c r="H1891" s="8"/>
      <c r="I1891" s="8"/>
      <c r="J1891" s="8"/>
      <c r="K1891" s="8"/>
      <c r="L1891" s="8"/>
    </row>
    <row r="1892" spans="3:12" x14ac:dyDescent="0.25">
      <c r="C1892" s="7"/>
      <c r="E1892" s="8"/>
      <c r="F1892" s="8"/>
      <c r="G1892" s="8"/>
      <c r="H1892" s="8"/>
      <c r="I1892" s="8"/>
      <c r="J1892" s="8"/>
      <c r="K1892" s="8"/>
      <c r="L1892" s="8"/>
    </row>
    <row r="1893" spans="3:12" x14ac:dyDescent="0.25">
      <c r="C1893" s="7"/>
      <c r="E1893" s="8"/>
      <c r="F1893" s="8"/>
      <c r="G1893" s="8"/>
      <c r="H1893" s="8"/>
      <c r="I1893" s="8"/>
      <c r="J1893" s="8"/>
      <c r="K1893" s="8"/>
      <c r="L1893" s="8"/>
    </row>
    <row r="1894" spans="3:12" x14ac:dyDescent="0.25">
      <c r="C1894" s="7"/>
      <c r="E1894" s="8"/>
      <c r="F1894" s="8"/>
      <c r="G1894" s="8"/>
      <c r="H1894" s="8"/>
      <c r="I1894" s="8"/>
      <c r="J1894" s="8"/>
      <c r="K1894" s="8"/>
      <c r="L1894" s="8"/>
    </row>
    <row r="1895" spans="3:12" x14ac:dyDescent="0.25">
      <c r="C1895" s="7"/>
      <c r="E1895" s="8"/>
      <c r="F1895" s="8"/>
      <c r="G1895" s="8"/>
      <c r="H1895" s="8"/>
      <c r="I1895" s="8"/>
      <c r="J1895" s="8"/>
      <c r="K1895" s="8"/>
      <c r="L1895" s="8"/>
    </row>
    <row r="1896" spans="3:12" x14ac:dyDescent="0.25">
      <c r="C1896" s="7"/>
      <c r="E1896" s="8"/>
      <c r="F1896" s="8"/>
      <c r="G1896" s="8"/>
      <c r="H1896" s="8"/>
      <c r="I1896" s="8"/>
      <c r="J1896" s="8"/>
      <c r="K1896" s="8"/>
      <c r="L1896" s="8"/>
    </row>
    <row r="1897" spans="3:12" x14ac:dyDescent="0.25">
      <c r="C1897" s="7"/>
      <c r="E1897" s="8"/>
      <c r="F1897" s="8"/>
      <c r="G1897" s="8"/>
      <c r="H1897" s="8"/>
      <c r="I1897" s="8"/>
      <c r="J1897" s="8"/>
      <c r="K1897" s="8"/>
      <c r="L1897" s="8"/>
    </row>
    <row r="1898" spans="3:12" x14ac:dyDescent="0.25">
      <c r="C1898" s="7"/>
      <c r="E1898" s="8"/>
      <c r="F1898" s="8"/>
      <c r="G1898" s="8"/>
      <c r="H1898" s="8"/>
      <c r="I1898" s="8"/>
      <c r="J1898" s="8"/>
      <c r="K1898" s="8"/>
      <c r="L1898" s="8"/>
    </row>
    <row r="1899" spans="3:12" x14ac:dyDescent="0.25">
      <c r="C1899" s="7"/>
      <c r="E1899" s="8"/>
      <c r="F1899" s="8"/>
      <c r="G1899" s="8"/>
      <c r="H1899" s="8"/>
      <c r="I1899" s="8"/>
      <c r="J1899" s="8"/>
      <c r="K1899" s="8"/>
      <c r="L1899" s="8"/>
    </row>
    <row r="1900" spans="3:12" x14ac:dyDescent="0.25">
      <c r="C1900" s="7"/>
      <c r="E1900" s="8"/>
      <c r="F1900" s="8"/>
      <c r="G1900" s="8"/>
      <c r="H1900" s="8"/>
      <c r="I1900" s="8"/>
      <c r="J1900" s="8"/>
      <c r="K1900" s="8"/>
      <c r="L1900" s="8"/>
    </row>
    <row r="1901" spans="3:12" x14ac:dyDescent="0.25">
      <c r="C1901" s="7"/>
      <c r="E1901" s="8"/>
      <c r="F1901" s="8"/>
      <c r="G1901" s="8"/>
      <c r="H1901" s="8"/>
      <c r="I1901" s="8"/>
      <c r="J1901" s="8"/>
      <c r="K1901" s="8"/>
      <c r="L1901" s="8"/>
    </row>
    <row r="1902" spans="3:12" x14ac:dyDescent="0.25">
      <c r="C1902" s="7"/>
      <c r="E1902" s="8"/>
      <c r="F1902" s="8"/>
      <c r="G1902" s="8"/>
      <c r="H1902" s="8"/>
      <c r="I1902" s="8"/>
      <c r="J1902" s="8"/>
      <c r="K1902" s="8"/>
      <c r="L1902" s="8"/>
    </row>
    <row r="1903" spans="3:12" x14ac:dyDescent="0.25">
      <c r="C1903" s="7"/>
      <c r="E1903" s="8"/>
      <c r="F1903" s="8"/>
      <c r="G1903" s="8"/>
      <c r="H1903" s="8"/>
      <c r="I1903" s="8"/>
      <c r="J1903" s="8"/>
      <c r="K1903" s="8"/>
      <c r="L1903" s="8"/>
    </row>
    <row r="1904" spans="3:12" x14ac:dyDescent="0.25">
      <c r="C1904" s="7"/>
      <c r="E1904" s="8"/>
      <c r="F1904" s="8"/>
      <c r="G1904" s="8"/>
      <c r="H1904" s="8"/>
      <c r="I1904" s="8"/>
      <c r="J1904" s="8"/>
      <c r="K1904" s="8"/>
      <c r="L1904" s="8"/>
    </row>
    <row r="1905" spans="3:12" x14ac:dyDescent="0.25">
      <c r="C1905" s="7"/>
      <c r="E1905" s="8"/>
      <c r="F1905" s="8"/>
      <c r="G1905" s="8"/>
      <c r="H1905" s="8"/>
      <c r="I1905" s="8"/>
      <c r="J1905" s="8"/>
      <c r="K1905" s="8"/>
      <c r="L1905" s="8"/>
    </row>
    <row r="1906" spans="3:12" x14ac:dyDescent="0.25">
      <c r="C1906" s="7"/>
      <c r="E1906" s="8"/>
      <c r="F1906" s="8"/>
      <c r="G1906" s="8"/>
      <c r="H1906" s="8"/>
      <c r="I1906" s="8"/>
      <c r="J1906" s="8"/>
      <c r="K1906" s="8"/>
      <c r="L1906" s="8"/>
    </row>
    <row r="1907" spans="3:12" x14ac:dyDescent="0.25">
      <c r="C1907" s="7"/>
      <c r="E1907" s="8"/>
      <c r="F1907" s="8"/>
      <c r="G1907" s="8"/>
      <c r="H1907" s="8"/>
      <c r="I1907" s="8"/>
      <c r="J1907" s="8"/>
      <c r="K1907" s="8"/>
      <c r="L1907" s="8"/>
    </row>
    <row r="1908" spans="3:12" x14ac:dyDescent="0.25">
      <c r="C1908" s="7"/>
      <c r="E1908" s="8"/>
      <c r="F1908" s="8"/>
      <c r="G1908" s="8"/>
      <c r="H1908" s="8"/>
      <c r="I1908" s="8"/>
      <c r="J1908" s="8"/>
      <c r="K1908" s="8"/>
      <c r="L1908" s="8"/>
    </row>
    <row r="1909" spans="3:12" x14ac:dyDescent="0.25">
      <c r="C1909" s="7"/>
      <c r="E1909" s="8"/>
      <c r="F1909" s="8"/>
      <c r="G1909" s="8"/>
      <c r="H1909" s="8"/>
      <c r="I1909" s="8"/>
      <c r="J1909" s="8"/>
      <c r="K1909" s="8"/>
      <c r="L1909" s="8"/>
    </row>
    <row r="1910" spans="3:12" x14ac:dyDescent="0.25">
      <c r="C1910" s="7"/>
      <c r="E1910" s="8"/>
      <c r="F1910" s="8"/>
      <c r="G1910" s="8"/>
      <c r="H1910" s="8"/>
      <c r="I1910" s="8"/>
      <c r="J1910" s="8"/>
      <c r="K1910" s="8"/>
      <c r="L1910" s="8"/>
    </row>
    <row r="1911" spans="3:12" x14ac:dyDescent="0.25">
      <c r="C1911" s="7"/>
      <c r="E1911" s="8"/>
      <c r="F1911" s="8"/>
      <c r="G1911" s="8"/>
      <c r="H1911" s="8"/>
      <c r="I1911" s="8"/>
      <c r="J1911" s="8"/>
      <c r="K1911" s="8"/>
      <c r="L1911" s="8"/>
    </row>
    <row r="1912" spans="3:12" x14ac:dyDescent="0.25">
      <c r="C1912" s="7"/>
      <c r="E1912" s="8"/>
      <c r="F1912" s="8"/>
      <c r="G1912" s="8"/>
      <c r="H1912" s="8"/>
      <c r="I1912" s="8"/>
      <c r="J1912" s="8"/>
      <c r="K1912" s="8"/>
      <c r="L1912" s="8"/>
    </row>
    <row r="1913" spans="3:12" x14ac:dyDescent="0.25">
      <c r="C1913" s="7"/>
      <c r="E1913" s="8"/>
      <c r="F1913" s="8"/>
      <c r="G1913" s="8"/>
      <c r="H1913" s="8"/>
      <c r="I1913" s="8"/>
      <c r="J1913" s="8"/>
      <c r="K1913" s="8"/>
      <c r="L1913" s="8"/>
    </row>
    <row r="1914" spans="3:12" x14ac:dyDescent="0.25">
      <c r="C1914" s="7"/>
      <c r="E1914" s="8"/>
      <c r="F1914" s="8"/>
      <c r="G1914" s="8"/>
      <c r="H1914" s="8"/>
      <c r="I1914" s="8"/>
      <c r="J1914" s="8"/>
      <c r="K1914" s="8"/>
      <c r="L1914" s="8"/>
    </row>
    <row r="1915" spans="3:12" x14ac:dyDescent="0.25">
      <c r="C1915" s="7"/>
      <c r="E1915" s="8"/>
      <c r="F1915" s="8"/>
      <c r="G1915" s="8"/>
      <c r="H1915" s="8"/>
      <c r="I1915" s="8"/>
      <c r="J1915" s="8"/>
      <c r="K1915" s="8"/>
      <c r="L1915" s="8"/>
    </row>
    <row r="1916" spans="3:12" x14ac:dyDescent="0.25">
      <c r="C1916" s="7"/>
      <c r="E1916" s="8"/>
      <c r="F1916" s="8"/>
      <c r="G1916" s="8"/>
      <c r="H1916" s="8"/>
      <c r="I1916" s="8"/>
      <c r="J1916" s="8"/>
      <c r="K1916" s="8"/>
      <c r="L1916" s="8"/>
    </row>
    <row r="1917" spans="3:12" x14ac:dyDescent="0.25">
      <c r="C1917" s="7"/>
      <c r="E1917" s="8"/>
      <c r="F1917" s="8"/>
      <c r="G1917" s="8"/>
      <c r="H1917" s="8"/>
      <c r="I1917" s="8"/>
      <c r="J1917" s="8"/>
      <c r="K1917" s="8"/>
      <c r="L1917" s="8"/>
    </row>
    <row r="1918" spans="3:12" x14ac:dyDescent="0.25">
      <c r="C1918" s="7"/>
      <c r="E1918" s="8"/>
      <c r="F1918" s="8"/>
      <c r="G1918" s="8"/>
      <c r="H1918" s="8"/>
      <c r="I1918" s="8"/>
      <c r="J1918" s="8"/>
      <c r="K1918" s="8"/>
      <c r="L1918" s="8"/>
    </row>
    <row r="1919" spans="3:12" x14ac:dyDescent="0.25">
      <c r="C1919" s="7"/>
      <c r="E1919" s="8"/>
      <c r="F1919" s="8"/>
      <c r="G1919" s="8"/>
      <c r="H1919" s="8"/>
      <c r="I1919" s="8"/>
      <c r="J1919" s="8"/>
      <c r="K1919" s="8"/>
      <c r="L1919" s="8"/>
    </row>
    <row r="1920" spans="3:12" x14ac:dyDescent="0.25">
      <c r="C1920" s="7"/>
      <c r="E1920" s="8"/>
      <c r="F1920" s="8"/>
      <c r="G1920" s="8"/>
      <c r="H1920" s="8"/>
      <c r="I1920" s="8"/>
      <c r="J1920" s="8"/>
      <c r="K1920" s="8"/>
      <c r="L1920" s="8"/>
    </row>
    <row r="1921" spans="3:12" x14ac:dyDescent="0.25">
      <c r="C1921" s="7"/>
      <c r="E1921" s="8"/>
      <c r="F1921" s="8"/>
      <c r="G1921" s="8"/>
      <c r="H1921" s="8"/>
      <c r="I1921" s="8"/>
      <c r="J1921" s="8"/>
      <c r="K1921" s="8"/>
      <c r="L1921" s="8"/>
    </row>
    <row r="1922" spans="3:12" x14ac:dyDescent="0.25">
      <c r="C1922" s="7"/>
      <c r="E1922" s="8"/>
      <c r="F1922" s="8"/>
      <c r="G1922" s="8"/>
      <c r="H1922" s="8"/>
      <c r="I1922" s="8"/>
      <c r="J1922" s="8"/>
      <c r="K1922" s="8"/>
      <c r="L1922" s="8"/>
    </row>
    <row r="1923" spans="3:12" x14ac:dyDescent="0.25">
      <c r="C1923" s="7"/>
      <c r="E1923" s="8"/>
      <c r="F1923" s="8"/>
      <c r="G1923" s="8"/>
      <c r="H1923" s="8"/>
      <c r="I1923" s="8"/>
      <c r="J1923" s="8"/>
      <c r="K1923" s="8"/>
      <c r="L1923" s="8"/>
    </row>
    <row r="1924" spans="3:12" x14ac:dyDescent="0.25">
      <c r="C1924" s="7"/>
      <c r="E1924" s="8"/>
      <c r="F1924" s="8"/>
      <c r="G1924" s="8"/>
      <c r="H1924" s="8"/>
      <c r="I1924" s="8"/>
      <c r="J1924" s="8"/>
      <c r="K1924" s="8"/>
      <c r="L1924" s="8"/>
    </row>
    <row r="1925" spans="3:12" x14ac:dyDescent="0.25">
      <c r="C1925" s="7"/>
      <c r="E1925" s="8"/>
      <c r="F1925" s="8"/>
      <c r="G1925" s="8"/>
      <c r="H1925" s="8"/>
      <c r="I1925" s="8"/>
      <c r="J1925" s="8"/>
      <c r="K1925" s="8"/>
      <c r="L1925" s="8"/>
    </row>
    <row r="1926" spans="3:12" x14ac:dyDescent="0.25">
      <c r="C1926" s="7"/>
      <c r="E1926" s="8"/>
      <c r="F1926" s="8"/>
      <c r="G1926" s="8"/>
      <c r="H1926" s="8"/>
      <c r="I1926" s="8"/>
      <c r="J1926" s="8"/>
      <c r="K1926" s="8"/>
      <c r="L1926" s="8"/>
    </row>
    <row r="1927" spans="3:12" x14ac:dyDescent="0.25">
      <c r="C1927" s="7"/>
      <c r="E1927" s="8"/>
      <c r="F1927" s="8"/>
      <c r="G1927" s="8"/>
      <c r="H1927" s="8"/>
      <c r="I1927" s="8"/>
      <c r="J1927" s="8"/>
      <c r="K1927" s="8"/>
      <c r="L1927" s="8"/>
    </row>
    <row r="1928" spans="3:12" x14ac:dyDescent="0.25">
      <c r="C1928" s="7"/>
      <c r="E1928" s="8"/>
      <c r="F1928" s="8"/>
      <c r="G1928" s="8"/>
      <c r="H1928" s="8"/>
      <c r="I1928" s="8"/>
      <c r="J1928" s="8"/>
      <c r="K1928" s="8"/>
      <c r="L1928" s="8"/>
    </row>
    <row r="1929" spans="3:12" x14ac:dyDescent="0.25">
      <c r="C1929" s="7"/>
      <c r="E1929" s="8"/>
      <c r="F1929" s="8"/>
      <c r="G1929" s="8"/>
      <c r="H1929" s="8"/>
      <c r="I1929" s="8"/>
      <c r="J1929" s="8"/>
      <c r="K1929" s="8"/>
      <c r="L1929" s="8"/>
    </row>
    <row r="1930" spans="3:12" x14ac:dyDescent="0.25">
      <c r="C1930" s="7"/>
      <c r="E1930" s="8"/>
      <c r="F1930" s="8"/>
      <c r="G1930" s="8"/>
      <c r="H1930" s="8"/>
      <c r="I1930" s="8"/>
      <c r="J1930" s="8"/>
      <c r="K1930" s="8"/>
      <c r="L1930" s="8"/>
    </row>
    <row r="1931" spans="3:12" x14ac:dyDescent="0.25">
      <c r="C1931" s="7"/>
      <c r="E1931" s="8"/>
      <c r="F1931" s="8"/>
      <c r="G1931" s="8"/>
      <c r="H1931" s="8"/>
      <c r="I1931" s="8"/>
      <c r="J1931" s="8"/>
      <c r="K1931" s="8"/>
      <c r="L1931" s="8"/>
    </row>
    <row r="1932" spans="3:12" x14ac:dyDescent="0.25">
      <c r="C1932" s="7"/>
      <c r="E1932" s="8"/>
      <c r="F1932" s="8"/>
      <c r="G1932" s="8"/>
      <c r="H1932" s="8"/>
      <c r="I1932" s="8"/>
      <c r="J1932" s="8"/>
      <c r="K1932" s="8"/>
      <c r="L1932" s="8"/>
    </row>
    <row r="1933" spans="3:12" x14ac:dyDescent="0.25">
      <c r="C1933" s="7"/>
      <c r="E1933" s="8"/>
      <c r="F1933" s="8"/>
      <c r="G1933" s="8"/>
      <c r="H1933" s="8"/>
      <c r="I1933" s="8"/>
      <c r="J1933" s="8"/>
      <c r="K1933" s="8"/>
      <c r="L1933" s="8"/>
    </row>
    <row r="1934" spans="3:12" x14ac:dyDescent="0.25">
      <c r="C1934" s="7"/>
      <c r="E1934" s="8"/>
      <c r="F1934" s="8"/>
      <c r="G1934" s="8"/>
      <c r="H1934" s="8"/>
      <c r="I1934" s="8"/>
      <c r="J1934" s="8"/>
      <c r="K1934" s="8"/>
      <c r="L1934" s="8"/>
    </row>
    <row r="1935" spans="3:12" x14ac:dyDescent="0.25">
      <c r="C1935" s="7"/>
      <c r="E1935" s="8"/>
      <c r="F1935" s="8"/>
      <c r="G1935" s="8"/>
      <c r="H1935" s="8"/>
      <c r="I1935" s="8"/>
      <c r="J1935" s="8"/>
      <c r="K1935" s="8"/>
      <c r="L1935" s="8"/>
    </row>
    <row r="1936" spans="3:12" x14ac:dyDescent="0.25">
      <c r="C1936" s="7"/>
      <c r="E1936" s="8"/>
      <c r="F1936" s="8"/>
      <c r="G1936" s="8"/>
      <c r="H1936" s="8"/>
      <c r="I1936" s="8"/>
      <c r="J1936" s="8"/>
      <c r="K1936" s="8"/>
      <c r="L1936" s="8"/>
    </row>
    <row r="1937" spans="3:12" x14ac:dyDescent="0.25">
      <c r="C1937" s="7"/>
      <c r="E1937" s="8"/>
      <c r="F1937" s="8"/>
      <c r="G1937" s="8"/>
      <c r="H1937" s="8"/>
      <c r="I1937" s="8"/>
      <c r="J1937" s="8"/>
      <c r="K1937" s="8"/>
      <c r="L1937" s="8"/>
    </row>
    <row r="1938" spans="3:12" x14ac:dyDescent="0.25">
      <c r="C1938" s="7"/>
      <c r="E1938" s="8"/>
      <c r="F1938" s="8"/>
      <c r="G1938" s="8"/>
      <c r="H1938" s="8"/>
      <c r="I1938" s="8"/>
      <c r="J1938" s="8"/>
      <c r="K1938" s="8"/>
      <c r="L1938" s="8"/>
    </row>
    <row r="1939" spans="3:12" x14ac:dyDescent="0.25">
      <c r="C1939" s="7"/>
      <c r="E1939" s="8"/>
      <c r="F1939" s="8"/>
      <c r="G1939" s="8"/>
      <c r="H1939" s="8"/>
      <c r="I1939" s="8"/>
      <c r="J1939" s="8"/>
      <c r="K1939" s="8"/>
      <c r="L1939" s="8"/>
    </row>
    <row r="1940" spans="3:12" x14ac:dyDescent="0.25">
      <c r="C1940" s="7"/>
      <c r="E1940" s="8"/>
      <c r="F1940" s="8"/>
      <c r="G1940" s="8"/>
      <c r="H1940" s="8"/>
      <c r="I1940" s="8"/>
      <c r="J1940" s="8"/>
      <c r="K1940" s="8"/>
      <c r="L1940" s="8"/>
    </row>
    <row r="1941" spans="3:12" x14ac:dyDescent="0.25">
      <c r="C1941" s="7"/>
      <c r="E1941" s="8"/>
      <c r="F1941" s="8"/>
      <c r="G1941" s="8"/>
      <c r="H1941" s="8"/>
      <c r="I1941" s="8"/>
      <c r="J1941" s="8"/>
      <c r="K1941" s="8"/>
      <c r="L1941" s="8"/>
    </row>
    <row r="1942" spans="3:12" x14ac:dyDescent="0.25">
      <c r="C1942" s="7"/>
      <c r="E1942" s="8"/>
      <c r="F1942" s="8"/>
      <c r="G1942" s="8"/>
      <c r="H1942" s="8"/>
      <c r="I1942" s="8"/>
      <c r="J1942" s="8"/>
      <c r="K1942" s="8"/>
      <c r="L1942" s="8"/>
    </row>
    <row r="1943" spans="3:12" x14ac:dyDescent="0.25">
      <c r="C1943" s="7"/>
      <c r="E1943" s="8"/>
      <c r="F1943" s="8"/>
      <c r="G1943" s="8"/>
      <c r="H1943" s="8"/>
      <c r="I1943" s="8"/>
      <c r="J1943" s="8"/>
      <c r="K1943" s="8"/>
      <c r="L1943" s="8"/>
    </row>
    <row r="1944" spans="3:12" x14ac:dyDescent="0.25">
      <c r="C1944" s="7"/>
      <c r="E1944" s="8"/>
      <c r="F1944" s="8"/>
      <c r="G1944" s="8"/>
      <c r="H1944" s="8"/>
      <c r="I1944" s="8"/>
      <c r="J1944" s="8"/>
      <c r="K1944" s="8"/>
      <c r="L1944" s="8"/>
    </row>
    <row r="1945" spans="3:12" x14ac:dyDescent="0.25">
      <c r="C1945" s="7"/>
      <c r="E1945" s="8"/>
      <c r="F1945" s="8"/>
      <c r="G1945" s="8"/>
      <c r="H1945" s="8"/>
      <c r="I1945" s="8"/>
      <c r="J1945" s="8"/>
      <c r="K1945" s="8"/>
      <c r="L1945" s="8"/>
    </row>
    <row r="1946" spans="3:12" x14ac:dyDescent="0.25">
      <c r="C1946" s="7"/>
      <c r="E1946" s="8"/>
      <c r="F1946" s="8"/>
      <c r="G1946" s="8"/>
      <c r="H1946" s="8"/>
      <c r="I1946" s="8"/>
      <c r="J1946" s="8"/>
      <c r="K1946" s="8"/>
      <c r="L1946" s="8"/>
    </row>
    <row r="1947" spans="3:12" x14ac:dyDescent="0.25">
      <c r="C1947" s="7"/>
      <c r="E1947" s="8"/>
      <c r="F1947" s="8"/>
      <c r="G1947" s="8"/>
      <c r="H1947" s="8"/>
      <c r="I1947" s="8"/>
      <c r="J1947" s="8"/>
      <c r="K1947" s="8"/>
      <c r="L1947" s="8"/>
    </row>
    <row r="1948" spans="3:12" x14ac:dyDescent="0.25">
      <c r="C1948" s="7"/>
      <c r="E1948" s="8"/>
      <c r="F1948" s="8"/>
      <c r="G1948" s="8"/>
      <c r="H1948" s="8"/>
      <c r="I1948" s="8"/>
      <c r="J1948" s="8"/>
      <c r="K1948" s="8"/>
      <c r="L1948" s="8"/>
    </row>
    <row r="1949" spans="3:12" x14ac:dyDescent="0.25">
      <c r="C1949" s="7"/>
      <c r="E1949" s="8"/>
      <c r="F1949" s="8"/>
      <c r="G1949" s="8"/>
      <c r="H1949" s="8"/>
      <c r="I1949" s="8"/>
      <c r="J1949" s="8"/>
      <c r="K1949" s="8"/>
      <c r="L1949" s="8"/>
    </row>
    <row r="1950" spans="3:12" x14ac:dyDescent="0.25">
      <c r="C1950" s="7"/>
      <c r="E1950" s="8"/>
      <c r="F1950" s="8"/>
      <c r="G1950" s="8"/>
      <c r="H1950" s="8"/>
      <c r="I1950" s="8"/>
      <c r="J1950" s="8"/>
      <c r="K1950" s="8"/>
      <c r="L1950" s="8"/>
    </row>
    <row r="1951" spans="3:12" x14ac:dyDescent="0.25">
      <c r="C1951" s="7"/>
      <c r="E1951" s="8"/>
      <c r="F1951" s="8"/>
      <c r="G1951" s="8"/>
      <c r="H1951" s="8"/>
      <c r="I1951" s="8"/>
      <c r="J1951" s="8"/>
      <c r="K1951" s="8"/>
      <c r="L1951" s="8"/>
    </row>
    <row r="1952" spans="3:12" x14ac:dyDescent="0.25">
      <c r="C1952" s="7"/>
      <c r="E1952" s="8"/>
      <c r="F1952" s="8"/>
      <c r="G1952" s="8"/>
      <c r="H1952" s="8"/>
      <c r="I1952" s="8"/>
      <c r="J1952" s="8"/>
      <c r="K1952" s="8"/>
      <c r="L1952" s="8"/>
    </row>
    <row r="1953" spans="3:12" x14ac:dyDescent="0.25">
      <c r="C1953" s="7"/>
      <c r="E1953" s="8"/>
      <c r="F1953" s="8"/>
      <c r="G1953" s="8"/>
      <c r="H1953" s="8"/>
      <c r="I1953" s="8"/>
      <c r="J1953" s="8"/>
      <c r="K1953" s="8"/>
      <c r="L1953" s="8"/>
    </row>
    <row r="1954" spans="3:12" x14ac:dyDescent="0.25">
      <c r="C1954" s="7"/>
      <c r="E1954" s="8"/>
      <c r="F1954" s="8"/>
      <c r="G1954" s="8"/>
      <c r="H1954" s="8"/>
      <c r="I1954" s="8"/>
      <c r="J1954" s="8"/>
      <c r="K1954" s="8"/>
      <c r="L1954" s="8"/>
    </row>
    <row r="1955" spans="3:12" x14ac:dyDescent="0.25">
      <c r="C1955" s="7"/>
      <c r="E1955" s="8"/>
      <c r="F1955" s="8"/>
      <c r="G1955" s="8"/>
      <c r="H1955" s="8"/>
      <c r="I1955" s="8"/>
      <c r="J1955" s="8"/>
      <c r="K1955" s="8"/>
      <c r="L1955" s="8"/>
    </row>
    <row r="1956" spans="3:12" x14ac:dyDescent="0.25">
      <c r="C1956" s="7"/>
      <c r="E1956" s="8"/>
      <c r="F1956" s="8"/>
      <c r="G1956" s="8"/>
      <c r="H1956" s="8"/>
      <c r="I1956" s="8"/>
      <c r="J1956" s="8"/>
      <c r="K1956" s="8"/>
      <c r="L1956" s="8"/>
    </row>
    <row r="1957" spans="3:12" x14ac:dyDescent="0.25">
      <c r="C1957" s="7"/>
      <c r="E1957" s="8"/>
      <c r="F1957" s="8"/>
      <c r="G1957" s="8"/>
      <c r="H1957" s="8"/>
      <c r="I1957" s="8"/>
      <c r="J1957" s="8"/>
      <c r="K1957" s="8"/>
      <c r="L1957" s="8"/>
    </row>
    <row r="1958" spans="3:12" x14ac:dyDescent="0.25">
      <c r="C1958" s="7"/>
      <c r="E1958" s="8"/>
      <c r="F1958" s="8"/>
      <c r="G1958" s="8"/>
      <c r="H1958" s="8"/>
      <c r="I1958" s="8"/>
      <c r="J1958" s="8"/>
      <c r="K1958" s="8"/>
      <c r="L1958" s="8"/>
    </row>
    <row r="1959" spans="3:12" x14ac:dyDescent="0.25">
      <c r="C1959" s="7"/>
      <c r="E1959" s="8"/>
      <c r="F1959" s="8"/>
      <c r="G1959" s="8"/>
      <c r="H1959" s="8"/>
      <c r="I1959" s="8"/>
      <c r="J1959" s="8"/>
      <c r="K1959" s="8"/>
      <c r="L1959" s="8"/>
    </row>
    <row r="1960" spans="3:12" x14ac:dyDescent="0.25">
      <c r="C1960" s="7"/>
      <c r="E1960" s="8"/>
      <c r="F1960" s="8"/>
      <c r="G1960" s="8"/>
      <c r="H1960" s="8"/>
      <c r="I1960" s="8"/>
      <c r="J1960" s="8"/>
      <c r="K1960" s="8"/>
      <c r="L1960" s="8"/>
    </row>
    <row r="1961" spans="3:12" x14ac:dyDescent="0.25">
      <c r="C1961" s="7"/>
      <c r="E1961" s="8"/>
      <c r="F1961" s="8"/>
      <c r="G1961" s="8"/>
      <c r="H1961" s="8"/>
      <c r="I1961" s="8"/>
      <c r="J1961" s="8"/>
      <c r="K1961" s="8"/>
      <c r="L1961" s="8"/>
    </row>
    <row r="1962" spans="3:12" x14ac:dyDescent="0.25">
      <c r="C1962" s="7"/>
      <c r="E1962" s="8"/>
      <c r="F1962" s="8"/>
      <c r="G1962" s="8"/>
      <c r="H1962" s="8"/>
      <c r="I1962" s="8"/>
      <c r="J1962" s="8"/>
      <c r="K1962" s="8"/>
      <c r="L1962" s="8"/>
    </row>
    <row r="1963" spans="3:12" x14ac:dyDescent="0.25">
      <c r="C1963" s="7"/>
      <c r="E1963" s="8"/>
      <c r="F1963" s="8"/>
      <c r="G1963" s="8"/>
      <c r="H1963" s="8"/>
      <c r="I1963" s="8"/>
      <c r="J1963" s="8"/>
      <c r="K1963" s="8"/>
      <c r="L1963" s="8"/>
    </row>
    <row r="1964" spans="3:12" x14ac:dyDescent="0.25">
      <c r="C1964" s="7"/>
      <c r="E1964" s="8"/>
      <c r="F1964" s="8"/>
      <c r="G1964" s="8"/>
      <c r="H1964" s="8"/>
      <c r="I1964" s="8"/>
      <c r="J1964" s="8"/>
      <c r="K1964" s="8"/>
      <c r="L1964" s="8"/>
    </row>
    <row r="1965" spans="3:12" x14ac:dyDescent="0.25">
      <c r="C1965" s="7"/>
      <c r="E1965" s="8"/>
      <c r="F1965" s="8"/>
      <c r="G1965" s="8"/>
      <c r="H1965" s="8"/>
      <c r="I1965" s="8"/>
      <c r="J1965" s="8"/>
      <c r="K1965" s="8"/>
      <c r="L1965" s="8"/>
    </row>
    <row r="1966" spans="3:12" x14ac:dyDescent="0.25">
      <c r="C1966" s="7"/>
      <c r="E1966" s="8"/>
      <c r="F1966" s="8"/>
      <c r="G1966" s="8"/>
      <c r="H1966" s="8"/>
      <c r="I1966" s="8"/>
      <c r="J1966" s="8"/>
      <c r="K1966" s="8"/>
      <c r="L1966" s="8"/>
    </row>
    <row r="1967" spans="3:12" x14ac:dyDescent="0.25">
      <c r="C1967" s="7"/>
      <c r="E1967" s="8"/>
      <c r="F1967" s="8"/>
      <c r="G1967" s="8"/>
      <c r="H1967" s="8"/>
      <c r="I1967" s="8"/>
      <c r="J1967" s="8"/>
      <c r="K1967" s="8"/>
      <c r="L1967" s="8"/>
    </row>
    <row r="1968" spans="3:12" x14ac:dyDescent="0.25">
      <c r="C1968" s="7"/>
      <c r="E1968" s="8"/>
      <c r="F1968" s="8"/>
      <c r="G1968" s="8"/>
      <c r="H1968" s="8"/>
      <c r="I1968" s="8"/>
      <c r="J1968" s="8"/>
      <c r="K1968" s="8"/>
      <c r="L1968" s="8"/>
    </row>
    <row r="1969" spans="3:12" x14ac:dyDescent="0.25">
      <c r="C1969" s="7"/>
      <c r="E1969" s="8"/>
      <c r="F1969" s="8"/>
      <c r="G1969" s="8"/>
      <c r="H1969" s="8"/>
      <c r="I1969" s="8"/>
      <c r="J1969" s="8"/>
      <c r="K1969" s="8"/>
      <c r="L1969" s="8"/>
    </row>
    <row r="1970" spans="3:12" x14ac:dyDescent="0.25">
      <c r="C1970" s="7"/>
      <c r="E1970" s="8"/>
      <c r="F1970" s="8"/>
      <c r="G1970" s="8"/>
      <c r="H1970" s="8"/>
      <c r="I1970" s="8"/>
      <c r="J1970" s="8"/>
      <c r="K1970" s="8"/>
      <c r="L1970" s="8"/>
    </row>
    <row r="1971" spans="3:12" x14ac:dyDescent="0.25">
      <c r="C1971" s="7"/>
      <c r="E1971" s="8"/>
      <c r="F1971" s="8"/>
      <c r="G1971" s="8"/>
      <c r="H1971" s="8"/>
      <c r="I1971" s="8"/>
      <c r="J1971" s="8"/>
      <c r="K1971" s="8"/>
      <c r="L1971" s="8"/>
    </row>
    <row r="1972" spans="3:12" x14ac:dyDescent="0.25">
      <c r="C1972" s="7"/>
      <c r="E1972" s="8"/>
      <c r="F1972" s="8"/>
      <c r="G1972" s="8"/>
      <c r="H1972" s="8"/>
      <c r="I1972" s="8"/>
      <c r="J1972" s="8"/>
      <c r="K1972" s="8"/>
      <c r="L1972" s="8"/>
    </row>
    <row r="1973" spans="3:12" x14ac:dyDescent="0.25">
      <c r="C1973" s="7"/>
      <c r="E1973" s="8"/>
      <c r="F1973" s="8"/>
      <c r="G1973" s="8"/>
      <c r="H1973" s="8"/>
      <c r="I1973" s="8"/>
      <c r="J1973" s="8"/>
      <c r="K1973" s="8"/>
      <c r="L1973" s="8"/>
    </row>
    <row r="1974" spans="3:12" x14ac:dyDescent="0.25">
      <c r="C1974" s="7"/>
      <c r="E1974" s="8"/>
      <c r="F1974" s="8"/>
      <c r="G1974" s="8"/>
      <c r="H1974" s="8"/>
      <c r="I1974" s="8"/>
      <c r="J1974" s="8"/>
      <c r="K1974" s="8"/>
      <c r="L1974" s="8"/>
    </row>
    <row r="1975" spans="3:12" x14ac:dyDescent="0.25">
      <c r="C1975" s="7"/>
      <c r="E1975" s="8"/>
      <c r="F1975" s="8"/>
      <c r="G1975" s="8"/>
      <c r="H1975" s="8"/>
      <c r="I1975" s="8"/>
      <c r="J1975" s="8"/>
      <c r="K1975" s="8"/>
      <c r="L1975" s="8"/>
    </row>
    <row r="1976" spans="3:12" x14ac:dyDescent="0.25">
      <c r="C1976" s="7"/>
      <c r="E1976" s="8"/>
      <c r="F1976" s="8"/>
      <c r="G1976" s="8"/>
      <c r="H1976" s="8"/>
      <c r="I1976" s="8"/>
      <c r="J1976" s="8"/>
      <c r="K1976" s="8"/>
      <c r="L1976" s="8"/>
    </row>
    <row r="1977" spans="3:12" x14ac:dyDescent="0.25">
      <c r="C1977" s="7"/>
      <c r="E1977" s="8"/>
      <c r="F1977" s="8"/>
      <c r="G1977" s="8"/>
      <c r="H1977" s="8"/>
      <c r="I1977" s="8"/>
      <c r="J1977" s="8"/>
      <c r="K1977" s="8"/>
      <c r="L1977" s="8"/>
    </row>
    <row r="1978" spans="3:12" x14ac:dyDescent="0.25">
      <c r="C1978" s="7"/>
      <c r="E1978" s="8"/>
      <c r="F1978" s="8"/>
      <c r="G1978" s="8"/>
      <c r="H1978" s="8"/>
      <c r="I1978" s="8"/>
      <c r="J1978" s="8"/>
      <c r="K1978" s="8"/>
      <c r="L1978" s="8"/>
    </row>
    <row r="1979" spans="3:12" x14ac:dyDescent="0.25">
      <c r="C1979" s="7"/>
      <c r="E1979" s="8"/>
      <c r="F1979" s="8"/>
      <c r="G1979" s="8"/>
      <c r="H1979" s="8"/>
      <c r="I1979" s="8"/>
      <c r="J1979" s="8"/>
      <c r="K1979" s="8"/>
      <c r="L1979" s="8"/>
    </row>
    <row r="1980" spans="3:12" x14ac:dyDescent="0.25">
      <c r="C1980" s="7"/>
      <c r="E1980" s="8"/>
      <c r="F1980" s="8"/>
      <c r="G1980" s="8"/>
      <c r="H1980" s="8"/>
      <c r="I1980" s="8"/>
      <c r="J1980" s="8"/>
      <c r="K1980" s="8"/>
      <c r="L1980" s="8"/>
    </row>
    <row r="1981" spans="3:12" x14ac:dyDescent="0.25">
      <c r="C1981" s="7"/>
      <c r="E1981" s="8"/>
      <c r="F1981" s="8"/>
      <c r="G1981" s="8"/>
      <c r="H1981" s="8"/>
      <c r="I1981" s="8"/>
      <c r="J1981" s="8"/>
      <c r="K1981" s="8"/>
      <c r="L1981" s="8"/>
    </row>
    <row r="1982" spans="3:12" x14ac:dyDescent="0.25">
      <c r="C1982" s="7"/>
      <c r="E1982" s="8"/>
      <c r="F1982" s="8"/>
      <c r="G1982" s="8"/>
      <c r="H1982" s="8"/>
      <c r="I1982" s="8"/>
      <c r="J1982" s="8"/>
      <c r="K1982" s="8"/>
      <c r="L1982" s="8"/>
    </row>
    <row r="1983" spans="3:12" x14ac:dyDescent="0.25">
      <c r="C1983" s="7"/>
      <c r="E1983" s="8"/>
      <c r="F1983" s="8"/>
      <c r="G1983" s="8"/>
      <c r="H1983" s="8"/>
      <c r="I1983" s="8"/>
      <c r="J1983" s="8"/>
      <c r="K1983" s="8"/>
      <c r="L1983" s="8"/>
    </row>
    <row r="1984" spans="3:12" x14ac:dyDescent="0.25">
      <c r="C1984" s="7"/>
      <c r="E1984" s="8"/>
      <c r="F1984" s="8"/>
      <c r="G1984" s="8"/>
      <c r="H1984" s="8"/>
      <c r="I1984" s="8"/>
      <c r="J1984" s="8"/>
      <c r="K1984" s="8"/>
      <c r="L1984" s="8"/>
    </row>
    <row r="1985" spans="3:12" x14ac:dyDescent="0.25">
      <c r="C1985" s="7"/>
      <c r="E1985" s="8"/>
      <c r="F1985" s="8"/>
      <c r="G1985" s="8"/>
      <c r="H1985" s="8"/>
      <c r="I1985" s="8"/>
      <c r="J1985" s="8"/>
      <c r="K1985" s="8"/>
      <c r="L1985" s="8"/>
    </row>
    <row r="1986" spans="3:12" x14ac:dyDescent="0.25">
      <c r="C1986" s="7"/>
      <c r="E1986" s="8"/>
      <c r="F1986" s="8"/>
      <c r="G1986" s="8"/>
      <c r="H1986" s="8"/>
      <c r="I1986" s="8"/>
      <c r="J1986" s="8"/>
      <c r="K1986" s="8"/>
      <c r="L1986" s="8"/>
    </row>
    <row r="1987" spans="3:12" x14ac:dyDescent="0.25">
      <c r="C1987" s="7"/>
      <c r="E1987" s="8"/>
      <c r="F1987" s="8"/>
      <c r="G1987" s="8"/>
      <c r="H1987" s="8"/>
      <c r="I1987" s="8"/>
      <c r="J1987" s="8"/>
      <c r="K1987" s="8"/>
      <c r="L1987" s="8"/>
    </row>
    <row r="1988" spans="3:12" x14ac:dyDescent="0.25">
      <c r="C1988" s="7"/>
      <c r="E1988" s="8"/>
      <c r="F1988" s="8"/>
      <c r="G1988" s="8"/>
      <c r="H1988" s="8"/>
      <c r="I1988" s="8"/>
      <c r="J1988" s="8"/>
      <c r="K1988" s="8"/>
      <c r="L1988" s="8"/>
    </row>
    <row r="1989" spans="3:12" x14ac:dyDescent="0.25">
      <c r="C1989" s="7"/>
      <c r="E1989" s="8"/>
      <c r="F1989" s="8"/>
      <c r="G1989" s="8"/>
      <c r="H1989" s="8"/>
      <c r="I1989" s="8"/>
      <c r="J1989" s="8"/>
      <c r="K1989" s="8"/>
      <c r="L1989" s="8"/>
    </row>
    <row r="1990" spans="3:12" x14ac:dyDescent="0.25">
      <c r="C1990" s="7"/>
      <c r="E1990" s="8"/>
      <c r="F1990" s="8"/>
      <c r="G1990" s="8"/>
      <c r="H1990" s="8"/>
      <c r="I1990" s="8"/>
      <c r="J1990" s="8"/>
      <c r="K1990" s="8"/>
      <c r="L1990" s="8"/>
    </row>
    <row r="1991" spans="3:12" x14ac:dyDescent="0.25">
      <c r="C1991" s="7"/>
      <c r="E1991" s="8"/>
      <c r="F1991" s="8"/>
      <c r="G1991" s="8"/>
      <c r="H1991" s="8"/>
      <c r="I1991" s="8"/>
      <c r="J1991" s="8"/>
      <c r="K1991" s="8"/>
      <c r="L1991" s="8"/>
    </row>
    <row r="1992" spans="3:12" x14ac:dyDescent="0.25">
      <c r="C1992" s="7"/>
      <c r="E1992" s="8"/>
      <c r="F1992" s="8"/>
      <c r="G1992" s="8"/>
      <c r="H1992" s="8"/>
      <c r="I1992" s="8"/>
      <c r="J1992" s="8"/>
      <c r="K1992" s="8"/>
      <c r="L1992" s="8"/>
    </row>
    <row r="1993" spans="3:12" x14ac:dyDescent="0.25">
      <c r="C1993" s="7"/>
      <c r="E1993" s="8"/>
      <c r="F1993" s="8"/>
      <c r="G1993" s="8"/>
      <c r="H1993" s="8"/>
      <c r="I1993" s="8"/>
      <c r="J1993" s="8"/>
      <c r="K1993" s="8"/>
      <c r="L1993" s="8"/>
    </row>
    <row r="1994" spans="3:12" x14ac:dyDescent="0.25">
      <c r="C1994" s="7"/>
      <c r="E1994" s="8"/>
      <c r="F1994" s="8"/>
      <c r="G1994" s="8"/>
      <c r="H1994" s="8"/>
      <c r="I1994" s="8"/>
      <c r="J1994" s="8"/>
      <c r="K1994" s="8"/>
      <c r="L1994" s="8"/>
    </row>
    <row r="1995" spans="3:12" x14ac:dyDescent="0.25">
      <c r="C1995" s="7"/>
      <c r="E1995" s="8"/>
      <c r="F1995" s="8"/>
      <c r="G1995" s="8"/>
      <c r="H1995" s="8"/>
      <c r="I1995" s="8"/>
      <c r="J1995" s="8"/>
      <c r="K1995" s="8"/>
      <c r="L1995" s="8"/>
    </row>
    <row r="1996" spans="3:12" x14ac:dyDescent="0.25">
      <c r="C1996" s="7"/>
      <c r="E1996" s="8"/>
      <c r="F1996" s="8"/>
      <c r="G1996" s="8"/>
      <c r="H1996" s="8"/>
      <c r="I1996" s="8"/>
      <c r="J1996" s="8"/>
      <c r="K1996" s="8"/>
      <c r="L1996" s="8"/>
    </row>
    <row r="1997" spans="3:12" x14ac:dyDescent="0.25">
      <c r="C1997" s="7"/>
      <c r="E1997" s="8"/>
      <c r="F1997" s="8"/>
      <c r="G1997" s="8"/>
      <c r="H1997" s="8"/>
      <c r="I1997" s="8"/>
      <c r="J1997" s="8"/>
      <c r="K1997" s="8"/>
      <c r="L1997" s="8"/>
    </row>
    <row r="1998" spans="3:12" x14ac:dyDescent="0.25">
      <c r="C1998" s="7"/>
      <c r="E1998" s="8"/>
      <c r="F1998" s="8"/>
      <c r="G1998" s="8"/>
      <c r="H1998" s="8"/>
      <c r="I1998" s="8"/>
      <c r="J1998" s="8"/>
      <c r="K1998" s="8"/>
      <c r="L1998" s="8"/>
    </row>
    <row r="1999" spans="3:12" x14ac:dyDescent="0.25">
      <c r="C1999" s="7"/>
      <c r="E1999" s="8"/>
      <c r="F1999" s="8"/>
      <c r="G1999" s="8"/>
      <c r="H1999" s="8"/>
      <c r="I1999" s="8"/>
      <c r="J1999" s="8"/>
      <c r="K1999" s="8"/>
      <c r="L1999" s="8"/>
    </row>
    <row r="2000" spans="3:12" x14ac:dyDescent="0.25">
      <c r="C2000" s="7"/>
      <c r="E2000" s="8"/>
      <c r="F2000" s="8"/>
      <c r="G2000" s="8"/>
      <c r="H2000" s="8"/>
      <c r="I2000" s="8"/>
      <c r="J2000" s="8"/>
      <c r="K2000" s="8"/>
      <c r="L2000" s="8"/>
    </row>
    <row r="2001" spans="3:12" x14ac:dyDescent="0.25">
      <c r="C2001" s="7"/>
      <c r="E2001" s="8"/>
      <c r="F2001" s="8"/>
      <c r="G2001" s="8"/>
      <c r="H2001" s="8"/>
      <c r="I2001" s="8"/>
      <c r="J2001" s="8"/>
      <c r="K2001" s="8"/>
      <c r="L2001" s="8"/>
    </row>
    <row r="2002" spans="3:12" x14ac:dyDescent="0.25">
      <c r="C2002" s="7"/>
      <c r="E2002" s="8"/>
      <c r="F2002" s="8"/>
      <c r="G2002" s="8"/>
      <c r="H2002" s="8"/>
      <c r="I2002" s="8"/>
      <c r="J2002" s="8"/>
      <c r="K2002" s="8"/>
      <c r="L2002" s="8"/>
    </row>
    <row r="2003" spans="3:12" x14ac:dyDescent="0.25">
      <c r="C2003" s="7"/>
      <c r="E2003" s="8"/>
      <c r="F2003" s="8"/>
      <c r="G2003" s="8"/>
      <c r="H2003" s="8"/>
      <c r="I2003" s="8"/>
      <c r="J2003" s="8"/>
      <c r="K2003" s="8"/>
      <c r="L2003" s="8"/>
    </row>
    <row r="2004" spans="3:12" x14ac:dyDescent="0.25">
      <c r="C2004" s="7"/>
      <c r="E2004" s="8"/>
      <c r="F2004" s="8"/>
      <c r="G2004" s="8"/>
      <c r="H2004" s="8"/>
      <c r="I2004" s="8"/>
      <c r="J2004" s="8"/>
      <c r="K2004" s="8"/>
      <c r="L2004" s="8"/>
    </row>
    <row r="2005" spans="3:12" x14ac:dyDescent="0.25">
      <c r="C2005" s="7"/>
      <c r="E2005" s="8"/>
      <c r="F2005" s="8"/>
      <c r="G2005" s="8"/>
      <c r="H2005" s="8"/>
      <c r="I2005" s="8"/>
      <c r="J2005" s="8"/>
      <c r="K2005" s="8"/>
      <c r="L2005" s="8"/>
    </row>
    <row r="2006" spans="3:12" x14ac:dyDescent="0.25">
      <c r="C2006" s="7"/>
      <c r="E2006" s="8"/>
      <c r="F2006" s="8"/>
      <c r="G2006" s="8"/>
      <c r="H2006" s="8"/>
      <c r="I2006" s="8"/>
      <c r="J2006" s="8"/>
      <c r="K2006" s="8"/>
      <c r="L2006" s="8"/>
    </row>
    <row r="2007" spans="3:12" x14ac:dyDescent="0.25">
      <c r="C2007" s="7"/>
      <c r="E2007" s="8"/>
      <c r="F2007" s="8"/>
      <c r="G2007" s="8"/>
      <c r="H2007" s="8"/>
      <c r="I2007" s="8"/>
      <c r="J2007" s="8"/>
      <c r="K2007" s="8"/>
      <c r="L2007" s="8"/>
    </row>
    <row r="2008" spans="3:12" x14ac:dyDescent="0.25">
      <c r="C2008" s="7"/>
      <c r="E2008" s="8"/>
      <c r="F2008" s="8"/>
      <c r="G2008" s="8"/>
      <c r="H2008" s="8"/>
      <c r="I2008" s="8"/>
      <c r="J2008" s="8"/>
      <c r="K2008" s="8"/>
      <c r="L2008" s="8"/>
    </row>
    <row r="2009" spans="3:12" x14ac:dyDescent="0.25">
      <c r="C2009" s="7"/>
      <c r="E2009" s="8"/>
      <c r="F2009" s="8"/>
      <c r="G2009" s="8"/>
      <c r="H2009" s="8"/>
      <c r="I2009" s="8"/>
      <c r="J2009" s="8"/>
      <c r="K2009" s="8"/>
      <c r="L2009" s="8"/>
    </row>
    <row r="2010" spans="3:12" x14ac:dyDescent="0.25">
      <c r="C2010" s="7"/>
      <c r="E2010" s="8"/>
      <c r="F2010" s="8"/>
      <c r="G2010" s="8"/>
      <c r="H2010" s="8"/>
      <c r="I2010" s="8"/>
      <c r="J2010" s="8"/>
      <c r="K2010" s="8"/>
      <c r="L2010" s="8"/>
    </row>
    <row r="2011" spans="3:12" x14ac:dyDescent="0.25">
      <c r="C2011" s="7"/>
      <c r="E2011" s="8"/>
      <c r="F2011" s="8"/>
      <c r="G2011" s="8"/>
      <c r="H2011" s="8"/>
      <c r="I2011" s="8"/>
      <c r="J2011" s="8"/>
      <c r="K2011" s="8"/>
      <c r="L2011" s="8"/>
    </row>
    <row r="2012" spans="3:12" x14ac:dyDescent="0.25">
      <c r="C2012" s="7"/>
      <c r="E2012" s="8"/>
      <c r="F2012" s="8"/>
      <c r="G2012" s="8"/>
      <c r="H2012" s="8"/>
      <c r="I2012" s="8"/>
      <c r="J2012" s="8"/>
      <c r="K2012" s="8"/>
      <c r="L2012" s="8"/>
    </row>
    <row r="2013" spans="3:12" x14ac:dyDescent="0.25">
      <c r="C2013" s="7"/>
      <c r="E2013" s="8"/>
      <c r="F2013" s="8"/>
      <c r="G2013" s="8"/>
      <c r="H2013" s="8"/>
      <c r="I2013" s="8"/>
      <c r="J2013" s="8"/>
      <c r="K2013" s="8"/>
      <c r="L2013" s="8"/>
    </row>
    <row r="2014" spans="3:12" x14ac:dyDescent="0.25">
      <c r="C2014" s="7"/>
      <c r="E2014" s="8"/>
      <c r="F2014" s="8"/>
      <c r="G2014" s="8"/>
      <c r="H2014" s="8"/>
      <c r="I2014" s="8"/>
      <c r="J2014" s="8"/>
      <c r="K2014" s="8"/>
      <c r="L2014" s="8"/>
    </row>
    <row r="2015" spans="3:12" x14ac:dyDescent="0.25">
      <c r="C2015" s="7"/>
      <c r="E2015" s="8"/>
      <c r="F2015" s="8"/>
      <c r="G2015" s="8"/>
      <c r="H2015" s="8"/>
      <c r="I2015" s="8"/>
      <c r="J2015" s="8"/>
      <c r="K2015" s="8"/>
      <c r="L2015" s="8"/>
    </row>
    <row r="2016" spans="3:12" x14ac:dyDescent="0.25">
      <c r="C2016" s="7"/>
      <c r="E2016" s="8"/>
      <c r="F2016" s="8"/>
      <c r="G2016" s="8"/>
      <c r="H2016" s="8"/>
      <c r="I2016" s="8"/>
      <c r="J2016" s="8"/>
      <c r="K2016" s="8"/>
      <c r="L2016" s="8"/>
    </row>
    <row r="2017" spans="3:12" x14ac:dyDescent="0.25">
      <c r="C2017" s="7"/>
      <c r="E2017" s="8"/>
      <c r="F2017" s="8"/>
      <c r="G2017" s="8"/>
      <c r="H2017" s="8"/>
      <c r="I2017" s="8"/>
      <c r="J2017" s="8"/>
      <c r="K2017" s="8"/>
      <c r="L2017" s="8"/>
    </row>
    <row r="2018" spans="3:12" x14ac:dyDescent="0.25">
      <c r="C2018" s="7"/>
      <c r="E2018" s="8"/>
      <c r="F2018" s="8"/>
      <c r="G2018" s="8"/>
      <c r="H2018" s="8"/>
      <c r="I2018" s="8"/>
      <c r="J2018" s="8"/>
      <c r="K2018" s="8"/>
      <c r="L2018" s="8"/>
    </row>
    <row r="2019" spans="3:12" x14ac:dyDescent="0.25">
      <c r="C2019" s="7"/>
      <c r="E2019" s="8"/>
      <c r="F2019" s="8"/>
      <c r="G2019" s="8"/>
      <c r="H2019" s="8"/>
      <c r="I2019" s="8"/>
      <c r="J2019" s="8"/>
      <c r="K2019" s="8"/>
      <c r="L2019" s="8"/>
    </row>
    <row r="2020" spans="3:12" x14ac:dyDescent="0.25">
      <c r="C2020" s="7"/>
      <c r="E2020" s="8"/>
      <c r="F2020" s="8"/>
      <c r="G2020" s="8"/>
      <c r="H2020" s="8"/>
      <c r="I2020" s="8"/>
      <c r="J2020" s="8"/>
      <c r="K2020" s="8"/>
      <c r="L2020" s="8"/>
    </row>
    <row r="2021" spans="3:12" x14ac:dyDescent="0.25">
      <c r="C2021" s="7"/>
      <c r="E2021" s="8"/>
      <c r="F2021" s="8"/>
      <c r="G2021" s="8"/>
      <c r="H2021" s="8"/>
      <c r="I2021" s="8"/>
      <c r="J2021" s="8"/>
      <c r="K2021" s="8"/>
      <c r="L2021" s="8"/>
    </row>
    <row r="2022" spans="3:12" x14ac:dyDescent="0.25">
      <c r="C2022" s="7"/>
      <c r="E2022" s="8"/>
      <c r="F2022" s="8"/>
      <c r="G2022" s="8"/>
      <c r="H2022" s="8"/>
      <c r="I2022" s="8"/>
      <c r="J2022" s="8"/>
      <c r="K2022" s="8"/>
      <c r="L2022" s="8"/>
    </row>
    <row r="2023" spans="3:12" x14ac:dyDescent="0.25">
      <c r="C2023" s="7"/>
      <c r="E2023" s="8"/>
      <c r="F2023" s="8"/>
      <c r="G2023" s="8"/>
      <c r="H2023" s="8"/>
      <c r="I2023" s="8"/>
      <c r="J2023" s="8"/>
      <c r="K2023" s="8"/>
      <c r="L2023" s="8"/>
    </row>
    <row r="2024" spans="3:12" x14ac:dyDescent="0.25">
      <c r="C2024" s="7"/>
      <c r="E2024" s="8"/>
      <c r="F2024" s="8"/>
      <c r="G2024" s="8"/>
      <c r="H2024" s="8"/>
      <c r="I2024" s="8"/>
      <c r="J2024" s="8"/>
      <c r="K2024" s="8"/>
      <c r="L2024" s="8"/>
    </row>
    <row r="2025" spans="3:12" x14ac:dyDescent="0.25">
      <c r="C2025" s="7"/>
      <c r="E2025" s="8"/>
      <c r="F2025" s="8"/>
      <c r="G2025" s="8"/>
      <c r="H2025" s="8"/>
      <c r="I2025" s="8"/>
      <c r="J2025" s="8"/>
      <c r="K2025" s="8"/>
      <c r="L2025" s="8"/>
    </row>
    <row r="2026" spans="3:12" x14ac:dyDescent="0.25">
      <c r="C2026" s="7"/>
      <c r="E2026" s="8"/>
      <c r="F2026" s="8"/>
      <c r="G2026" s="8"/>
      <c r="H2026" s="8"/>
      <c r="I2026" s="8"/>
      <c r="J2026" s="8"/>
      <c r="K2026" s="8"/>
      <c r="L2026" s="8"/>
    </row>
    <row r="2027" spans="3:12" x14ac:dyDescent="0.25">
      <c r="C2027" s="7"/>
      <c r="E2027" s="8"/>
      <c r="F2027" s="8"/>
      <c r="G2027" s="8"/>
      <c r="H2027" s="8"/>
      <c r="I2027" s="8"/>
      <c r="J2027" s="8"/>
      <c r="K2027" s="8"/>
      <c r="L2027" s="8"/>
    </row>
    <row r="2028" spans="3:12" x14ac:dyDescent="0.25">
      <c r="C2028" s="7"/>
      <c r="E2028" s="8"/>
      <c r="F2028" s="8"/>
      <c r="G2028" s="8"/>
      <c r="H2028" s="8"/>
      <c r="I2028" s="8"/>
      <c r="J2028" s="8"/>
      <c r="K2028" s="8"/>
      <c r="L2028" s="8"/>
    </row>
    <row r="2029" spans="3:12" x14ac:dyDescent="0.25">
      <c r="C2029" s="7"/>
      <c r="E2029" s="8"/>
      <c r="F2029" s="8"/>
      <c r="G2029" s="8"/>
      <c r="H2029" s="8"/>
      <c r="I2029" s="8"/>
      <c r="J2029" s="8"/>
      <c r="K2029" s="8"/>
      <c r="L2029" s="8"/>
    </row>
    <row r="2030" spans="3:12" x14ac:dyDescent="0.25">
      <c r="C2030" s="7"/>
      <c r="E2030" s="8"/>
      <c r="F2030" s="8"/>
      <c r="G2030" s="8"/>
      <c r="H2030" s="8"/>
      <c r="I2030" s="8"/>
      <c r="J2030" s="8"/>
      <c r="K2030" s="8"/>
      <c r="L2030" s="8"/>
    </row>
    <row r="2031" spans="3:12" x14ac:dyDescent="0.25">
      <c r="C2031" s="7"/>
      <c r="E2031" s="8"/>
      <c r="F2031" s="8"/>
      <c r="G2031" s="8"/>
      <c r="H2031" s="8"/>
      <c r="I2031" s="8"/>
      <c r="J2031" s="8"/>
      <c r="K2031" s="8"/>
      <c r="L2031" s="8"/>
    </row>
    <row r="2032" spans="3:12" x14ac:dyDescent="0.25">
      <c r="C2032" s="7"/>
      <c r="E2032" s="8"/>
      <c r="F2032" s="8"/>
      <c r="G2032" s="8"/>
      <c r="H2032" s="8"/>
      <c r="I2032" s="8"/>
      <c r="J2032" s="8"/>
      <c r="K2032" s="8"/>
      <c r="L2032" s="8"/>
    </row>
    <row r="2033" spans="3:12" x14ac:dyDescent="0.25">
      <c r="C2033" s="7"/>
      <c r="E2033" s="8"/>
      <c r="F2033" s="8"/>
      <c r="G2033" s="8"/>
      <c r="H2033" s="8"/>
      <c r="I2033" s="8"/>
      <c r="J2033" s="8"/>
      <c r="K2033" s="8"/>
      <c r="L2033" s="8"/>
    </row>
    <row r="2034" spans="3:12" x14ac:dyDescent="0.25">
      <c r="C2034" s="7"/>
      <c r="E2034" s="8"/>
      <c r="F2034" s="8"/>
      <c r="G2034" s="8"/>
      <c r="H2034" s="8"/>
      <c r="I2034" s="8"/>
      <c r="J2034" s="8"/>
      <c r="K2034" s="8"/>
      <c r="L2034" s="8"/>
    </row>
    <row r="2035" spans="3:12" x14ac:dyDescent="0.25">
      <c r="C2035" s="7"/>
      <c r="E2035" s="8"/>
      <c r="F2035" s="8"/>
      <c r="G2035" s="8"/>
      <c r="H2035" s="8"/>
      <c r="I2035" s="8"/>
      <c r="J2035" s="8"/>
      <c r="K2035" s="8"/>
      <c r="L2035" s="8"/>
    </row>
    <row r="2036" spans="3:12" x14ac:dyDescent="0.25">
      <c r="C2036" s="7"/>
      <c r="E2036" s="8"/>
      <c r="F2036" s="8"/>
      <c r="G2036" s="8"/>
      <c r="H2036" s="8"/>
      <c r="I2036" s="8"/>
      <c r="J2036" s="8"/>
      <c r="K2036" s="8"/>
      <c r="L2036" s="8"/>
    </row>
    <row r="2037" spans="3:12" x14ac:dyDescent="0.25">
      <c r="C2037" s="7"/>
      <c r="E2037" s="8"/>
      <c r="F2037" s="8"/>
      <c r="G2037" s="8"/>
      <c r="H2037" s="8"/>
      <c r="I2037" s="8"/>
      <c r="J2037" s="8"/>
      <c r="K2037" s="8"/>
      <c r="L2037" s="8"/>
    </row>
    <row r="2038" spans="3:12" x14ac:dyDescent="0.25">
      <c r="C2038" s="7"/>
      <c r="E2038" s="8"/>
      <c r="F2038" s="8"/>
      <c r="G2038" s="8"/>
      <c r="H2038" s="8"/>
      <c r="I2038" s="8"/>
      <c r="J2038" s="8"/>
      <c r="K2038" s="8"/>
      <c r="L2038" s="8"/>
    </row>
    <row r="2039" spans="3:12" x14ac:dyDescent="0.25">
      <c r="C2039" s="7"/>
      <c r="E2039" s="8"/>
      <c r="F2039" s="8"/>
      <c r="G2039" s="8"/>
      <c r="H2039" s="8"/>
      <c r="I2039" s="8"/>
      <c r="J2039" s="8"/>
      <c r="K2039" s="8"/>
      <c r="L2039" s="8"/>
    </row>
    <row r="2040" spans="3:12" x14ac:dyDescent="0.25">
      <c r="C2040" s="7"/>
      <c r="E2040" s="8"/>
      <c r="F2040" s="8"/>
      <c r="G2040" s="8"/>
      <c r="H2040" s="8"/>
      <c r="I2040" s="8"/>
      <c r="J2040" s="8"/>
      <c r="K2040" s="8"/>
      <c r="L2040" s="8"/>
    </row>
    <row r="2041" spans="3:12" x14ac:dyDescent="0.25">
      <c r="C2041" s="7"/>
      <c r="E2041" s="8"/>
      <c r="F2041" s="8"/>
      <c r="G2041" s="8"/>
      <c r="H2041" s="8"/>
      <c r="I2041" s="8"/>
      <c r="J2041" s="8"/>
      <c r="K2041" s="8"/>
      <c r="L2041" s="8"/>
    </row>
    <row r="2042" spans="3:12" x14ac:dyDescent="0.25">
      <c r="C2042" s="7"/>
      <c r="E2042" s="8"/>
      <c r="F2042" s="8"/>
      <c r="G2042" s="8"/>
      <c r="H2042" s="8"/>
      <c r="I2042" s="8"/>
      <c r="J2042" s="8"/>
      <c r="K2042" s="8"/>
      <c r="L2042" s="8"/>
    </row>
    <row r="2043" spans="3:12" x14ac:dyDescent="0.25">
      <c r="C2043" s="7"/>
      <c r="E2043" s="8"/>
      <c r="F2043" s="8"/>
      <c r="G2043" s="8"/>
      <c r="H2043" s="8"/>
      <c r="I2043" s="8"/>
      <c r="J2043" s="8"/>
      <c r="K2043" s="8"/>
      <c r="L2043" s="8"/>
    </row>
    <row r="2044" spans="3:12" x14ac:dyDescent="0.25">
      <c r="C2044" s="7"/>
      <c r="E2044" s="8"/>
      <c r="F2044" s="8"/>
      <c r="G2044" s="8"/>
      <c r="H2044" s="8"/>
      <c r="I2044" s="8"/>
      <c r="J2044" s="8"/>
      <c r="K2044" s="8"/>
      <c r="L2044" s="8"/>
    </row>
    <row r="2045" spans="3:12" x14ac:dyDescent="0.25">
      <c r="C2045" s="7"/>
      <c r="E2045" s="8"/>
      <c r="F2045" s="8"/>
      <c r="G2045" s="8"/>
      <c r="H2045" s="8"/>
      <c r="I2045" s="8"/>
      <c r="J2045" s="8"/>
      <c r="K2045" s="8"/>
      <c r="L2045" s="8"/>
    </row>
    <row r="2046" spans="3:12" x14ac:dyDescent="0.25">
      <c r="C2046" s="7"/>
      <c r="E2046" s="8"/>
      <c r="F2046" s="8"/>
      <c r="G2046" s="8"/>
      <c r="H2046" s="8"/>
      <c r="I2046" s="8"/>
      <c r="J2046" s="8"/>
      <c r="K2046" s="8"/>
      <c r="L2046" s="8"/>
    </row>
    <row r="2047" spans="3:12" x14ac:dyDescent="0.25">
      <c r="C2047" s="7"/>
      <c r="E2047" s="8"/>
      <c r="F2047" s="8"/>
      <c r="G2047" s="8"/>
      <c r="H2047" s="8"/>
      <c r="I2047" s="8"/>
      <c r="J2047" s="8"/>
      <c r="K2047" s="8"/>
      <c r="L2047" s="8"/>
    </row>
    <row r="2048" spans="3:12" x14ac:dyDescent="0.25">
      <c r="C2048" s="7"/>
      <c r="E2048" s="8"/>
      <c r="F2048" s="8"/>
      <c r="G2048" s="8"/>
      <c r="H2048" s="8"/>
      <c r="I2048" s="8"/>
      <c r="J2048" s="8"/>
      <c r="K2048" s="8"/>
      <c r="L2048" s="8"/>
    </row>
    <row r="2049" spans="3:12" x14ac:dyDescent="0.25">
      <c r="C2049" s="7"/>
      <c r="E2049" s="8"/>
      <c r="F2049" s="8"/>
      <c r="G2049" s="8"/>
      <c r="H2049" s="8"/>
      <c r="I2049" s="8"/>
      <c r="J2049" s="8"/>
      <c r="K2049" s="8"/>
      <c r="L2049" s="8"/>
    </row>
    <row r="2050" spans="3:12" x14ac:dyDescent="0.25">
      <c r="C2050" s="7"/>
      <c r="E2050" s="8"/>
      <c r="F2050" s="8"/>
      <c r="G2050" s="8"/>
      <c r="H2050" s="8"/>
      <c r="I2050" s="8"/>
      <c r="J2050" s="8"/>
      <c r="K2050" s="8"/>
      <c r="L2050" s="8"/>
    </row>
    <row r="2051" spans="3:12" x14ac:dyDescent="0.25">
      <c r="C2051" s="7"/>
      <c r="E2051" s="8"/>
      <c r="F2051" s="8"/>
      <c r="G2051" s="8"/>
      <c r="H2051" s="8"/>
      <c r="I2051" s="8"/>
      <c r="J2051" s="8"/>
      <c r="K2051" s="8"/>
      <c r="L2051" s="8"/>
    </row>
    <row r="2052" spans="3:12" x14ac:dyDescent="0.25">
      <c r="C2052" s="7"/>
      <c r="E2052" s="8"/>
      <c r="F2052" s="8"/>
      <c r="G2052" s="8"/>
      <c r="H2052" s="8"/>
      <c r="I2052" s="8"/>
      <c r="J2052" s="8"/>
      <c r="K2052" s="8"/>
      <c r="L2052" s="8"/>
    </row>
    <row r="2053" spans="3:12" x14ac:dyDescent="0.25">
      <c r="C2053" s="7"/>
      <c r="E2053" s="8"/>
      <c r="F2053" s="8"/>
      <c r="G2053" s="8"/>
      <c r="H2053" s="8"/>
      <c r="I2053" s="8"/>
      <c r="J2053" s="8"/>
      <c r="K2053" s="8"/>
      <c r="L2053" s="8"/>
    </row>
    <row r="2054" spans="3:12" x14ac:dyDescent="0.25">
      <c r="C2054" s="7"/>
      <c r="E2054" s="8"/>
      <c r="F2054" s="8"/>
      <c r="G2054" s="8"/>
      <c r="H2054" s="8"/>
      <c r="I2054" s="8"/>
      <c r="J2054" s="8"/>
      <c r="K2054" s="8"/>
      <c r="L2054" s="8"/>
    </row>
    <row r="2055" spans="3:12" x14ac:dyDescent="0.25">
      <c r="C2055" s="7"/>
      <c r="E2055" s="8"/>
      <c r="F2055" s="8"/>
      <c r="G2055" s="8"/>
      <c r="H2055" s="8"/>
      <c r="I2055" s="8"/>
      <c r="J2055" s="8"/>
      <c r="K2055" s="8"/>
      <c r="L2055" s="8"/>
    </row>
    <row r="2056" spans="3:12" x14ac:dyDescent="0.25">
      <c r="C2056" s="7"/>
      <c r="E2056" s="8"/>
      <c r="F2056" s="8"/>
      <c r="G2056" s="8"/>
      <c r="H2056" s="8"/>
      <c r="I2056" s="8"/>
      <c r="J2056" s="8"/>
      <c r="K2056" s="8"/>
      <c r="L2056" s="8"/>
    </row>
    <row r="2057" spans="3:12" x14ac:dyDescent="0.25">
      <c r="C2057" s="7"/>
      <c r="E2057" s="8"/>
      <c r="F2057" s="8"/>
      <c r="G2057" s="8"/>
      <c r="H2057" s="8"/>
      <c r="I2057" s="8"/>
      <c r="J2057" s="8"/>
      <c r="K2057" s="8"/>
      <c r="L2057" s="8"/>
    </row>
    <row r="2058" spans="3:12" x14ac:dyDescent="0.25">
      <c r="C2058" s="7"/>
      <c r="E2058" s="8"/>
      <c r="F2058" s="8"/>
      <c r="G2058" s="8"/>
      <c r="H2058" s="8"/>
      <c r="I2058" s="8"/>
      <c r="J2058" s="8"/>
      <c r="K2058" s="8"/>
      <c r="L2058" s="8"/>
    </row>
    <row r="2059" spans="3:12" x14ac:dyDescent="0.25">
      <c r="C2059" s="7"/>
      <c r="E2059" s="8"/>
      <c r="F2059" s="8"/>
      <c r="G2059" s="8"/>
      <c r="H2059" s="8"/>
      <c r="I2059" s="8"/>
      <c r="J2059" s="8"/>
      <c r="K2059" s="8"/>
      <c r="L2059" s="8"/>
    </row>
    <row r="2060" spans="3:12" x14ac:dyDescent="0.25">
      <c r="C2060" s="7"/>
      <c r="E2060" s="8"/>
      <c r="F2060" s="8"/>
      <c r="G2060" s="8"/>
      <c r="H2060" s="8"/>
      <c r="I2060" s="8"/>
      <c r="J2060" s="8"/>
      <c r="K2060" s="8"/>
      <c r="L2060" s="8"/>
    </row>
    <row r="2061" spans="3:12" x14ac:dyDescent="0.25">
      <c r="C2061" s="7"/>
      <c r="E2061" s="8"/>
      <c r="F2061" s="8"/>
      <c r="G2061" s="8"/>
      <c r="H2061" s="8"/>
      <c r="I2061" s="8"/>
      <c r="J2061" s="8"/>
      <c r="K2061" s="8"/>
      <c r="L2061" s="8"/>
    </row>
    <row r="2062" spans="3:12" x14ac:dyDescent="0.25">
      <c r="C2062" s="7"/>
      <c r="E2062" s="8"/>
      <c r="F2062" s="8"/>
      <c r="G2062" s="8"/>
      <c r="H2062" s="8"/>
      <c r="I2062" s="8"/>
      <c r="J2062" s="8"/>
      <c r="K2062" s="8"/>
      <c r="L2062" s="8"/>
    </row>
    <row r="2063" spans="3:12" x14ac:dyDescent="0.25">
      <c r="C2063" s="7"/>
      <c r="E2063" s="8"/>
      <c r="F2063" s="8"/>
      <c r="G2063" s="8"/>
      <c r="H2063" s="8"/>
      <c r="I2063" s="8"/>
      <c r="J2063" s="8"/>
      <c r="K2063" s="8"/>
      <c r="L2063" s="8"/>
    </row>
    <row r="2064" spans="3:12" x14ac:dyDescent="0.25">
      <c r="C2064" s="7"/>
      <c r="E2064" s="8"/>
      <c r="F2064" s="8"/>
      <c r="G2064" s="8"/>
      <c r="H2064" s="8"/>
      <c r="I2064" s="8"/>
      <c r="J2064" s="8"/>
      <c r="K2064" s="8"/>
      <c r="L2064" s="8"/>
    </row>
    <row r="2065" spans="3:12" x14ac:dyDescent="0.25">
      <c r="C2065" s="7"/>
      <c r="E2065" s="8"/>
      <c r="F2065" s="8"/>
      <c r="G2065" s="8"/>
      <c r="H2065" s="8"/>
      <c r="I2065" s="8"/>
      <c r="J2065" s="8"/>
      <c r="K2065" s="8"/>
      <c r="L2065" s="8"/>
    </row>
    <row r="2066" spans="3:12" x14ac:dyDescent="0.25">
      <c r="C2066" s="7"/>
      <c r="E2066" s="8"/>
      <c r="F2066" s="8"/>
      <c r="G2066" s="8"/>
      <c r="H2066" s="8"/>
      <c r="I2066" s="8"/>
      <c r="J2066" s="8"/>
      <c r="K2066" s="8"/>
      <c r="L2066" s="8"/>
    </row>
    <row r="2067" spans="3:12" x14ac:dyDescent="0.25">
      <c r="C2067" s="7"/>
      <c r="E2067" s="8"/>
      <c r="F2067" s="8"/>
      <c r="G2067" s="8"/>
      <c r="H2067" s="8"/>
      <c r="I2067" s="8"/>
      <c r="J2067" s="8"/>
      <c r="K2067" s="8"/>
      <c r="L2067" s="8"/>
    </row>
    <row r="2068" spans="3:12" x14ac:dyDescent="0.25">
      <c r="C2068" s="7"/>
      <c r="E2068" s="8"/>
      <c r="F2068" s="8"/>
      <c r="G2068" s="8"/>
      <c r="H2068" s="8"/>
      <c r="I2068" s="8"/>
      <c r="J2068" s="8"/>
      <c r="K2068" s="8"/>
      <c r="L2068" s="8"/>
    </row>
    <row r="2069" spans="3:12" x14ac:dyDescent="0.25">
      <c r="C2069" s="7"/>
      <c r="E2069" s="8"/>
      <c r="F2069" s="8"/>
      <c r="G2069" s="8"/>
      <c r="H2069" s="8"/>
      <c r="I2069" s="8"/>
      <c r="J2069" s="8"/>
      <c r="K2069" s="8"/>
      <c r="L2069" s="8"/>
    </row>
    <row r="2070" spans="3:12" x14ac:dyDescent="0.25">
      <c r="C2070" s="7"/>
      <c r="E2070" s="8"/>
      <c r="F2070" s="8"/>
      <c r="G2070" s="8"/>
      <c r="H2070" s="8"/>
      <c r="I2070" s="8"/>
      <c r="J2070" s="8"/>
      <c r="K2070" s="8"/>
      <c r="L2070" s="8"/>
    </row>
    <row r="2071" spans="3:12" x14ac:dyDescent="0.25">
      <c r="C2071" s="7"/>
      <c r="E2071" s="8"/>
      <c r="F2071" s="8"/>
      <c r="G2071" s="8"/>
      <c r="H2071" s="8"/>
      <c r="I2071" s="8"/>
      <c r="J2071" s="8"/>
      <c r="K2071" s="8"/>
      <c r="L2071" s="8"/>
    </row>
    <row r="2072" spans="3:12" x14ac:dyDescent="0.25">
      <c r="C2072" s="7"/>
      <c r="E2072" s="8"/>
      <c r="F2072" s="8"/>
      <c r="G2072" s="8"/>
      <c r="H2072" s="8"/>
      <c r="I2072" s="8"/>
      <c r="J2072" s="8"/>
      <c r="K2072" s="8"/>
      <c r="L2072" s="8"/>
    </row>
    <row r="2073" spans="3:12" x14ac:dyDescent="0.25">
      <c r="C2073" s="7"/>
      <c r="E2073" s="8"/>
      <c r="F2073" s="8"/>
      <c r="G2073" s="8"/>
      <c r="H2073" s="8"/>
      <c r="I2073" s="8"/>
      <c r="J2073" s="8"/>
      <c r="K2073" s="8"/>
      <c r="L2073" s="8"/>
    </row>
    <row r="2074" spans="3:12" x14ac:dyDescent="0.25">
      <c r="C2074" s="7"/>
      <c r="E2074" s="8"/>
      <c r="F2074" s="8"/>
      <c r="G2074" s="8"/>
      <c r="H2074" s="8"/>
      <c r="I2074" s="8"/>
      <c r="J2074" s="8"/>
      <c r="K2074" s="8"/>
      <c r="L2074" s="8"/>
    </row>
    <row r="2075" spans="3:12" x14ac:dyDescent="0.25">
      <c r="C2075" s="7"/>
      <c r="E2075" s="8"/>
      <c r="F2075" s="8"/>
      <c r="G2075" s="8"/>
      <c r="H2075" s="8"/>
      <c r="I2075" s="8"/>
      <c r="J2075" s="8"/>
      <c r="K2075" s="8"/>
      <c r="L2075" s="8"/>
    </row>
    <row r="2076" spans="3:12" x14ac:dyDescent="0.25">
      <c r="C2076" s="7"/>
      <c r="E2076" s="8"/>
      <c r="F2076" s="8"/>
      <c r="G2076" s="8"/>
      <c r="H2076" s="8"/>
      <c r="I2076" s="8"/>
      <c r="J2076" s="8"/>
      <c r="K2076" s="8"/>
      <c r="L2076" s="8"/>
    </row>
    <row r="2077" spans="3:12" x14ac:dyDescent="0.25">
      <c r="C2077" s="7"/>
      <c r="E2077" s="8"/>
      <c r="F2077" s="8"/>
      <c r="G2077" s="8"/>
      <c r="H2077" s="8"/>
      <c r="I2077" s="8"/>
      <c r="J2077" s="8"/>
      <c r="K2077" s="8"/>
      <c r="L2077" s="8"/>
    </row>
    <row r="2078" spans="3:12" x14ac:dyDescent="0.25">
      <c r="C2078" s="7"/>
      <c r="E2078" s="8"/>
      <c r="F2078" s="8"/>
      <c r="G2078" s="8"/>
      <c r="H2078" s="8"/>
      <c r="I2078" s="8"/>
      <c r="J2078" s="8"/>
      <c r="K2078" s="8"/>
      <c r="L2078" s="8"/>
    </row>
    <row r="2079" spans="3:12" x14ac:dyDescent="0.25">
      <c r="C2079" s="7"/>
      <c r="E2079" s="8"/>
      <c r="F2079" s="8"/>
      <c r="G2079" s="8"/>
      <c r="H2079" s="8"/>
      <c r="I2079" s="8"/>
      <c r="J2079" s="8"/>
      <c r="K2079" s="8"/>
      <c r="L2079" s="8"/>
    </row>
    <row r="2080" spans="3:12" x14ac:dyDescent="0.25">
      <c r="C2080" s="7"/>
      <c r="E2080" s="8"/>
      <c r="F2080" s="8"/>
      <c r="G2080" s="8"/>
      <c r="H2080" s="8"/>
      <c r="I2080" s="8"/>
      <c r="J2080" s="8"/>
      <c r="K2080" s="8"/>
      <c r="L2080" s="8"/>
    </row>
    <row r="2081" spans="3:12" x14ac:dyDescent="0.25">
      <c r="C2081" s="7"/>
      <c r="E2081" s="8"/>
      <c r="F2081" s="8"/>
      <c r="G2081" s="8"/>
      <c r="H2081" s="8"/>
      <c r="I2081" s="8"/>
      <c r="J2081" s="8"/>
      <c r="K2081" s="8"/>
      <c r="L2081" s="8"/>
    </row>
    <row r="2082" spans="3:12" x14ac:dyDescent="0.25">
      <c r="C2082" s="7"/>
      <c r="E2082" s="8"/>
      <c r="F2082" s="8"/>
      <c r="G2082" s="8"/>
      <c r="H2082" s="8"/>
      <c r="I2082" s="8"/>
      <c r="J2082" s="8"/>
      <c r="K2082" s="8"/>
      <c r="L2082" s="8"/>
    </row>
    <row r="2083" spans="3:12" x14ac:dyDescent="0.25">
      <c r="C2083" s="7"/>
      <c r="E2083" s="8"/>
      <c r="F2083" s="8"/>
      <c r="G2083" s="8"/>
      <c r="H2083" s="8"/>
      <c r="I2083" s="8"/>
      <c r="J2083" s="8"/>
      <c r="K2083" s="8"/>
      <c r="L2083" s="8"/>
    </row>
    <row r="2084" spans="3:12" x14ac:dyDescent="0.25">
      <c r="C2084" s="7"/>
      <c r="E2084" s="8"/>
      <c r="F2084" s="8"/>
      <c r="G2084" s="8"/>
      <c r="H2084" s="8"/>
      <c r="I2084" s="8"/>
      <c r="J2084" s="8"/>
      <c r="K2084" s="8"/>
      <c r="L2084" s="8"/>
    </row>
    <row r="2085" spans="3:12" x14ac:dyDescent="0.25">
      <c r="C2085" s="7"/>
      <c r="E2085" s="8"/>
      <c r="F2085" s="8"/>
      <c r="G2085" s="8"/>
      <c r="H2085" s="8"/>
      <c r="I2085" s="8"/>
      <c r="J2085" s="8"/>
      <c r="K2085" s="8"/>
      <c r="L2085" s="8"/>
    </row>
    <row r="2086" spans="3:12" x14ac:dyDescent="0.25">
      <c r="C2086" s="7"/>
      <c r="E2086" s="8"/>
      <c r="F2086" s="8"/>
      <c r="G2086" s="8"/>
      <c r="H2086" s="8"/>
      <c r="I2086" s="8"/>
      <c r="J2086" s="8"/>
      <c r="K2086" s="8"/>
      <c r="L2086" s="8"/>
    </row>
    <row r="2087" spans="3:12" x14ac:dyDescent="0.25">
      <c r="C2087" s="7"/>
      <c r="E2087" s="8"/>
      <c r="F2087" s="8"/>
      <c r="G2087" s="8"/>
      <c r="H2087" s="8"/>
      <c r="I2087" s="8"/>
      <c r="J2087" s="8"/>
      <c r="K2087" s="8"/>
      <c r="L2087" s="8"/>
    </row>
    <row r="2088" spans="3:12" x14ac:dyDescent="0.25">
      <c r="C2088" s="7"/>
      <c r="E2088" s="8"/>
      <c r="F2088" s="8"/>
      <c r="G2088" s="8"/>
      <c r="H2088" s="8"/>
      <c r="I2088" s="8"/>
      <c r="J2088" s="8"/>
      <c r="K2088" s="8"/>
      <c r="L2088" s="8"/>
    </row>
    <row r="2089" spans="3:12" x14ac:dyDescent="0.25">
      <c r="C2089" s="7"/>
      <c r="E2089" s="8"/>
      <c r="F2089" s="8"/>
      <c r="G2089" s="8"/>
      <c r="H2089" s="8"/>
      <c r="I2089" s="8"/>
      <c r="J2089" s="8"/>
      <c r="K2089" s="8"/>
      <c r="L2089" s="8"/>
    </row>
    <row r="2090" spans="3:12" x14ac:dyDescent="0.25">
      <c r="C2090" s="7"/>
      <c r="E2090" s="8"/>
      <c r="F2090" s="8"/>
      <c r="G2090" s="8"/>
      <c r="H2090" s="8"/>
      <c r="I2090" s="8"/>
      <c r="J2090" s="8"/>
      <c r="K2090" s="8"/>
      <c r="L2090" s="8"/>
    </row>
    <row r="2091" spans="3:12" x14ac:dyDescent="0.25">
      <c r="C2091" s="7"/>
      <c r="E2091" s="8"/>
      <c r="F2091" s="8"/>
      <c r="G2091" s="8"/>
      <c r="H2091" s="8"/>
      <c r="I2091" s="8"/>
      <c r="J2091" s="8"/>
      <c r="K2091" s="8"/>
      <c r="L2091" s="8"/>
    </row>
    <row r="2092" spans="3:12" x14ac:dyDescent="0.25">
      <c r="C2092" s="7"/>
      <c r="E2092" s="8"/>
      <c r="F2092" s="8"/>
      <c r="G2092" s="8"/>
      <c r="H2092" s="8"/>
      <c r="I2092" s="8"/>
      <c r="J2092" s="8"/>
      <c r="K2092" s="8"/>
      <c r="L2092" s="8"/>
    </row>
    <row r="2093" spans="3:12" x14ac:dyDescent="0.25">
      <c r="C2093" s="7"/>
      <c r="E2093" s="8"/>
      <c r="F2093" s="8"/>
      <c r="G2093" s="8"/>
      <c r="H2093" s="8"/>
      <c r="I2093" s="8"/>
      <c r="J2093" s="8"/>
      <c r="K2093" s="8"/>
      <c r="L2093" s="8"/>
    </row>
    <row r="2094" spans="3:12" x14ac:dyDescent="0.25">
      <c r="C2094" s="7"/>
      <c r="E2094" s="8"/>
      <c r="F2094" s="8"/>
      <c r="G2094" s="8"/>
      <c r="H2094" s="8"/>
      <c r="I2094" s="8"/>
      <c r="J2094" s="8"/>
      <c r="K2094" s="8"/>
      <c r="L2094" s="8"/>
    </row>
    <row r="2095" spans="3:12" x14ac:dyDescent="0.25">
      <c r="C2095" s="7"/>
      <c r="E2095" s="8"/>
      <c r="F2095" s="8"/>
      <c r="G2095" s="8"/>
      <c r="H2095" s="8"/>
      <c r="I2095" s="8"/>
      <c r="J2095" s="8"/>
      <c r="K2095" s="8"/>
      <c r="L2095" s="8"/>
    </row>
    <row r="2096" spans="3:12" x14ac:dyDescent="0.25">
      <c r="C2096" s="7"/>
      <c r="E2096" s="8"/>
      <c r="F2096" s="8"/>
      <c r="G2096" s="8"/>
      <c r="H2096" s="8"/>
      <c r="I2096" s="8"/>
      <c r="J2096" s="8"/>
      <c r="K2096" s="8"/>
      <c r="L2096" s="8"/>
    </row>
    <row r="2097" spans="3:12" x14ac:dyDescent="0.25">
      <c r="C2097" s="7"/>
      <c r="E2097" s="8"/>
      <c r="F2097" s="8"/>
      <c r="G2097" s="8"/>
      <c r="H2097" s="8"/>
      <c r="I2097" s="8"/>
      <c r="J2097" s="8"/>
      <c r="K2097" s="8"/>
      <c r="L2097" s="8"/>
    </row>
    <row r="2098" spans="3:12" x14ac:dyDescent="0.25">
      <c r="C2098" s="7"/>
      <c r="E2098" s="8"/>
      <c r="F2098" s="8"/>
      <c r="G2098" s="8"/>
      <c r="H2098" s="8"/>
      <c r="I2098" s="8"/>
      <c r="J2098" s="8"/>
      <c r="K2098" s="8"/>
      <c r="L2098" s="8"/>
    </row>
    <row r="2099" spans="3:12" x14ac:dyDescent="0.25">
      <c r="C2099" s="7"/>
      <c r="E2099" s="8"/>
      <c r="F2099" s="8"/>
      <c r="G2099" s="8"/>
      <c r="H2099" s="8"/>
      <c r="I2099" s="8"/>
      <c r="J2099" s="8"/>
      <c r="K2099" s="8"/>
      <c r="L2099" s="8"/>
    </row>
    <row r="2100" spans="3:12" x14ac:dyDescent="0.25">
      <c r="C2100" s="7"/>
      <c r="E2100" s="8"/>
      <c r="F2100" s="8"/>
      <c r="G2100" s="8"/>
      <c r="H2100" s="8"/>
      <c r="I2100" s="8"/>
      <c r="J2100" s="8"/>
      <c r="K2100" s="8"/>
      <c r="L2100" s="8"/>
    </row>
    <row r="2101" spans="3:12" x14ac:dyDescent="0.25">
      <c r="C2101" s="7"/>
      <c r="E2101" s="8"/>
      <c r="F2101" s="8"/>
      <c r="G2101" s="8"/>
      <c r="H2101" s="8"/>
      <c r="I2101" s="8"/>
      <c r="J2101" s="8"/>
      <c r="K2101" s="8"/>
      <c r="L2101" s="8"/>
    </row>
    <row r="2102" spans="3:12" x14ac:dyDescent="0.25">
      <c r="C2102" s="7"/>
      <c r="E2102" s="8"/>
      <c r="F2102" s="8"/>
      <c r="G2102" s="8"/>
      <c r="H2102" s="8"/>
      <c r="I2102" s="8"/>
      <c r="J2102" s="8"/>
      <c r="K2102" s="8"/>
      <c r="L2102" s="8"/>
    </row>
    <row r="2103" spans="3:12" x14ac:dyDescent="0.25">
      <c r="C2103" s="7"/>
      <c r="E2103" s="8"/>
      <c r="F2103" s="8"/>
      <c r="G2103" s="8"/>
      <c r="H2103" s="8"/>
      <c r="I2103" s="8"/>
      <c r="J2103" s="8"/>
      <c r="K2103" s="8"/>
      <c r="L2103" s="8"/>
    </row>
    <row r="2104" spans="3:12" x14ac:dyDescent="0.25">
      <c r="C2104" s="7"/>
      <c r="E2104" s="8"/>
      <c r="F2104" s="8"/>
      <c r="G2104" s="8"/>
      <c r="H2104" s="8"/>
      <c r="I2104" s="8"/>
      <c r="J2104" s="8"/>
      <c r="K2104" s="8"/>
      <c r="L2104" s="8"/>
    </row>
    <row r="2105" spans="3:12" x14ac:dyDescent="0.25">
      <c r="C2105" s="7"/>
      <c r="E2105" s="8"/>
      <c r="F2105" s="8"/>
      <c r="G2105" s="8"/>
      <c r="H2105" s="8"/>
      <c r="I2105" s="8"/>
      <c r="J2105" s="8"/>
      <c r="K2105" s="8"/>
      <c r="L2105" s="8"/>
    </row>
    <row r="2106" spans="3:12" x14ac:dyDescent="0.25">
      <c r="C2106" s="7"/>
      <c r="E2106" s="8"/>
      <c r="F2106" s="8"/>
      <c r="G2106" s="8"/>
      <c r="H2106" s="8"/>
      <c r="I2106" s="8"/>
      <c r="J2106" s="8"/>
      <c r="K2106" s="8"/>
      <c r="L2106" s="8"/>
    </row>
    <row r="2107" spans="3:12" x14ac:dyDescent="0.25">
      <c r="C2107" s="7"/>
      <c r="E2107" s="8"/>
      <c r="F2107" s="8"/>
      <c r="G2107" s="8"/>
      <c r="H2107" s="8"/>
      <c r="I2107" s="8"/>
      <c r="J2107" s="8"/>
      <c r="K2107" s="8"/>
      <c r="L2107" s="8"/>
    </row>
    <row r="2108" spans="3:12" x14ac:dyDescent="0.25">
      <c r="C2108" s="7"/>
      <c r="E2108" s="8"/>
      <c r="F2108" s="8"/>
      <c r="G2108" s="8"/>
      <c r="H2108" s="8"/>
      <c r="I2108" s="8"/>
      <c r="J2108" s="8"/>
      <c r="K2108" s="8"/>
      <c r="L2108" s="8"/>
    </row>
    <row r="2109" spans="3:12" x14ac:dyDescent="0.25">
      <c r="C2109" s="7"/>
      <c r="E2109" s="8"/>
      <c r="F2109" s="8"/>
      <c r="G2109" s="8"/>
      <c r="H2109" s="8"/>
      <c r="I2109" s="8"/>
      <c r="J2109" s="8"/>
      <c r="K2109" s="8"/>
      <c r="L2109" s="8"/>
    </row>
    <row r="2110" spans="3:12" x14ac:dyDescent="0.25">
      <c r="C2110" s="7"/>
      <c r="E2110" s="8"/>
      <c r="F2110" s="8"/>
      <c r="G2110" s="8"/>
      <c r="H2110" s="8"/>
      <c r="I2110" s="8"/>
      <c r="J2110" s="8"/>
      <c r="K2110" s="8"/>
      <c r="L2110" s="8"/>
    </row>
    <row r="2111" spans="3:12" x14ac:dyDescent="0.25">
      <c r="C2111" s="7"/>
      <c r="E2111" s="8"/>
      <c r="F2111" s="8"/>
      <c r="G2111" s="8"/>
      <c r="H2111" s="8"/>
      <c r="I2111" s="8"/>
      <c r="J2111" s="8"/>
      <c r="K2111" s="8"/>
      <c r="L2111" s="8"/>
    </row>
    <row r="2112" spans="3:12" x14ac:dyDescent="0.25">
      <c r="C2112" s="7"/>
      <c r="E2112" s="8"/>
      <c r="F2112" s="8"/>
      <c r="G2112" s="8"/>
      <c r="H2112" s="8"/>
      <c r="I2112" s="8"/>
      <c r="J2112" s="8"/>
      <c r="K2112" s="8"/>
      <c r="L2112" s="8"/>
    </row>
    <row r="2113" spans="3:12" x14ac:dyDescent="0.25">
      <c r="C2113" s="7"/>
      <c r="E2113" s="8"/>
      <c r="F2113" s="8"/>
      <c r="G2113" s="8"/>
      <c r="H2113" s="8"/>
      <c r="I2113" s="8"/>
      <c r="J2113" s="8"/>
      <c r="K2113" s="8"/>
      <c r="L2113" s="8"/>
    </row>
    <row r="2114" spans="3:12" x14ac:dyDescent="0.25">
      <c r="C2114" s="7"/>
      <c r="E2114" s="8"/>
      <c r="F2114" s="8"/>
      <c r="G2114" s="8"/>
      <c r="H2114" s="8"/>
      <c r="I2114" s="8"/>
      <c r="J2114" s="8"/>
      <c r="K2114" s="8"/>
      <c r="L2114" s="8"/>
    </row>
    <row r="2115" spans="3:12" x14ac:dyDescent="0.25">
      <c r="C2115" s="7"/>
      <c r="E2115" s="8"/>
      <c r="F2115" s="8"/>
      <c r="G2115" s="8"/>
      <c r="H2115" s="8"/>
      <c r="I2115" s="8"/>
      <c r="J2115" s="8"/>
      <c r="K2115" s="8"/>
      <c r="L2115" s="8"/>
    </row>
    <row r="2116" spans="3:12" x14ac:dyDescent="0.25">
      <c r="C2116" s="7"/>
      <c r="E2116" s="8"/>
      <c r="F2116" s="8"/>
      <c r="G2116" s="8"/>
      <c r="H2116" s="8"/>
      <c r="I2116" s="8"/>
      <c r="J2116" s="8"/>
      <c r="K2116" s="8"/>
      <c r="L2116" s="8"/>
    </row>
    <row r="2117" spans="3:12" x14ac:dyDescent="0.25">
      <c r="C2117" s="7"/>
      <c r="E2117" s="8"/>
      <c r="F2117" s="8"/>
      <c r="G2117" s="8"/>
      <c r="H2117" s="8"/>
      <c r="I2117" s="8"/>
      <c r="J2117" s="8"/>
      <c r="K2117" s="8"/>
      <c r="L2117" s="8"/>
    </row>
    <row r="2118" spans="3:12" x14ac:dyDescent="0.25">
      <c r="C2118" s="7"/>
      <c r="E2118" s="8"/>
      <c r="F2118" s="8"/>
      <c r="G2118" s="8"/>
      <c r="H2118" s="8"/>
      <c r="I2118" s="8"/>
      <c r="J2118" s="8"/>
      <c r="K2118" s="8"/>
      <c r="L2118" s="8"/>
    </row>
    <row r="2119" spans="3:12" x14ac:dyDescent="0.25">
      <c r="C2119" s="7"/>
      <c r="E2119" s="8"/>
      <c r="F2119" s="8"/>
      <c r="G2119" s="8"/>
      <c r="H2119" s="8"/>
      <c r="I2119" s="8"/>
      <c r="J2119" s="8"/>
      <c r="K2119" s="8"/>
      <c r="L2119" s="8"/>
    </row>
    <row r="2120" spans="3:12" x14ac:dyDescent="0.25">
      <c r="C2120" s="7"/>
      <c r="E2120" s="8"/>
      <c r="F2120" s="8"/>
      <c r="G2120" s="8"/>
      <c r="H2120" s="8"/>
      <c r="I2120" s="8"/>
      <c r="J2120" s="8"/>
      <c r="K2120" s="8"/>
      <c r="L2120" s="8"/>
    </row>
    <row r="2121" spans="3:12" x14ac:dyDescent="0.25">
      <c r="C2121" s="7"/>
      <c r="E2121" s="8"/>
      <c r="F2121" s="8"/>
      <c r="G2121" s="8"/>
      <c r="H2121" s="8"/>
      <c r="I2121" s="8"/>
      <c r="J2121" s="8"/>
      <c r="K2121" s="8"/>
      <c r="L2121" s="8"/>
    </row>
    <row r="2122" spans="3:12" x14ac:dyDescent="0.25">
      <c r="C2122" s="7"/>
      <c r="E2122" s="8"/>
      <c r="F2122" s="8"/>
      <c r="G2122" s="8"/>
      <c r="H2122" s="8"/>
      <c r="I2122" s="8"/>
      <c r="J2122" s="8"/>
      <c r="K2122" s="8"/>
      <c r="L2122" s="8"/>
    </row>
    <row r="2123" spans="3:12" x14ac:dyDescent="0.25">
      <c r="C2123" s="7"/>
      <c r="E2123" s="8"/>
      <c r="F2123" s="8"/>
      <c r="G2123" s="8"/>
      <c r="H2123" s="8"/>
      <c r="I2123" s="8"/>
      <c r="J2123" s="8"/>
      <c r="K2123" s="8"/>
      <c r="L2123" s="8"/>
    </row>
    <row r="2124" spans="3:12" x14ac:dyDescent="0.25">
      <c r="C2124" s="7"/>
      <c r="E2124" s="8"/>
      <c r="F2124" s="8"/>
      <c r="G2124" s="8"/>
      <c r="H2124" s="8"/>
      <c r="I2124" s="8"/>
      <c r="J2124" s="8"/>
      <c r="K2124" s="8"/>
      <c r="L2124" s="8"/>
    </row>
    <row r="2125" spans="3:12" x14ac:dyDescent="0.25">
      <c r="C2125" s="7"/>
      <c r="E2125" s="8"/>
      <c r="F2125" s="8"/>
      <c r="G2125" s="8"/>
      <c r="H2125" s="8"/>
      <c r="I2125" s="8"/>
      <c r="J2125" s="8"/>
      <c r="K2125" s="8"/>
      <c r="L2125" s="8"/>
    </row>
    <row r="2126" spans="3:12" x14ac:dyDescent="0.25">
      <c r="C2126" s="7"/>
      <c r="E2126" s="8"/>
      <c r="F2126" s="8"/>
      <c r="G2126" s="8"/>
      <c r="H2126" s="8"/>
      <c r="I2126" s="8"/>
      <c r="J2126" s="8"/>
      <c r="K2126" s="8"/>
      <c r="L2126" s="8"/>
    </row>
    <row r="2127" spans="3:12" x14ac:dyDescent="0.25">
      <c r="C2127" s="7"/>
      <c r="E2127" s="8"/>
      <c r="F2127" s="8"/>
      <c r="G2127" s="8"/>
      <c r="H2127" s="8"/>
      <c r="I2127" s="8"/>
      <c r="J2127" s="8"/>
      <c r="K2127" s="8"/>
      <c r="L2127" s="8"/>
    </row>
    <row r="2128" spans="3:12" x14ac:dyDescent="0.25">
      <c r="C2128" s="7"/>
      <c r="E2128" s="8"/>
      <c r="F2128" s="8"/>
      <c r="G2128" s="8"/>
      <c r="H2128" s="8"/>
      <c r="I2128" s="8"/>
      <c r="J2128" s="8"/>
      <c r="K2128" s="8"/>
      <c r="L2128" s="8"/>
    </row>
    <row r="2129" spans="3:12" x14ac:dyDescent="0.25">
      <c r="C2129" s="7"/>
      <c r="E2129" s="8"/>
      <c r="F2129" s="8"/>
      <c r="G2129" s="8"/>
      <c r="H2129" s="8"/>
      <c r="I2129" s="8"/>
      <c r="J2129" s="8"/>
      <c r="K2129" s="8"/>
      <c r="L2129" s="8"/>
    </row>
    <row r="2130" spans="3:12" x14ac:dyDescent="0.25">
      <c r="C2130" s="7"/>
      <c r="E2130" s="8"/>
      <c r="F2130" s="8"/>
      <c r="G2130" s="8"/>
      <c r="H2130" s="8"/>
      <c r="I2130" s="8"/>
      <c r="J2130" s="8"/>
      <c r="K2130" s="8"/>
      <c r="L2130" s="8"/>
    </row>
    <row r="2131" spans="3:12" x14ac:dyDescent="0.25">
      <c r="C2131" s="7"/>
      <c r="E2131" s="8"/>
      <c r="F2131" s="8"/>
      <c r="G2131" s="8"/>
      <c r="H2131" s="8"/>
      <c r="I2131" s="8"/>
      <c r="J2131" s="8"/>
      <c r="K2131" s="8"/>
      <c r="L2131" s="8"/>
    </row>
    <row r="2132" spans="3:12" x14ac:dyDescent="0.25">
      <c r="C2132" s="7"/>
      <c r="E2132" s="8"/>
      <c r="F2132" s="8"/>
      <c r="G2132" s="8"/>
      <c r="H2132" s="8"/>
      <c r="I2132" s="8"/>
      <c r="J2132" s="8"/>
      <c r="K2132" s="8"/>
      <c r="L2132" s="8"/>
    </row>
    <row r="2133" spans="3:12" x14ac:dyDescent="0.25">
      <c r="C2133" s="7"/>
      <c r="E2133" s="8"/>
      <c r="F2133" s="8"/>
      <c r="G2133" s="8"/>
      <c r="H2133" s="8"/>
      <c r="I2133" s="8"/>
      <c r="J2133" s="8"/>
      <c r="K2133" s="8"/>
      <c r="L2133" s="8"/>
    </row>
    <row r="2134" spans="3:12" x14ac:dyDescent="0.25">
      <c r="C2134" s="7"/>
      <c r="E2134" s="8"/>
      <c r="F2134" s="8"/>
      <c r="G2134" s="8"/>
      <c r="H2134" s="8"/>
      <c r="I2134" s="8"/>
      <c r="J2134" s="8"/>
      <c r="K2134" s="8"/>
      <c r="L2134" s="8"/>
    </row>
    <row r="2135" spans="3:12" x14ac:dyDescent="0.25">
      <c r="C2135" s="7"/>
      <c r="E2135" s="8"/>
      <c r="F2135" s="8"/>
      <c r="G2135" s="8"/>
      <c r="H2135" s="8"/>
      <c r="I2135" s="8"/>
      <c r="J2135" s="8"/>
      <c r="K2135" s="8"/>
      <c r="L2135" s="8"/>
    </row>
    <row r="2136" spans="3:12" x14ac:dyDescent="0.25">
      <c r="C2136" s="7"/>
      <c r="E2136" s="8"/>
      <c r="F2136" s="8"/>
      <c r="G2136" s="8"/>
      <c r="H2136" s="8"/>
      <c r="I2136" s="8"/>
      <c r="J2136" s="8"/>
      <c r="K2136" s="8"/>
      <c r="L2136" s="8"/>
    </row>
    <row r="2137" spans="3:12" x14ac:dyDescent="0.25">
      <c r="C2137" s="7"/>
      <c r="E2137" s="8"/>
      <c r="F2137" s="8"/>
      <c r="G2137" s="8"/>
      <c r="H2137" s="8"/>
      <c r="I2137" s="8"/>
      <c r="J2137" s="8"/>
      <c r="K2137" s="8"/>
      <c r="L2137" s="8"/>
    </row>
    <row r="2138" spans="3:12" x14ac:dyDescent="0.25">
      <c r="C2138" s="7"/>
      <c r="E2138" s="8"/>
      <c r="F2138" s="8"/>
      <c r="G2138" s="8"/>
      <c r="H2138" s="8"/>
      <c r="I2138" s="8"/>
      <c r="J2138" s="8"/>
      <c r="K2138" s="8"/>
      <c r="L2138" s="8"/>
    </row>
    <row r="2139" spans="3:12" x14ac:dyDescent="0.25">
      <c r="C2139" s="7"/>
      <c r="E2139" s="8"/>
      <c r="F2139" s="8"/>
      <c r="G2139" s="8"/>
      <c r="H2139" s="8"/>
      <c r="I2139" s="8"/>
      <c r="J2139" s="8"/>
      <c r="K2139" s="8"/>
      <c r="L2139" s="8"/>
    </row>
    <row r="2140" spans="3:12" x14ac:dyDescent="0.25">
      <c r="C2140" s="7"/>
      <c r="E2140" s="8"/>
      <c r="F2140" s="8"/>
      <c r="G2140" s="8"/>
      <c r="H2140" s="8"/>
      <c r="I2140" s="8"/>
      <c r="J2140" s="8"/>
      <c r="K2140" s="8"/>
      <c r="L2140" s="8"/>
    </row>
    <row r="2141" spans="3:12" x14ac:dyDescent="0.25">
      <c r="C2141" s="7"/>
      <c r="E2141" s="8"/>
      <c r="F2141" s="8"/>
      <c r="G2141" s="8"/>
      <c r="H2141" s="8"/>
      <c r="I2141" s="8"/>
      <c r="J2141" s="8"/>
      <c r="K2141" s="8"/>
      <c r="L2141" s="8"/>
    </row>
    <row r="2142" spans="3:12" x14ac:dyDescent="0.25">
      <c r="C2142" s="7"/>
      <c r="E2142" s="8"/>
      <c r="F2142" s="8"/>
      <c r="G2142" s="8"/>
      <c r="H2142" s="8"/>
      <c r="I2142" s="8"/>
      <c r="J2142" s="8"/>
      <c r="K2142" s="8"/>
      <c r="L2142" s="8"/>
    </row>
    <row r="2143" spans="3:12" x14ac:dyDescent="0.25">
      <c r="C2143" s="7"/>
      <c r="E2143" s="8"/>
      <c r="F2143" s="8"/>
      <c r="G2143" s="8"/>
      <c r="H2143" s="8"/>
      <c r="I2143" s="8"/>
      <c r="J2143" s="8"/>
      <c r="K2143" s="8"/>
      <c r="L2143" s="8"/>
    </row>
    <row r="2144" spans="3:12" x14ac:dyDescent="0.25">
      <c r="C2144" s="7"/>
      <c r="E2144" s="8"/>
      <c r="F2144" s="8"/>
      <c r="G2144" s="8"/>
      <c r="H2144" s="8"/>
      <c r="I2144" s="8"/>
      <c r="J2144" s="8"/>
      <c r="K2144" s="8"/>
      <c r="L2144" s="8"/>
    </row>
    <row r="2145" spans="3:12" x14ac:dyDescent="0.25">
      <c r="C2145" s="7"/>
      <c r="E2145" s="8"/>
      <c r="F2145" s="8"/>
      <c r="G2145" s="8"/>
      <c r="H2145" s="8"/>
      <c r="I2145" s="8"/>
      <c r="J2145" s="8"/>
      <c r="K2145" s="8"/>
      <c r="L2145" s="8"/>
    </row>
    <row r="2146" spans="3:12" x14ac:dyDescent="0.25">
      <c r="C2146" s="7"/>
      <c r="E2146" s="8"/>
      <c r="F2146" s="8"/>
      <c r="G2146" s="8"/>
      <c r="H2146" s="8"/>
      <c r="I2146" s="8"/>
      <c r="J2146" s="8"/>
      <c r="K2146" s="8"/>
      <c r="L2146" s="8"/>
    </row>
    <row r="2147" spans="3:12" x14ac:dyDescent="0.25">
      <c r="C2147" s="7"/>
      <c r="E2147" s="8"/>
      <c r="F2147" s="8"/>
      <c r="G2147" s="8"/>
      <c r="H2147" s="8"/>
      <c r="I2147" s="8"/>
      <c r="J2147" s="8"/>
      <c r="K2147" s="8"/>
      <c r="L2147" s="8"/>
    </row>
    <row r="2148" spans="3:12" x14ac:dyDescent="0.25">
      <c r="C2148" s="7"/>
      <c r="E2148" s="8"/>
      <c r="F2148" s="8"/>
      <c r="G2148" s="8"/>
      <c r="H2148" s="8"/>
      <c r="I2148" s="8"/>
      <c r="J2148" s="8"/>
      <c r="K2148" s="8"/>
      <c r="L2148" s="8"/>
    </row>
    <row r="2149" spans="3:12" x14ac:dyDescent="0.25">
      <c r="C2149" s="7"/>
      <c r="E2149" s="8"/>
      <c r="F2149" s="8"/>
      <c r="G2149" s="8"/>
      <c r="H2149" s="8"/>
      <c r="I2149" s="8"/>
      <c r="J2149" s="8"/>
      <c r="K2149" s="8"/>
      <c r="L2149" s="8"/>
    </row>
    <row r="2150" spans="3:12" x14ac:dyDescent="0.25">
      <c r="C2150" s="7"/>
      <c r="E2150" s="8"/>
      <c r="F2150" s="8"/>
      <c r="G2150" s="8"/>
      <c r="H2150" s="8"/>
      <c r="I2150" s="8"/>
      <c r="J2150" s="8"/>
      <c r="K2150" s="8"/>
      <c r="L2150" s="8"/>
    </row>
    <row r="2151" spans="3:12" x14ac:dyDescent="0.25">
      <c r="C2151" s="7"/>
      <c r="E2151" s="8"/>
      <c r="F2151" s="8"/>
      <c r="G2151" s="8"/>
      <c r="H2151" s="8"/>
      <c r="I2151" s="8"/>
      <c r="J2151" s="8"/>
      <c r="K2151" s="8"/>
      <c r="L2151" s="8"/>
    </row>
    <row r="2152" spans="3:12" x14ac:dyDescent="0.25">
      <c r="C2152" s="7"/>
      <c r="E2152" s="8"/>
      <c r="F2152" s="8"/>
      <c r="G2152" s="8"/>
      <c r="H2152" s="8"/>
      <c r="I2152" s="8"/>
      <c r="J2152" s="8"/>
      <c r="K2152" s="8"/>
      <c r="L2152" s="8"/>
    </row>
    <row r="2153" spans="3:12" x14ac:dyDescent="0.25">
      <c r="C2153" s="7"/>
      <c r="E2153" s="8"/>
      <c r="F2153" s="8"/>
      <c r="G2153" s="8"/>
      <c r="H2153" s="8"/>
      <c r="I2153" s="8"/>
      <c r="J2153" s="8"/>
      <c r="K2153" s="8"/>
      <c r="L2153" s="8"/>
    </row>
    <row r="2154" spans="3:12" x14ac:dyDescent="0.25">
      <c r="C2154" s="7"/>
      <c r="E2154" s="8"/>
      <c r="F2154" s="8"/>
      <c r="G2154" s="8"/>
      <c r="H2154" s="8"/>
      <c r="I2154" s="8"/>
      <c r="J2154" s="8"/>
      <c r="K2154" s="8"/>
      <c r="L2154" s="8"/>
    </row>
    <row r="2155" spans="3:12" x14ac:dyDescent="0.25">
      <c r="C2155" s="7"/>
      <c r="E2155" s="8"/>
      <c r="F2155" s="8"/>
      <c r="G2155" s="8"/>
      <c r="H2155" s="8"/>
      <c r="I2155" s="8"/>
      <c r="J2155" s="8"/>
      <c r="K2155" s="8"/>
      <c r="L2155" s="8"/>
    </row>
    <row r="2156" spans="3:12" x14ac:dyDescent="0.25">
      <c r="C2156" s="7"/>
      <c r="E2156" s="8"/>
      <c r="F2156" s="8"/>
      <c r="G2156" s="8"/>
      <c r="H2156" s="8"/>
      <c r="I2156" s="8"/>
      <c r="J2156" s="8"/>
      <c r="K2156" s="8"/>
      <c r="L2156" s="8"/>
    </row>
    <row r="2157" spans="3:12" x14ac:dyDescent="0.25">
      <c r="C2157" s="7"/>
      <c r="E2157" s="8"/>
      <c r="F2157" s="8"/>
      <c r="G2157" s="8"/>
      <c r="H2157" s="8"/>
      <c r="I2157" s="8"/>
      <c r="J2157" s="8"/>
      <c r="K2157" s="8"/>
      <c r="L2157" s="8"/>
    </row>
    <row r="2158" spans="3:12" x14ac:dyDescent="0.25">
      <c r="C2158" s="7"/>
      <c r="E2158" s="8"/>
      <c r="F2158" s="8"/>
      <c r="G2158" s="8"/>
      <c r="H2158" s="8"/>
      <c r="I2158" s="8"/>
      <c r="J2158" s="8"/>
      <c r="K2158" s="8"/>
      <c r="L2158" s="8"/>
    </row>
    <row r="2159" spans="3:12" x14ac:dyDescent="0.25">
      <c r="C2159" s="7"/>
      <c r="E2159" s="8"/>
      <c r="F2159" s="8"/>
      <c r="G2159" s="8"/>
      <c r="H2159" s="8"/>
      <c r="I2159" s="8"/>
      <c r="J2159" s="8"/>
      <c r="K2159" s="8"/>
      <c r="L2159" s="8"/>
    </row>
    <row r="2160" spans="3:12" x14ac:dyDescent="0.25">
      <c r="C2160" s="7"/>
      <c r="E2160" s="8"/>
      <c r="F2160" s="8"/>
      <c r="G2160" s="8"/>
      <c r="H2160" s="8"/>
      <c r="I2160" s="8"/>
      <c r="J2160" s="8"/>
      <c r="K2160" s="8"/>
      <c r="L2160" s="8"/>
    </row>
    <row r="2161" spans="3:12" x14ac:dyDescent="0.25">
      <c r="C2161" s="7"/>
      <c r="E2161" s="8"/>
      <c r="F2161" s="8"/>
      <c r="G2161" s="8"/>
      <c r="H2161" s="8"/>
      <c r="I2161" s="8"/>
      <c r="J2161" s="8"/>
      <c r="K2161" s="8"/>
      <c r="L2161" s="8"/>
    </row>
    <row r="2162" spans="3:12" x14ac:dyDescent="0.25">
      <c r="C2162" s="7"/>
      <c r="E2162" s="8"/>
      <c r="F2162" s="8"/>
      <c r="G2162" s="8"/>
      <c r="H2162" s="8"/>
      <c r="I2162" s="8"/>
      <c r="J2162" s="8"/>
      <c r="K2162" s="8"/>
      <c r="L2162" s="8"/>
    </row>
    <row r="2163" spans="3:12" x14ac:dyDescent="0.25">
      <c r="C2163" s="7"/>
      <c r="E2163" s="8"/>
      <c r="F2163" s="8"/>
      <c r="G2163" s="8"/>
      <c r="H2163" s="8"/>
      <c r="I2163" s="8"/>
      <c r="J2163" s="8"/>
      <c r="K2163" s="8"/>
      <c r="L2163" s="8"/>
    </row>
    <row r="2164" spans="3:12" x14ac:dyDescent="0.25">
      <c r="C2164" s="7"/>
      <c r="E2164" s="8"/>
      <c r="F2164" s="8"/>
      <c r="G2164" s="8"/>
      <c r="H2164" s="8"/>
      <c r="I2164" s="8"/>
      <c r="J2164" s="8"/>
      <c r="K2164" s="8"/>
      <c r="L2164" s="8"/>
    </row>
    <row r="2165" spans="3:12" x14ac:dyDescent="0.25">
      <c r="C2165" s="7"/>
      <c r="E2165" s="8"/>
      <c r="F2165" s="8"/>
      <c r="G2165" s="8"/>
      <c r="H2165" s="8"/>
      <c r="I2165" s="8"/>
      <c r="J2165" s="8"/>
      <c r="K2165" s="8"/>
      <c r="L2165" s="8"/>
    </row>
    <row r="2166" spans="3:12" x14ac:dyDescent="0.25">
      <c r="C2166" s="7"/>
      <c r="E2166" s="8"/>
      <c r="F2166" s="8"/>
      <c r="G2166" s="8"/>
      <c r="H2166" s="8"/>
      <c r="I2166" s="8"/>
      <c r="J2166" s="8"/>
      <c r="K2166" s="8"/>
      <c r="L2166" s="8"/>
    </row>
    <row r="2167" spans="3:12" x14ac:dyDescent="0.25">
      <c r="C2167" s="7"/>
      <c r="E2167" s="8"/>
      <c r="F2167" s="8"/>
      <c r="G2167" s="8"/>
      <c r="H2167" s="8"/>
      <c r="I2167" s="8"/>
      <c r="J2167" s="8"/>
      <c r="K2167" s="8"/>
      <c r="L2167" s="8"/>
    </row>
    <row r="2168" spans="3:12" x14ac:dyDescent="0.25">
      <c r="C2168" s="7"/>
      <c r="E2168" s="8"/>
      <c r="F2168" s="8"/>
      <c r="G2168" s="8"/>
      <c r="H2168" s="8"/>
      <c r="I2168" s="8"/>
      <c r="J2168" s="8"/>
      <c r="K2168" s="8"/>
      <c r="L2168" s="8"/>
    </row>
    <row r="2169" spans="3:12" x14ac:dyDescent="0.25">
      <c r="C2169" s="7"/>
      <c r="E2169" s="8"/>
      <c r="F2169" s="8"/>
      <c r="G2169" s="8"/>
      <c r="H2169" s="8"/>
      <c r="I2169" s="8"/>
      <c r="J2169" s="8"/>
      <c r="K2169" s="8"/>
      <c r="L2169" s="8"/>
    </row>
    <row r="2170" spans="3:12" x14ac:dyDescent="0.25">
      <c r="C2170" s="7"/>
      <c r="E2170" s="8"/>
      <c r="F2170" s="8"/>
      <c r="G2170" s="8"/>
      <c r="H2170" s="8"/>
      <c r="I2170" s="8"/>
      <c r="J2170" s="8"/>
      <c r="K2170" s="8"/>
      <c r="L2170" s="8"/>
    </row>
    <row r="2171" spans="3:12" x14ac:dyDescent="0.25">
      <c r="C2171" s="7"/>
      <c r="E2171" s="8"/>
      <c r="F2171" s="8"/>
      <c r="G2171" s="8"/>
      <c r="H2171" s="8"/>
      <c r="I2171" s="8"/>
      <c r="J2171" s="8"/>
      <c r="K2171" s="8"/>
      <c r="L2171" s="8"/>
    </row>
    <row r="2172" spans="3:12" x14ac:dyDescent="0.25">
      <c r="C2172" s="7"/>
      <c r="E2172" s="8"/>
      <c r="F2172" s="8"/>
      <c r="G2172" s="8"/>
      <c r="H2172" s="8"/>
      <c r="I2172" s="8"/>
      <c r="J2172" s="8"/>
      <c r="K2172" s="8"/>
      <c r="L2172" s="8"/>
    </row>
    <row r="2173" spans="3:12" x14ac:dyDescent="0.25">
      <c r="C2173" s="7"/>
      <c r="E2173" s="8"/>
      <c r="F2173" s="8"/>
      <c r="G2173" s="8"/>
      <c r="H2173" s="8"/>
      <c r="I2173" s="8"/>
      <c r="J2173" s="8"/>
      <c r="K2173" s="8"/>
      <c r="L2173" s="8"/>
    </row>
    <row r="2174" spans="3:12" x14ac:dyDescent="0.25">
      <c r="C2174" s="7"/>
      <c r="E2174" s="8"/>
      <c r="F2174" s="8"/>
      <c r="G2174" s="8"/>
      <c r="H2174" s="8"/>
      <c r="I2174" s="8"/>
      <c r="J2174" s="8"/>
      <c r="K2174" s="8"/>
      <c r="L2174" s="8"/>
    </row>
    <row r="2175" spans="3:12" x14ac:dyDescent="0.25">
      <c r="C2175" s="7"/>
      <c r="E2175" s="8"/>
      <c r="F2175" s="8"/>
      <c r="G2175" s="8"/>
      <c r="H2175" s="8"/>
      <c r="I2175" s="8"/>
      <c r="J2175" s="8"/>
      <c r="K2175" s="8"/>
      <c r="L2175" s="8"/>
    </row>
    <row r="2176" spans="3:12" x14ac:dyDescent="0.25">
      <c r="C2176" s="7"/>
      <c r="E2176" s="8"/>
      <c r="F2176" s="8"/>
      <c r="G2176" s="8"/>
      <c r="H2176" s="8"/>
      <c r="I2176" s="8"/>
      <c r="J2176" s="8"/>
      <c r="K2176" s="8"/>
      <c r="L2176" s="8"/>
    </row>
    <row r="2177" spans="3:12" x14ac:dyDescent="0.25">
      <c r="C2177" s="7"/>
      <c r="E2177" s="8"/>
      <c r="F2177" s="8"/>
      <c r="G2177" s="8"/>
      <c r="H2177" s="8"/>
      <c r="I2177" s="8"/>
      <c r="J2177" s="8"/>
      <c r="K2177" s="8"/>
      <c r="L2177" s="8"/>
    </row>
    <row r="2178" spans="3:12" x14ac:dyDescent="0.25">
      <c r="C2178" s="7"/>
      <c r="E2178" s="8"/>
      <c r="F2178" s="8"/>
      <c r="G2178" s="8"/>
      <c r="H2178" s="8"/>
      <c r="I2178" s="8"/>
      <c r="J2178" s="8"/>
      <c r="K2178" s="8"/>
      <c r="L2178" s="8"/>
    </row>
    <row r="2179" spans="3:12" x14ac:dyDescent="0.25">
      <c r="C2179" s="7"/>
      <c r="E2179" s="8"/>
      <c r="F2179" s="8"/>
      <c r="G2179" s="8"/>
      <c r="H2179" s="8"/>
      <c r="I2179" s="8"/>
      <c r="J2179" s="8"/>
      <c r="K2179" s="8"/>
      <c r="L2179" s="8"/>
    </row>
    <row r="2180" spans="3:12" x14ac:dyDescent="0.25">
      <c r="C2180" s="7"/>
      <c r="E2180" s="8"/>
      <c r="F2180" s="8"/>
      <c r="G2180" s="8"/>
      <c r="H2180" s="8"/>
      <c r="I2180" s="8"/>
      <c r="J2180" s="8"/>
      <c r="K2180" s="8"/>
      <c r="L2180" s="8"/>
    </row>
    <row r="2181" spans="3:12" x14ac:dyDescent="0.25">
      <c r="C2181" s="7"/>
      <c r="E2181" s="8"/>
      <c r="F2181" s="8"/>
      <c r="G2181" s="8"/>
      <c r="H2181" s="8"/>
      <c r="I2181" s="8"/>
      <c r="J2181" s="8"/>
      <c r="K2181" s="8"/>
      <c r="L2181" s="8"/>
    </row>
    <row r="2182" spans="3:12" x14ac:dyDescent="0.25">
      <c r="C2182" s="7"/>
      <c r="E2182" s="8"/>
      <c r="F2182" s="8"/>
      <c r="G2182" s="8"/>
      <c r="H2182" s="8"/>
      <c r="I2182" s="8"/>
      <c r="J2182" s="8"/>
      <c r="K2182" s="8"/>
      <c r="L2182" s="8"/>
    </row>
    <row r="2183" spans="3:12" x14ac:dyDescent="0.25">
      <c r="C2183" s="7"/>
      <c r="E2183" s="8"/>
      <c r="F2183" s="8"/>
      <c r="G2183" s="8"/>
      <c r="H2183" s="8"/>
      <c r="I2183" s="8"/>
      <c r="J2183" s="8"/>
      <c r="K2183" s="8"/>
      <c r="L2183" s="8"/>
    </row>
    <row r="2184" spans="3:12" x14ac:dyDescent="0.25">
      <c r="C2184" s="7"/>
      <c r="E2184" s="8"/>
      <c r="F2184" s="8"/>
      <c r="G2184" s="8"/>
      <c r="H2184" s="8"/>
      <c r="I2184" s="8"/>
      <c r="J2184" s="8"/>
      <c r="K2184" s="8"/>
      <c r="L2184" s="8"/>
    </row>
    <row r="2185" spans="3:12" x14ac:dyDescent="0.25">
      <c r="C2185" s="7"/>
      <c r="E2185" s="8"/>
      <c r="F2185" s="8"/>
      <c r="G2185" s="8"/>
      <c r="H2185" s="8"/>
      <c r="I2185" s="8"/>
      <c r="J2185" s="8"/>
      <c r="K2185" s="8"/>
      <c r="L2185" s="8"/>
    </row>
    <row r="2186" spans="3:12" x14ac:dyDescent="0.25">
      <c r="C2186" s="7"/>
      <c r="E2186" s="8"/>
      <c r="F2186" s="8"/>
      <c r="G2186" s="8"/>
      <c r="H2186" s="8"/>
      <c r="I2186" s="8"/>
      <c r="J2186" s="8"/>
      <c r="K2186" s="8"/>
      <c r="L2186" s="8"/>
    </row>
    <row r="2187" spans="3:12" x14ac:dyDescent="0.25">
      <c r="C2187" s="7"/>
      <c r="E2187" s="8"/>
      <c r="F2187" s="8"/>
      <c r="G2187" s="8"/>
      <c r="H2187" s="8"/>
      <c r="I2187" s="8"/>
      <c r="J2187" s="8"/>
      <c r="K2187" s="8"/>
      <c r="L2187" s="8"/>
    </row>
    <row r="2188" spans="3:12" x14ac:dyDescent="0.25">
      <c r="C2188" s="7"/>
      <c r="E2188" s="8"/>
      <c r="F2188" s="8"/>
      <c r="G2188" s="8"/>
      <c r="H2188" s="8"/>
      <c r="I2188" s="8"/>
      <c r="J2188" s="8"/>
      <c r="K2188" s="8"/>
      <c r="L2188" s="8"/>
    </row>
    <row r="2189" spans="3:12" x14ac:dyDescent="0.25">
      <c r="C2189" s="7"/>
      <c r="E2189" s="8"/>
      <c r="F2189" s="8"/>
      <c r="G2189" s="8"/>
      <c r="H2189" s="8"/>
      <c r="I2189" s="8"/>
      <c r="J2189" s="8"/>
      <c r="K2189" s="8"/>
      <c r="L2189" s="8"/>
    </row>
    <row r="2190" spans="3:12" x14ac:dyDescent="0.25">
      <c r="C2190" s="7"/>
      <c r="E2190" s="8"/>
      <c r="F2190" s="8"/>
      <c r="G2190" s="8"/>
      <c r="H2190" s="8"/>
      <c r="I2190" s="8"/>
      <c r="J2190" s="8"/>
      <c r="K2190" s="8"/>
      <c r="L2190" s="8"/>
    </row>
    <row r="2191" spans="3:12" x14ac:dyDescent="0.25">
      <c r="C2191" s="7"/>
      <c r="E2191" s="8"/>
      <c r="F2191" s="8"/>
      <c r="G2191" s="8"/>
      <c r="H2191" s="8"/>
      <c r="I2191" s="8"/>
      <c r="J2191" s="8"/>
      <c r="K2191" s="8"/>
      <c r="L2191" s="8"/>
    </row>
    <row r="2192" spans="3:12" x14ac:dyDescent="0.25">
      <c r="C2192" s="7"/>
      <c r="E2192" s="8"/>
      <c r="F2192" s="8"/>
      <c r="G2192" s="8"/>
      <c r="H2192" s="8"/>
      <c r="I2192" s="8"/>
      <c r="J2192" s="8"/>
      <c r="K2192" s="8"/>
      <c r="L2192" s="8"/>
    </row>
    <row r="2193" spans="3:12" x14ac:dyDescent="0.25">
      <c r="C2193" s="7"/>
      <c r="E2193" s="8"/>
      <c r="F2193" s="8"/>
      <c r="G2193" s="8"/>
      <c r="H2193" s="8"/>
      <c r="I2193" s="8"/>
      <c r="J2193" s="8"/>
      <c r="K2193" s="8"/>
      <c r="L2193" s="8"/>
    </row>
    <row r="2194" spans="3:12" x14ac:dyDescent="0.25">
      <c r="C2194" s="7"/>
      <c r="E2194" s="8"/>
      <c r="F2194" s="8"/>
      <c r="G2194" s="8"/>
      <c r="H2194" s="8"/>
      <c r="I2194" s="8"/>
      <c r="J2194" s="8"/>
      <c r="K2194" s="8"/>
      <c r="L2194" s="8"/>
    </row>
    <row r="2195" spans="3:12" x14ac:dyDescent="0.25">
      <c r="C2195" s="7"/>
      <c r="E2195" s="8"/>
      <c r="F2195" s="8"/>
      <c r="G2195" s="8"/>
      <c r="H2195" s="8"/>
      <c r="I2195" s="8"/>
      <c r="J2195" s="8"/>
      <c r="K2195" s="8"/>
      <c r="L2195" s="8"/>
    </row>
    <row r="2196" spans="3:12" x14ac:dyDescent="0.25">
      <c r="C2196" s="7"/>
      <c r="E2196" s="8"/>
      <c r="F2196" s="8"/>
      <c r="G2196" s="8"/>
      <c r="H2196" s="8"/>
      <c r="I2196" s="8"/>
      <c r="J2196" s="8"/>
      <c r="K2196" s="8"/>
      <c r="L2196" s="8"/>
    </row>
    <row r="2197" spans="3:12" x14ac:dyDescent="0.25">
      <c r="C2197" s="7"/>
      <c r="E2197" s="8"/>
      <c r="F2197" s="8"/>
      <c r="G2197" s="8"/>
      <c r="H2197" s="8"/>
      <c r="I2197" s="8"/>
      <c r="J2197" s="8"/>
      <c r="K2197" s="8"/>
      <c r="L2197" s="8"/>
    </row>
    <row r="2198" spans="3:12" x14ac:dyDescent="0.25">
      <c r="C2198" s="7"/>
      <c r="E2198" s="8"/>
      <c r="F2198" s="8"/>
      <c r="G2198" s="8"/>
      <c r="H2198" s="8"/>
      <c r="I2198" s="8"/>
      <c r="J2198" s="8"/>
      <c r="K2198" s="8"/>
      <c r="L2198" s="8"/>
    </row>
    <row r="2199" spans="3:12" x14ac:dyDescent="0.25">
      <c r="C2199" s="7"/>
      <c r="E2199" s="8"/>
      <c r="F2199" s="8"/>
      <c r="G2199" s="8"/>
      <c r="H2199" s="8"/>
      <c r="I2199" s="8"/>
      <c r="J2199" s="8"/>
      <c r="K2199" s="8"/>
      <c r="L2199" s="8"/>
    </row>
    <row r="2200" spans="3:12" x14ac:dyDescent="0.25">
      <c r="C2200" s="7"/>
      <c r="E2200" s="8"/>
      <c r="F2200" s="8"/>
      <c r="G2200" s="8"/>
      <c r="H2200" s="8"/>
      <c r="I2200" s="8"/>
      <c r="J2200" s="8"/>
      <c r="K2200" s="8"/>
      <c r="L2200" s="8"/>
    </row>
    <row r="2201" spans="3:12" x14ac:dyDescent="0.25">
      <c r="C2201" s="7"/>
      <c r="E2201" s="8"/>
      <c r="F2201" s="8"/>
      <c r="G2201" s="8"/>
      <c r="H2201" s="8"/>
      <c r="I2201" s="8"/>
      <c r="J2201" s="8"/>
      <c r="K2201" s="8"/>
      <c r="L2201" s="8"/>
    </row>
    <row r="2202" spans="3:12" x14ac:dyDescent="0.25">
      <c r="C2202" s="7"/>
      <c r="E2202" s="8"/>
      <c r="F2202" s="8"/>
      <c r="G2202" s="8"/>
      <c r="H2202" s="8"/>
      <c r="I2202" s="8"/>
      <c r="J2202" s="8"/>
      <c r="K2202" s="8"/>
      <c r="L2202" s="8"/>
    </row>
    <row r="2203" spans="3:12" x14ac:dyDescent="0.25">
      <c r="C2203" s="7"/>
      <c r="E2203" s="8"/>
      <c r="F2203" s="8"/>
      <c r="G2203" s="8"/>
      <c r="H2203" s="8"/>
      <c r="I2203" s="8"/>
      <c r="J2203" s="8"/>
      <c r="K2203" s="8"/>
      <c r="L2203" s="8"/>
    </row>
    <row r="2204" spans="3:12" x14ac:dyDescent="0.25">
      <c r="C2204" s="7"/>
      <c r="E2204" s="8"/>
      <c r="F2204" s="8"/>
      <c r="G2204" s="8"/>
      <c r="H2204" s="8"/>
      <c r="I2204" s="8"/>
      <c r="J2204" s="8"/>
      <c r="K2204" s="8"/>
      <c r="L2204" s="8"/>
    </row>
    <row r="2205" spans="3:12" x14ac:dyDescent="0.25">
      <c r="C2205" s="7"/>
      <c r="E2205" s="8"/>
      <c r="F2205" s="8"/>
      <c r="G2205" s="8"/>
      <c r="H2205" s="8"/>
      <c r="I2205" s="8"/>
      <c r="J2205" s="8"/>
      <c r="K2205" s="8"/>
      <c r="L2205" s="8"/>
    </row>
    <row r="2206" spans="3:12" x14ac:dyDescent="0.25">
      <c r="C2206" s="7"/>
      <c r="E2206" s="8"/>
      <c r="F2206" s="8"/>
      <c r="G2206" s="8"/>
      <c r="H2206" s="8"/>
      <c r="I2206" s="8"/>
      <c r="J2206" s="8"/>
      <c r="K2206" s="8"/>
      <c r="L2206" s="8"/>
    </row>
    <row r="2207" spans="3:12" x14ac:dyDescent="0.25">
      <c r="C2207" s="7"/>
      <c r="E2207" s="8"/>
      <c r="F2207" s="8"/>
      <c r="G2207" s="8"/>
      <c r="H2207" s="8"/>
      <c r="I2207" s="8"/>
      <c r="J2207" s="8"/>
      <c r="K2207" s="8"/>
      <c r="L2207" s="8"/>
    </row>
    <row r="2208" spans="3:12" x14ac:dyDescent="0.25">
      <c r="C2208" s="7"/>
      <c r="E2208" s="8"/>
      <c r="F2208" s="8"/>
      <c r="G2208" s="8"/>
      <c r="H2208" s="8"/>
      <c r="I2208" s="8"/>
      <c r="J2208" s="8"/>
      <c r="K2208" s="8"/>
      <c r="L2208" s="8"/>
    </row>
    <row r="2209" spans="3:12" x14ac:dyDescent="0.25">
      <c r="C2209" s="7"/>
      <c r="E2209" s="8"/>
      <c r="F2209" s="8"/>
      <c r="G2209" s="8"/>
      <c r="H2209" s="8"/>
      <c r="I2209" s="8"/>
      <c r="J2209" s="8"/>
      <c r="K2209" s="8"/>
      <c r="L2209" s="8"/>
    </row>
    <row r="2210" spans="3:12" x14ac:dyDescent="0.25">
      <c r="C2210" s="7"/>
      <c r="E2210" s="8"/>
      <c r="F2210" s="8"/>
      <c r="G2210" s="8"/>
      <c r="H2210" s="8"/>
      <c r="I2210" s="8"/>
      <c r="J2210" s="8"/>
      <c r="K2210" s="8"/>
      <c r="L2210" s="8"/>
    </row>
    <row r="2211" spans="3:12" x14ac:dyDescent="0.25">
      <c r="C2211" s="7"/>
      <c r="E2211" s="8"/>
      <c r="F2211" s="8"/>
      <c r="G2211" s="8"/>
      <c r="H2211" s="8"/>
      <c r="I2211" s="8"/>
      <c r="J2211" s="8"/>
      <c r="K2211" s="8"/>
      <c r="L2211" s="8"/>
    </row>
    <row r="2212" spans="3:12" x14ac:dyDescent="0.25">
      <c r="C2212" s="7"/>
      <c r="E2212" s="8"/>
      <c r="F2212" s="8"/>
      <c r="G2212" s="8"/>
      <c r="H2212" s="8"/>
      <c r="I2212" s="8"/>
      <c r="J2212" s="8"/>
      <c r="K2212" s="8"/>
      <c r="L2212" s="8"/>
    </row>
    <row r="2213" spans="3:12" x14ac:dyDescent="0.25">
      <c r="C2213" s="7"/>
      <c r="E2213" s="8"/>
      <c r="F2213" s="8"/>
      <c r="G2213" s="8"/>
      <c r="H2213" s="8"/>
      <c r="I2213" s="8"/>
      <c r="J2213" s="8"/>
      <c r="K2213" s="8"/>
      <c r="L2213" s="8"/>
    </row>
    <row r="2214" spans="3:12" x14ac:dyDescent="0.25">
      <c r="C2214" s="7"/>
      <c r="E2214" s="8"/>
      <c r="F2214" s="8"/>
      <c r="G2214" s="8"/>
      <c r="H2214" s="8"/>
      <c r="I2214" s="8"/>
      <c r="J2214" s="8"/>
      <c r="K2214" s="8"/>
      <c r="L2214" s="8"/>
    </row>
    <row r="2215" spans="3:12" x14ac:dyDescent="0.25">
      <c r="C2215" s="7"/>
      <c r="E2215" s="8"/>
      <c r="F2215" s="8"/>
      <c r="G2215" s="8"/>
      <c r="H2215" s="8"/>
      <c r="I2215" s="8"/>
      <c r="J2215" s="8"/>
      <c r="K2215" s="8"/>
      <c r="L2215" s="8"/>
    </row>
    <row r="2216" spans="3:12" x14ac:dyDescent="0.25">
      <c r="C2216" s="7"/>
      <c r="E2216" s="8"/>
      <c r="F2216" s="8"/>
      <c r="G2216" s="8"/>
      <c r="H2216" s="8"/>
      <c r="I2216" s="8"/>
      <c r="J2216" s="8"/>
      <c r="K2216" s="8"/>
      <c r="L2216" s="8"/>
    </row>
    <row r="2217" spans="3:12" x14ac:dyDescent="0.25">
      <c r="C2217" s="7"/>
      <c r="E2217" s="8"/>
      <c r="F2217" s="8"/>
      <c r="G2217" s="8"/>
      <c r="H2217" s="8"/>
      <c r="I2217" s="8"/>
      <c r="J2217" s="8"/>
      <c r="K2217" s="8"/>
      <c r="L2217" s="8"/>
    </row>
    <row r="2218" spans="3:12" x14ac:dyDescent="0.25">
      <c r="C2218" s="7"/>
      <c r="E2218" s="8"/>
      <c r="F2218" s="8"/>
      <c r="G2218" s="8"/>
      <c r="H2218" s="8"/>
      <c r="I2218" s="8"/>
      <c r="J2218" s="8"/>
      <c r="K2218" s="8"/>
      <c r="L2218" s="8"/>
    </row>
    <row r="2219" spans="3:12" x14ac:dyDescent="0.25">
      <c r="C2219" s="7"/>
      <c r="E2219" s="8"/>
      <c r="F2219" s="8"/>
      <c r="G2219" s="8"/>
      <c r="H2219" s="8"/>
      <c r="I2219" s="8"/>
      <c r="J2219" s="8"/>
      <c r="K2219" s="8"/>
      <c r="L2219" s="8"/>
    </row>
    <row r="2220" spans="3:12" x14ac:dyDescent="0.25">
      <c r="C2220" s="7"/>
      <c r="E2220" s="8"/>
      <c r="F2220" s="8"/>
      <c r="G2220" s="8"/>
      <c r="H2220" s="8"/>
      <c r="I2220" s="8"/>
      <c r="J2220" s="8"/>
      <c r="K2220" s="8"/>
      <c r="L2220" s="8"/>
    </row>
    <row r="2221" spans="3:12" x14ac:dyDescent="0.25">
      <c r="C2221" s="7"/>
      <c r="E2221" s="8"/>
      <c r="F2221" s="8"/>
      <c r="G2221" s="8"/>
      <c r="H2221" s="8"/>
      <c r="I2221" s="8"/>
      <c r="J2221" s="8"/>
      <c r="K2221" s="8"/>
      <c r="L2221" s="8"/>
    </row>
    <row r="2222" spans="3:12" x14ac:dyDescent="0.25">
      <c r="C2222" s="7"/>
      <c r="E2222" s="8"/>
      <c r="F2222" s="8"/>
      <c r="G2222" s="8"/>
      <c r="H2222" s="8"/>
      <c r="I2222" s="8"/>
      <c r="J2222" s="8"/>
      <c r="K2222" s="8"/>
      <c r="L2222" s="8"/>
    </row>
    <row r="2223" spans="3:12" x14ac:dyDescent="0.25">
      <c r="C2223" s="7"/>
      <c r="E2223" s="8"/>
      <c r="F2223" s="8"/>
      <c r="G2223" s="8"/>
      <c r="H2223" s="8"/>
      <c r="I2223" s="8"/>
      <c r="J2223" s="8"/>
      <c r="K2223" s="8"/>
      <c r="L2223" s="8"/>
    </row>
    <row r="2224" spans="3:12" x14ac:dyDescent="0.25">
      <c r="C2224" s="7"/>
      <c r="E2224" s="8"/>
      <c r="F2224" s="8"/>
      <c r="G2224" s="8"/>
      <c r="H2224" s="8"/>
      <c r="I2224" s="8"/>
      <c r="J2224" s="8"/>
      <c r="K2224" s="8"/>
      <c r="L2224" s="8"/>
    </row>
    <row r="2225" spans="3:12" x14ac:dyDescent="0.25">
      <c r="C2225" s="7"/>
      <c r="E2225" s="8"/>
      <c r="F2225" s="8"/>
      <c r="G2225" s="8"/>
      <c r="H2225" s="8"/>
      <c r="I2225" s="8"/>
      <c r="J2225" s="8"/>
      <c r="K2225" s="8"/>
      <c r="L2225" s="8"/>
    </row>
    <row r="2226" spans="3:12" x14ac:dyDescent="0.25">
      <c r="C2226" s="7"/>
      <c r="E2226" s="8"/>
      <c r="F2226" s="8"/>
      <c r="G2226" s="8"/>
      <c r="H2226" s="8"/>
      <c r="I2226" s="8"/>
      <c r="J2226" s="8"/>
      <c r="K2226" s="8"/>
      <c r="L2226" s="8"/>
    </row>
    <row r="2227" spans="3:12" x14ac:dyDescent="0.25">
      <c r="C2227" s="7"/>
      <c r="E2227" s="8"/>
      <c r="F2227" s="8"/>
      <c r="G2227" s="8"/>
      <c r="H2227" s="8"/>
      <c r="I2227" s="8"/>
      <c r="J2227" s="8"/>
      <c r="K2227" s="8"/>
      <c r="L2227" s="8"/>
    </row>
    <row r="2228" spans="3:12" x14ac:dyDescent="0.25">
      <c r="C2228" s="7"/>
      <c r="E2228" s="8"/>
      <c r="F2228" s="8"/>
      <c r="G2228" s="8"/>
      <c r="H2228" s="8"/>
      <c r="I2228" s="8"/>
      <c r="J2228" s="8"/>
      <c r="K2228" s="8"/>
      <c r="L2228" s="8"/>
    </row>
    <row r="2229" spans="3:12" x14ac:dyDescent="0.25">
      <c r="C2229" s="7"/>
      <c r="E2229" s="8"/>
      <c r="F2229" s="8"/>
      <c r="G2229" s="8"/>
      <c r="H2229" s="8"/>
      <c r="I2229" s="8"/>
      <c r="J2229" s="8"/>
      <c r="K2229" s="8"/>
      <c r="L2229" s="8"/>
    </row>
    <row r="2230" spans="3:12" x14ac:dyDescent="0.25">
      <c r="C2230" s="7"/>
      <c r="E2230" s="8"/>
      <c r="F2230" s="8"/>
      <c r="G2230" s="8"/>
      <c r="H2230" s="8"/>
      <c r="I2230" s="8"/>
      <c r="J2230" s="8"/>
      <c r="K2230" s="8"/>
      <c r="L2230" s="8"/>
    </row>
    <row r="2231" spans="3:12" x14ac:dyDescent="0.25">
      <c r="C2231" s="7"/>
      <c r="E2231" s="8"/>
      <c r="F2231" s="8"/>
      <c r="G2231" s="8"/>
      <c r="H2231" s="8"/>
      <c r="I2231" s="8"/>
      <c r="J2231" s="8"/>
      <c r="K2231" s="8"/>
      <c r="L2231" s="8"/>
    </row>
    <row r="2232" spans="3:12" x14ac:dyDescent="0.25">
      <c r="C2232" s="7"/>
      <c r="E2232" s="8"/>
      <c r="F2232" s="8"/>
      <c r="G2232" s="8"/>
      <c r="H2232" s="8"/>
      <c r="I2232" s="8"/>
      <c r="J2232" s="8"/>
      <c r="K2232" s="8"/>
      <c r="L2232" s="8"/>
    </row>
    <row r="2233" spans="3:12" x14ac:dyDescent="0.25">
      <c r="C2233" s="7"/>
      <c r="E2233" s="8"/>
      <c r="F2233" s="8"/>
      <c r="G2233" s="8"/>
      <c r="H2233" s="8"/>
      <c r="I2233" s="8"/>
      <c r="J2233" s="8"/>
      <c r="K2233" s="8"/>
      <c r="L2233" s="8"/>
    </row>
    <row r="2234" spans="3:12" x14ac:dyDescent="0.25">
      <c r="C2234" s="7"/>
      <c r="E2234" s="8"/>
      <c r="F2234" s="8"/>
      <c r="G2234" s="8"/>
      <c r="H2234" s="8"/>
      <c r="I2234" s="8"/>
      <c r="J2234" s="8"/>
      <c r="K2234" s="8"/>
      <c r="L2234" s="8"/>
    </row>
    <row r="2235" spans="3:12" x14ac:dyDescent="0.25">
      <c r="C2235" s="7"/>
      <c r="E2235" s="8"/>
      <c r="F2235" s="8"/>
      <c r="G2235" s="8"/>
      <c r="H2235" s="8"/>
      <c r="I2235" s="8"/>
      <c r="J2235" s="8"/>
      <c r="K2235" s="8"/>
      <c r="L2235" s="8"/>
    </row>
    <row r="2236" spans="3:12" x14ac:dyDescent="0.25">
      <c r="C2236" s="7"/>
      <c r="E2236" s="8"/>
      <c r="F2236" s="8"/>
      <c r="G2236" s="8"/>
      <c r="H2236" s="8"/>
      <c r="I2236" s="8"/>
      <c r="J2236" s="8"/>
      <c r="K2236" s="8"/>
      <c r="L2236" s="8"/>
    </row>
    <row r="2237" spans="3:12" x14ac:dyDescent="0.25">
      <c r="C2237" s="7"/>
      <c r="E2237" s="8"/>
      <c r="F2237" s="8"/>
      <c r="G2237" s="8"/>
      <c r="H2237" s="8"/>
      <c r="I2237" s="8"/>
      <c r="J2237" s="8"/>
      <c r="K2237" s="8"/>
      <c r="L2237" s="8"/>
    </row>
    <row r="2238" spans="3:12" x14ac:dyDescent="0.25">
      <c r="C2238" s="7"/>
      <c r="E2238" s="8"/>
      <c r="F2238" s="8"/>
      <c r="G2238" s="8"/>
      <c r="H2238" s="8"/>
      <c r="I2238" s="8"/>
      <c r="J2238" s="8"/>
      <c r="K2238" s="8"/>
      <c r="L2238" s="8"/>
    </row>
    <row r="2239" spans="3:12" x14ac:dyDescent="0.25">
      <c r="C2239" s="7"/>
      <c r="E2239" s="8"/>
      <c r="F2239" s="8"/>
      <c r="G2239" s="8"/>
      <c r="H2239" s="8"/>
      <c r="I2239" s="8"/>
      <c r="J2239" s="8"/>
      <c r="K2239" s="8"/>
      <c r="L2239" s="8"/>
    </row>
    <row r="2240" spans="3:12" x14ac:dyDescent="0.25">
      <c r="C2240" s="7"/>
      <c r="E2240" s="8"/>
      <c r="F2240" s="8"/>
      <c r="G2240" s="8"/>
      <c r="H2240" s="8"/>
      <c r="I2240" s="8"/>
      <c r="J2240" s="8"/>
      <c r="K2240" s="8"/>
      <c r="L2240" s="8"/>
    </row>
    <row r="2241" spans="3:12" x14ac:dyDescent="0.25">
      <c r="C2241" s="7"/>
      <c r="E2241" s="8"/>
      <c r="F2241" s="8"/>
      <c r="G2241" s="8"/>
      <c r="H2241" s="8"/>
      <c r="I2241" s="8"/>
      <c r="J2241" s="8"/>
      <c r="K2241" s="8"/>
      <c r="L2241" s="8"/>
    </row>
    <row r="2242" spans="3:12" x14ac:dyDescent="0.25">
      <c r="C2242" s="7"/>
      <c r="E2242" s="8"/>
      <c r="F2242" s="8"/>
      <c r="G2242" s="8"/>
      <c r="H2242" s="8"/>
      <c r="I2242" s="8"/>
      <c r="J2242" s="8"/>
      <c r="K2242" s="8"/>
      <c r="L2242" s="8"/>
    </row>
    <row r="2243" spans="3:12" x14ac:dyDescent="0.25">
      <c r="C2243" s="7"/>
      <c r="E2243" s="8"/>
      <c r="F2243" s="8"/>
      <c r="G2243" s="8"/>
      <c r="H2243" s="8"/>
      <c r="I2243" s="8"/>
      <c r="J2243" s="8"/>
      <c r="K2243" s="8"/>
      <c r="L2243" s="8"/>
    </row>
    <row r="2244" spans="3:12" x14ac:dyDescent="0.25">
      <c r="C2244" s="7"/>
      <c r="E2244" s="8"/>
      <c r="F2244" s="8"/>
      <c r="G2244" s="8"/>
      <c r="H2244" s="8"/>
      <c r="I2244" s="8"/>
      <c r="J2244" s="8"/>
      <c r="K2244" s="8"/>
      <c r="L2244" s="8"/>
    </row>
    <row r="2245" spans="3:12" x14ac:dyDescent="0.25">
      <c r="C2245" s="7"/>
      <c r="E2245" s="8"/>
      <c r="F2245" s="8"/>
      <c r="G2245" s="8"/>
      <c r="H2245" s="8"/>
      <c r="I2245" s="8"/>
      <c r="J2245" s="8"/>
      <c r="K2245" s="8"/>
      <c r="L2245" s="8"/>
    </row>
    <row r="2246" spans="3:12" x14ac:dyDescent="0.25">
      <c r="C2246" s="7"/>
      <c r="E2246" s="8"/>
      <c r="F2246" s="8"/>
      <c r="G2246" s="8"/>
      <c r="H2246" s="8"/>
      <c r="I2246" s="8"/>
      <c r="J2246" s="8"/>
      <c r="K2246" s="8"/>
      <c r="L2246" s="8"/>
    </row>
    <row r="2247" spans="3:12" x14ac:dyDescent="0.25">
      <c r="C2247" s="7"/>
      <c r="E2247" s="8"/>
      <c r="F2247" s="8"/>
      <c r="G2247" s="8"/>
      <c r="H2247" s="8"/>
      <c r="I2247" s="8"/>
      <c r="J2247" s="8"/>
      <c r="K2247" s="8"/>
      <c r="L2247" s="8"/>
    </row>
    <row r="2248" spans="3:12" x14ac:dyDescent="0.25">
      <c r="C2248" s="7"/>
      <c r="E2248" s="8"/>
      <c r="F2248" s="8"/>
      <c r="G2248" s="8"/>
      <c r="H2248" s="8"/>
      <c r="I2248" s="8"/>
      <c r="J2248" s="8"/>
      <c r="K2248" s="8"/>
      <c r="L2248" s="8"/>
    </row>
    <row r="2249" spans="3:12" x14ac:dyDescent="0.25">
      <c r="C2249" s="7"/>
      <c r="E2249" s="8"/>
      <c r="F2249" s="8"/>
      <c r="G2249" s="8"/>
      <c r="H2249" s="8"/>
      <c r="I2249" s="8"/>
      <c r="J2249" s="8"/>
      <c r="K2249" s="8"/>
      <c r="L2249" s="8"/>
    </row>
    <row r="2250" spans="3:12" x14ac:dyDescent="0.25">
      <c r="C2250" s="7"/>
      <c r="E2250" s="8"/>
      <c r="F2250" s="8"/>
      <c r="G2250" s="8"/>
      <c r="H2250" s="8"/>
      <c r="I2250" s="8"/>
      <c r="J2250" s="8"/>
      <c r="K2250" s="8"/>
      <c r="L2250" s="8"/>
    </row>
    <row r="2251" spans="3:12" x14ac:dyDescent="0.25">
      <c r="C2251" s="7"/>
      <c r="E2251" s="8"/>
      <c r="F2251" s="8"/>
      <c r="G2251" s="8"/>
      <c r="H2251" s="8"/>
      <c r="I2251" s="8"/>
      <c r="J2251" s="8"/>
      <c r="K2251" s="8"/>
      <c r="L2251" s="8"/>
    </row>
    <row r="2252" spans="3:12" x14ac:dyDescent="0.25">
      <c r="C2252" s="7"/>
      <c r="E2252" s="8"/>
      <c r="F2252" s="8"/>
      <c r="G2252" s="8"/>
      <c r="H2252" s="8"/>
      <c r="I2252" s="8"/>
      <c r="J2252" s="8"/>
      <c r="K2252" s="8"/>
      <c r="L2252" s="8"/>
    </row>
    <row r="2253" spans="3:12" x14ac:dyDescent="0.25">
      <c r="C2253" s="7"/>
      <c r="E2253" s="8"/>
      <c r="F2253" s="8"/>
      <c r="G2253" s="8"/>
      <c r="H2253" s="8"/>
      <c r="I2253" s="8"/>
      <c r="J2253" s="8"/>
      <c r="K2253" s="8"/>
      <c r="L2253" s="8"/>
    </row>
    <row r="2254" spans="3:12" x14ac:dyDescent="0.25">
      <c r="C2254" s="7"/>
      <c r="E2254" s="8"/>
      <c r="F2254" s="8"/>
      <c r="G2254" s="8"/>
      <c r="H2254" s="8"/>
      <c r="I2254" s="8"/>
      <c r="J2254" s="8"/>
      <c r="K2254" s="8"/>
      <c r="L2254" s="8"/>
    </row>
    <row r="2255" spans="3:12" x14ac:dyDescent="0.25">
      <c r="C2255" s="7"/>
      <c r="E2255" s="8"/>
      <c r="F2255" s="8"/>
      <c r="G2255" s="8"/>
      <c r="H2255" s="8"/>
      <c r="I2255" s="8"/>
      <c r="J2255" s="8"/>
      <c r="K2255" s="8"/>
      <c r="L2255" s="8"/>
    </row>
    <row r="2256" spans="3:12" x14ac:dyDescent="0.25">
      <c r="C2256" s="7"/>
      <c r="E2256" s="8"/>
      <c r="F2256" s="8"/>
      <c r="G2256" s="8"/>
      <c r="H2256" s="8"/>
      <c r="I2256" s="8"/>
      <c r="J2256" s="8"/>
      <c r="K2256" s="8"/>
      <c r="L2256" s="8"/>
    </row>
    <row r="2257" spans="3:12" x14ac:dyDescent="0.25">
      <c r="C2257" s="7"/>
      <c r="E2257" s="8"/>
      <c r="F2257" s="8"/>
      <c r="G2257" s="8"/>
      <c r="H2257" s="8"/>
      <c r="I2257" s="8"/>
      <c r="J2257" s="8"/>
      <c r="K2257" s="8"/>
      <c r="L2257" s="8"/>
    </row>
    <row r="2258" spans="3:12" x14ac:dyDescent="0.25">
      <c r="C2258" s="7"/>
      <c r="E2258" s="8"/>
      <c r="F2258" s="8"/>
      <c r="G2258" s="8"/>
      <c r="H2258" s="8"/>
      <c r="I2258" s="8"/>
      <c r="J2258" s="8"/>
      <c r="K2258" s="8"/>
      <c r="L2258" s="8"/>
    </row>
    <row r="2259" spans="3:12" x14ac:dyDescent="0.25">
      <c r="C2259" s="7"/>
      <c r="E2259" s="8"/>
      <c r="F2259" s="8"/>
      <c r="G2259" s="8"/>
      <c r="H2259" s="8"/>
      <c r="I2259" s="8"/>
      <c r="J2259" s="8"/>
      <c r="K2259" s="8"/>
      <c r="L2259" s="8"/>
    </row>
    <row r="2260" spans="3:12" x14ac:dyDescent="0.25">
      <c r="C2260" s="7"/>
      <c r="E2260" s="8"/>
      <c r="F2260" s="8"/>
      <c r="G2260" s="8"/>
      <c r="H2260" s="8"/>
      <c r="I2260" s="8"/>
      <c r="J2260" s="8"/>
      <c r="K2260" s="8"/>
      <c r="L2260" s="8"/>
    </row>
    <row r="2261" spans="3:12" x14ac:dyDescent="0.25">
      <c r="C2261" s="7"/>
      <c r="E2261" s="8"/>
      <c r="F2261" s="8"/>
      <c r="G2261" s="8"/>
      <c r="H2261" s="8"/>
      <c r="I2261" s="8"/>
      <c r="J2261" s="8"/>
      <c r="K2261" s="8"/>
      <c r="L2261" s="8"/>
    </row>
    <row r="2262" spans="3:12" x14ac:dyDescent="0.25">
      <c r="C2262" s="7"/>
      <c r="E2262" s="8"/>
      <c r="F2262" s="8"/>
      <c r="G2262" s="8"/>
      <c r="H2262" s="8"/>
      <c r="I2262" s="8"/>
      <c r="J2262" s="8"/>
      <c r="K2262" s="8"/>
      <c r="L2262" s="8"/>
    </row>
    <row r="2263" spans="3:12" x14ac:dyDescent="0.25">
      <c r="C2263" s="7"/>
      <c r="E2263" s="8"/>
      <c r="F2263" s="8"/>
      <c r="G2263" s="8"/>
      <c r="H2263" s="8"/>
      <c r="I2263" s="8"/>
      <c r="J2263" s="8"/>
      <c r="K2263" s="8"/>
      <c r="L2263" s="8"/>
    </row>
    <row r="2264" spans="3:12" x14ac:dyDescent="0.25">
      <c r="C2264" s="7"/>
      <c r="E2264" s="8"/>
      <c r="F2264" s="8"/>
      <c r="G2264" s="8"/>
      <c r="H2264" s="8"/>
      <c r="I2264" s="8"/>
      <c r="J2264" s="8"/>
      <c r="K2264" s="8"/>
      <c r="L2264" s="8"/>
    </row>
    <row r="2265" spans="3:12" x14ac:dyDescent="0.25">
      <c r="C2265" s="7"/>
      <c r="E2265" s="8"/>
      <c r="F2265" s="8"/>
      <c r="G2265" s="8"/>
      <c r="H2265" s="8"/>
      <c r="I2265" s="8"/>
      <c r="J2265" s="8"/>
      <c r="K2265" s="8"/>
      <c r="L2265" s="8"/>
    </row>
    <row r="2266" spans="3:12" x14ac:dyDescent="0.25">
      <c r="C2266" s="7"/>
      <c r="E2266" s="8"/>
      <c r="F2266" s="8"/>
      <c r="G2266" s="8"/>
      <c r="H2266" s="8"/>
      <c r="I2266" s="8"/>
      <c r="J2266" s="8"/>
      <c r="K2266" s="8"/>
      <c r="L2266" s="8"/>
    </row>
    <row r="2267" spans="3:12" x14ac:dyDescent="0.25">
      <c r="C2267" s="7"/>
      <c r="E2267" s="8"/>
      <c r="F2267" s="8"/>
      <c r="G2267" s="8"/>
      <c r="H2267" s="8"/>
      <c r="I2267" s="8"/>
      <c r="J2267" s="8"/>
      <c r="K2267" s="8"/>
      <c r="L2267" s="8"/>
    </row>
    <row r="2268" spans="3:12" x14ac:dyDescent="0.25">
      <c r="C2268" s="7"/>
      <c r="E2268" s="8"/>
      <c r="F2268" s="8"/>
      <c r="G2268" s="8"/>
      <c r="H2268" s="8"/>
      <c r="I2268" s="8"/>
      <c r="J2268" s="8"/>
      <c r="K2268" s="8"/>
      <c r="L2268" s="8"/>
    </row>
    <row r="2269" spans="3:12" x14ac:dyDescent="0.25">
      <c r="C2269" s="7"/>
      <c r="E2269" s="8"/>
      <c r="F2269" s="8"/>
      <c r="G2269" s="8"/>
      <c r="H2269" s="8"/>
      <c r="I2269" s="8"/>
      <c r="J2269" s="8"/>
      <c r="K2269" s="8"/>
      <c r="L2269" s="8"/>
    </row>
    <row r="2270" spans="3:12" x14ac:dyDescent="0.25">
      <c r="C2270" s="7"/>
      <c r="E2270" s="8"/>
      <c r="F2270" s="8"/>
      <c r="G2270" s="8"/>
      <c r="H2270" s="8"/>
      <c r="I2270" s="8"/>
      <c r="J2270" s="8"/>
      <c r="K2270" s="8"/>
      <c r="L2270" s="8"/>
    </row>
    <row r="2271" spans="3:12" x14ac:dyDescent="0.25">
      <c r="C2271" s="7"/>
      <c r="E2271" s="8"/>
      <c r="F2271" s="8"/>
      <c r="G2271" s="8"/>
      <c r="H2271" s="8"/>
      <c r="I2271" s="8"/>
      <c r="J2271" s="8"/>
      <c r="K2271" s="8"/>
      <c r="L2271" s="8"/>
    </row>
    <row r="2272" spans="3:12" x14ac:dyDescent="0.25">
      <c r="C2272" s="7"/>
      <c r="E2272" s="8"/>
      <c r="F2272" s="8"/>
      <c r="G2272" s="8"/>
      <c r="H2272" s="8"/>
      <c r="I2272" s="8"/>
      <c r="J2272" s="8"/>
      <c r="K2272" s="8"/>
      <c r="L2272" s="8"/>
    </row>
    <row r="2273" spans="3:12" x14ac:dyDescent="0.25">
      <c r="C2273" s="7"/>
      <c r="E2273" s="8"/>
      <c r="F2273" s="8"/>
      <c r="G2273" s="8"/>
      <c r="H2273" s="8"/>
      <c r="I2273" s="8"/>
      <c r="J2273" s="8"/>
      <c r="K2273" s="8"/>
      <c r="L2273" s="8"/>
    </row>
    <row r="2274" spans="3:12" x14ac:dyDescent="0.25">
      <c r="C2274" s="7"/>
      <c r="E2274" s="8"/>
      <c r="F2274" s="8"/>
      <c r="G2274" s="8"/>
      <c r="H2274" s="8"/>
      <c r="I2274" s="8"/>
      <c r="J2274" s="8"/>
      <c r="K2274" s="8"/>
      <c r="L2274" s="8"/>
    </row>
    <row r="2275" spans="3:12" x14ac:dyDescent="0.25">
      <c r="C2275" s="7"/>
      <c r="E2275" s="8"/>
      <c r="F2275" s="8"/>
      <c r="G2275" s="8"/>
      <c r="H2275" s="8"/>
      <c r="I2275" s="8"/>
      <c r="J2275" s="8"/>
      <c r="K2275" s="8"/>
      <c r="L2275" s="8"/>
    </row>
    <row r="2276" spans="3:12" x14ac:dyDescent="0.25">
      <c r="C2276" s="7"/>
      <c r="E2276" s="8"/>
      <c r="F2276" s="8"/>
      <c r="G2276" s="8"/>
      <c r="H2276" s="8"/>
      <c r="I2276" s="8"/>
      <c r="J2276" s="8"/>
      <c r="K2276" s="8"/>
      <c r="L2276" s="8"/>
    </row>
    <row r="2277" spans="3:12" x14ac:dyDescent="0.25">
      <c r="C2277" s="7"/>
      <c r="E2277" s="8"/>
      <c r="F2277" s="8"/>
      <c r="G2277" s="8"/>
      <c r="H2277" s="8"/>
      <c r="I2277" s="8"/>
      <c r="J2277" s="8"/>
      <c r="K2277" s="8"/>
      <c r="L2277" s="8"/>
    </row>
    <row r="2278" spans="3:12" x14ac:dyDescent="0.25">
      <c r="C2278" s="7"/>
      <c r="E2278" s="8"/>
      <c r="F2278" s="8"/>
      <c r="G2278" s="8"/>
      <c r="H2278" s="8"/>
      <c r="I2278" s="8"/>
      <c r="J2278" s="8"/>
      <c r="K2278" s="8"/>
      <c r="L2278" s="8"/>
    </row>
    <row r="2279" spans="3:12" x14ac:dyDescent="0.25">
      <c r="C2279" s="7"/>
      <c r="E2279" s="8"/>
      <c r="F2279" s="8"/>
      <c r="G2279" s="8"/>
      <c r="H2279" s="8"/>
      <c r="I2279" s="8"/>
      <c r="J2279" s="8"/>
      <c r="K2279" s="8"/>
      <c r="L2279" s="8"/>
    </row>
    <row r="2280" spans="3:12" x14ac:dyDescent="0.25">
      <c r="C2280" s="7"/>
      <c r="E2280" s="8"/>
      <c r="F2280" s="8"/>
      <c r="G2280" s="8"/>
      <c r="H2280" s="8"/>
      <c r="I2280" s="8"/>
      <c r="J2280" s="8"/>
      <c r="K2280" s="8"/>
      <c r="L2280" s="8"/>
    </row>
    <row r="2281" spans="3:12" x14ac:dyDescent="0.25">
      <c r="C2281" s="7"/>
      <c r="E2281" s="8"/>
      <c r="F2281" s="8"/>
      <c r="G2281" s="8"/>
      <c r="H2281" s="8"/>
      <c r="I2281" s="8"/>
      <c r="J2281" s="8"/>
      <c r="K2281" s="8"/>
      <c r="L2281" s="8"/>
    </row>
    <row r="2282" spans="3:12" x14ac:dyDescent="0.25">
      <c r="C2282" s="7"/>
      <c r="E2282" s="8"/>
      <c r="F2282" s="8"/>
      <c r="G2282" s="8"/>
      <c r="H2282" s="8"/>
      <c r="I2282" s="8"/>
      <c r="J2282" s="8"/>
      <c r="K2282" s="8"/>
      <c r="L2282" s="8"/>
    </row>
    <row r="2283" spans="3:12" x14ac:dyDescent="0.25">
      <c r="C2283" s="7"/>
      <c r="E2283" s="8"/>
      <c r="F2283" s="8"/>
      <c r="G2283" s="8"/>
      <c r="H2283" s="8"/>
      <c r="I2283" s="8"/>
      <c r="J2283" s="8"/>
      <c r="K2283" s="8"/>
      <c r="L2283" s="8"/>
    </row>
    <row r="2284" spans="3:12" x14ac:dyDescent="0.25">
      <c r="C2284" s="7"/>
      <c r="E2284" s="8"/>
      <c r="F2284" s="8"/>
      <c r="G2284" s="8"/>
      <c r="H2284" s="8"/>
      <c r="I2284" s="8"/>
      <c r="J2284" s="8"/>
      <c r="K2284" s="8"/>
      <c r="L2284" s="8"/>
    </row>
    <row r="2285" spans="3:12" x14ac:dyDescent="0.25">
      <c r="C2285" s="7"/>
      <c r="E2285" s="8"/>
      <c r="F2285" s="8"/>
      <c r="G2285" s="8"/>
      <c r="H2285" s="8"/>
      <c r="I2285" s="8"/>
      <c r="J2285" s="8"/>
      <c r="K2285" s="8"/>
      <c r="L2285" s="8"/>
    </row>
    <row r="2286" spans="3:12" x14ac:dyDescent="0.25">
      <c r="C2286" s="7"/>
      <c r="E2286" s="8"/>
      <c r="F2286" s="8"/>
      <c r="G2286" s="8"/>
      <c r="H2286" s="8"/>
      <c r="I2286" s="8"/>
      <c r="J2286" s="8"/>
      <c r="K2286" s="8"/>
      <c r="L2286" s="8"/>
    </row>
    <row r="2287" spans="3:12" x14ac:dyDescent="0.25">
      <c r="C2287" s="7"/>
      <c r="E2287" s="8"/>
      <c r="F2287" s="8"/>
      <c r="G2287" s="8"/>
      <c r="H2287" s="8"/>
      <c r="I2287" s="8"/>
      <c r="J2287" s="8"/>
      <c r="K2287" s="8"/>
      <c r="L2287" s="8"/>
    </row>
    <row r="2288" spans="3:12" x14ac:dyDescent="0.25">
      <c r="C2288" s="7"/>
      <c r="E2288" s="8"/>
      <c r="F2288" s="8"/>
      <c r="G2288" s="8"/>
      <c r="H2288" s="8"/>
      <c r="I2288" s="8"/>
      <c r="J2288" s="8"/>
      <c r="K2288" s="8"/>
      <c r="L2288" s="8"/>
    </row>
    <row r="2289" spans="3:12" x14ac:dyDescent="0.25">
      <c r="C2289" s="7"/>
      <c r="E2289" s="8"/>
      <c r="F2289" s="8"/>
      <c r="G2289" s="8"/>
      <c r="H2289" s="8"/>
      <c r="I2289" s="8"/>
      <c r="J2289" s="8"/>
      <c r="K2289" s="8"/>
      <c r="L2289" s="8"/>
    </row>
    <row r="2290" spans="3:12" x14ac:dyDescent="0.25">
      <c r="C2290" s="7"/>
      <c r="E2290" s="8"/>
      <c r="F2290" s="8"/>
      <c r="G2290" s="8"/>
      <c r="H2290" s="8"/>
      <c r="I2290" s="8"/>
      <c r="J2290" s="8"/>
      <c r="K2290" s="8"/>
      <c r="L2290" s="8"/>
    </row>
    <row r="2291" spans="3:12" x14ac:dyDescent="0.25">
      <c r="C2291" s="7"/>
      <c r="E2291" s="8"/>
      <c r="F2291" s="8"/>
      <c r="G2291" s="8"/>
      <c r="H2291" s="8"/>
      <c r="I2291" s="8"/>
      <c r="J2291" s="8"/>
      <c r="K2291" s="8"/>
      <c r="L2291" s="8"/>
    </row>
    <row r="2292" spans="3:12" x14ac:dyDescent="0.25">
      <c r="C2292" s="7"/>
      <c r="E2292" s="8"/>
      <c r="F2292" s="8"/>
      <c r="G2292" s="8"/>
      <c r="H2292" s="8"/>
      <c r="I2292" s="8"/>
      <c r="J2292" s="8"/>
      <c r="K2292" s="8"/>
      <c r="L2292" s="8"/>
    </row>
    <row r="2293" spans="3:12" x14ac:dyDescent="0.25">
      <c r="C2293" s="7"/>
      <c r="E2293" s="8"/>
      <c r="F2293" s="8"/>
      <c r="G2293" s="8"/>
      <c r="H2293" s="8"/>
      <c r="I2293" s="8"/>
      <c r="J2293" s="8"/>
      <c r="K2293" s="8"/>
      <c r="L2293" s="8"/>
    </row>
    <row r="2294" spans="3:12" x14ac:dyDescent="0.25">
      <c r="C2294" s="7"/>
      <c r="E2294" s="8"/>
      <c r="F2294" s="8"/>
      <c r="G2294" s="8"/>
      <c r="H2294" s="8"/>
      <c r="I2294" s="8"/>
      <c r="J2294" s="8"/>
      <c r="K2294" s="8"/>
      <c r="L2294" s="8"/>
    </row>
    <row r="2295" spans="3:12" x14ac:dyDescent="0.25">
      <c r="C2295" s="7"/>
      <c r="E2295" s="8"/>
      <c r="F2295" s="8"/>
      <c r="G2295" s="8"/>
      <c r="H2295" s="8"/>
      <c r="I2295" s="8"/>
      <c r="J2295" s="8"/>
      <c r="K2295" s="8"/>
      <c r="L2295" s="8"/>
    </row>
    <row r="2296" spans="3:12" x14ac:dyDescent="0.25">
      <c r="C2296" s="7"/>
      <c r="E2296" s="8"/>
      <c r="F2296" s="8"/>
      <c r="G2296" s="8"/>
      <c r="H2296" s="8"/>
      <c r="I2296" s="8"/>
      <c r="J2296" s="8"/>
      <c r="K2296" s="8"/>
      <c r="L2296" s="8"/>
    </row>
    <row r="2297" spans="3:12" x14ac:dyDescent="0.25">
      <c r="C2297" s="7"/>
      <c r="E2297" s="8"/>
      <c r="F2297" s="8"/>
      <c r="G2297" s="8"/>
      <c r="H2297" s="8"/>
      <c r="I2297" s="8"/>
      <c r="J2297" s="8"/>
      <c r="K2297" s="8"/>
      <c r="L2297" s="8"/>
    </row>
    <row r="2298" spans="3:12" x14ac:dyDescent="0.25">
      <c r="C2298" s="7"/>
      <c r="E2298" s="8"/>
      <c r="F2298" s="8"/>
      <c r="G2298" s="8"/>
      <c r="H2298" s="8"/>
      <c r="I2298" s="8"/>
      <c r="J2298" s="8"/>
      <c r="K2298" s="8"/>
      <c r="L2298" s="8"/>
    </row>
    <row r="2299" spans="3:12" x14ac:dyDescent="0.25">
      <c r="C2299" s="7"/>
      <c r="E2299" s="8"/>
      <c r="F2299" s="8"/>
      <c r="G2299" s="8"/>
      <c r="H2299" s="8"/>
      <c r="I2299" s="8"/>
      <c r="J2299" s="8"/>
      <c r="K2299" s="8"/>
      <c r="L2299" s="8"/>
    </row>
    <row r="2300" spans="3:12" x14ac:dyDescent="0.25">
      <c r="C2300" s="7"/>
      <c r="E2300" s="8"/>
      <c r="F2300" s="8"/>
      <c r="G2300" s="8"/>
      <c r="H2300" s="8"/>
      <c r="I2300" s="8"/>
      <c r="J2300" s="8"/>
      <c r="K2300" s="8"/>
      <c r="L2300" s="8"/>
    </row>
    <row r="2301" spans="3:12" x14ac:dyDescent="0.25">
      <c r="C2301" s="7"/>
      <c r="E2301" s="8"/>
      <c r="F2301" s="8"/>
      <c r="G2301" s="8"/>
      <c r="H2301" s="8"/>
      <c r="I2301" s="8"/>
      <c r="J2301" s="8"/>
      <c r="K2301" s="8"/>
      <c r="L2301" s="8"/>
    </row>
    <row r="2302" spans="3:12" x14ac:dyDescent="0.25">
      <c r="C2302" s="7"/>
      <c r="E2302" s="8"/>
      <c r="F2302" s="8"/>
      <c r="G2302" s="8"/>
      <c r="H2302" s="8"/>
      <c r="I2302" s="8"/>
      <c r="J2302" s="8"/>
      <c r="K2302" s="8"/>
      <c r="L2302" s="8"/>
    </row>
    <row r="2303" spans="3:12" x14ac:dyDescent="0.25">
      <c r="C2303" s="7"/>
      <c r="E2303" s="8"/>
      <c r="F2303" s="8"/>
      <c r="G2303" s="8"/>
      <c r="H2303" s="8"/>
      <c r="I2303" s="8"/>
      <c r="J2303" s="8"/>
      <c r="K2303" s="8"/>
      <c r="L2303" s="8"/>
    </row>
    <row r="2304" spans="3:12" x14ac:dyDescent="0.25">
      <c r="C2304" s="7"/>
      <c r="E2304" s="8"/>
      <c r="F2304" s="8"/>
      <c r="G2304" s="8"/>
      <c r="H2304" s="8"/>
      <c r="I2304" s="8"/>
      <c r="J2304" s="8"/>
      <c r="K2304" s="8"/>
      <c r="L2304" s="8"/>
    </row>
    <row r="2305" spans="3:12" x14ac:dyDescent="0.25">
      <c r="C2305" s="7"/>
      <c r="E2305" s="8"/>
      <c r="F2305" s="8"/>
      <c r="G2305" s="8"/>
      <c r="H2305" s="8"/>
      <c r="I2305" s="8"/>
      <c r="J2305" s="8"/>
      <c r="K2305" s="8"/>
      <c r="L2305" s="8"/>
    </row>
    <row r="2306" spans="3:12" x14ac:dyDescent="0.25">
      <c r="C2306" s="7"/>
      <c r="E2306" s="8"/>
      <c r="F2306" s="8"/>
      <c r="G2306" s="8"/>
      <c r="H2306" s="8"/>
      <c r="I2306" s="8"/>
      <c r="J2306" s="8"/>
      <c r="K2306" s="8"/>
      <c r="L2306" s="8"/>
    </row>
    <row r="2307" spans="3:12" x14ac:dyDescent="0.25">
      <c r="C2307" s="7"/>
      <c r="E2307" s="8"/>
      <c r="F2307" s="8"/>
      <c r="G2307" s="8"/>
      <c r="H2307" s="8"/>
      <c r="I2307" s="8"/>
      <c r="J2307" s="8"/>
      <c r="K2307" s="8"/>
      <c r="L2307" s="8"/>
    </row>
    <row r="2308" spans="3:12" x14ac:dyDescent="0.25">
      <c r="C2308" s="7"/>
      <c r="E2308" s="8"/>
      <c r="F2308" s="8"/>
      <c r="G2308" s="8"/>
      <c r="H2308" s="8"/>
      <c r="I2308" s="8"/>
      <c r="J2308" s="8"/>
      <c r="K2308" s="8"/>
      <c r="L2308" s="8"/>
    </row>
    <row r="2309" spans="3:12" x14ac:dyDescent="0.25">
      <c r="C2309" s="7"/>
      <c r="E2309" s="8"/>
      <c r="F2309" s="8"/>
      <c r="G2309" s="8"/>
      <c r="H2309" s="8"/>
      <c r="I2309" s="8"/>
      <c r="J2309" s="8"/>
      <c r="K2309" s="8"/>
      <c r="L2309" s="8"/>
    </row>
    <row r="2310" spans="3:12" x14ac:dyDescent="0.25">
      <c r="C2310" s="7"/>
      <c r="E2310" s="8"/>
      <c r="F2310" s="8"/>
      <c r="G2310" s="8"/>
      <c r="H2310" s="8"/>
      <c r="I2310" s="8"/>
      <c r="J2310" s="8"/>
      <c r="K2310" s="8"/>
      <c r="L2310" s="8"/>
    </row>
    <row r="2311" spans="3:12" x14ac:dyDescent="0.25">
      <c r="C2311" s="7"/>
      <c r="E2311" s="8"/>
      <c r="F2311" s="8"/>
      <c r="G2311" s="8"/>
      <c r="H2311" s="8"/>
      <c r="I2311" s="8"/>
      <c r="J2311" s="8"/>
      <c r="K2311" s="8"/>
      <c r="L2311" s="8"/>
    </row>
    <row r="2312" spans="3:12" x14ac:dyDescent="0.25">
      <c r="C2312" s="7"/>
      <c r="E2312" s="8"/>
      <c r="F2312" s="8"/>
      <c r="G2312" s="8"/>
      <c r="H2312" s="8"/>
      <c r="I2312" s="8"/>
      <c r="J2312" s="8"/>
      <c r="K2312" s="8"/>
      <c r="L2312" s="8"/>
    </row>
    <row r="2313" spans="3:12" x14ac:dyDescent="0.25">
      <c r="C2313" s="7"/>
      <c r="E2313" s="8"/>
      <c r="F2313" s="8"/>
      <c r="G2313" s="8"/>
      <c r="H2313" s="8"/>
      <c r="I2313" s="8"/>
      <c r="J2313" s="8"/>
      <c r="K2313" s="8"/>
      <c r="L2313" s="8"/>
    </row>
    <row r="2314" spans="3:12" x14ac:dyDescent="0.25">
      <c r="C2314" s="7"/>
      <c r="E2314" s="8"/>
      <c r="F2314" s="8"/>
      <c r="G2314" s="8"/>
      <c r="H2314" s="8"/>
      <c r="I2314" s="8"/>
      <c r="J2314" s="8"/>
      <c r="K2314" s="8"/>
      <c r="L2314" s="8"/>
    </row>
    <row r="2315" spans="3:12" x14ac:dyDescent="0.25">
      <c r="C2315" s="7"/>
      <c r="E2315" s="8"/>
      <c r="F2315" s="8"/>
      <c r="G2315" s="8"/>
      <c r="H2315" s="8"/>
      <c r="I2315" s="8"/>
      <c r="J2315" s="8"/>
      <c r="K2315" s="8"/>
      <c r="L2315" s="8"/>
    </row>
    <row r="2316" spans="3:12" x14ac:dyDescent="0.25">
      <c r="C2316" s="7"/>
      <c r="E2316" s="8"/>
      <c r="F2316" s="8"/>
      <c r="G2316" s="8"/>
      <c r="H2316" s="8"/>
      <c r="I2316" s="8"/>
      <c r="J2316" s="8"/>
      <c r="K2316" s="8"/>
      <c r="L2316" s="8"/>
    </row>
    <row r="2317" spans="3:12" x14ac:dyDescent="0.25">
      <c r="C2317" s="7"/>
      <c r="E2317" s="8"/>
      <c r="F2317" s="8"/>
      <c r="G2317" s="8"/>
      <c r="H2317" s="8"/>
      <c r="I2317" s="8"/>
      <c r="J2317" s="8"/>
      <c r="K2317" s="8"/>
      <c r="L2317" s="8"/>
    </row>
    <row r="2318" spans="3:12" x14ac:dyDescent="0.25">
      <c r="C2318" s="7"/>
      <c r="E2318" s="8"/>
      <c r="F2318" s="8"/>
      <c r="G2318" s="8"/>
      <c r="H2318" s="8"/>
      <c r="I2318" s="8"/>
      <c r="J2318" s="8"/>
      <c r="K2318" s="8"/>
      <c r="L2318" s="8"/>
    </row>
    <row r="2319" spans="3:12" x14ac:dyDescent="0.25">
      <c r="C2319" s="7"/>
      <c r="E2319" s="8"/>
      <c r="F2319" s="8"/>
      <c r="G2319" s="8"/>
      <c r="H2319" s="8"/>
      <c r="I2319" s="8"/>
      <c r="J2319" s="8"/>
      <c r="K2319" s="8"/>
      <c r="L2319" s="8"/>
    </row>
    <row r="2320" spans="3:12" x14ac:dyDescent="0.25">
      <c r="C2320" s="7"/>
      <c r="E2320" s="8"/>
      <c r="F2320" s="8"/>
      <c r="G2320" s="8"/>
      <c r="H2320" s="8"/>
      <c r="I2320" s="8"/>
      <c r="J2320" s="8"/>
      <c r="K2320" s="8"/>
      <c r="L2320" s="8"/>
    </row>
    <row r="2321" spans="3:12" x14ac:dyDescent="0.25">
      <c r="C2321" s="7"/>
      <c r="E2321" s="8"/>
      <c r="F2321" s="8"/>
      <c r="G2321" s="8"/>
      <c r="H2321" s="8"/>
      <c r="I2321" s="8"/>
      <c r="J2321" s="8"/>
      <c r="K2321" s="8"/>
      <c r="L2321" s="8"/>
    </row>
    <row r="2322" spans="3:12" x14ac:dyDescent="0.25">
      <c r="C2322" s="7"/>
      <c r="E2322" s="8"/>
      <c r="F2322" s="8"/>
      <c r="G2322" s="8"/>
      <c r="H2322" s="8"/>
      <c r="I2322" s="8"/>
      <c r="J2322" s="8"/>
      <c r="K2322" s="8"/>
      <c r="L2322" s="8"/>
    </row>
    <row r="2323" spans="3:12" x14ac:dyDescent="0.25">
      <c r="C2323" s="7"/>
      <c r="E2323" s="8"/>
      <c r="F2323" s="8"/>
      <c r="G2323" s="8"/>
      <c r="H2323" s="8"/>
      <c r="I2323" s="8"/>
      <c r="J2323" s="8"/>
      <c r="K2323" s="8"/>
      <c r="L2323" s="8"/>
    </row>
    <row r="2324" spans="3:12" x14ac:dyDescent="0.25">
      <c r="C2324" s="7"/>
      <c r="E2324" s="8"/>
      <c r="F2324" s="8"/>
      <c r="G2324" s="8"/>
      <c r="H2324" s="8"/>
      <c r="I2324" s="8"/>
      <c r="J2324" s="8"/>
      <c r="K2324" s="8"/>
      <c r="L2324" s="8"/>
    </row>
    <row r="2325" spans="3:12" x14ac:dyDescent="0.25">
      <c r="C2325" s="7"/>
      <c r="E2325" s="8"/>
      <c r="F2325" s="8"/>
      <c r="G2325" s="8"/>
      <c r="H2325" s="8"/>
      <c r="I2325" s="8"/>
      <c r="J2325" s="8"/>
      <c r="K2325" s="8"/>
      <c r="L2325" s="8"/>
    </row>
    <row r="2326" spans="3:12" x14ac:dyDescent="0.25">
      <c r="C2326" s="7"/>
      <c r="E2326" s="8"/>
      <c r="F2326" s="8"/>
      <c r="G2326" s="8"/>
      <c r="H2326" s="8"/>
      <c r="I2326" s="8"/>
      <c r="J2326" s="8"/>
      <c r="K2326" s="8"/>
      <c r="L2326" s="8"/>
    </row>
    <row r="2327" spans="3:12" x14ac:dyDescent="0.25">
      <c r="C2327" s="7"/>
      <c r="E2327" s="8"/>
      <c r="F2327" s="8"/>
      <c r="G2327" s="8"/>
      <c r="H2327" s="8"/>
      <c r="I2327" s="8"/>
      <c r="J2327" s="8"/>
      <c r="K2327" s="8"/>
      <c r="L2327" s="8"/>
    </row>
    <row r="2328" spans="3:12" x14ac:dyDescent="0.25">
      <c r="C2328" s="7"/>
      <c r="E2328" s="8"/>
      <c r="F2328" s="8"/>
      <c r="G2328" s="8"/>
      <c r="H2328" s="8"/>
      <c r="I2328" s="8"/>
      <c r="J2328" s="8"/>
      <c r="K2328" s="8"/>
      <c r="L2328" s="8"/>
    </row>
    <row r="2329" spans="3:12" x14ac:dyDescent="0.25">
      <c r="C2329" s="7"/>
      <c r="E2329" s="8"/>
      <c r="F2329" s="8"/>
      <c r="G2329" s="8"/>
      <c r="H2329" s="8"/>
      <c r="I2329" s="8"/>
      <c r="J2329" s="8"/>
      <c r="K2329" s="8"/>
      <c r="L2329" s="8"/>
    </row>
    <row r="2330" spans="3:12" x14ac:dyDescent="0.25">
      <c r="C2330" s="7"/>
      <c r="E2330" s="8"/>
      <c r="F2330" s="8"/>
      <c r="G2330" s="8"/>
      <c r="H2330" s="8"/>
      <c r="I2330" s="8"/>
      <c r="J2330" s="8"/>
      <c r="K2330" s="8"/>
      <c r="L2330" s="8"/>
    </row>
    <row r="2331" spans="3:12" x14ac:dyDescent="0.25">
      <c r="C2331" s="7"/>
      <c r="E2331" s="8"/>
      <c r="F2331" s="8"/>
      <c r="G2331" s="8"/>
      <c r="H2331" s="8"/>
      <c r="I2331" s="8"/>
      <c r="J2331" s="8"/>
      <c r="K2331" s="8"/>
      <c r="L2331" s="8"/>
    </row>
    <row r="2332" spans="3:12" x14ac:dyDescent="0.25">
      <c r="C2332" s="7"/>
      <c r="E2332" s="8"/>
      <c r="F2332" s="8"/>
      <c r="G2332" s="8"/>
      <c r="H2332" s="8"/>
      <c r="I2332" s="8"/>
      <c r="J2332" s="8"/>
      <c r="K2332" s="8"/>
      <c r="L2332" s="8"/>
    </row>
    <row r="2333" spans="3:12" x14ac:dyDescent="0.25">
      <c r="C2333" s="7"/>
      <c r="E2333" s="8"/>
      <c r="F2333" s="8"/>
      <c r="G2333" s="8"/>
      <c r="H2333" s="8"/>
      <c r="I2333" s="8"/>
      <c r="J2333" s="8"/>
      <c r="K2333" s="8"/>
      <c r="L2333" s="8"/>
    </row>
    <row r="2334" spans="3:12" x14ac:dyDescent="0.25">
      <c r="C2334" s="7"/>
      <c r="E2334" s="8"/>
      <c r="F2334" s="8"/>
      <c r="G2334" s="8"/>
      <c r="H2334" s="8"/>
      <c r="I2334" s="8"/>
      <c r="J2334" s="8"/>
      <c r="K2334" s="8"/>
      <c r="L2334" s="8"/>
    </row>
    <row r="2335" spans="3:12" x14ac:dyDescent="0.25">
      <c r="C2335" s="7"/>
      <c r="E2335" s="8"/>
      <c r="F2335" s="8"/>
      <c r="G2335" s="8"/>
      <c r="H2335" s="8"/>
      <c r="I2335" s="8"/>
      <c r="J2335" s="8"/>
      <c r="K2335" s="8"/>
      <c r="L2335" s="8"/>
    </row>
    <row r="2336" spans="3:12" x14ac:dyDescent="0.25">
      <c r="C2336" s="7"/>
      <c r="E2336" s="8"/>
      <c r="F2336" s="8"/>
      <c r="G2336" s="8"/>
      <c r="H2336" s="8"/>
      <c r="I2336" s="8"/>
      <c r="J2336" s="8"/>
      <c r="K2336" s="8"/>
      <c r="L2336" s="8"/>
    </row>
    <row r="2337" spans="3:12" x14ac:dyDescent="0.25">
      <c r="C2337" s="7"/>
      <c r="E2337" s="8"/>
      <c r="F2337" s="8"/>
      <c r="G2337" s="8"/>
      <c r="H2337" s="8"/>
      <c r="I2337" s="8"/>
      <c r="J2337" s="8"/>
      <c r="K2337" s="8"/>
      <c r="L2337" s="8"/>
    </row>
    <row r="2338" spans="3:12" x14ac:dyDescent="0.25">
      <c r="C2338" s="7"/>
      <c r="E2338" s="8"/>
      <c r="F2338" s="8"/>
      <c r="G2338" s="8"/>
      <c r="H2338" s="8"/>
      <c r="I2338" s="8"/>
      <c r="J2338" s="8"/>
      <c r="K2338" s="8"/>
      <c r="L2338" s="8"/>
    </row>
    <row r="2339" spans="3:12" x14ac:dyDescent="0.25">
      <c r="C2339" s="7"/>
      <c r="E2339" s="8"/>
      <c r="F2339" s="8"/>
      <c r="G2339" s="8"/>
      <c r="H2339" s="8"/>
      <c r="I2339" s="8"/>
      <c r="J2339" s="8"/>
      <c r="K2339" s="8"/>
      <c r="L2339" s="8"/>
    </row>
    <row r="2340" spans="3:12" x14ac:dyDescent="0.25">
      <c r="C2340" s="7"/>
      <c r="E2340" s="8"/>
      <c r="F2340" s="8"/>
      <c r="G2340" s="8"/>
      <c r="H2340" s="8"/>
      <c r="I2340" s="8"/>
      <c r="J2340" s="8"/>
      <c r="K2340" s="8"/>
      <c r="L2340" s="8"/>
    </row>
    <row r="2341" spans="3:12" x14ac:dyDescent="0.25">
      <c r="C2341" s="7"/>
      <c r="E2341" s="8"/>
      <c r="F2341" s="8"/>
      <c r="G2341" s="8"/>
      <c r="H2341" s="8"/>
      <c r="I2341" s="8"/>
      <c r="J2341" s="8"/>
      <c r="K2341" s="8"/>
      <c r="L2341" s="8"/>
    </row>
    <row r="2342" spans="3:12" x14ac:dyDescent="0.25">
      <c r="C2342" s="7"/>
      <c r="E2342" s="8"/>
      <c r="F2342" s="8"/>
      <c r="G2342" s="8"/>
      <c r="H2342" s="8"/>
      <c r="I2342" s="8"/>
      <c r="J2342" s="8"/>
      <c r="K2342" s="8"/>
      <c r="L2342" s="8"/>
    </row>
    <row r="2343" spans="3:12" x14ac:dyDescent="0.25">
      <c r="C2343" s="7"/>
      <c r="E2343" s="8"/>
      <c r="F2343" s="8"/>
      <c r="G2343" s="8"/>
      <c r="H2343" s="8"/>
      <c r="I2343" s="8"/>
      <c r="J2343" s="8"/>
      <c r="K2343" s="8"/>
      <c r="L2343" s="8"/>
    </row>
    <row r="2344" spans="3:12" x14ac:dyDescent="0.25">
      <c r="C2344" s="7"/>
      <c r="E2344" s="8"/>
      <c r="F2344" s="8"/>
      <c r="G2344" s="8"/>
      <c r="H2344" s="8"/>
      <c r="I2344" s="8"/>
      <c r="J2344" s="8"/>
      <c r="K2344" s="8"/>
      <c r="L2344" s="8"/>
    </row>
    <row r="2345" spans="3:12" x14ac:dyDescent="0.25">
      <c r="C2345" s="7"/>
      <c r="E2345" s="8"/>
      <c r="F2345" s="8"/>
      <c r="G2345" s="8"/>
      <c r="H2345" s="8"/>
      <c r="I2345" s="8"/>
      <c r="J2345" s="8"/>
      <c r="K2345" s="8"/>
      <c r="L2345" s="8"/>
    </row>
    <row r="2346" spans="3:12" x14ac:dyDescent="0.25">
      <c r="C2346" s="7"/>
      <c r="E2346" s="8"/>
      <c r="F2346" s="8"/>
      <c r="G2346" s="8"/>
      <c r="H2346" s="8"/>
      <c r="I2346" s="8"/>
      <c r="J2346" s="8"/>
      <c r="K2346" s="8"/>
      <c r="L2346" s="8"/>
    </row>
    <row r="2347" spans="3:12" x14ac:dyDescent="0.25">
      <c r="C2347" s="7"/>
      <c r="E2347" s="8"/>
      <c r="F2347" s="8"/>
      <c r="G2347" s="8"/>
      <c r="H2347" s="8"/>
      <c r="I2347" s="8"/>
      <c r="J2347" s="8"/>
      <c r="K2347" s="8"/>
      <c r="L2347" s="8"/>
    </row>
    <row r="2348" spans="3:12" x14ac:dyDescent="0.25">
      <c r="C2348" s="7"/>
      <c r="E2348" s="8"/>
      <c r="F2348" s="8"/>
      <c r="G2348" s="8"/>
      <c r="H2348" s="8"/>
      <c r="I2348" s="8"/>
      <c r="J2348" s="8"/>
      <c r="K2348" s="8"/>
      <c r="L2348" s="8"/>
    </row>
    <row r="2349" spans="3:12" x14ac:dyDescent="0.25">
      <c r="C2349" s="7"/>
      <c r="E2349" s="8"/>
      <c r="F2349" s="8"/>
      <c r="G2349" s="8"/>
      <c r="H2349" s="8"/>
      <c r="I2349" s="8"/>
      <c r="J2349" s="8"/>
      <c r="K2349" s="8"/>
      <c r="L2349" s="8"/>
    </row>
    <row r="2350" spans="3:12" x14ac:dyDescent="0.25">
      <c r="C2350" s="7"/>
      <c r="E2350" s="8"/>
      <c r="F2350" s="8"/>
      <c r="G2350" s="8"/>
      <c r="H2350" s="8"/>
      <c r="I2350" s="8"/>
      <c r="J2350" s="8"/>
      <c r="K2350" s="8"/>
      <c r="L2350" s="8"/>
    </row>
    <row r="2351" spans="3:12" x14ac:dyDescent="0.25">
      <c r="C2351" s="7"/>
      <c r="E2351" s="8"/>
      <c r="F2351" s="8"/>
      <c r="G2351" s="8"/>
      <c r="H2351" s="8"/>
      <c r="I2351" s="8"/>
      <c r="J2351" s="8"/>
      <c r="K2351" s="8"/>
      <c r="L2351" s="8"/>
    </row>
    <row r="2352" spans="3:12" x14ac:dyDescent="0.25">
      <c r="C2352" s="7"/>
      <c r="E2352" s="8"/>
      <c r="F2352" s="8"/>
      <c r="G2352" s="8"/>
      <c r="H2352" s="8"/>
      <c r="I2352" s="8"/>
      <c r="J2352" s="8"/>
      <c r="K2352" s="8"/>
      <c r="L2352" s="8"/>
    </row>
    <row r="2353" spans="3:12" x14ac:dyDescent="0.25">
      <c r="C2353" s="7"/>
      <c r="E2353" s="8"/>
      <c r="F2353" s="8"/>
      <c r="G2353" s="8"/>
      <c r="H2353" s="8"/>
      <c r="I2353" s="8"/>
      <c r="J2353" s="8"/>
      <c r="K2353" s="8"/>
      <c r="L2353" s="8"/>
    </row>
    <row r="2354" spans="3:12" x14ac:dyDescent="0.25">
      <c r="C2354" s="7"/>
      <c r="E2354" s="8"/>
      <c r="F2354" s="8"/>
      <c r="G2354" s="8"/>
      <c r="H2354" s="8"/>
      <c r="I2354" s="8"/>
      <c r="J2354" s="8"/>
      <c r="K2354" s="8"/>
      <c r="L2354" s="8"/>
    </row>
    <row r="2355" spans="3:12" x14ac:dyDescent="0.25">
      <c r="C2355" s="7"/>
      <c r="E2355" s="8"/>
      <c r="F2355" s="8"/>
      <c r="G2355" s="8"/>
      <c r="H2355" s="8"/>
      <c r="I2355" s="8"/>
      <c r="J2355" s="8"/>
      <c r="K2355" s="8"/>
      <c r="L2355" s="8"/>
    </row>
    <row r="2356" spans="3:12" x14ac:dyDescent="0.25">
      <c r="C2356" s="7"/>
      <c r="E2356" s="8"/>
      <c r="F2356" s="8"/>
      <c r="G2356" s="8"/>
      <c r="H2356" s="8"/>
      <c r="I2356" s="8"/>
      <c r="J2356" s="8"/>
      <c r="K2356" s="8"/>
      <c r="L2356" s="8"/>
    </row>
    <row r="2357" spans="3:12" x14ac:dyDescent="0.25">
      <c r="C2357" s="7"/>
      <c r="E2357" s="8"/>
      <c r="F2357" s="8"/>
      <c r="G2357" s="8"/>
      <c r="H2357" s="8"/>
      <c r="I2357" s="8"/>
      <c r="J2357" s="8"/>
      <c r="K2357" s="8"/>
      <c r="L2357" s="8"/>
    </row>
    <row r="2358" spans="3:12" x14ac:dyDescent="0.25">
      <c r="C2358" s="7"/>
      <c r="E2358" s="8"/>
      <c r="F2358" s="8"/>
      <c r="G2358" s="8"/>
      <c r="H2358" s="8"/>
      <c r="I2358" s="8"/>
      <c r="J2358" s="8"/>
      <c r="K2358" s="8"/>
      <c r="L2358" s="8"/>
    </row>
    <row r="2359" spans="3:12" x14ac:dyDescent="0.25">
      <c r="C2359" s="7"/>
      <c r="E2359" s="8"/>
      <c r="F2359" s="8"/>
      <c r="G2359" s="8"/>
      <c r="H2359" s="8"/>
      <c r="I2359" s="8"/>
      <c r="J2359" s="8"/>
      <c r="K2359" s="8"/>
      <c r="L2359" s="8"/>
    </row>
    <row r="2360" spans="3:12" x14ac:dyDescent="0.25">
      <c r="C2360" s="7"/>
      <c r="E2360" s="8"/>
      <c r="F2360" s="8"/>
      <c r="G2360" s="8"/>
      <c r="H2360" s="8"/>
      <c r="I2360" s="8"/>
      <c r="J2360" s="8"/>
      <c r="K2360" s="8"/>
      <c r="L2360" s="8"/>
    </row>
    <row r="2361" spans="3:12" x14ac:dyDescent="0.25">
      <c r="C2361" s="7"/>
      <c r="E2361" s="8"/>
      <c r="F2361" s="8"/>
      <c r="G2361" s="8"/>
      <c r="H2361" s="8"/>
      <c r="I2361" s="8"/>
      <c r="J2361" s="8"/>
      <c r="K2361" s="8"/>
      <c r="L2361" s="8"/>
    </row>
    <row r="2362" spans="3:12" x14ac:dyDescent="0.25">
      <c r="C2362" s="7"/>
      <c r="E2362" s="8"/>
      <c r="F2362" s="8"/>
      <c r="G2362" s="8"/>
      <c r="H2362" s="8"/>
      <c r="I2362" s="8"/>
      <c r="J2362" s="8"/>
      <c r="K2362" s="8"/>
      <c r="L2362" s="8"/>
    </row>
    <row r="2363" spans="3:12" x14ac:dyDescent="0.25">
      <c r="C2363" s="7"/>
      <c r="E2363" s="8"/>
      <c r="F2363" s="8"/>
      <c r="G2363" s="8"/>
      <c r="H2363" s="8"/>
      <c r="I2363" s="8"/>
      <c r="J2363" s="8"/>
      <c r="K2363" s="8"/>
      <c r="L2363" s="8"/>
    </row>
    <row r="2364" spans="3:12" x14ac:dyDescent="0.25">
      <c r="C2364" s="7"/>
      <c r="E2364" s="8"/>
      <c r="F2364" s="8"/>
      <c r="G2364" s="8"/>
      <c r="H2364" s="8"/>
      <c r="I2364" s="8"/>
      <c r="J2364" s="8"/>
      <c r="K2364" s="8"/>
      <c r="L2364" s="8"/>
    </row>
    <row r="2365" spans="3:12" x14ac:dyDescent="0.25">
      <c r="C2365" s="7"/>
      <c r="E2365" s="8"/>
      <c r="F2365" s="8"/>
      <c r="G2365" s="8"/>
      <c r="H2365" s="8"/>
      <c r="I2365" s="8"/>
      <c r="J2365" s="8"/>
      <c r="K2365" s="8"/>
      <c r="L2365" s="8"/>
    </row>
    <row r="2366" spans="3:12" x14ac:dyDescent="0.25">
      <c r="C2366" s="7"/>
      <c r="E2366" s="8"/>
      <c r="F2366" s="8"/>
      <c r="G2366" s="8"/>
      <c r="H2366" s="8"/>
      <c r="I2366" s="8"/>
      <c r="J2366" s="8"/>
      <c r="K2366" s="8"/>
      <c r="L2366" s="8"/>
    </row>
    <row r="2367" spans="3:12" x14ac:dyDescent="0.25">
      <c r="C2367" s="7"/>
      <c r="E2367" s="8"/>
      <c r="F2367" s="8"/>
      <c r="G2367" s="8"/>
      <c r="H2367" s="8"/>
      <c r="I2367" s="8"/>
      <c r="J2367" s="8"/>
      <c r="K2367" s="8"/>
      <c r="L2367" s="8"/>
    </row>
    <row r="2368" spans="3:12" x14ac:dyDescent="0.25">
      <c r="C2368" s="7"/>
      <c r="E2368" s="8"/>
      <c r="F2368" s="8"/>
      <c r="G2368" s="8"/>
      <c r="H2368" s="8"/>
      <c r="I2368" s="8"/>
      <c r="J2368" s="8"/>
      <c r="K2368" s="8"/>
      <c r="L2368" s="8"/>
    </row>
    <row r="2369" spans="3:12" x14ac:dyDescent="0.25">
      <c r="C2369" s="7"/>
      <c r="E2369" s="8"/>
      <c r="F2369" s="8"/>
      <c r="G2369" s="8"/>
      <c r="H2369" s="8"/>
      <c r="I2369" s="8"/>
      <c r="J2369" s="8"/>
      <c r="K2369" s="8"/>
      <c r="L2369" s="8"/>
    </row>
    <row r="2370" spans="3:12" x14ac:dyDescent="0.25">
      <c r="C2370" s="7"/>
      <c r="E2370" s="8"/>
      <c r="F2370" s="8"/>
      <c r="G2370" s="8"/>
      <c r="H2370" s="8"/>
      <c r="I2370" s="8"/>
      <c r="J2370" s="8"/>
      <c r="K2370" s="8"/>
      <c r="L2370" s="8"/>
    </row>
    <row r="2371" spans="3:12" x14ac:dyDescent="0.25">
      <c r="C2371" s="7"/>
      <c r="E2371" s="8"/>
      <c r="F2371" s="8"/>
      <c r="G2371" s="8"/>
      <c r="H2371" s="8"/>
      <c r="I2371" s="8"/>
      <c r="J2371" s="8"/>
      <c r="K2371" s="8"/>
      <c r="L2371" s="8"/>
    </row>
    <row r="2372" spans="3:12" x14ac:dyDescent="0.25">
      <c r="C2372" s="7"/>
      <c r="E2372" s="8"/>
      <c r="F2372" s="8"/>
      <c r="G2372" s="8"/>
      <c r="H2372" s="8"/>
      <c r="I2372" s="8"/>
      <c r="J2372" s="8"/>
      <c r="K2372" s="8"/>
      <c r="L2372" s="8"/>
    </row>
    <row r="2373" spans="3:12" x14ac:dyDescent="0.25">
      <c r="C2373" s="7"/>
      <c r="E2373" s="8"/>
      <c r="F2373" s="8"/>
      <c r="G2373" s="8"/>
      <c r="H2373" s="8"/>
      <c r="I2373" s="8"/>
      <c r="J2373" s="8"/>
      <c r="K2373" s="8"/>
      <c r="L2373" s="8"/>
    </row>
    <row r="2374" spans="3:12" x14ac:dyDescent="0.25">
      <c r="C2374" s="7"/>
      <c r="E2374" s="8"/>
      <c r="F2374" s="8"/>
      <c r="G2374" s="8"/>
      <c r="H2374" s="8"/>
      <c r="I2374" s="8"/>
      <c r="J2374" s="8"/>
      <c r="K2374" s="8"/>
      <c r="L2374" s="8"/>
    </row>
    <row r="2375" spans="3:12" x14ac:dyDescent="0.25">
      <c r="C2375" s="7"/>
      <c r="E2375" s="8"/>
      <c r="F2375" s="8"/>
      <c r="G2375" s="8"/>
      <c r="H2375" s="8"/>
      <c r="I2375" s="8"/>
      <c r="J2375" s="8"/>
      <c r="K2375" s="8"/>
      <c r="L2375" s="8"/>
    </row>
    <row r="2376" spans="3:12" x14ac:dyDescent="0.25">
      <c r="C2376" s="7"/>
      <c r="E2376" s="8"/>
      <c r="F2376" s="8"/>
      <c r="G2376" s="8"/>
      <c r="H2376" s="8"/>
      <c r="I2376" s="8"/>
      <c r="J2376" s="8"/>
      <c r="K2376" s="8"/>
      <c r="L2376" s="8"/>
    </row>
    <row r="2377" spans="3:12" x14ac:dyDescent="0.25">
      <c r="C2377" s="7"/>
      <c r="E2377" s="8"/>
      <c r="F2377" s="8"/>
      <c r="G2377" s="8"/>
      <c r="H2377" s="8"/>
      <c r="I2377" s="8"/>
      <c r="J2377" s="8"/>
      <c r="K2377" s="8"/>
      <c r="L2377" s="8"/>
    </row>
    <row r="2378" spans="3:12" x14ac:dyDescent="0.25">
      <c r="C2378" s="7"/>
      <c r="E2378" s="8"/>
      <c r="F2378" s="8"/>
      <c r="G2378" s="8"/>
      <c r="H2378" s="8"/>
      <c r="I2378" s="8"/>
      <c r="J2378" s="8"/>
      <c r="K2378" s="8"/>
      <c r="L2378" s="8"/>
    </row>
    <row r="2379" spans="3:12" x14ac:dyDescent="0.25">
      <c r="C2379" s="7"/>
      <c r="E2379" s="8"/>
      <c r="F2379" s="8"/>
      <c r="G2379" s="8"/>
      <c r="H2379" s="8"/>
      <c r="I2379" s="8"/>
      <c r="J2379" s="8"/>
      <c r="K2379" s="8"/>
      <c r="L2379" s="8"/>
    </row>
    <row r="2380" spans="3:12" x14ac:dyDescent="0.25">
      <c r="C2380" s="7"/>
      <c r="E2380" s="8"/>
      <c r="F2380" s="8"/>
      <c r="G2380" s="8"/>
      <c r="H2380" s="8"/>
      <c r="I2380" s="8"/>
      <c r="J2380" s="8"/>
      <c r="K2380" s="8"/>
      <c r="L2380" s="8"/>
    </row>
    <row r="2381" spans="3:12" x14ac:dyDescent="0.25">
      <c r="C2381" s="7"/>
      <c r="E2381" s="8"/>
      <c r="F2381" s="8"/>
      <c r="G2381" s="8"/>
      <c r="H2381" s="8"/>
      <c r="I2381" s="8"/>
      <c r="J2381" s="8"/>
      <c r="K2381" s="8"/>
      <c r="L2381" s="8"/>
    </row>
    <row r="2382" spans="3:12" x14ac:dyDescent="0.25">
      <c r="C2382" s="7"/>
      <c r="E2382" s="8"/>
      <c r="F2382" s="8"/>
      <c r="G2382" s="8"/>
      <c r="H2382" s="8"/>
      <c r="I2382" s="8"/>
      <c r="J2382" s="8"/>
      <c r="K2382" s="8"/>
      <c r="L2382" s="8"/>
    </row>
    <row r="2383" spans="3:12" x14ac:dyDescent="0.25">
      <c r="C2383" s="7"/>
      <c r="E2383" s="8"/>
      <c r="F2383" s="8"/>
      <c r="G2383" s="8"/>
      <c r="H2383" s="8"/>
      <c r="I2383" s="8"/>
      <c r="J2383" s="8"/>
      <c r="K2383" s="8"/>
      <c r="L2383" s="8"/>
    </row>
    <row r="2384" spans="3:12" x14ac:dyDescent="0.25">
      <c r="C2384" s="7"/>
      <c r="E2384" s="8"/>
      <c r="F2384" s="8"/>
      <c r="G2384" s="8"/>
      <c r="H2384" s="8"/>
      <c r="I2384" s="8"/>
      <c r="J2384" s="8"/>
      <c r="K2384" s="8"/>
      <c r="L2384" s="8"/>
    </row>
    <row r="2385" spans="3:12" x14ac:dyDescent="0.25">
      <c r="C2385" s="7"/>
      <c r="E2385" s="8"/>
      <c r="F2385" s="8"/>
      <c r="G2385" s="8"/>
      <c r="H2385" s="8"/>
      <c r="I2385" s="8"/>
      <c r="J2385" s="8"/>
      <c r="K2385" s="8"/>
      <c r="L2385" s="8"/>
    </row>
    <row r="2386" spans="3:12" x14ac:dyDescent="0.25">
      <c r="C2386" s="7"/>
      <c r="E2386" s="8"/>
      <c r="F2386" s="8"/>
      <c r="G2386" s="8"/>
      <c r="H2386" s="8"/>
      <c r="I2386" s="8"/>
      <c r="J2386" s="8"/>
      <c r="K2386" s="8"/>
      <c r="L2386" s="8"/>
    </row>
    <row r="2387" spans="3:12" x14ac:dyDescent="0.25">
      <c r="C2387" s="7"/>
      <c r="E2387" s="8"/>
      <c r="F2387" s="8"/>
      <c r="G2387" s="8"/>
      <c r="H2387" s="8"/>
      <c r="I2387" s="8"/>
      <c r="J2387" s="8"/>
      <c r="K2387" s="8"/>
      <c r="L2387" s="8"/>
    </row>
    <row r="2388" spans="3:12" x14ac:dyDescent="0.25">
      <c r="C2388" s="7"/>
      <c r="E2388" s="8"/>
      <c r="F2388" s="8"/>
      <c r="G2388" s="8"/>
      <c r="H2388" s="8"/>
      <c r="I2388" s="8"/>
      <c r="J2388" s="8"/>
      <c r="K2388" s="8"/>
      <c r="L2388" s="8"/>
    </row>
    <row r="2389" spans="3:12" x14ac:dyDescent="0.25">
      <c r="C2389" s="7"/>
      <c r="E2389" s="8"/>
      <c r="F2389" s="8"/>
      <c r="G2389" s="8"/>
      <c r="H2389" s="8"/>
      <c r="I2389" s="8"/>
      <c r="J2389" s="8"/>
      <c r="K2389" s="8"/>
      <c r="L2389" s="8"/>
    </row>
    <row r="2390" spans="3:12" x14ac:dyDescent="0.25">
      <c r="C2390" s="7"/>
      <c r="E2390" s="8"/>
      <c r="F2390" s="8"/>
      <c r="G2390" s="8"/>
      <c r="H2390" s="8"/>
      <c r="I2390" s="8"/>
      <c r="J2390" s="8"/>
      <c r="K2390" s="8"/>
      <c r="L2390" s="8"/>
    </row>
    <row r="2391" spans="3:12" x14ac:dyDescent="0.25">
      <c r="C2391" s="7"/>
      <c r="E2391" s="8"/>
      <c r="F2391" s="8"/>
      <c r="G2391" s="8"/>
      <c r="H2391" s="8"/>
      <c r="I2391" s="8"/>
      <c r="J2391" s="8"/>
      <c r="K2391" s="8"/>
      <c r="L2391" s="8"/>
    </row>
    <row r="2392" spans="3:12" x14ac:dyDescent="0.25">
      <c r="C2392" s="7"/>
      <c r="E2392" s="8"/>
      <c r="F2392" s="8"/>
      <c r="G2392" s="8"/>
      <c r="H2392" s="8"/>
      <c r="I2392" s="8"/>
      <c r="J2392" s="8"/>
      <c r="K2392" s="8"/>
      <c r="L2392" s="8"/>
    </row>
    <row r="2393" spans="3:12" x14ac:dyDescent="0.25">
      <c r="C2393" s="7"/>
      <c r="E2393" s="8"/>
      <c r="F2393" s="8"/>
      <c r="G2393" s="8"/>
      <c r="H2393" s="8"/>
      <c r="I2393" s="8"/>
      <c r="J2393" s="8"/>
      <c r="K2393" s="8"/>
      <c r="L2393" s="8"/>
    </row>
    <row r="2394" spans="3:12" x14ac:dyDescent="0.25">
      <c r="C2394" s="7"/>
      <c r="E2394" s="8"/>
      <c r="F2394" s="8"/>
      <c r="G2394" s="8"/>
      <c r="H2394" s="8"/>
      <c r="I2394" s="8"/>
      <c r="J2394" s="8"/>
      <c r="K2394" s="8"/>
      <c r="L2394" s="8"/>
    </row>
    <row r="2395" spans="3:12" x14ac:dyDescent="0.25">
      <c r="C2395" s="7"/>
      <c r="E2395" s="8"/>
      <c r="F2395" s="8"/>
      <c r="G2395" s="8"/>
      <c r="H2395" s="8"/>
      <c r="I2395" s="8"/>
      <c r="J2395" s="8"/>
      <c r="K2395" s="8"/>
      <c r="L2395" s="8"/>
    </row>
    <row r="2396" spans="3:12" x14ac:dyDescent="0.25">
      <c r="C2396" s="7"/>
      <c r="E2396" s="8"/>
      <c r="F2396" s="8"/>
      <c r="G2396" s="8"/>
      <c r="H2396" s="8"/>
      <c r="I2396" s="8"/>
      <c r="J2396" s="8"/>
      <c r="K2396" s="8"/>
      <c r="L2396" s="8"/>
    </row>
    <row r="2397" spans="3:12" x14ac:dyDescent="0.25">
      <c r="C2397" s="7"/>
      <c r="E2397" s="8"/>
      <c r="F2397" s="8"/>
      <c r="G2397" s="8"/>
      <c r="H2397" s="8"/>
      <c r="I2397" s="8"/>
      <c r="J2397" s="8"/>
      <c r="K2397" s="8"/>
      <c r="L2397" s="8"/>
    </row>
    <row r="2398" spans="3:12" x14ac:dyDescent="0.25">
      <c r="C2398" s="7"/>
      <c r="E2398" s="8"/>
      <c r="F2398" s="8"/>
      <c r="G2398" s="8"/>
      <c r="H2398" s="8"/>
      <c r="I2398" s="8"/>
      <c r="J2398" s="8"/>
      <c r="K2398" s="8"/>
      <c r="L2398" s="8"/>
    </row>
    <row r="2399" spans="3:12" x14ac:dyDescent="0.25">
      <c r="C2399" s="7"/>
      <c r="E2399" s="8"/>
      <c r="F2399" s="8"/>
      <c r="G2399" s="8"/>
      <c r="H2399" s="8"/>
      <c r="I2399" s="8"/>
      <c r="J2399" s="8"/>
      <c r="K2399" s="8"/>
      <c r="L2399" s="8"/>
    </row>
    <row r="2400" spans="3:12" x14ac:dyDescent="0.25">
      <c r="C2400" s="7"/>
      <c r="E2400" s="8"/>
      <c r="F2400" s="8"/>
      <c r="G2400" s="8"/>
      <c r="H2400" s="8"/>
      <c r="I2400" s="8"/>
      <c r="J2400" s="8"/>
      <c r="K2400" s="8"/>
      <c r="L2400" s="8"/>
    </row>
    <row r="2401" spans="3:12" x14ac:dyDescent="0.25">
      <c r="C2401" s="7"/>
      <c r="E2401" s="8"/>
      <c r="F2401" s="8"/>
      <c r="G2401" s="8"/>
      <c r="H2401" s="8"/>
      <c r="I2401" s="8"/>
      <c r="J2401" s="8"/>
      <c r="K2401" s="8"/>
      <c r="L2401" s="8"/>
    </row>
    <row r="2402" spans="3:12" x14ac:dyDescent="0.25">
      <c r="C2402" s="7"/>
      <c r="E2402" s="8"/>
      <c r="F2402" s="8"/>
      <c r="G2402" s="8"/>
      <c r="H2402" s="8"/>
      <c r="I2402" s="8"/>
      <c r="J2402" s="8"/>
      <c r="K2402" s="8"/>
      <c r="L2402" s="8"/>
    </row>
    <row r="2403" spans="3:12" x14ac:dyDescent="0.25">
      <c r="C2403" s="7"/>
      <c r="E2403" s="8"/>
      <c r="F2403" s="8"/>
      <c r="G2403" s="8"/>
      <c r="H2403" s="8"/>
      <c r="I2403" s="8"/>
      <c r="J2403" s="8"/>
      <c r="K2403" s="8"/>
      <c r="L2403" s="8"/>
    </row>
    <row r="2404" spans="3:12" x14ac:dyDescent="0.25">
      <c r="C2404" s="7"/>
      <c r="E2404" s="8"/>
      <c r="F2404" s="8"/>
      <c r="G2404" s="8"/>
      <c r="H2404" s="8"/>
      <c r="I2404" s="8"/>
      <c r="J2404" s="8"/>
      <c r="K2404" s="8"/>
      <c r="L2404" s="8"/>
    </row>
    <row r="2405" spans="3:12" x14ac:dyDescent="0.25">
      <c r="C2405" s="7"/>
      <c r="E2405" s="8"/>
      <c r="F2405" s="8"/>
      <c r="G2405" s="8"/>
      <c r="H2405" s="8"/>
      <c r="I2405" s="8"/>
      <c r="J2405" s="8"/>
      <c r="K2405" s="8"/>
      <c r="L2405" s="8"/>
    </row>
    <row r="2406" spans="3:12" x14ac:dyDescent="0.25">
      <c r="C2406" s="7"/>
      <c r="E2406" s="8"/>
      <c r="F2406" s="8"/>
      <c r="G2406" s="8"/>
      <c r="H2406" s="8"/>
      <c r="I2406" s="8"/>
      <c r="J2406" s="8"/>
      <c r="K2406" s="8"/>
      <c r="L2406" s="8"/>
    </row>
    <row r="2407" spans="3:12" x14ac:dyDescent="0.25">
      <c r="C2407" s="7"/>
      <c r="E2407" s="8"/>
      <c r="F2407" s="8"/>
      <c r="G2407" s="8"/>
      <c r="H2407" s="8"/>
      <c r="I2407" s="8"/>
      <c r="J2407" s="8"/>
      <c r="K2407" s="8"/>
      <c r="L2407" s="8"/>
    </row>
    <row r="2408" spans="3:12" x14ac:dyDescent="0.25">
      <c r="C2408" s="7"/>
      <c r="E2408" s="8"/>
      <c r="F2408" s="8"/>
      <c r="G2408" s="8"/>
      <c r="H2408" s="8"/>
      <c r="I2408" s="8"/>
      <c r="J2408" s="8"/>
      <c r="K2408" s="8"/>
      <c r="L2408" s="8"/>
    </row>
    <row r="2409" spans="3:12" x14ac:dyDescent="0.25">
      <c r="C2409" s="7"/>
      <c r="E2409" s="8"/>
      <c r="F2409" s="8"/>
      <c r="G2409" s="8"/>
      <c r="H2409" s="8"/>
      <c r="I2409" s="8"/>
      <c r="J2409" s="8"/>
      <c r="K2409" s="8"/>
      <c r="L2409" s="8"/>
    </row>
    <row r="2410" spans="3:12" x14ac:dyDescent="0.25">
      <c r="C2410" s="7"/>
      <c r="E2410" s="8"/>
      <c r="F2410" s="8"/>
      <c r="G2410" s="8"/>
      <c r="H2410" s="8"/>
      <c r="I2410" s="8"/>
      <c r="J2410" s="8"/>
      <c r="K2410" s="8"/>
      <c r="L2410" s="8"/>
    </row>
    <row r="2411" spans="3:12" x14ac:dyDescent="0.25">
      <c r="C2411" s="7"/>
      <c r="E2411" s="8"/>
      <c r="F2411" s="8"/>
      <c r="G2411" s="8"/>
      <c r="H2411" s="8"/>
      <c r="I2411" s="8"/>
      <c r="J2411" s="8"/>
      <c r="K2411" s="8"/>
      <c r="L2411" s="8"/>
    </row>
    <row r="2412" spans="3:12" x14ac:dyDescent="0.25">
      <c r="C2412" s="7"/>
      <c r="E2412" s="8"/>
      <c r="F2412" s="8"/>
      <c r="G2412" s="8"/>
      <c r="H2412" s="8"/>
      <c r="I2412" s="8"/>
      <c r="J2412" s="8"/>
      <c r="K2412" s="8"/>
      <c r="L2412" s="8"/>
    </row>
    <row r="2413" spans="3:12" x14ac:dyDescent="0.25">
      <c r="C2413" s="7"/>
      <c r="E2413" s="8"/>
      <c r="F2413" s="8"/>
      <c r="G2413" s="8"/>
      <c r="H2413" s="8"/>
      <c r="I2413" s="8"/>
      <c r="J2413" s="8"/>
      <c r="K2413" s="8"/>
      <c r="L2413" s="8"/>
    </row>
    <row r="2414" spans="3:12" x14ac:dyDescent="0.25">
      <c r="C2414" s="7"/>
      <c r="E2414" s="8"/>
      <c r="F2414" s="8"/>
      <c r="G2414" s="8"/>
      <c r="H2414" s="8"/>
      <c r="I2414" s="8"/>
      <c r="J2414" s="8"/>
      <c r="K2414" s="8"/>
      <c r="L2414" s="8"/>
    </row>
    <row r="2415" spans="3:12" x14ac:dyDescent="0.25">
      <c r="C2415" s="7"/>
      <c r="E2415" s="8"/>
      <c r="F2415" s="8"/>
      <c r="G2415" s="8"/>
      <c r="H2415" s="8"/>
      <c r="I2415" s="8"/>
      <c r="J2415" s="8"/>
      <c r="K2415" s="8"/>
      <c r="L2415" s="8"/>
    </row>
    <row r="2416" spans="3:12" x14ac:dyDescent="0.25">
      <c r="C2416" s="7"/>
      <c r="E2416" s="8"/>
      <c r="F2416" s="8"/>
      <c r="G2416" s="8"/>
      <c r="H2416" s="8"/>
      <c r="I2416" s="8"/>
      <c r="J2416" s="8"/>
      <c r="K2416" s="8"/>
      <c r="L2416" s="8"/>
    </row>
    <row r="2417" spans="3:12" x14ac:dyDescent="0.25">
      <c r="C2417" s="7"/>
      <c r="E2417" s="8"/>
      <c r="F2417" s="8"/>
      <c r="G2417" s="8"/>
      <c r="H2417" s="8"/>
      <c r="I2417" s="8"/>
      <c r="J2417" s="8"/>
      <c r="K2417" s="8"/>
      <c r="L2417" s="8"/>
    </row>
    <row r="2418" spans="3:12" x14ac:dyDescent="0.25">
      <c r="C2418" s="7"/>
      <c r="E2418" s="8"/>
      <c r="F2418" s="8"/>
      <c r="G2418" s="8"/>
      <c r="H2418" s="8"/>
      <c r="I2418" s="8"/>
      <c r="J2418" s="8"/>
      <c r="K2418" s="8"/>
      <c r="L2418" s="8"/>
    </row>
    <row r="2419" spans="3:12" x14ac:dyDescent="0.25">
      <c r="C2419" s="7"/>
      <c r="E2419" s="8"/>
      <c r="F2419" s="8"/>
      <c r="G2419" s="8"/>
      <c r="H2419" s="8"/>
      <c r="I2419" s="8"/>
      <c r="J2419" s="8"/>
      <c r="K2419" s="8"/>
      <c r="L2419" s="8"/>
    </row>
    <row r="2420" spans="3:12" x14ac:dyDescent="0.25">
      <c r="C2420" s="7"/>
      <c r="E2420" s="8"/>
      <c r="F2420" s="8"/>
      <c r="G2420" s="8"/>
      <c r="H2420" s="8"/>
      <c r="I2420" s="8"/>
      <c r="J2420" s="8"/>
      <c r="K2420" s="8"/>
      <c r="L2420" s="8"/>
    </row>
    <row r="2421" spans="3:12" x14ac:dyDescent="0.25">
      <c r="C2421" s="7"/>
      <c r="E2421" s="8"/>
      <c r="F2421" s="8"/>
      <c r="G2421" s="8"/>
      <c r="H2421" s="8"/>
      <c r="I2421" s="8"/>
      <c r="J2421" s="8"/>
      <c r="K2421" s="8"/>
      <c r="L2421" s="8"/>
    </row>
    <row r="2422" spans="3:12" x14ac:dyDescent="0.25">
      <c r="C2422" s="7"/>
      <c r="E2422" s="8"/>
      <c r="F2422" s="8"/>
      <c r="G2422" s="8"/>
      <c r="H2422" s="8"/>
      <c r="I2422" s="8"/>
      <c r="J2422" s="8"/>
      <c r="K2422" s="8"/>
      <c r="L2422" s="8"/>
    </row>
    <row r="2423" spans="3:12" x14ac:dyDescent="0.25">
      <c r="C2423" s="7"/>
      <c r="E2423" s="8"/>
      <c r="F2423" s="8"/>
      <c r="G2423" s="8"/>
      <c r="H2423" s="8"/>
      <c r="I2423" s="8"/>
      <c r="J2423" s="8"/>
      <c r="K2423" s="8"/>
      <c r="L2423" s="8"/>
    </row>
    <row r="2424" spans="3:12" x14ac:dyDescent="0.25">
      <c r="C2424" s="7"/>
      <c r="E2424" s="8"/>
      <c r="F2424" s="8"/>
      <c r="G2424" s="8"/>
      <c r="H2424" s="8"/>
      <c r="I2424" s="8"/>
      <c r="J2424" s="8"/>
      <c r="K2424" s="8"/>
      <c r="L2424" s="8"/>
    </row>
    <row r="2425" spans="3:12" x14ac:dyDescent="0.25">
      <c r="C2425" s="7"/>
      <c r="E2425" s="8"/>
      <c r="F2425" s="8"/>
      <c r="G2425" s="8"/>
      <c r="H2425" s="8"/>
      <c r="I2425" s="8"/>
      <c r="J2425" s="8"/>
      <c r="K2425" s="8"/>
      <c r="L2425" s="8"/>
    </row>
    <row r="2426" spans="3:12" x14ac:dyDescent="0.25">
      <c r="C2426" s="7"/>
      <c r="E2426" s="8"/>
      <c r="F2426" s="8"/>
      <c r="G2426" s="8"/>
      <c r="H2426" s="8"/>
      <c r="I2426" s="8"/>
      <c r="J2426" s="8"/>
      <c r="K2426" s="8"/>
      <c r="L2426" s="8"/>
    </row>
    <row r="2427" spans="3:12" x14ac:dyDescent="0.25">
      <c r="C2427" s="7"/>
      <c r="E2427" s="8"/>
      <c r="F2427" s="8"/>
      <c r="G2427" s="8"/>
      <c r="H2427" s="8"/>
      <c r="I2427" s="8"/>
      <c r="J2427" s="8"/>
      <c r="K2427" s="8"/>
      <c r="L2427" s="8"/>
    </row>
    <row r="2428" spans="3:12" x14ac:dyDescent="0.25">
      <c r="C2428" s="7"/>
      <c r="E2428" s="8"/>
      <c r="F2428" s="8"/>
      <c r="G2428" s="8"/>
      <c r="H2428" s="8"/>
      <c r="I2428" s="8"/>
      <c r="J2428" s="8"/>
      <c r="K2428" s="8"/>
      <c r="L2428" s="8"/>
    </row>
    <row r="2429" spans="3:12" x14ac:dyDescent="0.25">
      <c r="C2429" s="7"/>
      <c r="E2429" s="8"/>
      <c r="F2429" s="8"/>
      <c r="G2429" s="8"/>
      <c r="H2429" s="8"/>
      <c r="I2429" s="8"/>
      <c r="J2429" s="8"/>
      <c r="K2429" s="8"/>
      <c r="L2429" s="8"/>
    </row>
    <row r="2430" spans="3:12" x14ac:dyDescent="0.25">
      <c r="C2430" s="7"/>
      <c r="E2430" s="8"/>
      <c r="F2430" s="8"/>
      <c r="G2430" s="8"/>
      <c r="H2430" s="8"/>
      <c r="I2430" s="8"/>
      <c r="J2430" s="8"/>
      <c r="K2430" s="8"/>
      <c r="L2430" s="8"/>
    </row>
    <row r="2431" spans="3:12" x14ac:dyDescent="0.25">
      <c r="C2431" s="7"/>
      <c r="E2431" s="8"/>
      <c r="F2431" s="8"/>
      <c r="G2431" s="8"/>
      <c r="H2431" s="8"/>
      <c r="I2431" s="8"/>
      <c r="J2431" s="8"/>
      <c r="K2431" s="8"/>
      <c r="L2431" s="8"/>
    </row>
    <row r="2432" spans="3:12" x14ac:dyDescent="0.25">
      <c r="C2432" s="7"/>
      <c r="E2432" s="8"/>
      <c r="F2432" s="8"/>
      <c r="G2432" s="8"/>
      <c r="H2432" s="8"/>
      <c r="I2432" s="8"/>
      <c r="J2432" s="8"/>
      <c r="K2432" s="8"/>
      <c r="L2432" s="8"/>
    </row>
    <row r="2433" spans="3:12" x14ac:dyDescent="0.25">
      <c r="C2433" s="7"/>
      <c r="E2433" s="8"/>
      <c r="F2433" s="8"/>
      <c r="G2433" s="8"/>
      <c r="H2433" s="8"/>
      <c r="I2433" s="8"/>
      <c r="J2433" s="8"/>
      <c r="K2433" s="8"/>
      <c r="L2433" s="8"/>
    </row>
    <row r="2434" spans="3:12" x14ac:dyDescent="0.25">
      <c r="C2434" s="7"/>
      <c r="E2434" s="8"/>
      <c r="F2434" s="8"/>
      <c r="G2434" s="8"/>
      <c r="H2434" s="8"/>
      <c r="I2434" s="8"/>
      <c r="J2434" s="8"/>
      <c r="K2434" s="8"/>
      <c r="L2434" s="8"/>
    </row>
    <row r="2435" spans="3:12" x14ac:dyDescent="0.25">
      <c r="C2435" s="7"/>
      <c r="E2435" s="8"/>
      <c r="F2435" s="8"/>
      <c r="G2435" s="8"/>
      <c r="H2435" s="8"/>
      <c r="I2435" s="8"/>
      <c r="J2435" s="8"/>
      <c r="K2435" s="8"/>
      <c r="L2435" s="8"/>
    </row>
    <row r="2436" spans="3:12" x14ac:dyDescent="0.25">
      <c r="C2436" s="7"/>
      <c r="E2436" s="8"/>
      <c r="F2436" s="8"/>
      <c r="G2436" s="8"/>
      <c r="H2436" s="8"/>
      <c r="I2436" s="8"/>
      <c r="J2436" s="8"/>
      <c r="K2436" s="8"/>
      <c r="L2436" s="8"/>
    </row>
    <row r="2437" spans="3:12" x14ac:dyDescent="0.25">
      <c r="C2437" s="7"/>
      <c r="E2437" s="8"/>
      <c r="F2437" s="8"/>
      <c r="G2437" s="8"/>
      <c r="H2437" s="8"/>
      <c r="I2437" s="8"/>
      <c r="J2437" s="8"/>
      <c r="K2437" s="8"/>
      <c r="L2437" s="8"/>
    </row>
    <row r="2438" spans="3:12" x14ac:dyDescent="0.25">
      <c r="C2438" s="7"/>
      <c r="E2438" s="8"/>
      <c r="F2438" s="8"/>
      <c r="G2438" s="8"/>
      <c r="H2438" s="8"/>
      <c r="I2438" s="8"/>
      <c r="J2438" s="8"/>
      <c r="K2438" s="8"/>
      <c r="L2438" s="8"/>
    </row>
    <row r="2439" spans="3:12" x14ac:dyDescent="0.25">
      <c r="C2439" s="7"/>
      <c r="E2439" s="8"/>
      <c r="F2439" s="8"/>
      <c r="G2439" s="8"/>
      <c r="H2439" s="8"/>
      <c r="I2439" s="8"/>
      <c r="J2439" s="8"/>
      <c r="K2439" s="8"/>
      <c r="L2439" s="8"/>
    </row>
    <row r="2440" spans="3:12" x14ac:dyDescent="0.25">
      <c r="C2440" s="7"/>
      <c r="E2440" s="8"/>
      <c r="F2440" s="8"/>
      <c r="G2440" s="8"/>
      <c r="H2440" s="8"/>
      <c r="I2440" s="8"/>
      <c r="J2440" s="8"/>
      <c r="K2440" s="8"/>
      <c r="L2440" s="8"/>
    </row>
    <row r="2441" spans="3:12" x14ac:dyDescent="0.25">
      <c r="C2441" s="7"/>
      <c r="E2441" s="8"/>
      <c r="F2441" s="8"/>
      <c r="G2441" s="8"/>
      <c r="H2441" s="8"/>
      <c r="I2441" s="8"/>
      <c r="J2441" s="8"/>
      <c r="K2441" s="8"/>
      <c r="L2441" s="8"/>
    </row>
    <row r="2442" spans="3:12" x14ac:dyDescent="0.25">
      <c r="C2442" s="7"/>
      <c r="E2442" s="8"/>
      <c r="F2442" s="8"/>
      <c r="G2442" s="8"/>
      <c r="H2442" s="8"/>
      <c r="I2442" s="8"/>
      <c r="J2442" s="8"/>
      <c r="K2442" s="8"/>
      <c r="L2442" s="8"/>
    </row>
    <row r="2443" spans="3:12" x14ac:dyDescent="0.25">
      <c r="C2443" s="7"/>
      <c r="E2443" s="8"/>
      <c r="F2443" s="8"/>
      <c r="G2443" s="8"/>
      <c r="H2443" s="8"/>
      <c r="I2443" s="8"/>
      <c r="J2443" s="8"/>
      <c r="K2443" s="8"/>
      <c r="L2443" s="8"/>
    </row>
    <row r="2444" spans="3:12" x14ac:dyDescent="0.25">
      <c r="C2444" s="7"/>
      <c r="E2444" s="8"/>
      <c r="F2444" s="8"/>
      <c r="G2444" s="8"/>
      <c r="H2444" s="8"/>
      <c r="I2444" s="8"/>
      <c r="J2444" s="8"/>
      <c r="K2444" s="8"/>
      <c r="L2444" s="8"/>
    </row>
    <row r="2445" spans="3:12" x14ac:dyDescent="0.25">
      <c r="C2445" s="7"/>
      <c r="E2445" s="8"/>
      <c r="F2445" s="8"/>
      <c r="G2445" s="8"/>
      <c r="H2445" s="8"/>
      <c r="I2445" s="8"/>
      <c r="J2445" s="8"/>
      <c r="K2445" s="8"/>
      <c r="L2445" s="8"/>
    </row>
    <row r="2446" spans="3:12" x14ac:dyDescent="0.25">
      <c r="C2446" s="7"/>
      <c r="E2446" s="8"/>
      <c r="F2446" s="8"/>
      <c r="G2446" s="8"/>
      <c r="H2446" s="8"/>
      <c r="I2446" s="8"/>
      <c r="J2446" s="8"/>
      <c r="K2446" s="8"/>
      <c r="L2446" s="8"/>
    </row>
    <row r="2447" spans="3:12" x14ac:dyDescent="0.25">
      <c r="C2447" s="7"/>
      <c r="E2447" s="8"/>
      <c r="F2447" s="8"/>
      <c r="G2447" s="8"/>
      <c r="H2447" s="8"/>
      <c r="I2447" s="8"/>
      <c r="J2447" s="8"/>
      <c r="K2447" s="8"/>
      <c r="L2447" s="8"/>
    </row>
    <row r="2448" spans="3:12" x14ac:dyDescent="0.25">
      <c r="C2448" s="7"/>
      <c r="E2448" s="8"/>
      <c r="F2448" s="8"/>
      <c r="G2448" s="8"/>
      <c r="H2448" s="8"/>
      <c r="I2448" s="8"/>
      <c r="J2448" s="8"/>
      <c r="K2448" s="8"/>
      <c r="L2448" s="8"/>
    </row>
    <row r="2449" spans="3:12" x14ac:dyDescent="0.25">
      <c r="C2449" s="7"/>
      <c r="E2449" s="8"/>
      <c r="F2449" s="8"/>
      <c r="G2449" s="8"/>
      <c r="H2449" s="8"/>
      <c r="I2449" s="8"/>
      <c r="J2449" s="8"/>
      <c r="K2449" s="8"/>
      <c r="L2449" s="8"/>
    </row>
    <row r="2450" spans="3:12" x14ac:dyDescent="0.25">
      <c r="C2450" s="7"/>
      <c r="E2450" s="8"/>
      <c r="F2450" s="8"/>
      <c r="G2450" s="8"/>
      <c r="H2450" s="8"/>
      <c r="I2450" s="8"/>
      <c r="J2450" s="8"/>
      <c r="K2450" s="8"/>
      <c r="L2450" s="8"/>
    </row>
    <row r="2451" spans="3:12" x14ac:dyDescent="0.25">
      <c r="C2451" s="7"/>
      <c r="E2451" s="8"/>
      <c r="F2451" s="8"/>
      <c r="G2451" s="8"/>
      <c r="H2451" s="8"/>
      <c r="I2451" s="8"/>
      <c r="J2451" s="8"/>
      <c r="K2451" s="8"/>
      <c r="L2451" s="8"/>
    </row>
    <row r="2452" spans="3:12" x14ac:dyDescent="0.25">
      <c r="C2452" s="7"/>
      <c r="E2452" s="8"/>
      <c r="F2452" s="8"/>
      <c r="G2452" s="8"/>
      <c r="H2452" s="8"/>
      <c r="I2452" s="8"/>
      <c r="J2452" s="8"/>
      <c r="K2452" s="8"/>
      <c r="L2452" s="8"/>
    </row>
    <row r="2453" spans="3:12" x14ac:dyDescent="0.25">
      <c r="C2453" s="7"/>
      <c r="E2453" s="8"/>
      <c r="F2453" s="8"/>
      <c r="G2453" s="8"/>
      <c r="H2453" s="8"/>
      <c r="I2453" s="8"/>
      <c r="J2453" s="8"/>
      <c r="K2453" s="8"/>
      <c r="L2453" s="8"/>
    </row>
    <row r="2454" spans="3:12" x14ac:dyDescent="0.25">
      <c r="C2454" s="7"/>
      <c r="E2454" s="8"/>
      <c r="F2454" s="8"/>
      <c r="G2454" s="8"/>
      <c r="H2454" s="8"/>
      <c r="I2454" s="8"/>
      <c r="J2454" s="8"/>
      <c r="K2454" s="8"/>
      <c r="L2454" s="8"/>
    </row>
    <row r="2455" spans="3:12" x14ac:dyDescent="0.25">
      <c r="C2455" s="7"/>
      <c r="E2455" s="8"/>
      <c r="F2455" s="8"/>
      <c r="G2455" s="8"/>
      <c r="H2455" s="8"/>
      <c r="I2455" s="8"/>
      <c r="J2455" s="8"/>
      <c r="K2455" s="8"/>
      <c r="L2455" s="8"/>
    </row>
    <row r="2456" spans="3:12" x14ac:dyDescent="0.25">
      <c r="C2456" s="7"/>
      <c r="E2456" s="8"/>
      <c r="F2456" s="8"/>
      <c r="G2456" s="8"/>
      <c r="H2456" s="8"/>
      <c r="I2456" s="8"/>
      <c r="J2456" s="8"/>
      <c r="K2456" s="8"/>
      <c r="L2456" s="8"/>
    </row>
    <row r="2457" spans="3:12" x14ac:dyDescent="0.25">
      <c r="C2457" s="7"/>
      <c r="E2457" s="8"/>
      <c r="F2457" s="8"/>
      <c r="G2457" s="8"/>
      <c r="H2457" s="8"/>
      <c r="I2457" s="8"/>
      <c r="J2457" s="8"/>
      <c r="K2457" s="8"/>
      <c r="L2457" s="8"/>
    </row>
    <row r="2458" spans="3:12" x14ac:dyDescent="0.25">
      <c r="C2458" s="7"/>
      <c r="E2458" s="8"/>
      <c r="F2458" s="8"/>
      <c r="G2458" s="8"/>
      <c r="H2458" s="8"/>
      <c r="I2458" s="8"/>
      <c r="J2458" s="8"/>
      <c r="K2458" s="8"/>
      <c r="L2458" s="8"/>
    </row>
    <row r="2459" spans="3:12" x14ac:dyDescent="0.25">
      <c r="C2459" s="7"/>
      <c r="E2459" s="8"/>
      <c r="F2459" s="8"/>
      <c r="G2459" s="8"/>
      <c r="H2459" s="8"/>
      <c r="I2459" s="8"/>
      <c r="J2459" s="8"/>
      <c r="K2459" s="8"/>
      <c r="L2459" s="8"/>
    </row>
    <row r="2460" spans="3:12" x14ac:dyDescent="0.25">
      <c r="C2460" s="7"/>
      <c r="E2460" s="8"/>
      <c r="F2460" s="8"/>
      <c r="G2460" s="8"/>
      <c r="H2460" s="8"/>
      <c r="I2460" s="8"/>
      <c r="J2460" s="8"/>
      <c r="K2460" s="8"/>
      <c r="L2460" s="8"/>
    </row>
    <row r="2461" spans="3:12" x14ac:dyDescent="0.25">
      <c r="C2461" s="7"/>
      <c r="E2461" s="8"/>
      <c r="F2461" s="8"/>
      <c r="G2461" s="8"/>
      <c r="H2461" s="8"/>
      <c r="I2461" s="8"/>
      <c r="J2461" s="8"/>
      <c r="K2461" s="8"/>
      <c r="L2461" s="8"/>
    </row>
    <row r="2462" spans="3:12" x14ac:dyDescent="0.25">
      <c r="C2462" s="7"/>
      <c r="E2462" s="8"/>
      <c r="F2462" s="8"/>
      <c r="G2462" s="8"/>
      <c r="H2462" s="8"/>
      <c r="I2462" s="8"/>
      <c r="J2462" s="8"/>
      <c r="K2462" s="8"/>
      <c r="L2462" s="8"/>
    </row>
    <row r="2463" spans="3:12" x14ac:dyDescent="0.25">
      <c r="C2463" s="7"/>
      <c r="E2463" s="8"/>
      <c r="F2463" s="8"/>
      <c r="G2463" s="8"/>
      <c r="H2463" s="8"/>
      <c r="I2463" s="8"/>
      <c r="J2463" s="8"/>
      <c r="K2463" s="8"/>
      <c r="L2463" s="8"/>
    </row>
    <row r="2464" spans="3:12" x14ac:dyDescent="0.25">
      <c r="C2464" s="7"/>
      <c r="E2464" s="8"/>
      <c r="F2464" s="8"/>
      <c r="G2464" s="8"/>
      <c r="H2464" s="8"/>
      <c r="I2464" s="8"/>
      <c r="J2464" s="8"/>
      <c r="K2464" s="8"/>
      <c r="L2464" s="8"/>
    </row>
    <row r="2465" spans="3:12" x14ac:dyDescent="0.25">
      <c r="C2465" s="7"/>
      <c r="E2465" s="8"/>
      <c r="F2465" s="8"/>
      <c r="G2465" s="8"/>
      <c r="H2465" s="8"/>
      <c r="I2465" s="8"/>
      <c r="J2465" s="8"/>
      <c r="K2465" s="8"/>
      <c r="L2465" s="8"/>
    </row>
    <row r="2466" spans="3:12" x14ac:dyDescent="0.25">
      <c r="C2466" s="7"/>
      <c r="E2466" s="8"/>
      <c r="F2466" s="8"/>
      <c r="G2466" s="8"/>
      <c r="H2466" s="8"/>
      <c r="I2466" s="8"/>
      <c r="J2466" s="8"/>
      <c r="K2466" s="8"/>
      <c r="L2466" s="8"/>
    </row>
    <row r="2467" spans="3:12" x14ac:dyDescent="0.25">
      <c r="C2467" s="7"/>
      <c r="E2467" s="8"/>
      <c r="F2467" s="8"/>
      <c r="G2467" s="8"/>
      <c r="H2467" s="8"/>
      <c r="I2467" s="8"/>
      <c r="J2467" s="8"/>
      <c r="K2467" s="8"/>
      <c r="L2467" s="8"/>
    </row>
    <row r="2468" spans="3:12" x14ac:dyDescent="0.25">
      <c r="C2468" s="7"/>
      <c r="E2468" s="8"/>
      <c r="F2468" s="8"/>
      <c r="G2468" s="8"/>
      <c r="H2468" s="8"/>
      <c r="I2468" s="8"/>
      <c r="J2468" s="8"/>
      <c r="K2468" s="8"/>
      <c r="L2468" s="8"/>
    </row>
    <row r="2469" spans="3:12" x14ac:dyDescent="0.25">
      <c r="C2469" s="7"/>
      <c r="E2469" s="8"/>
      <c r="F2469" s="8"/>
      <c r="G2469" s="8"/>
      <c r="H2469" s="8"/>
      <c r="I2469" s="8"/>
      <c r="J2469" s="8"/>
      <c r="K2469" s="8"/>
      <c r="L2469" s="8"/>
    </row>
    <row r="2470" spans="3:12" x14ac:dyDescent="0.25">
      <c r="C2470" s="7"/>
      <c r="E2470" s="8"/>
      <c r="F2470" s="8"/>
      <c r="G2470" s="8"/>
      <c r="H2470" s="8"/>
      <c r="I2470" s="8"/>
      <c r="J2470" s="8"/>
      <c r="K2470" s="8"/>
      <c r="L2470" s="8"/>
    </row>
    <row r="2471" spans="3:12" x14ac:dyDescent="0.25">
      <c r="C2471" s="7"/>
      <c r="E2471" s="8"/>
      <c r="F2471" s="8"/>
      <c r="G2471" s="8"/>
      <c r="H2471" s="8"/>
      <c r="I2471" s="8"/>
      <c r="J2471" s="8"/>
      <c r="K2471" s="8"/>
      <c r="L2471" s="8"/>
    </row>
    <row r="2472" spans="3:12" x14ac:dyDescent="0.25">
      <c r="C2472" s="7"/>
      <c r="E2472" s="8"/>
      <c r="F2472" s="8"/>
      <c r="G2472" s="8"/>
      <c r="H2472" s="8"/>
      <c r="I2472" s="8"/>
      <c r="J2472" s="8"/>
      <c r="K2472" s="8"/>
      <c r="L2472" s="8"/>
    </row>
    <row r="2473" spans="3:12" x14ac:dyDescent="0.25">
      <c r="C2473" s="7"/>
      <c r="E2473" s="8"/>
      <c r="F2473" s="8"/>
      <c r="G2473" s="8"/>
      <c r="H2473" s="8"/>
      <c r="I2473" s="8"/>
      <c r="J2473" s="8"/>
      <c r="K2473" s="8"/>
      <c r="L2473" s="8"/>
    </row>
    <row r="2474" spans="3:12" x14ac:dyDescent="0.25">
      <c r="C2474" s="7"/>
      <c r="E2474" s="8"/>
      <c r="F2474" s="8"/>
      <c r="G2474" s="8"/>
      <c r="H2474" s="8"/>
      <c r="I2474" s="8"/>
      <c r="J2474" s="8"/>
      <c r="K2474" s="8"/>
      <c r="L2474" s="8"/>
    </row>
    <row r="2475" spans="3:12" x14ac:dyDescent="0.25">
      <c r="C2475" s="7"/>
      <c r="E2475" s="8"/>
      <c r="F2475" s="8"/>
      <c r="G2475" s="8"/>
      <c r="H2475" s="8"/>
      <c r="I2475" s="8"/>
      <c r="J2475" s="8"/>
      <c r="K2475" s="8"/>
      <c r="L2475" s="8"/>
    </row>
    <row r="2476" spans="3:12" x14ac:dyDescent="0.25">
      <c r="C2476" s="7"/>
      <c r="E2476" s="8"/>
      <c r="F2476" s="8"/>
      <c r="G2476" s="8"/>
      <c r="H2476" s="8"/>
      <c r="I2476" s="8"/>
      <c r="J2476" s="8"/>
      <c r="K2476" s="8"/>
      <c r="L2476" s="8"/>
    </row>
    <row r="2477" spans="3:12" x14ac:dyDescent="0.25">
      <c r="C2477" s="7"/>
      <c r="E2477" s="8"/>
      <c r="F2477" s="8"/>
      <c r="G2477" s="8"/>
      <c r="H2477" s="8"/>
      <c r="I2477" s="8"/>
      <c r="J2477" s="8"/>
      <c r="K2477" s="8"/>
      <c r="L2477" s="8"/>
    </row>
    <row r="2478" spans="3:12" x14ac:dyDescent="0.25">
      <c r="C2478" s="7"/>
      <c r="E2478" s="8"/>
      <c r="F2478" s="8"/>
      <c r="G2478" s="8"/>
      <c r="H2478" s="8"/>
      <c r="I2478" s="8"/>
      <c r="J2478" s="8"/>
      <c r="K2478" s="8"/>
      <c r="L2478" s="8"/>
    </row>
    <row r="2479" spans="3:12" x14ac:dyDescent="0.25">
      <c r="C2479" s="7"/>
      <c r="E2479" s="8"/>
      <c r="F2479" s="8"/>
      <c r="G2479" s="8"/>
      <c r="H2479" s="8"/>
      <c r="I2479" s="8"/>
      <c r="J2479" s="8"/>
      <c r="K2479" s="8"/>
      <c r="L2479" s="8"/>
    </row>
    <row r="2480" spans="3:12" x14ac:dyDescent="0.25">
      <c r="C2480" s="7"/>
      <c r="E2480" s="8"/>
      <c r="F2480" s="8"/>
      <c r="G2480" s="8"/>
      <c r="H2480" s="8"/>
      <c r="I2480" s="8"/>
      <c r="J2480" s="8"/>
      <c r="K2480" s="8"/>
      <c r="L2480" s="8"/>
    </row>
    <row r="2481" spans="3:12" x14ac:dyDescent="0.25">
      <c r="C2481" s="7"/>
      <c r="E2481" s="8"/>
      <c r="F2481" s="8"/>
      <c r="G2481" s="8"/>
      <c r="H2481" s="8"/>
      <c r="I2481" s="8"/>
      <c r="J2481" s="8"/>
      <c r="K2481" s="8"/>
      <c r="L2481" s="8"/>
    </row>
    <row r="2482" spans="3:12" x14ac:dyDescent="0.25">
      <c r="C2482" s="7"/>
      <c r="E2482" s="8"/>
      <c r="F2482" s="8"/>
      <c r="G2482" s="8"/>
      <c r="H2482" s="8"/>
      <c r="I2482" s="8"/>
      <c r="J2482" s="8"/>
      <c r="K2482" s="8"/>
      <c r="L2482" s="8"/>
    </row>
    <row r="2483" spans="3:12" x14ac:dyDescent="0.25">
      <c r="C2483" s="7"/>
      <c r="E2483" s="8"/>
      <c r="F2483" s="8"/>
      <c r="G2483" s="8"/>
      <c r="H2483" s="8"/>
      <c r="I2483" s="8"/>
      <c r="J2483" s="8"/>
      <c r="K2483" s="8"/>
      <c r="L2483" s="8"/>
    </row>
    <row r="2484" spans="3:12" x14ac:dyDescent="0.25">
      <c r="C2484" s="7"/>
      <c r="E2484" s="8"/>
      <c r="F2484" s="8"/>
      <c r="G2484" s="8"/>
      <c r="H2484" s="8"/>
      <c r="I2484" s="8"/>
      <c r="J2484" s="8"/>
      <c r="K2484" s="8"/>
      <c r="L2484" s="8"/>
    </row>
    <row r="2485" spans="3:12" x14ac:dyDescent="0.25">
      <c r="C2485" s="7"/>
      <c r="E2485" s="8"/>
      <c r="F2485" s="8"/>
      <c r="G2485" s="8"/>
      <c r="H2485" s="8"/>
      <c r="I2485" s="8"/>
      <c r="J2485" s="8"/>
      <c r="K2485" s="8"/>
      <c r="L2485" s="8"/>
    </row>
    <row r="2486" spans="3:12" x14ac:dyDescent="0.25">
      <c r="C2486" s="7"/>
      <c r="E2486" s="8"/>
      <c r="F2486" s="8"/>
      <c r="G2486" s="8"/>
      <c r="H2486" s="8"/>
      <c r="I2486" s="8"/>
      <c r="J2486" s="8"/>
      <c r="K2486" s="8"/>
      <c r="L2486" s="8"/>
    </row>
    <row r="2487" spans="3:12" x14ac:dyDescent="0.25">
      <c r="C2487" s="7"/>
      <c r="E2487" s="8"/>
      <c r="F2487" s="8"/>
      <c r="G2487" s="8"/>
      <c r="H2487" s="8"/>
      <c r="I2487" s="8"/>
      <c r="J2487" s="8"/>
      <c r="K2487" s="8"/>
      <c r="L2487" s="8"/>
    </row>
    <row r="2488" spans="3:12" x14ac:dyDescent="0.25">
      <c r="C2488" s="7"/>
      <c r="E2488" s="8"/>
      <c r="F2488" s="8"/>
      <c r="G2488" s="8"/>
      <c r="H2488" s="8"/>
      <c r="I2488" s="8"/>
      <c r="J2488" s="8"/>
      <c r="K2488" s="8"/>
      <c r="L2488" s="8"/>
    </row>
    <row r="2489" spans="3:12" x14ac:dyDescent="0.25">
      <c r="C2489" s="7"/>
      <c r="E2489" s="8"/>
      <c r="F2489" s="8"/>
      <c r="G2489" s="8"/>
      <c r="H2489" s="8"/>
      <c r="I2489" s="8"/>
      <c r="J2489" s="8"/>
      <c r="K2489" s="8"/>
      <c r="L2489" s="8"/>
    </row>
    <row r="2490" spans="3:12" x14ac:dyDescent="0.25">
      <c r="C2490" s="7"/>
      <c r="E2490" s="8"/>
      <c r="F2490" s="8"/>
      <c r="G2490" s="8"/>
      <c r="H2490" s="8"/>
      <c r="I2490" s="8"/>
      <c r="J2490" s="8"/>
      <c r="K2490" s="8"/>
      <c r="L2490" s="8"/>
    </row>
    <row r="2491" spans="3:12" x14ac:dyDescent="0.25">
      <c r="C2491" s="7"/>
      <c r="E2491" s="8"/>
      <c r="F2491" s="8"/>
      <c r="G2491" s="8"/>
      <c r="H2491" s="8"/>
      <c r="I2491" s="8"/>
      <c r="J2491" s="8"/>
      <c r="K2491" s="8"/>
      <c r="L2491" s="8"/>
    </row>
    <row r="2492" spans="3:12" x14ac:dyDescent="0.25">
      <c r="C2492" s="7"/>
      <c r="E2492" s="8"/>
      <c r="F2492" s="8"/>
      <c r="G2492" s="8"/>
      <c r="H2492" s="8"/>
      <c r="I2492" s="8"/>
      <c r="J2492" s="8"/>
      <c r="K2492" s="8"/>
      <c r="L2492" s="8"/>
    </row>
    <row r="2493" spans="3:12" x14ac:dyDescent="0.25">
      <c r="C2493" s="7"/>
      <c r="E2493" s="8"/>
      <c r="F2493" s="8"/>
      <c r="G2493" s="8"/>
      <c r="H2493" s="8"/>
      <c r="I2493" s="8"/>
      <c r="J2493" s="8"/>
      <c r="K2493" s="8"/>
      <c r="L2493" s="8"/>
    </row>
    <row r="2494" spans="3:12" x14ac:dyDescent="0.25">
      <c r="C2494" s="7"/>
      <c r="E2494" s="8"/>
      <c r="F2494" s="8"/>
      <c r="G2494" s="8"/>
      <c r="H2494" s="8"/>
      <c r="I2494" s="8"/>
      <c r="J2494" s="8"/>
      <c r="K2494" s="8"/>
      <c r="L2494" s="8"/>
    </row>
    <row r="2495" spans="3:12" x14ac:dyDescent="0.25">
      <c r="C2495" s="7"/>
      <c r="E2495" s="8"/>
      <c r="F2495" s="8"/>
      <c r="G2495" s="8"/>
      <c r="H2495" s="8"/>
      <c r="I2495" s="8"/>
      <c r="J2495" s="8"/>
      <c r="K2495" s="8"/>
      <c r="L2495" s="8"/>
    </row>
    <row r="2496" spans="3:12" x14ac:dyDescent="0.25">
      <c r="C2496" s="7"/>
      <c r="E2496" s="8"/>
      <c r="F2496" s="8"/>
      <c r="G2496" s="8"/>
      <c r="H2496" s="8"/>
      <c r="I2496" s="8"/>
      <c r="J2496" s="8"/>
      <c r="K2496" s="8"/>
      <c r="L2496" s="8"/>
    </row>
    <row r="2497" spans="3:12" x14ac:dyDescent="0.25">
      <c r="C2497" s="7"/>
      <c r="E2497" s="8"/>
      <c r="F2497" s="8"/>
      <c r="G2497" s="8"/>
      <c r="H2497" s="8"/>
      <c r="I2497" s="8"/>
      <c r="J2497" s="8"/>
      <c r="K2497" s="8"/>
      <c r="L2497" s="8"/>
    </row>
    <row r="2498" spans="3:12" x14ac:dyDescent="0.25">
      <c r="C2498" s="7"/>
      <c r="E2498" s="8"/>
      <c r="F2498" s="8"/>
      <c r="G2498" s="8"/>
      <c r="H2498" s="8"/>
      <c r="I2498" s="8"/>
      <c r="J2498" s="8"/>
      <c r="K2498" s="8"/>
      <c r="L2498" s="8"/>
    </row>
    <row r="2499" spans="3:12" x14ac:dyDescent="0.25">
      <c r="C2499" s="7"/>
      <c r="E2499" s="8"/>
      <c r="F2499" s="8"/>
      <c r="G2499" s="8"/>
      <c r="H2499" s="8"/>
      <c r="I2499" s="8"/>
      <c r="J2499" s="8"/>
      <c r="K2499" s="8"/>
      <c r="L2499" s="8"/>
    </row>
    <row r="2500" spans="3:12" x14ac:dyDescent="0.25">
      <c r="C2500" s="7"/>
      <c r="E2500" s="8"/>
      <c r="F2500" s="8"/>
      <c r="G2500" s="8"/>
      <c r="H2500" s="8"/>
      <c r="I2500" s="8"/>
      <c r="J2500" s="8"/>
      <c r="K2500" s="8"/>
      <c r="L2500" s="8"/>
    </row>
    <row r="2501" spans="3:12" x14ac:dyDescent="0.25">
      <c r="C2501" s="7"/>
      <c r="E2501" s="8"/>
      <c r="F2501" s="8"/>
      <c r="G2501" s="8"/>
      <c r="H2501" s="8"/>
      <c r="I2501" s="8"/>
      <c r="J2501" s="8"/>
      <c r="K2501" s="8"/>
      <c r="L2501" s="8"/>
    </row>
    <row r="2502" spans="3:12" x14ac:dyDescent="0.25">
      <c r="C2502" s="7"/>
      <c r="E2502" s="8"/>
      <c r="F2502" s="8"/>
      <c r="G2502" s="8"/>
      <c r="H2502" s="8"/>
      <c r="I2502" s="8"/>
      <c r="J2502" s="8"/>
      <c r="K2502" s="8"/>
      <c r="L2502" s="8"/>
    </row>
    <row r="2503" spans="3:12" x14ac:dyDescent="0.25">
      <c r="C2503" s="7"/>
      <c r="E2503" s="8"/>
      <c r="F2503" s="8"/>
      <c r="G2503" s="8"/>
      <c r="H2503" s="8"/>
      <c r="I2503" s="8"/>
      <c r="J2503" s="8"/>
      <c r="K2503" s="8"/>
      <c r="L2503" s="8"/>
    </row>
    <row r="2504" spans="3:12" x14ac:dyDescent="0.25">
      <c r="C2504" s="7"/>
      <c r="E2504" s="8"/>
      <c r="F2504" s="8"/>
      <c r="G2504" s="8"/>
      <c r="H2504" s="8"/>
      <c r="I2504" s="8"/>
      <c r="J2504" s="8"/>
      <c r="K2504" s="8"/>
      <c r="L2504" s="8"/>
    </row>
    <row r="2505" spans="3:12" x14ac:dyDescent="0.25">
      <c r="C2505" s="7"/>
      <c r="E2505" s="8"/>
      <c r="F2505" s="8"/>
      <c r="G2505" s="8"/>
      <c r="H2505" s="8"/>
      <c r="I2505" s="8"/>
      <c r="J2505" s="8"/>
      <c r="K2505" s="8"/>
      <c r="L2505" s="8"/>
    </row>
    <row r="2506" spans="3:12" x14ac:dyDescent="0.25">
      <c r="C2506" s="7"/>
      <c r="E2506" s="8"/>
      <c r="F2506" s="8"/>
      <c r="G2506" s="8"/>
      <c r="H2506" s="8"/>
      <c r="I2506" s="8"/>
      <c r="J2506" s="8"/>
      <c r="K2506" s="8"/>
      <c r="L2506" s="8"/>
    </row>
    <row r="2507" spans="3:12" x14ac:dyDescent="0.25">
      <c r="C2507" s="7"/>
      <c r="E2507" s="8"/>
      <c r="F2507" s="8"/>
      <c r="G2507" s="8"/>
      <c r="H2507" s="8"/>
      <c r="I2507" s="8"/>
      <c r="J2507" s="8"/>
      <c r="K2507" s="8"/>
      <c r="L2507" s="8"/>
    </row>
    <row r="2508" spans="3:12" x14ac:dyDescent="0.25">
      <c r="C2508" s="7"/>
      <c r="E2508" s="8"/>
      <c r="F2508" s="8"/>
      <c r="G2508" s="8"/>
      <c r="H2508" s="8"/>
      <c r="I2508" s="8"/>
      <c r="J2508" s="8"/>
      <c r="K2508" s="8"/>
      <c r="L2508" s="8"/>
    </row>
    <row r="2509" spans="3:12" x14ac:dyDescent="0.25">
      <c r="C2509" s="7"/>
      <c r="E2509" s="8"/>
      <c r="F2509" s="8"/>
      <c r="G2509" s="8"/>
      <c r="H2509" s="8"/>
      <c r="I2509" s="8"/>
      <c r="J2509" s="8"/>
      <c r="K2509" s="8"/>
      <c r="L2509" s="8"/>
    </row>
    <row r="2510" spans="3:12" x14ac:dyDescent="0.25">
      <c r="C2510" s="7"/>
      <c r="E2510" s="8"/>
      <c r="F2510" s="8"/>
      <c r="G2510" s="8"/>
      <c r="H2510" s="8"/>
      <c r="I2510" s="8"/>
      <c r="J2510" s="8"/>
      <c r="K2510" s="8"/>
      <c r="L2510" s="8"/>
    </row>
    <row r="2511" spans="3:12" x14ac:dyDescent="0.25">
      <c r="C2511" s="7"/>
      <c r="E2511" s="8"/>
      <c r="F2511" s="8"/>
      <c r="G2511" s="8"/>
      <c r="H2511" s="8"/>
      <c r="I2511" s="8"/>
      <c r="J2511" s="8"/>
      <c r="K2511" s="8"/>
      <c r="L2511" s="8"/>
    </row>
    <row r="2512" spans="3:12" x14ac:dyDescent="0.25">
      <c r="C2512" s="7"/>
      <c r="E2512" s="8"/>
      <c r="F2512" s="8"/>
      <c r="G2512" s="8"/>
      <c r="H2512" s="8"/>
      <c r="I2512" s="8"/>
      <c r="J2512" s="8"/>
      <c r="K2512" s="8"/>
      <c r="L2512" s="8"/>
    </row>
    <row r="2513" spans="3:12" x14ac:dyDescent="0.25">
      <c r="C2513" s="7"/>
      <c r="E2513" s="8"/>
      <c r="F2513" s="8"/>
      <c r="G2513" s="8"/>
      <c r="H2513" s="8"/>
      <c r="I2513" s="8"/>
      <c r="J2513" s="8"/>
      <c r="K2513" s="8"/>
      <c r="L2513" s="8"/>
    </row>
    <row r="2514" spans="3:12" x14ac:dyDescent="0.25">
      <c r="C2514" s="7"/>
      <c r="E2514" s="8"/>
      <c r="F2514" s="8"/>
      <c r="G2514" s="8"/>
      <c r="H2514" s="8"/>
      <c r="I2514" s="8"/>
      <c r="J2514" s="8"/>
      <c r="K2514" s="8"/>
      <c r="L2514" s="8"/>
    </row>
    <row r="2515" spans="3:12" x14ac:dyDescent="0.25">
      <c r="C2515" s="7"/>
      <c r="E2515" s="8"/>
      <c r="F2515" s="8"/>
      <c r="G2515" s="8"/>
      <c r="H2515" s="8"/>
      <c r="I2515" s="8"/>
      <c r="J2515" s="8"/>
      <c r="K2515" s="8"/>
      <c r="L2515" s="8"/>
    </row>
    <row r="2516" spans="3:12" x14ac:dyDescent="0.25">
      <c r="C2516" s="7"/>
      <c r="E2516" s="8"/>
      <c r="F2516" s="8"/>
      <c r="G2516" s="8"/>
      <c r="H2516" s="8"/>
      <c r="I2516" s="8"/>
      <c r="J2516" s="8"/>
      <c r="K2516" s="8"/>
      <c r="L2516" s="8"/>
    </row>
    <row r="2517" spans="3:12" x14ac:dyDescent="0.25">
      <c r="C2517" s="7"/>
      <c r="E2517" s="8"/>
      <c r="F2517" s="8"/>
      <c r="G2517" s="8"/>
      <c r="H2517" s="8"/>
      <c r="I2517" s="8"/>
      <c r="J2517" s="8"/>
      <c r="K2517" s="8"/>
      <c r="L2517" s="8"/>
    </row>
    <row r="2518" spans="3:12" x14ac:dyDescent="0.25">
      <c r="C2518" s="7"/>
      <c r="E2518" s="8"/>
      <c r="F2518" s="8"/>
      <c r="G2518" s="8"/>
      <c r="H2518" s="8"/>
      <c r="I2518" s="8"/>
      <c r="J2518" s="8"/>
      <c r="K2518" s="8"/>
      <c r="L2518" s="8"/>
    </row>
    <row r="2519" spans="3:12" x14ac:dyDescent="0.25">
      <c r="C2519" s="7"/>
      <c r="E2519" s="8"/>
      <c r="F2519" s="8"/>
      <c r="G2519" s="8"/>
      <c r="H2519" s="8"/>
      <c r="I2519" s="8"/>
      <c r="J2519" s="8"/>
      <c r="K2519" s="8"/>
      <c r="L2519" s="8"/>
    </row>
    <row r="2520" spans="3:12" x14ac:dyDescent="0.25">
      <c r="C2520" s="7"/>
      <c r="E2520" s="8"/>
      <c r="F2520" s="8"/>
      <c r="G2520" s="8"/>
      <c r="H2520" s="8"/>
      <c r="I2520" s="8"/>
      <c r="J2520" s="8"/>
      <c r="K2520" s="8"/>
      <c r="L2520" s="8"/>
    </row>
    <row r="2521" spans="3:12" x14ac:dyDescent="0.25">
      <c r="C2521" s="7"/>
      <c r="E2521" s="8"/>
      <c r="F2521" s="8"/>
      <c r="G2521" s="8"/>
      <c r="H2521" s="8"/>
      <c r="I2521" s="8"/>
      <c r="J2521" s="8"/>
      <c r="K2521" s="8"/>
      <c r="L2521" s="8"/>
    </row>
    <row r="2522" spans="3:12" x14ac:dyDescent="0.25">
      <c r="C2522" s="7"/>
      <c r="E2522" s="8"/>
      <c r="F2522" s="8"/>
      <c r="G2522" s="8"/>
      <c r="H2522" s="8"/>
      <c r="I2522" s="8"/>
      <c r="J2522" s="8"/>
      <c r="K2522" s="8"/>
      <c r="L2522" s="8"/>
    </row>
    <row r="2523" spans="3:12" x14ac:dyDescent="0.25">
      <c r="C2523" s="7"/>
      <c r="E2523" s="8"/>
      <c r="F2523" s="8"/>
      <c r="G2523" s="8"/>
      <c r="H2523" s="8"/>
      <c r="I2523" s="8"/>
      <c r="J2523" s="8"/>
      <c r="K2523" s="8"/>
      <c r="L2523" s="8"/>
    </row>
    <row r="2524" spans="3:12" x14ac:dyDescent="0.25">
      <c r="C2524" s="7"/>
      <c r="E2524" s="8"/>
      <c r="F2524" s="8"/>
      <c r="G2524" s="8"/>
      <c r="H2524" s="8"/>
      <c r="I2524" s="8"/>
      <c r="J2524" s="8"/>
      <c r="K2524" s="8"/>
      <c r="L2524" s="8"/>
    </row>
    <row r="2525" spans="3:12" x14ac:dyDescent="0.25">
      <c r="C2525" s="7"/>
      <c r="E2525" s="8"/>
      <c r="F2525" s="8"/>
      <c r="G2525" s="8"/>
      <c r="H2525" s="8"/>
      <c r="I2525" s="8"/>
      <c r="J2525" s="8"/>
      <c r="K2525" s="8"/>
      <c r="L2525" s="8"/>
    </row>
    <row r="2526" spans="3:12" x14ac:dyDescent="0.25">
      <c r="C2526" s="7"/>
      <c r="E2526" s="8"/>
      <c r="F2526" s="8"/>
      <c r="G2526" s="8"/>
      <c r="H2526" s="8"/>
      <c r="I2526" s="8"/>
      <c r="J2526" s="8"/>
      <c r="K2526" s="8"/>
      <c r="L2526" s="8"/>
    </row>
    <row r="2527" spans="3:12" x14ac:dyDescent="0.25">
      <c r="C2527" s="7"/>
      <c r="E2527" s="8"/>
      <c r="F2527" s="8"/>
      <c r="G2527" s="8"/>
      <c r="H2527" s="8"/>
      <c r="I2527" s="8"/>
      <c r="J2527" s="8"/>
      <c r="K2527" s="8"/>
      <c r="L2527" s="8"/>
    </row>
    <row r="2528" spans="3:12" x14ac:dyDescent="0.25">
      <c r="C2528" s="7"/>
      <c r="E2528" s="8"/>
      <c r="F2528" s="8"/>
      <c r="G2528" s="8"/>
      <c r="H2528" s="8"/>
      <c r="I2528" s="8"/>
      <c r="J2528" s="8"/>
      <c r="K2528" s="8"/>
      <c r="L2528" s="8"/>
    </row>
    <row r="2529" spans="3:12" x14ac:dyDescent="0.25">
      <c r="C2529" s="7"/>
      <c r="E2529" s="8"/>
      <c r="F2529" s="8"/>
      <c r="G2529" s="8"/>
      <c r="H2529" s="8"/>
      <c r="I2529" s="8"/>
      <c r="J2529" s="8"/>
      <c r="K2529" s="8"/>
      <c r="L2529" s="8"/>
    </row>
    <row r="2530" spans="3:12" x14ac:dyDescent="0.25">
      <c r="C2530" s="7"/>
      <c r="E2530" s="8"/>
      <c r="F2530" s="8"/>
      <c r="G2530" s="8"/>
      <c r="H2530" s="8"/>
      <c r="I2530" s="8"/>
      <c r="J2530" s="8"/>
      <c r="K2530" s="8"/>
      <c r="L2530" s="8"/>
    </row>
    <row r="2531" spans="3:12" x14ac:dyDescent="0.25">
      <c r="C2531" s="7"/>
      <c r="E2531" s="8"/>
      <c r="F2531" s="8"/>
      <c r="G2531" s="8"/>
      <c r="H2531" s="8"/>
      <c r="I2531" s="8"/>
      <c r="J2531" s="8"/>
      <c r="K2531" s="8"/>
      <c r="L2531" s="8"/>
    </row>
    <row r="2532" spans="3:12" x14ac:dyDescent="0.25">
      <c r="C2532" s="7"/>
      <c r="E2532" s="8"/>
      <c r="F2532" s="8"/>
      <c r="G2532" s="8"/>
      <c r="H2532" s="8"/>
      <c r="I2532" s="8"/>
      <c r="J2532" s="8"/>
      <c r="K2532" s="8"/>
      <c r="L2532" s="8"/>
    </row>
    <row r="2533" spans="3:12" x14ac:dyDescent="0.25">
      <c r="C2533" s="7"/>
      <c r="E2533" s="8"/>
      <c r="F2533" s="8"/>
      <c r="G2533" s="8"/>
      <c r="H2533" s="8"/>
      <c r="I2533" s="8"/>
      <c r="J2533" s="8"/>
      <c r="K2533" s="8"/>
      <c r="L2533" s="8"/>
    </row>
    <row r="2534" spans="3:12" x14ac:dyDescent="0.25">
      <c r="C2534" s="7"/>
      <c r="E2534" s="8"/>
      <c r="F2534" s="8"/>
      <c r="G2534" s="8"/>
      <c r="H2534" s="8"/>
      <c r="I2534" s="8"/>
      <c r="J2534" s="8"/>
      <c r="K2534" s="8"/>
      <c r="L2534" s="8"/>
    </row>
    <row r="2535" spans="3:12" x14ac:dyDescent="0.25">
      <c r="C2535" s="7"/>
      <c r="E2535" s="8"/>
      <c r="F2535" s="8"/>
      <c r="G2535" s="8"/>
      <c r="H2535" s="8"/>
      <c r="I2535" s="8"/>
      <c r="J2535" s="8"/>
      <c r="K2535" s="8"/>
      <c r="L2535" s="8"/>
    </row>
    <row r="2536" spans="3:12" x14ac:dyDescent="0.25">
      <c r="C2536" s="7"/>
      <c r="E2536" s="8"/>
      <c r="F2536" s="8"/>
      <c r="G2536" s="8"/>
      <c r="H2536" s="8"/>
      <c r="I2536" s="8"/>
      <c r="J2536" s="8"/>
      <c r="K2536" s="8"/>
      <c r="L2536" s="8"/>
    </row>
    <row r="2537" spans="3:12" x14ac:dyDescent="0.25">
      <c r="C2537" s="7"/>
      <c r="E2537" s="8"/>
      <c r="F2537" s="8"/>
      <c r="G2537" s="8"/>
      <c r="H2537" s="8"/>
      <c r="I2537" s="8"/>
      <c r="J2537" s="8"/>
      <c r="K2537" s="8"/>
      <c r="L2537" s="8"/>
    </row>
    <row r="2538" spans="3:12" x14ac:dyDescent="0.25">
      <c r="C2538" s="7"/>
      <c r="E2538" s="8"/>
      <c r="F2538" s="8"/>
      <c r="G2538" s="8"/>
      <c r="H2538" s="8"/>
      <c r="I2538" s="8"/>
      <c r="J2538" s="8"/>
      <c r="K2538" s="8"/>
      <c r="L2538" s="8"/>
    </row>
    <row r="2539" spans="3:12" x14ac:dyDescent="0.25">
      <c r="C2539" s="7"/>
      <c r="E2539" s="8"/>
      <c r="F2539" s="8"/>
      <c r="G2539" s="8"/>
      <c r="H2539" s="8"/>
      <c r="I2539" s="8"/>
      <c r="J2539" s="8"/>
      <c r="K2539" s="8"/>
      <c r="L2539" s="8"/>
    </row>
    <row r="2540" spans="3:12" x14ac:dyDescent="0.25">
      <c r="C2540" s="7"/>
      <c r="E2540" s="8"/>
      <c r="F2540" s="8"/>
      <c r="G2540" s="8"/>
      <c r="H2540" s="8"/>
      <c r="I2540" s="8"/>
      <c r="J2540" s="8"/>
      <c r="K2540" s="8"/>
      <c r="L2540" s="8"/>
    </row>
    <row r="2541" spans="3:12" x14ac:dyDescent="0.25">
      <c r="C2541" s="7"/>
      <c r="E2541" s="8"/>
      <c r="F2541" s="8"/>
      <c r="G2541" s="8"/>
      <c r="H2541" s="8"/>
      <c r="I2541" s="8"/>
      <c r="J2541" s="8"/>
      <c r="K2541" s="8"/>
      <c r="L2541" s="8"/>
    </row>
    <row r="2542" spans="3:12" x14ac:dyDescent="0.25">
      <c r="C2542" s="7"/>
      <c r="E2542" s="8"/>
      <c r="F2542" s="8"/>
      <c r="G2542" s="8"/>
      <c r="H2542" s="8"/>
      <c r="I2542" s="8"/>
      <c r="J2542" s="8"/>
      <c r="K2542" s="8"/>
      <c r="L2542" s="8"/>
    </row>
    <row r="2543" spans="3:12" x14ac:dyDescent="0.25">
      <c r="C2543" s="7"/>
      <c r="E2543" s="8"/>
      <c r="F2543" s="8"/>
      <c r="G2543" s="8"/>
      <c r="H2543" s="8"/>
      <c r="I2543" s="8"/>
      <c r="J2543" s="8"/>
      <c r="K2543" s="8"/>
      <c r="L2543" s="8"/>
    </row>
    <row r="2544" spans="3:12" x14ac:dyDescent="0.25">
      <c r="C2544" s="7"/>
      <c r="E2544" s="8"/>
      <c r="F2544" s="8"/>
      <c r="G2544" s="8"/>
      <c r="H2544" s="8"/>
      <c r="I2544" s="8"/>
      <c r="J2544" s="8"/>
      <c r="K2544" s="8"/>
      <c r="L2544" s="8"/>
    </row>
    <row r="2545" spans="3:12" x14ac:dyDescent="0.25">
      <c r="C2545" s="7"/>
      <c r="E2545" s="8"/>
      <c r="F2545" s="8"/>
      <c r="G2545" s="8"/>
      <c r="H2545" s="8"/>
      <c r="I2545" s="8"/>
      <c r="J2545" s="8"/>
      <c r="K2545" s="8"/>
      <c r="L2545" s="8"/>
    </row>
    <row r="2546" spans="3:12" x14ac:dyDescent="0.25">
      <c r="C2546" s="7"/>
      <c r="E2546" s="8"/>
      <c r="F2546" s="8"/>
      <c r="G2546" s="8"/>
      <c r="H2546" s="8"/>
      <c r="I2546" s="8"/>
      <c r="J2546" s="8"/>
      <c r="K2546" s="8"/>
      <c r="L2546" s="8"/>
    </row>
    <row r="2547" spans="3:12" x14ac:dyDescent="0.25">
      <c r="C2547" s="7"/>
      <c r="E2547" s="8"/>
      <c r="F2547" s="8"/>
      <c r="G2547" s="8"/>
      <c r="H2547" s="8"/>
      <c r="I2547" s="8"/>
      <c r="J2547" s="8"/>
      <c r="K2547" s="8"/>
      <c r="L2547" s="8"/>
    </row>
    <row r="2548" spans="3:12" x14ac:dyDescent="0.25">
      <c r="C2548" s="7"/>
      <c r="E2548" s="8"/>
      <c r="F2548" s="8"/>
      <c r="G2548" s="8"/>
      <c r="H2548" s="8"/>
      <c r="I2548" s="8"/>
      <c r="J2548" s="8"/>
      <c r="K2548" s="8"/>
      <c r="L2548" s="8"/>
    </row>
    <row r="2549" spans="3:12" x14ac:dyDescent="0.25">
      <c r="C2549" s="7"/>
      <c r="E2549" s="8"/>
      <c r="F2549" s="8"/>
      <c r="G2549" s="8"/>
      <c r="H2549" s="8"/>
      <c r="I2549" s="8"/>
      <c r="J2549" s="8"/>
      <c r="K2549" s="8"/>
      <c r="L2549" s="8"/>
    </row>
    <row r="2550" spans="3:12" x14ac:dyDescent="0.25">
      <c r="C2550" s="7"/>
      <c r="E2550" s="8"/>
      <c r="F2550" s="8"/>
      <c r="G2550" s="8"/>
      <c r="H2550" s="8"/>
      <c r="I2550" s="8"/>
      <c r="J2550" s="8"/>
      <c r="K2550" s="8"/>
      <c r="L2550" s="8"/>
    </row>
    <row r="2551" spans="3:12" x14ac:dyDescent="0.25">
      <c r="C2551" s="7"/>
      <c r="E2551" s="8"/>
      <c r="F2551" s="8"/>
      <c r="G2551" s="8"/>
      <c r="H2551" s="8"/>
      <c r="I2551" s="8"/>
      <c r="J2551" s="8"/>
      <c r="K2551" s="8"/>
      <c r="L2551" s="8"/>
    </row>
    <row r="2552" spans="3:12" x14ac:dyDescent="0.25">
      <c r="C2552" s="7"/>
      <c r="E2552" s="8"/>
      <c r="F2552" s="8"/>
      <c r="G2552" s="8"/>
      <c r="H2552" s="8"/>
      <c r="I2552" s="8"/>
      <c r="J2552" s="8"/>
      <c r="K2552" s="8"/>
      <c r="L2552" s="8"/>
    </row>
    <row r="2553" spans="3:12" x14ac:dyDescent="0.25">
      <c r="C2553" s="7"/>
      <c r="E2553" s="8"/>
      <c r="F2553" s="8"/>
      <c r="G2553" s="8"/>
      <c r="H2553" s="8"/>
      <c r="I2553" s="8"/>
      <c r="J2553" s="8"/>
      <c r="K2553" s="8"/>
      <c r="L2553" s="8"/>
    </row>
    <row r="2554" spans="3:12" x14ac:dyDescent="0.25">
      <c r="C2554" s="7"/>
      <c r="E2554" s="8"/>
      <c r="F2554" s="8"/>
      <c r="G2554" s="8"/>
      <c r="H2554" s="8"/>
      <c r="I2554" s="8"/>
      <c r="J2554" s="8"/>
      <c r="K2554" s="8"/>
      <c r="L2554" s="8"/>
    </row>
    <row r="2555" spans="3:12" x14ac:dyDescent="0.25">
      <c r="C2555" s="7"/>
      <c r="E2555" s="8"/>
      <c r="F2555" s="8"/>
      <c r="G2555" s="8"/>
      <c r="H2555" s="8"/>
      <c r="I2555" s="8"/>
      <c r="J2555" s="8"/>
      <c r="K2555" s="8"/>
      <c r="L2555" s="8"/>
    </row>
    <row r="2556" spans="3:12" x14ac:dyDescent="0.25">
      <c r="C2556" s="7"/>
      <c r="E2556" s="8"/>
      <c r="F2556" s="8"/>
      <c r="G2556" s="8"/>
      <c r="H2556" s="8"/>
      <c r="I2556" s="8"/>
      <c r="J2556" s="8"/>
      <c r="K2556" s="8"/>
      <c r="L2556" s="8"/>
    </row>
  </sheetData>
  <printOptions horizontalCentered="1" verticalCentered="1"/>
  <pageMargins left="0.59055118110236227" right="0.39370078740157483" top="0.59055118110236227" bottom="0.6692913385826772" header="0.19685039370078741" footer="0.19685039370078741"/>
  <pageSetup paperSize="9" orientation="portrait" r:id="rId1"/>
  <headerFooter alignWithMargins="0">
    <oddHeader>&amp;C&amp;"Arial,Regular"LogiCamms</oddHeader>
    <oddFooter>&amp;L&amp;"Arial,Regular"&amp;8File : &amp;F
Sheet : &amp;A
Form: LCM-QA-TEM-0008 - Book (Excel)
© Copyright LogiCamms&amp;R&amp;"Arial,Regular"&amp;8Revision : 0
Printed : &amp;T &amp;D
Page &amp;P of &amp;N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556"/>
  <sheetViews>
    <sheetView zoomScale="80" zoomScaleNormal="80" zoomScaleSheetLayoutView="75" workbookViewId="0">
      <selection activeCell="F21" sqref="F21"/>
    </sheetView>
  </sheetViews>
  <sheetFormatPr defaultRowHeight="15" x14ac:dyDescent="0.25"/>
  <cols>
    <col min="1" max="1" width="10.85546875" bestFit="1" customWidth="1"/>
    <col min="2" max="2" width="21.28515625" bestFit="1" customWidth="1"/>
    <col min="3" max="3" width="10.5703125" bestFit="1" customWidth="1"/>
    <col min="4" max="4" width="8.5703125" bestFit="1" customWidth="1"/>
    <col min="5" max="5" width="13.42578125" bestFit="1" customWidth="1"/>
    <col min="6" max="6" width="11.7109375" bestFit="1" customWidth="1"/>
    <col min="7" max="7" width="13.5703125" bestFit="1" customWidth="1"/>
    <col min="8" max="8" width="11.5703125" bestFit="1" customWidth="1"/>
    <col min="9" max="9" width="12.85546875" bestFit="1" customWidth="1"/>
    <col min="10" max="10" width="11.28515625" bestFit="1" customWidth="1"/>
    <col min="11" max="11" width="12.7109375" bestFit="1" customWidth="1"/>
    <col min="12" max="12" width="11" bestFit="1" customWidth="1"/>
  </cols>
  <sheetData>
    <row r="1" spans="1:12" x14ac:dyDescent="0.25">
      <c r="A1" t="s">
        <v>38</v>
      </c>
      <c r="B1" t="s">
        <v>29</v>
      </c>
      <c r="C1" t="s">
        <v>39</v>
      </c>
      <c r="D1" t="s">
        <v>4</v>
      </c>
      <c r="E1" t="s">
        <v>30</v>
      </c>
      <c r="F1" t="s">
        <v>31</v>
      </c>
      <c r="G1" t="s">
        <v>32</v>
      </c>
      <c r="H1" t="s">
        <v>33</v>
      </c>
      <c r="I1" t="s">
        <v>34</v>
      </c>
      <c r="J1" t="s">
        <v>35</v>
      </c>
      <c r="K1" t="s">
        <v>36</v>
      </c>
      <c r="L1" t="s">
        <v>37</v>
      </c>
    </row>
    <row r="2" spans="1:12" x14ac:dyDescent="0.25">
      <c r="A2" s="6">
        <v>41271</v>
      </c>
      <c r="B2" t="s">
        <v>40</v>
      </c>
      <c r="C2" s="7" t="s">
        <v>41</v>
      </c>
      <c r="D2" t="s">
        <v>41</v>
      </c>
      <c r="E2" s="8">
        <v>3000</v>
      </c>
      <c r="F2" s="8"/>
      <c r="G2" s="8">
        <v>0</v>
      </c>
      <c r="H2" s="8"/>
      <c r="I2" s="8">
        <v>0</v>
      </c>
      <c r="J2" s="8"/>
      <c r="K2" s="8">
        <v>0</v>
      </c>
      <c r="L2" s="8"/>
    </row>
    <row r="3" spans="1:12" x14ac:dyDescent="0.25">
      <c r="A3" s="6">
        <v>41272</v>
      </c>
      <c r="B3" t="s">
        <v>67</v>
      </c>
      <c r="C3" s="7">
        <v>6800</v>
      </c>
      <c r="D3" t="s">
        <v>6</v>
      </c>
      <c r="E3" s="8">
        <f>E2+F3</f>
        <v>9800</v>
      </c>
      <c r="F3" s="8">
        <f>IF($D3="CR01",$C3,0)</f>
        <v>6800</v>
      </c>
      <c r="G3" s="8">
        <f>G2+H3</f>
        <v>0</v>
      </c>
      <c r="H3" s="8">
        <f>IF($D3="VISA",$C3,0)</f>
        <v>0</v>
      </c>
      <c r="I3" s="8">
        <f>I2+J3</f>
        <v>0</v>
      </c>
      <c r="J3" s="8">
        <f>IF($D3="ACC",$C3,0)</f>
        <v>0</v>
      </c>
      <c r="K3" s="8">
        <f>K2+L3</f>
        <v>0</v>
      </c>
      <c r="L3" s="8">
        <f>IF($D3="CBB",$C3,0)</f>
        <v>0</v>
      </c>
    </row>
    <row r="4" spans="1:12" x14ac:dyDescent="0.25">
      <c r="A4" s="6">
        <v>41275</v>
      </c>
      <c r="B4" t="s">
        <v>42</v>
      </c>
      <c r="C4" s="7">
        <v>-2806</v>
      </c>
      <c r="D4" t="s">
        <v>6</v>
      </c>
      <c r="E4" s="8">
        <f>E3+F4</f>
        <v>6994</v>
      </c>
      <c r="F4" s="8">
        <f>IF($D4="CR01",$C4,0)</f>
        <v>-2806</v>
      </c>
      <c r="G4" s="8">
        <f>G3+H4</f>
        <v>0</v>
      </c>
      <c r="H4" s="8">
        <f>IF($D4="VISA",$C4,0)</f>
        <v>0</v>
      </c>
      <c r="I4" s="8">
        <f>I3+J4</f>
        <v>0</v>
      </c>
      <c r="J4" s="8">
        <f>IF($D4="ACC",$C4,0)</f>
        <v>0</v>
      </c>
      <c r="K4" s="8">
        <f>K3+L4</f>
        <v>0</v>
      </c>
      <c r="L4" s="8">
        <f>IF($D4="CBB",$C4,0)</f>
        <v>0</v>
      </c>
    </row>
    <row r="5" spans="1:12" x14ac:dyDescent="0.25">
      <c r="A5" s="6">
        <v>41275</v>
      </c>
      <c r="B5" t="s">
        <v>48</v>
      </c>
      <c r="C5" s="7">
        <v>-100</v>
      </c>
      <c r="D5" t="s">
        <v>6</v>
      </c>
      <c r="E5" s="8">
        <f>E4+F5</f>
        <v>6894</v>
      </c>
      <c r="F5" s="8">
        <f>IF($D5="CR01",$C5,0)</f>
        <v>-100</v>
      </c>
      <c r="G5" s="8">
        <f>G4+H5</f>
        <v>0</v>
      </c>
      <c r="H5" s="8">
        <f>IF($D5="VISA",$C5,0)</f>
        <v>0</v>
      </c>
      <c r="I5" s="8">
        <f>I4+J5</f>
        <v>0</v>
      </c>
      <c r="J5" s="8">
        <f>IF($D5="ACC",$C5,0)</f>
        <v>0</v>
      </c>
      <c r="K5" s="8">
        <f>K4+L5</f>
        <v>0</v>
      </c>
      <c r="L5" s="8">
        <f>IF($D5="CBB",$C5,0)</f>
        <v>0</v>
      </c>
    </row>
    <row r="6" spans="1:12" x14ac:dyDescent="0.25">
      <c r="A6" s="6">
        <v>41275</v>
      </c>
      <c r="B6" t="s">
        <v>58</v>
      </c>
      <c r="C6" s="7">
        <v>-200</v>
      </c>
      <c r="D6" t="s">
        <v>6</v>
      </c>
      <c r="E6" s="8">
        <f>E5+F6</f>
        <v>6694</v>
      </c>
      <c r="F6" s="8">
        <f>IF($D6="CR01",$C6,0)</f>
        <v>-200</v>
      </c>
      <c r="G6" s="8">
        <f>G5+H6</f>
        <v>0</v>
      </c>
      <c r="H6" s="8">
        <f>IF($D6="VISA",$C6,0)</f>
        <v>0</v>
      </c>
      <c r="I6" s="8">
        <f>I5+J6</f>
        <v>0</v>
      </c>
      <c r="J6" s="8">
        <f>IF($D6="ACC",$C6,0)</f>
        <v>0</v>
      </c>
      <c r="K6" s="8">
        <f>K5+L6</f>
        <v>0</v>
      </c>
      <c r="L6" s="8">
        <f>IF($D6="CBB",$C6,0)</f>
        <v>0</v>
      </c>
    </row>
    <row r="7" spans="1:12" x14ac:dyDescent="0.25">
      <c r="A7" s="6">
        <v>41275</v>
      </c>
      <c r="B7" t="s">
        <v>60</v>
      </c>
      <c r="C7" s="7">
        <v>-400</v>
      </c>
      <c r="D7" t="s">
        <v>6</v>
      </c>
      <c r="E7" s="8">
        <f>E6+F7</f>
        <v>6294</v>
      </c>
      <c r="F7" s="8">
        <f>IF($D7="CR01",$C7,0)</f>
        <v>-400</v>
      </c>
      <c r="G7" s="8">
        <f>G6+H7</f>
        <v>0</v>
      </c>
      <c r="H7" s="8">
        <f>IF($D7="VISA",$C7,0)</f>
        <v>0</v>
      </c>
      <c r="I7" s="8">
        <f>I6+J7</f>
        <v>0</v>
      </c>
      <c r="J7" s="8">
        <f>IF($D7="ACC",$C7,0)</f>
        <v>0</v>
      </c>
      <c r="K7" s="8">
        <f>K6+L7</f>
        <v>0</v>
      </c>
      <c r="L7" s="8">
        <f>IF($D7="CBB",$C7,0)</f>
        <v>0</v>
      </c>
    </row>
    <row r="8" spans="1:12" x14ac:dyDescent="0.25">
      <c r="A8" s="6">
        <v>41275</v>
      </c>
      <c r="B8" t="s">
        <v>61</v>
      </c>
      <c r="C8" s="7">
        <v>-300</v>
      </c>
      <c r="D8" t="s">
        <v>6</v>
      </c>
      <c r="E8" s="8">
        <f>E7+F8</f>
        <v>5994</v>
      </c>
      <c r="F8" s="8">
        <f>IF($D8="CR01",$C8,0)</f>
        <v>-300</v>
      </c>
      <c r="G8" s="8">
        <f>G7+H8</f>
        <v>0</v>
      </c>
      <c r="H8" s="8">
        <f>IF($D8="VISA",$C8,0)</f>
        <v>0</v>
      </c>
      <c r="I8" s="8">
        <f>I7+J8</f>
        <v>0</v>
      </c>
      <c r="J8" s="8">
        <f>IF($D8="ACC",$C8,0)</f>
        <v>0</v>
      </c>
      <c r="K8" s="8">
        <f>K7+L8</f>
        <v>0</v>
      </c>
      <c r="L8" s="8">
        <f>IF($D8="CBB",$C8,0)</f>
        <v>0</v>
      </c>
    </row>
    <row r="9" spans="1:12" x14ac:dyDescent="0.25">
      <c r="A9" s="6">
        <v>41275</v>
      </c>
      <c r="B9" t="s">
        <v>64</v>
      </c>
      <c r="C9" s="7">
        <v>-26</v>
      </c>
      <c r="D9" t="s">
        <v>6</v>
      </c>
      <c r="E9" s="8">
        <f>E8+F9</f>
        <v>5968</v>
      </c>
      <c r="F9" s="8">
        <f>IF($D9="CR01",$C9,0)</f>
        <v>-26</v>
      </c>
      <c r="G9" s="8">
        <f>G8+H9</f>
        <v>0</v>
      </c>
      <c r="H9" s="8">
        <f>IF($D9="VISA",$C9,0)</f>
        <v>0</v>
      </c>
      <c r="I9" s="8">
        <f>I8+J9</f>
        <v>0</v>
      </c>
      <c r="J9" s="8">
        <f>IF($D9="ACC",$C9,0)</f>
        <v>0</v>
      </c>
      <c r="K9" s="8">
        <f>K8+L9</f>
        <v>0</v>
      </c>
      <c r="L9" s="8">
        <f>IF($D9="CBB",$C9,0)</f>
        <v>0</v>
      </c>
    </row>
    <row r="10" spans="1:12" x14ac:dyDescent="0.25">
      <c r="A10" s="6">
        <v>41275</v>
      </c>
      <c r="B10" t="s">
        <v>65</v>
      </c>
      <c r="C10" s="7">
        <v>-240</v>
      </c>
      <c r="D10" t="s">
        <v>6</v>
      </c>
      <c r="E10" s="8">
        <f>E9+F10</f>
        <v>5728</v>
      </c>
      <c r="F10" s="8">
        <f>IF($D10="CR01",$C10,0)</f>
        <v>-240</v>
      </c>
      <c r="G10" s="8">
        <f>G9+H10</f>
        <v>0</v>
      </c>
      <c r="H10" s="8">
        <f>IF($D10="VISA",$C10,0)</f>
        <v>0</v>
      </c>
      <c r="I10" s="8">
        <f>I9+J10</f>
        <v>0</v>
      </c>
      <c r="J10" s="8">
        <f>IF($D10="ACC",$C10,0)</f>
        <v>0</v>
      </c>
      <c r="K10" s="8">
        <f>K9+L10</f>
        <v>0</v>
      </c>
      <c r="L10" s="8">
        <f>IF($D10="CBB",$C10,0)</f>
        <v>0</v>
      </c>
    </row>
    <row r="11" spans="1:12" x14ac:dyDescent="0.25">
      <c r="A11" s="6">
        <v>41275</v>
      </c>
      <c r="B11" t="s">
        <v>66</v>
      </c>
      <c r="C11" s="7">
        <v>-120</v>
      </c>
      <c r="D11" t="s">
        <v>6</v>
      </c>
      <c r="E11" s="8">
        <f>E10+F11</f>
        <v>5608</v>
      </c>
      <c r="F11" s="8">
        <f>IF($D11="CR01",$C11,0)</f>
        <v>-120</v>
      </c>
      <c r="G11" s="8">
        <f>G10+H11</f>
        <v>0</v>
      </c>
      <c r="H11" s="8">
        <f>IF($D11="VISA",$C11,0)</f>
        <v>0</v>
      </c>
      <c r="I11" s="8">
        <f>I10+J11</f>
        <v>0</v>
      </c>
      <c r="J11" s="8">
        <f>IF($D11="ACC",$C11,0)</f>
        <v>0</v>
      </c>
      <c r="K11" s="8">
        <f>K10+L11</f>
        <v>0</v>
      </c>
      <c r="L11" s="8">
        <f>IF($D11="CBB",$C11,0)</f>
        <v>0</v>
      </c>
    </row>
    <row r="12" spans="1:12" x14ac:dyDescent="0.25">
      <c r="A12" s="6">
        <v>41275</v>
      </c>
      <c r="B12" t="s">
        <v>69</v>
      </c>
      <c r="C12" s="7">
        <v>-1500</v>
      </c>
      <c r="D12" t="s">
        <v>6</v>
      </c>
      <c r="E12" s="8">
        <f>E11+F12</f>
        <v>4108</v>
      </c>
      <c r="F12" s="8">
        <f>IF($D12="CR01",$C12,0)</f>
        <v>-1500</v>
      </c>
      <c r="G12" s="8">
        <f>G11+H12</f>
        <v>0</v>
      </c>
      <c r="H12" s="8">
        <f>IF($D12="VISA",$C12,0)</f>
        <v>0</v>
      </c>
      <c r="I12" s="8">
        <f>I11+J12</f>
        <v>0</v>
      </c>
      <c r="J12" s="8">
        <f>IF($D12="ACC",$C12,0)</f>
        <v>0</v>
      </c>
      <c r="K12" s="8">
        <f>K11+L12</f>
        <v>0</v>
      </c>
      <c r="L12" s="8">
        <f>IF($D12="CBB",$C12,0)</f>
        <v>0</v>
      </c>
    </row>
    <row r="13" spans="1:12" x14ac:dyDescent="0.25">
      <c r="A13" s="6">
        <v>41276</v>
      </c>
      <c r="B13" t="s">
        <v>47</v>
      </c>
      <c r="C13" s="7">
        <v>-120</v>
      </c>
      <c r="D13" t="s">
        <v>6</v>
      </c>
      <c r="E13" s="8">
        <f>E12+F13</f>
        <v>3988</v>
      </c>
      <c r="F13" s="8">
        <f>IF($D13="CR01",$C13,0)</f>
        <v>-120</v>
      </c>
      <c r="G13" s="8">
        <f>G12+H13</f>
        <v>0</v>
      </c>
      <c r="H13" s="8">
        <f>IF($D13="VISA",$C13,0)</f>
        <v>0</v>
      </c>
      <c r="I13" s="8">
        <f>I12+J13</f>
        <v>0</v>
      </c>
      <c r="J13" s="8">
        <f>IF($D13="ACC",$C13,0)</f>
        <v>0</v>
      </c>
      <c r="K13" s="8">
        <f>K12+L13</f>
        <v>0</v>
      </c>
      <c r="L13" s="8">
        <f>IF($D13="CBB",$C13,0)</f>
        <v>0</v>
      </c>
    </row>
    <row r="14" spans="1:12" x14ac:dyDescent="0.25">
      <c r="A14" s="6">
        <v>41276</v>
      </c>
      <c r="B14" t="s">
        <v>59</v>
      </c>
      <c r="C14" s="7">
        <v>-900</v>
      </c>
      <c r="D14" t="s">
        <v>6</v>
      </c>
      <c r="E14" s="8">
        <f>E13+F14</f>
        <v>3088</v>
      </c>
      <c r="F14" s="8">
        <f>IF($D14="CR01",$C14,0)</f>
        <v>-900</v>
      </c>
      <c r="G14" s="8">
        <f>G13+H14</f>
        <v>0</v>
      </c>
      <c r="H14" s="8">
        <f>IF($D14="VISA",$C14,0)</f>
        <v>0</v>
      </c>
      <c r="I14" s="8">
        <f>I13+J14</f>
        <v>0</v>
      </c>
      <c r="J14" s="8">
        <f>IF($D14="ACC",$C14,0)</f>
        <v>0</v>
      </c>
      <c r="K14" s="8">
        <f>K13+L14</f>
        <v>0</v>
      </c>
      <c r="L14" s="8">
        <f>IF($D14="CBB",$C14,0)</f>
        <v>0</v>
      </c>
    </row>
    <row r="15" spans="1:12" x14ac:dyDescent="0.25">
      <c r="A15" s="6">
        <v>41277</v>
      </c>
      <c r="B15" t="s">
        <v>44</v>
      </c>
      <c r="C15" s="7">
        <v>-400</v>
      </c>
      <c r="D15" t="s">
        <v>6</v>
      </c>
      <c r="E15" s="8">
        <f>E14+F15</f>
        <v>2688</v>
      </c>
      <c r="F15" s="8">
        <f>IF($D15="CR01",$C15,0)</f>
        <v>-400</v>
      </c>
      <c r="G15" s="8">
        <f>G14+H15</f>
        <v>0</v>
      </c>
      <c r="H15" s="8">
        <f>IF($D15="VISA",$C15,0)</f>
        <v>0</v>
      </c>
      <c r="I15" s="8">
        <f>I14+J15</f>
        <v>0</v>
      </c>
      <c r="J15" s="8">
        <f>IF($D15="ACC",$C15,0)</f>
        <v>0</v>
      </c>
      <c r="K15" s="8">
        <f>K14+L15</f>
        <v>0</v>
      </c>
      <c r="L15" s="8">
        <f>IF($D15="CBB",$C15,0)</f>
        <v>0</v>
      </c>
    </row>
    <row r="16" spans="1:12" x14ac:dyDescent="0.25">
      <c r="A16" s="6">
        <v>41277</v>
      </c>
      <c r="B16" t="s">
        <v>45</v>
      </c>
      <c r="C16" s="7">
        <v>-180</v>
      </c>
      <c r="D16" t="s">
        <v>6</v>
      </c>
      <c r="E16" s="8">
        <f>E15+F16</f>
        <v>2508</v>
      </c>
      <c r="F16" s="8">
        <f>IF($D16="CR01",$C16,0)</f>
        <v>-180</v>
      </c>
      <c r="G16" s="8">
        <f>G15+H16</f>
        <v>0</v>
      </c>
      <c r="H16" s="8">
        <f>IF($D16="VISA",$C16,0)</f>
        <v>0</v>
      </c>
      <c r="I16" s="8">
        <f>I15+J16</f>
        <v>0</v>
      </c>
      <c r="J16" s="8">
        <f>IF($D16="ACC",$C16,0)</f>
        <v>0</v>
      </c>
      <c r="K16" s="8">
        <f>K15+L16</f>
        <v>0</v>
      </c>
      <c r="L16" s="8">
        <f>IF($D16="CBB",$C16,0)</f>
        <v>0</v>
      </c>
    </row>
    <row r="17" spans="1:12" x14ac:dyDescent="0.25">
      <c r="A17" s="6">
        <v>41277</v>
      </c>
      <c r="B17" t="s">
        <v>46</v>
      </c>
      <c r="C17" s="7">
        <v>-300</v>
      </c>
      <c r="D17" t="s">
        <v>6</v>
      </c>
      <c r="E17" s="8">
        <f>E16+F17</f>
        <v>2208</v>
      </c>
      <c r="F17" s="8">
        <f>IF($D17="CR01",$C17,0)</f>
        <v>-300</v>
      </c>
      <c r="G17" s="8">
        <f>G16+H17</f>
        <v>0</v>
      </c>
      <c r="H17" s="8">
        <f>IF($D17="VISA",$C17,0)</f>
        <v>0</v>
      </c>
      <c r="I17" s="8">
        <f>I16+J17</f>
        <v>0</v>
      </c>
      <c r="J17" s="8">
        <f>IF($D17="ACC",$C17,0)</f>
        <v>0</v>
      </c>
      <c r="K17" s="8">
        <f>K16+L17</f>
        <v>0</v>
      </c>
      <c r="L17" s="8">
        <f>IF($D17="CBB",$C17,0)</f>
        <v>0</v>
      </c>
    </row>
    <row r="18" spans="1:12" x14ac:dyDescent="0.25">
      <c r="A18" s="6">
        <v>41278</v>
      </c>
      <c r="B18" t="s">
        <v>43</v>
      </c>
      <c r="C18" s="7">
        <v>3226</v>
      </c>
      <c r="D18" t="s">
        <v>6</v>
      </c>
      <c r="E18" s="8">
        <f>E17+F18</f>
        <v>5434</v>
      </c>
      <c r="F18" s="8">
        <f>IF($D18="CR01",$C18,0)</f>
        <v>3226</v>
      </c>
      <c r="G18" s="8">
        <f>G17+H18</f>
        <v>0</v>
      </c>
      <c r="H18" s="8">
        <f>IF($D18="VISA",$C18,0)</f>
        <v>0</v>
      </c>
      <c r="I18" s="8">
        <f>I17+J18</f>
        <v>0</v>
      </c>
      <c r="J18" s="8">
        <f>IF($D18="ACC",$C18,0)</f>
        <v>0</v>
      </c>
      <c r="K18" s="8">
        <f>K17+L18</f>
        <v>0</v>
      </c>
      <c r="L18" s="8">
        <f>IF($D18="CBB",$C18,0)</f>
        <v>0</v>
      </c>
    </row>
    <row r="19" spans="1:12" x14ac:dyDescent="0.25">
      <c r="A19" s="6">
        <v>41282</v>
      </c>
      <c r="B19" t="s">
        <v>48</v>
      </c>
      <c r="C19" s="7">
        <v>-100</v>
      </c>
      <c r="D19" t="s">
        <v>6</v>
      </c>
      <c r="E19" s="8">
        <f>E18+F19</f>
        <v>5334</v>
      </c>
      <c r="F19" s="8">
        <f>IF($D19="CR01",$C19,0)</f>
        <v>-100</v>
      </c>
      <c r="G19" s="8">
        <f>G18+H19</f>
        <v>0</v>
      </c>
      <c r="H19" s="8">
        <f>IF($D19="VISA",$C19,0)</f>
        <v>0</v>
      </c>
      <c r="I19" s="8">
        <f>I18+J19</f>
        <v>0</v>
      </c>
      <c r="J19" s="8">
        <f>IF($D19="ACC",$C19,0)</f>
        <v>0</v>
      </c>
      <c r="K19" s="8">
        <f>K18+L19</f>
        <v>0</v>
      </c>
      <c r="L19" s="8">
        <f>IF($D19="CBB",$C19,0)</f>
        <v>0</v>
      </c>
    </row>
    <row r="20" spans="1:12" x14ac:dyDescent="0.25">
      <c r="A20" s="6">
        <v>41283</v>
      </c>
      <c r="B20" t="s">
        <v>47</v>
      </c>
      <c r="C20" s="7">
        <v>-120</v>
      </c>
      <c r="D20" t="s">
        <v>6</v>
      </c>
      <c r="E20" s="8">
        <f>E19+F20</f>
        <v>5214</v>
      </c>
      <c r="F20" s="8">
        <f>IF($D20="CR01",$C20,0)</f>
        <v>-120</v>
      </c>
      <c r="G20" s="8">
        <f>G19+H20</f>
        <v>0</v>
      </c>
      <c r="H20" s="8">
        <f>IF($D20="VISA",$C20,0)</f>
        <v>0</v>
      </c>
      <c r="I20" s="8">
        <f>I19+J20</f>
        <v>0</v>
      </c>
      <c r="J20" s="8">
        <f>IF($D20="ACC",$C20,0)</f>
        <v>0</v>
      </c>
      <c r="K20" s="8">
        <f>K19+L20</f>
        <v>0</v>
      </c>
      <c r="L20" s="8">
        <f>IF($D20="CBB",$C20,0)</f>
        <v>0</v>
      </c>
    </row>
    <row r="21" spans="1:12" x14ac:dyDescent="0.25">
      <c r="A21" s="6">
        <v>41284</v>
      </c>
      <c r="B21" t="s">
        <v>44</v>
      </c>
      <c r="C21" s="7">
        <v>-400</v>
      </c>
      <c r="D21" t="s">
        <v>6</v>
      </c>
      <c r="E21" s="8">
        <f>E20+F21</f>
        <v>4814</v>
      </c>
      <c r="F21" s="8">
        <f>IF($D21="CR01",$C21,0)</f>
        <v>-400</v>
      </c>
      <c r="G21" s="8">
        <f>G20+H21</f>
        <v>0</v>
      </c>
      <c r="H21" s="8">
        <f>IF($D21="VISA",$C21,0)</f>
        <v>0</v>
      </c>
      <c r="I21" s="8">
        <f>I20+J21</f>
        <v>0</v>
      </c>
      <c r="J21" s="8">
        <f>IF($D21="ACC",$C21,0)</f>
        <v>0</v>
      </c>
      <c r="K21" s="8">
        <f>K20+L21</f>
        <v>0</v>
      </c>
      <c r="L21" s="8">
        <f>IF($D21="CBB",$C21,0)</f>
        <v>0</v>
      </c>
    </row>
    <row r="22" spans="1:12" x14ac:dyDescent="0.25">
      <c r="A22" s="6">
        <v>41284</v>
      </c>
      <c r="B22" t="s">
        <v>45</v>
      </c>
      <c r="C22" s="7">
        <v>-180</v>
      </c>
      <c r="D22" t="s">
        <v>6</v>
      </c>
      <c r="E22" s="8">
        <f>E21+F22</f>
        <v>4634</v>
      </c>
      <c r="F22" s="8">
        <f>IF($D22="CR01",$C22,0)</f>
        <v>-180</v>
      </c>
      <c r="G22" s="8">
        <f>G21+H22</f>
        <v>0</v>
      </c>
      <c r="H22" s="8">
        <f>IF($D22="VISA",$C22,0)</f>
        <v>0</v>
      </c>
      <c r="I22" s="8">
        <f>I21+J22</f>
        <v>0</v>
      </c>
      <c r="J22" s="8">
        <f>IF($D22="ACC",$C22,0)</f>
        <v>0</v>
      </c>
      <c r="K22" s="8">
        <f>K21+L22</f>
        <v>0</v>
      </c>
      <c r="L22" s="8">
        <f>IF($D22="CBB",$C22,0)</f>
        <v>0</v>
      </c>
    </row>
    <row r="23" spans="1:12" x14ac:dyDescent="0.25">
      <c r="A23" s="6">
        <v>41284</v>
      </c>
      <c r="B23" t="s">
        <v>46</v>
      </c>
      <c r="C23" s="7">
        <v>-300</v>
      </c>
      <c r="D23" t="s">
        <v>6</v>
      </c>
      <c r="E23" s="8">
        <f>E22+F23</f>
        <v>4334</v>
      </c>
      <c r="F23" s="8">
        <f>IF($D23="CR01",$C23,0)</f>
        <v>-300</v>
      </c>
      <c r="G23" s="8">
        <f>G22+H23</f>
        <v>0</v>
      </c>
      <c r="H23" s="8">
        <f>IF($D23="VISA",$C23,0)</f>
        <v>0</v>
      </c>
      <c r="I23" s="8">
        <f>I22+J23</f>
        <v>0</v>
      </c>
      <c r="J23" s="8">
        <f>IF($D23="ACC",$C23,0)</f>
        <v>0</v>
      </c>
      <c r="K23" s="8">
        <f>K22+L23</f>
        <v>0</v>
      </c>
      <c r="L23" s="8">
        <f>IF($D23="CBB",$C23,0)</f>
        <v>0</v>
      </c>
    </row>
    <row r="24" spans="1:12" x14ac:dyDescent="0.25">
      <c r="A24" s="6">
        <v>41286</v>
      </c>
      <c r="B24" t="s">
        <v>67</v>
      </c>
      <c r="C24" s="7">
        <v>6800</v>
      </c>
      <c r="D24" t="s">
        <v>6</v>
      </c>
      <c r="E24" s="8">
        <f>E23+F24</f>
        <v>11134</v>
      </c>
      <c r="F24" s="8">
        <f>IF($D24="CR01",$C24,0)</f>
        <v>6800</v>
      </c>
      <c r="G24" s="8">
        <f>G23+H24</f>
        <v>0</v>
      </c>
      <c r="H24" s="8">
        <f>IF($D24="VISA",$C24,0)</f>
        <v>0</v>
      </c>
      <c r="I24" s="8">
        <f>I23+J24</f>
        <v>0</v>
      </c>
      <c r="J24" s="8">
        <f>IF($D24="ACC",$C24,0)</f>
        <v>0</v>
      </c>
      <c r="K24" s="8">
        <f>K23+L24</f>
        <v>0</v>
      </c>
      <c r="L24" s="8">
        <f>IF($D24="CBB",$C24,0)</f>
        <v>0</v>
      </c>
    </row>
    <row r="25" spans="1:12" x14ac:dyDescent="0.25">
      <c r="A25" s="6">
        <v>41289</v>
      </c>
      <c r="B25" t="s">
        <v>42</v>
      </c>
      <c r="C25" s="7">
        <v>-2806</v>
      </c>
      <c r="D25" t="s">
        <v>6</v>
      </c>
      <c r="E25" s="8">
        <f>E24+F25</f>
        <v>8328</v>
      </c>
      <c r="F25" s="8">
        <f>IF($D25="CR01",$C25,0)</f>
        <v>-2806</v>
      </c>
      <c r="G25" s="8">
        <f>G24+H25</f>
        <v>0</v>
      </c>
      <c r="H25" s="8">
        <f>IF($D25="VISA",$C25,0)</f>
        <v>0</v>
      </c>
      <c r="I25" s="8">
        <f>I24+J25</f>
        <v>0</v>
      </c>
      <c r="J25" s="8">
        <f>IF($D25="ACC",$C25,0)</f>
        <v>0</v>
      </c>
      <c r="K25" s="8">
        <f>K24+L25</f>
        <v>0</v>
      </c>
      <c r="L25" s="8">
        <f>IF($D25="CBB",$C25,0)</f>
        <v>0</v>
      </c>
    </row>
    <row r="26" spans="1:12" x14ac:dyDescent="0.25">
      <c r="A26" s="6">
        <v>41289</v>
      </c>
      <c r="B26" t="s">
        <v>48</v>
      </c>
      <c r="C26" s="7">
        <v>-100</v>
      </c>
      <c r="D26" t="s">
        <v>6</v>
      </c>
      <c r="E26" s="8">
        <f>E25+F26</f>
        <v>8228</v>
      </c>
      <c r="F26" s="8">
        <f>IF($D26="CR01",$C26,0)</f>
        <v>-100</v>
      </c>
      <c r="G26" s="8">
        <f>G25+H26</f>
        <v>0</v>
      </c>
      <c r="H26" s="8">
        <f>IF($D26="VISA",$C26,0)</f>
        <v>0</v>
      </c>
      <c r="I26" s="8">
        <f>I25+J26</f>
        <v>0</v>
      </c>
      <c r="J26" s="8">
        <f>IF($D26="ACC",$C26,0)</f>
        <v>0</v>
      </c>
      <c r="K26" s="8">
        <f>K25+L26</f>
        <v>0</v>
      </c>
      <c r="L26" s="8">
        <f>IF($D26="CBB",$C26,0)</f>
        <v>0</v>
      </c>
    </row>
    <row r="27" spans="1:12" x14ac:dyDescent="0.25">
      <c r="A27" s="6">
        <v>41290</v>
      </c>
      <c r="B27" t="s">
        <v>47</v>
      </c>
      <c r="C27" s="7">
        <v>-120</v>
      </c>
      <c r="D27" t="s">
        <v>6</v>
      </c>
      <c r="E27" s="8">
        <f>E26+F27</f>
        <v>8108</v>
      </c>
      <c r="F27" s="8">
        <f>IF($D27="CR01",$C27,0)</f>
        <v>-120</v>
      </c>
      <c r="G27" s="8">
        <f>G26+H27</f>
        <v>0</v>
      </c>
      <c r="H27" s="8">
        <f>IF($D27="VISA",$C27,0)</f>
        <v>0</v>
      </c>
      <c r="I27" s="8">
        <f>I26+J27</f>
        <v>0</v>
      </c>
      <c r="J27" s="8">
        <f>IF($D27="ACC",$C27,0)</f>
        <v>0</v>
      </c>
      <c r="K27" s="8">
        <f>K26+L27</f>
        <v>0</v>
      </c>
      <c r="L27" s="8">
        <f>IF($D27="CBB",$C27,0)</f>
        <v>0</v>
      </c>
    </row>
    <row r="28" spans="1:12" x14ac:dyDescent="0.25">
      <c r="A28" s="6">
        <v>41291</v>
      </c>
      <c r="B28" t="s">
        <v>44</v>
      </c>
      <c r="C28" s="7">
        <v>-400</v>
      </c>
      <c r="D28" t="s">
        <v>6</v>
      </c>
      <c r="E28" s="8">
        <f>E27+F28</f>
        <v>7708</v>
      </c>
      <c r="F28" s="8">
        <f>IF($D28="CR01",$C28,0)</f>
        <v>-400</v>
      </c>
      <c r="G28" s="8">
        <f>G27+H28</f>
        <v>0</v>
      </c>
      <c r="H28" s="8">
        <f>IF($D28="VISA",$C28,0)</f>
        <v>0</v>
      </c>
      <c r="I28" s="8">
        <f>I27+J28</f>
        <v>0</v>
      </c>
      <c r="J28" s="8">
        <f>IF($D28="ACC",$C28,0)</f>
        <v>0</v>
      </c>
      <c r="K28" s="8">
        <f>K27+L28</f>
        <v>0</v>
      </c>
      <c r="L28" s="8">
        <f>IF($D28="CBB",$C28,0)</f>
        <v>0</v>
      </c>
    </row>
    <row r="29" spans="1:12" x14ac:dyDescent="0.25">
      <c r="A29" s="6">
        <v>41291</v>
      </c>
      <c r="B29" t="s">
        <v>45</v>
      </c>
      <c r="C29" s="7">
        <v>-180</v>
      </c>
      <c r="D29" t="s">
        <v>6</v>
      </c>
      <c r="E29" s="8">
        <f>E28+F29</f>
        <v>7528</v>
      </c>
      <c r="F29" s="8">
        <f>IF($D29="CR01",$C29,0)</f>
        <v>-180</v>
      </c>
      <c r="G29" s="8">
        <f>G28+H29</f>
        <v>0</v>
      </c>
      <c r="H29" s="8">
        <f>IF($D29="VISA",$C29,0)</f>
        <v>0</v>
      </c>
      <c r="I29" s="8">
        <f>I28+J29</f>
        <v>0</v>
      </c>
      <c r="J29" s="8">
        <f>IF($D29="ACC",$C29,0)</f>
        <v>0</v>
      </c>
      <c r="K29" s="8">
        <f>K28+L29</f>
        <v>0</v>
      </c>
      <c r="L29" s="8">
        <f>IF($D29="CBB",$C29,0)</f>
        <v>0</v>
      </c>
    </row>
    <row r="30" spans="1:12" x14ac:dyDescent="0.25">
      <c r="A30" s="6">
        <v>41291</v>
      </c>
      <c r="B30" t="s">
        <v>46</v>
      </c>
      <c r="C30" s="7">
        <v>-300</v>
      </c>
      <c r="D30" t="s">
        <v>6</v>
      </c>
      <c r="E30" s="8">
        <f>E29+F30</f>
        <v>7228</v>
      </c>
      <c r="F30" s="8">
        <f>IF($D30="CR01",$C30,0)</f>
        <v>-300</v>
      </c>
      <c r="G30" s="8">
        <f>G29+H30</f>
        <v>0</v>
      </c>
      <c r="H30" s="8">
        <f>IF($D30="VISA",$C30,0)</f>
        <v>0</v>
      </c>
      <c r="I30" s="8">
        <f>I29+J30</f>
        <v>0</v>
      </c>
      <c r="J30" s="8">
        <f>IF($D30="ACC",$C30,0)</f>
        <v>0</v>
      </c>
      <c r="K30" s="8">
        <f>K29+L30</f>
        <v>0</v>
      </c>
      <c r="L30" s="8">
        <f>IF($D30="CBB",$C30,0)</f>
        <v>0</v>
      </c>
    </row>
    <row r="31" spans="1:12" x14ac:dyDescent="0.25">
      <c r="A31" s="6">
        <v>41292</v>
      </c>
      <c r="B31" t="s">
        <v>43</v>
      </c>
      <c r="C31" s="7">
        <v>3226</v>
      </c>
      <c r="D31" t="s">
        <v>6</v>
      </c>
      <c r="E31" s="8">
        <f>E30+F31</f>
        <v>10454</v>
      </c>
      <c r="F31" s="8">
        <f>IF($D31="CR01",$C31,0)</f>
        <v>3226</v>
      </c>
      <c r="G31" s="8">
        <f>G30+H31</f>
        <v>0</v>
      </c>
      <c r="H31" s="8">
        <f>IF($D31="VISA",$C31,0)</f>
        <v>0</v>
      </c>
      <c r="I31" s="8">
        <f>I30+J31</f>
        <v>0</v>
      </c>
      <c r="J31" s="8">
        <f>IF($D31="ACC",$C31,0)</f>
        <v>0</v>
      </c>
      <c r="K31" s="8">
        <f>K30+L31</f>
        <v>0</v>
      </c>
      <c r="L31" s="8">
        <f>IF($D31="CBB",$C31,0)</f>
        <v>0</v>
      </c>
    </row>
    <row r="32" spans="1:12" x14ac:dyDescent="0.25">
      <c r="A32" s="6">
        <v>41296</v>
      </c>
      <c r="B32" t="s">
        <v>48</v>
      </c>
      <c r="C32" s="7">
        <v>-100</v>
      </c>
      <c r="D32" t="s">
        <v>6</v>
      </c>
      <c r="E32" s="8">
        <f>E31+F32</f>
        <v>10354</v>
      </c>
      <c r="F32" s="8">
        <f>IF($D32="CR01",$C32,0)</f>
        <v>-100</v>
      </c>
      <c r="G32" s="8">
        <f>G31+H32</f>
        <v>0</v>
      </c>
      <c r="H32" s="8">
        <f>IF($D32="VISA",$C32,0)</f>
        <v>0</v>
      </c>
      <c r="I32" s="8">
        <f>I31+J32</f>
        <v>0</v>
      </c>
      <c r="J32" s="8">
        <f>IF($D32="ACC",$C32,0)</f>
        <v>0</v>
      </c>
      <c r="K32" s="8">
        <f>K31+L32</f>
        <v>0</v>
      </c>
      <c r="L32" s="8">
        <f>IF($D32="CBB",$C32,0)</f>
        <v>0</v>
      </c>
    </row>
    <row r="33" spans="1:12" x14ac:dyDescent="0.25">
      <c r="A33" s="6">
        <v>41297</v>
      </c>
      <c r="B33" t="s">
        <v>47</v>
      </c>
      <c r="C33" s="7">
        <v>-120</v>
      </c>
      <c r="D33" t="s">
        <v>6</v>
      </c>
      <c r="E33" s="8">
        <f>E32+F33</f>
        <v>10234</v>
      </c>
      <c r="F33" s="8">
        <f>IF($D33="CR01",$C33,0)</f>
        <v>-120</v>
      </c>
      <c r="G33" s="8">
        <f>G32+H33</f>
        <v>0</v>
      </c>
      <c r="H33" s="8">
        <f>IF($D33="VISA",$C33,0)</f>
        <v>0</v>
      </c>
      <c r="I33" s="8">
        <f>I32+J33</f>
        <v>0</v>
      </c>
      <c r="J33" s="8">
        <f>IF($D33="ACC",$C33,0)</f>
        <v>0</v>
      </c>
      <c r="K33" s="8">
        <f>K32+L33</f>
        <v>0</v>
      </c>
      <c r="L33" s="8">
        <f>IF($D33="CBB",$C33,0)</f>
        <v>0</v>
      </c>
    </row>
    <row r="34" spans="1:12" x14ac:dyDescent="0.25">
      <c r="A34" s="6">
        <v>41298</v>
      </c>
      <c r="B34" t="s">
        <v>44</v>
      </c>
      <c r="C34" s="7">
        <v>-400</v>
      </c>
      <c r="D34" t="s">
        <v>6</v>
      </c>
      <c r="E34" s="8">
        <f>E33+F34</f>
        <v>9834</v>
      </c>
      <c r="F34" s="8">
        <f>IF($D34="CR01",$C34,0)</f>
        <v>-400</v>
      </c>
      <c r="G34" s="8">
        <f>G33+H34</f>
        <v>0</v>
      </c>
      <c r="H34" s="8">
        <f>IF($D34="VISA",$C34,0)</f>
        <v>0</v>
      </c>
      <c r="I34" s="8">
        <f>I33+J34</f>
        <v>0</v>
      </c>
      <c r="J34" s="8">
        <f>IF($D34="ACC",$C34,0)</f>
        <v>0</v>
      </c>
      <c r="K34" s="8">
        <f>K33+L34</f>
        <v>0</v>
      </c>
      <c r="L34" s="8">
        <f>IF($D34="CBB",$C34,0)</f>
        <v>0</v>
      </c>
    </row>
    <row r="35" spans="1:12" x14ac:dyDescent="0.25">
      <c r="A35" s="6">
        <v>41298</v>
      </c>
      <c r="B35" t="s">
        <v>45</v>
      </c>
      <c r="C35" s="7">
        <v>-180</v>
      </c>
      <c r="D35" t="s">
        <v>6</v>
      </c>
      <c r="E35" s="8">
        <f>E34+F35</f>
        <v>9654</v>
      </c>
      <c r="F35" s="8">
        <f>IF($D35="CR01",$C35,0)</f>
        <v>-180</v>
      </c>
      <c r="G35" s="8">
        <f>G34+H35</f>
        <v>0</v>
      </c>
      <c r="H35" s="8">
        <f>IF($D35="VISA",$C35,0)</f>
        <v>0</v>
      </c>
      <c r="I35" s="8">
        <f>I34+J35</f>
        <v>0</v>
      </c>
      <c r="J35" s="8">
        <f>IF($D35="ACC",$C35,0)</f>
        <v>0</v>
      </c>
      <c r="K35" s="8">
        <f>K34+L35</f>
        <v>0</v>
      </c>
      <c r="L35" s="8">
        <f>IF($D35="CBB",$C35,0)</f>
        <v>0</v>
      </c>
    </row>
    <row r="36" spans="1:12" x14ac:dyDescent="0.25">
      <c r="A36" s="6">
        <v>41298</v>
      </c>
      <c r="B36" t="s">
        <v>46</v>
      </c>
      <c r="C36" s="7">
        <v>-300</v>
      </c>
      <c r="D36" t="s">
        <v>6</v>
      </c>
      <c r="E36" s="8">
        <f>E35+F36</f>
        <v>9354</v>
      </c>
      <c r="F36" s="8">
        <f>IF($D36="CR01",$C36,0)</f>
        <v>-300</v>
      </c>
      <c r="G36" s="8">
        <f>G35+H36</f>
        <v>0</v>
      </c>
      <c r="H36" s="8">
        <f>IF($D36="VISA",$C36,0)</f>
        <v>0</v>
      </c>
      <c r="I36" s="8">
        <f>I35+J36</f>
        <v>0</v>
      </c>
      <c r="J36" s="8">
        <f>IF($D36="ACC",$C36,0)</f>
        <v>0</v>
      </c>
      <c r="K36" s="8">
        <f>K35+L36</f>
        <v>0</v>
      </c>
      <c r="L36" s="8">
        <f>IF($D36="CBB",$C36,0)</f>
        <v>0</v>
      </c>
    </row>
    <row r="37" spans="1:12" x14ac:dyDescent="0.25">
      <c r="A37" s="6">
        <v>41300</v>
      </c>
      <c r="B37" t="s">
        <v>67</v>
      </c>
      <c r="C37" s="7">
        <v>6800</v>
      </c>
      <c r="D37" t="s">
        <v>6</v>
      </c>
      <c r="E37" s="8">
        <f>E36+F37</f>
        <v>16154</v>
      </c>
      <c r="F37" s="8">
        <f>IF($D37="CR01",$C37,0)</f>
        <v>6800</v>
      </c>
      <c r="G37" s="8">
        <f>G36+H37</f>
        <v>0</v>
      </c>
      <c r="H37" s="8">
        <f>IF($D37="VISA",$C37,0)</f>
        <v>0</v>
      </c>
      <c r="I37" s="8">
        <f>I36+J37</f>
        <v>0</v>
      </c>
      <c r="J37" s="8">
        <f>IF($D37="ACC",$C37,0)</f>
        <v>0</v>
      </c>
      <c r="K37" s="8">
        <f>K36+L37</f>
        <v>0</v>
      </c>
      <c r="L37" s="8">
        <f>IF($D37="CBB",$C37,0)</f>
        <v>0</v>
      </c>
    </row>
    <row r="38" spans="1:12" x14ac:dyDescent="0.25">
      <c r="A38" s="6">
        <v>41303</v>
      </c>
      <c r="B38" t="s">
        <v>42</v>
      </c>
      <c r="C38" s="7">
        <v>-2806</v>
      </c>
      <c r="D38" t="s">
        <v>6</v>
      </c>
      <c r="E38" s="8">
        <f>E37+F38</f>
        <v>13348</v>
      </c>
      <c r="F38" s="8">
        <f>IF($D38="CR01",$C38,0)</f>
        <v>-2806</v>
      </c>
      <c r="G38" s="8">
        <f>G37+H38</f>
        <v>0</v>
      </c>
      <c r="H38" s="8">
        <f>IF($D38="VISA",$C38,0)</f>
        <v>0</v>
      </c>
      <c r="I38" s="8">
        <f>I37+J38</f>
        <v>0</v>
      </c>
      <c r="J38" s="8">
        <f>IF($D38="ACC",$C38,0)</f>
        <v>0</v>
      </c>
      <c r="K38" s="8">
        <f>K37+L38</f>
        <v>0</v>
      </c>
      <c r="L38" s="8">
        <f>IF($D38="CBB",$C38,0)</f>
        <v>0</v>
      </c>
    </row>
    <row r="39" spans="1:12" x14ac:dyDescent="0.25">
      <c r="A39" s="6">
        <v>41303</v>
      </c>
      <c r="B39" t="s">
        <v>48</v>
      </c>
      <c r="C39" s="7">
        <v>-100</v>
      </c>
      <c r="D39" t="s">
        <v>6</v>
      </c>
      <c r="E39" s="8">
        <f>E38+F39</f>
        <v>13248</v>
      </c>
      <c r="F39" s="8">
        <f>IF($D39="CR01",$C39,0)</f>
        <v>-100</v>
      </c>
      <c r="G39" s="8">
        <f>G38+H39</f>
        <v>0</v>
      </c>
      <c r="H39" s="8">
        <f>IF($D39="VISA",$C39,0)</f>
        <v>0</v>
      </c>
      <c r="I39" s="8">
        <f>I38+J39</f>
        <v>0</v>
      </c>
      <c r="J39" s="8">
        <f>IF($D39="ACC",$C39,0)</f>
        <v>0</v>
      </c>
      <c r="K39" s="8">
        <f>K38+L39</f>
        <v>0</v>
      </c>
      <c r="L39" s="8">
        <f>IF($D39="CBB",$C39,0)</f>
        <v>0</v>
      </c>
    </row>
    <row r="40" spans="1:12" x14ac:dyDescent="0.25">
      <c r="A40" s="6">
        <v>41304</v>
      </c>
      <c r="B40" t="s">
        <v>47</v>
      </c>
      <c r="C40" s="7">
        <v>-120</v>
      </c>
      <c r="D40" t="s">
        <v>6</v>
      </c>
      <c r="E40" s="8">
        <f>E39+F40</f>
        <v>13128</v>
      </c>
      <c r="F40" s="8">
        <f>IF($D40="CR01",$C40,0)</f>
        <v>-120</v>
      </c>
      <c r="G40" s="8">
        <f>G39+H40</f>
        <v>0</v>
      </c>
      <c r="H40" s="8">
        <f>IF($D40="VISA",$C40,0)</f>
        <v>0</v>
      </c>
      <c r="I40" s="8">
        <f>I39+J40</f>
        <v>0</v>
      </c>
      <c r="J40" s="8">
        <f>IF($D40="ACC",$C40,0)</f>
        <v>0</v>
      </c>
      <c r="K40" s="8">
        <f>K39+L40</f>
        <v>0</v>
      </c>
      <c r="L40" s="8">
        <f>IF($D40="CBB",$C40,0)</f>
        <v>0</v>
      </c>
    </row>
    <row r="41" spans="1:12" x14ac:dyDescent="0.25">
      <c r="A41" s="6">
        <v>41305</v>
      </c>
      <c r="B41" t="s">
        <v>44</v>
      </c>
      <c r="C41" s="7">
        <v>-400</v>
      </c>
      <c r="D41" t="s">
        <v>6</v>
      </c>
      <c r="E41" s="8">
        <f>E40+F41</f>
        <v>12728</v>
      </c>
      <c r="F41" s="8">
        <f>IF($D41="CR01",$C41,0)</f>
        <v>-400</v>
      </c>
      <c r="G41" s="8">
        <f>G40+H41</f>
        <v>0</v>
      </c>
      <c r="H41" s="8">
        <f>IF($D41="VISA",$C41,0)</f>
        <v>0</v>
      </c>
      <c r="I41" s="8">
        <f>I40+J41</f>
        <v>0</v>
      </c>
      <c r="J41" s="8">
        <f>IF($D41="ACC",$C41,0)</f>
        <v>0</v>
      </c>
      <c r="K41" s="8">
        <f>K40+L41</f>
        <v>0</v>
      </c>
      <c r="L41" s="8">
        <f>IF($D41="CBB",$C41,0)</f>
        <v>0</v>
      </c>
    </row>
    <row r="42" spans="1:12" x14ac:dyDescent="0.25">
      <c r="A42" s="6">
        <v>41305</v>
      </c>
      <c r="B42" t="s">
        <v>45</v>
      </c>
      <c r="C42" s="7">
        <v>-180</v>
      </c>
      <c r="D42" t="s">
        <v>6</v>
      </c>
      <c r="E42" s="8">
        <f>E41+F42</f>
        <v>12548</v>
      </c>
      <c r="F42" s="8">
        <f>IF($D42="CR01",$C42,0)</f>
        <v>-180</v>
      </c>
      <c r="G42" s="8">
        <f>G41+H42</f>
        <v>0</v>
      </c>
      <c r="H42" s="8">
        <f>IF($D42="VISA",$C42,0)</f>
        <v>0</v>
      </c>
      <c r="I42" s="8">
        <f>I41+J42</f>
        <v>0</v>
      </c>
      <c r="J42" s="8">
        <f>IF($D42="ACC",$C42,0)</f>
        <v>0</v>
      </c>
      <c r="K42" s="8">
        <f>K41+L42</f>
        <v>0</v>
      </c>
      <c r="L42" s="8">
        <f>IF($D42="CBB",$C42,0)</f>
        <v>0</v>
      </c>
    </row>
    <row r="43" spans="1:12" x14ac:dyDescent="0.25">
      <c r="A43" s="6">
        <v>41305</v>
      </c>
      <c r="B43" t="s">
        <v>46</v>
      </c>
      <c r="C43" s="7">
        <v>-300</v>
      </c>
      <c r="D43" t="s">
        <v>6</v>
      </c>
      <c r="E43" s="8">
        <f>E42+F43</f>
        <v>12248</v>
      </c>
      <c r="F43" s="8">
        <f>IF($D43="CR01",$C43,0)</f>
        <v>-300</v>
      </c>
      <c r="G43" s="8">
        <f>G42+H43</f>
        <v>0</v>
      </c>
      <c r="H43" s="8">
        <f>IF($D43="VISA",$C43,0)</f>
        <v>0</v>
      </c>
      <c r="I43" s="8">
        <f>I42+J43</f>
        <v>0</v>
      </c>
      <c r="J43" s="8">
        <f>IF($D43="ACC",$C43,0)</f>
        <v>0</v>
      </c>
      <c r="K43" s="8">
        <f>K42+L43</f>
        <v>0</v>
      </c>
      <c r="L43" s="8">
        <f>IF($D43="CBB",$C43,0)</f>
        <v>0</v>
      </c>
    </row>
    <row r="44" spans="1:12" x14ac:dyDescent="0.25">
      <c r="A44" s="6">
        <v>41306</v>
      </c>
      <c r="B44" t="s">
        <v>43</v>
      </c>
      <c r="C44" s="7">
        <v>3226</v>
      </c>
      <c r="D44" t="s">
        <v>6</v>
      </c>
      <c r="E44" s="8">
        <f>E43+F44</f>
        <v>15474</v>
      </c>
      <c r="F44" s="8">
        <f>IF($D44="CR01",$C44,0)</f>
        <v>3226</v>
      </c>
      <c r="G44" s="8">
        <f>G43+H44</f>
        <v>0</v>
      </c>
      <c r="H44" s="8">
        <f>IF($D44="VISA",$C44,0)</f>
        <v>0</v>
      </c>
      <c r="I44" s="8">
        <f>I43+J44</f>
        <v>0</v>
      </c>
      <c r="J44" s="8">
        <f>IF($D44="ACC",$C44,0)</f>
        <v>0</v>
      </c>
      <c r="K44" s="8">
        <f>K43+L44</f>
        <v>0</v>
      </c>
      <c r="L44" s="8">
        <f>IF($D44="CBB",$C44,0)</f>
        <v>0</v>
      </c>
    </row>
    <row r="45" spans="1:12" x14ac:dyDescent="0.25">
      <c r="A45" s="6">
        <v>41306</v>
      </c>
      <c r="B45" t="s">
        <v>58</v>
      </c>
      <c r="C45" s="7">
        <v>-200</v>
      </c>
      <c r="D45" t="s">
        <v>6</v>
      </c>
      <c r="E45" s="8">
        <f>E44+F45</f>
        <v>15274</v>
      </c>
      <c r="F45" s="8">
        <f>IF($D45="CR01",$C45,0)</f>
        <v>-200</v>
      </c>
      <c r="G45" s="8">
        <f>G44+H45</f>
        <v>0</v>
      </c>
      <c r="H45" s="8">
        <f>IF($D45="VISA",$C45,0)</f>
        <v>0</v>
      </c>
      <c r="I45" s="8">
        <f>I44+J45</f>
        <v>0</v>
      </c>
      <c r="J45" s="8">
        <f>IF($D45="ACC",$C45,0)</f>
        <v>0</v>
      </c>
      <c r="K45" s="8">
        <f>K44+L45</f>
        <v>0</v>
      </c>
      <c r="L45" s="8">
        <f>IF($D45="CBB",$C45,0)</f>
        <v>0</v>
      </c>
    </row>
    <row r="46" spans="1:12" x14ac:dyDescent="0.25">
      <c r="A46" s="6">
        <v>41306</v>
      </c>
      <c r="B46" t="s">
        <v>60</v>
      </c>
      <c r="C46" s="7">
        <v>-400</v>
      </c>
      <c r="D46" t="s">
        <v>6</v>
      </c>
      <c r="E46" s="8">
        <f>E45+F46</f>
        <v>14874</v>
      </c>
      <c r="F46" s="8">
        <f>IF($D46="CR01",$C46,0)</f>
        <v>-400</v>
      </c>
      <c r="G46" s="8">
        <f>G45+H46</f>
        <v>0</v>
      </c>
      <c r="H46" s="8">
        <f>IF($D46="VISA",$C46,0)</f>
        <v>0</v>
      </c>
      <c r="I46" s="8">
        <f>I45+J46</f>
        <v>0</v>
      </c>
      <c r="J46" s="8">
        <f>IF($D46="ACC",$C46,0)</f>
        <v>0</v>
      </c>
      <c r="K46" s="8">
        <f>K45+L46</f>
        <v>0</v>
      </c>
      <c r="L46" s="8">
        <f>IF($D46="CBB",$C46,0)</f>
        <v>0</v>
      </c>
    </row>
    <row r="47" spans="1:12" x14ac:dyDescent="0.25">
      <c r="A47" s="6">
        <v>41306</v>
      </c>
      <c r="B47" t="s">
        <v>62</v>
      </c>
      <c r="C47" s="7">
        <v>-300</v>
      </c>
      <c r="D47" t="s">
        <v>6</v>
      </c>
      <c r="E47" s="8">
        <f>E46+F47</f>
        <v>14574</v>
      </c>
      <c r="F47" s="8">
        <f>IF($D47="CR01",$C47,0)</f>
        <v>-300</v>
      </c>
      <c r="G47" s="8">
        <f>G46+H47</f>
        <v>0</v>
      </c>
      <c r="H47" s="8">
        <f>IF($D47="VISA",$C47,0)</f>
        <v>0</v>
      </c>
      <c r="I47" s="8">
        <f>I46+J47</f>
        <v>0</v>
      </c>
      <c r="J47" s="8">
        <f>IF($D47="ACC",$C47,0)</f>
        <v>0</v>
      </c>
      <c r="K47" s="8">
        <f>K46+L47</f>
        <v>0</v>
      </c>
      <c r="L47" s="8">
        <f>IF($D47="CBB",$C47,0)</f>
        <v>0</v>
      </c>
    </row>
    <row r="48" spans="1:12" x14ac:dyDescent="0.25">
      <c r="A48" s="6">
        <v>41306</v>
      </c>
      <c r="B48" t="s">
        <v>63</v>
      </c>
      <c r="C48" s="7">
        <v>-300</v>
      </c>
      <c r="D48" t="s">
        <v>6</v>
      </c>
      <c r="E48" s="8">
        <f>E47+F48</f>
        <v>14274</v>
      </c>
      <c r="F48" s="8">
        <f>IF($D48="CR01",$C48,0)</f>
        <v>-300</v>
      </c>
      <c r="G48" s="8">
        <f>G47+H48</f>
        <v>0</v>
      </c>
      <c r="H48" s="8">
        <f>IF($D48="VISA",$C48,0)</f>
        <v>0</v>
      </c>
      <c r="I48" s="8">
        <f>I47+J48</f>
        <v>0</v>
      </c>
      <c r="J48" s="8">
        <f>IF($D48="ACC",$C48,0)</f>
        <v>0</v>
      </c>
      <c r="K48" s="8">
        <f>K47+L48</f>
        <v>0</v>
      </c>
      <c r="L48" s="8">
        <f>IF($D48="CBB",$C48,0)</f>
        <v>0</v>
      </c>
    </row>
    <row r="49" spans="1:12" x14ac:dyDescent="0.25">
      <c r="A49" s="6">
        <v>41306</v>
      </c>
      <c r="B49" t="s">
        <v>64</v>
      </c>
      <c r="C49" s="7">
        <v>-26</v>
      </c>
      <c r="D49" t="s">
        <v>6</v>
      </c>
      <c r="E49" s="8">
        <f>E48+F49</f>
        <v>14248</v>
      </c>
      <c r="F49" s="8">
        <f>IF($D49="CR01",$C49,0)</f>
        <v>-26</v>
      </c>
      <c r="G49" s="8">
        <f>G48+H49</f>
        <v>0</v>
      </c>
      <c r="H49" s="8">
        <f>IF($D49="VISA",$C49,0)</f>
        <v>0</v>
      </c>
      <c r="I49" s="8">
        <f>I48+J49</f>
        <v>0</v>
      </c>
      <c r="J49" s="8">
        <f>IF($D49="ACC",$C49,0)</f>
        <v>0</v>
      </c>
      <c r="K49" s="8">
        <f>K48+L49</f>
        <v>0</v>
      </c>
      <c r="L49" s="8">
        <f>IF($D49="CBB",$C49,0)</f>
        <v>0</v>
      </c>
    </row>
    <row r="50" spans="1:12" x14ac:dyDescent="0.25">
      <c r="A50" s="6">
        <v>41306</v>
      </c>
      <c r="B50" t="s">
        <v>65</v>
      </c>
      <c r="C50" s="7">
        <v>-240</v>
      </c>
      <c r="D50" t="s">
        <v>6</v>
      </c>
      <c r="E50" s="8">
        <f>E49+F50</f>
        <v>14008</v>
      </c>
      <c r="F50" s="8">
        <f>IF($D50="CR01",$C50,0)</f>
        <v>-240</v>
      </c>
      <c r="G50" s="8">
        <f>G49+H50</f>
        <v>0</v>
      </c>
      <c r="H50" s="8">
        <f>IF($D50="VISA",$C50,0)</f>
        <v>0</v>
      </c>
      <c r="I50" s="8">
        <f>I49+J50</f>
        <v>0</v>
      </c>
      <c r="J50" s="8">
        <f>IF($D50="ACC",$C50,0)</f>
        <v>0</v>
      </c>
      <c r="K50" s="8">
        <f>K49+L50</f>
        <v>0</v>
      </c>
      <c r="L50" s="8">
        <f>IF($D50="CBB",$C50,0)</f>
        <v>0</v>
      </c>
    </row>
    <row r="51" spans="1:12" x14ac:dyDescent="0.25">
      <c r="A51" s="6">
        <v>41306</v>
      </c>
      <c r="B51" t="s">
        <v>66</v>
      </c>
      <c r="C51" s="7">
        <v>-120</v>
      </c>
      <c r="D51" t="s">
        <v>6</v>
      </c>
      <c r="E51" s="8">
        <f>E50+F51</f>
        <v>13888</v>
      </c>
      <c r="F51" s="8">
        <f>IF($D51="CR01",$C51,0)</f>
        <v>-120</v>
      </c>
      <c r="G51" s="8">
        <f>G50+H51</f>
        <v>0</v>
      </c>
      <c r="H51" s="8">
        <f>IF($D51="VISA",$C51,0)</f>
        <v>0</v>
      </c>
      <c r="I51" s="8">
        <f>I50+J51</f>
        <v>0</v>
      </c>
      <c r="J51" s="8">
        <f>IF($D51="ACC",$C51,0)</f>
        <v>0</v>
      </c>
      <c r="K51" s="8">
        <f>K50+L51</f>
        <v>0</v>
      </c>
      <c r="L51" s="8">
        <f>IF($D51="CBB",$C51,0)</f>
        <v>0</v>
      </c>
    </row>
    <row r="52" spans="1:12" x14ac:dyDescent="0.25">
      <c r="A52" s="6">
        <v>41307</v>
      </c>
      <c r="B52" t="s">
        <v>59</v>
      </c>
      <c r="C52" s="7">
        <v>-900</v>
      </c>
      <c r="D52" t="s">
        <v>6</v>
      </c>
      <c r="E52" s="8">
        <f>E51+F52</f>
        <v>12988</v>
      </c>
      <c r="F52" s="8">
        <f>IF($D52="CR01",$C52,0)</f>
        <v>-900</v>
      </c>
      <c r="G52" s="8">
        <f>G51+H52</f>
        <v>0</v>
      </c>
      <c r="H52" s="8">
        <f>IF($D52="VISA",$C52,0)</f>
        <v>0</v>
      </c>
      <c r="I52" s="8">
        <f>I51+J52</f>
        <v>0</v>
      </c>
      <c r="J52" s="8">
        <f>IF($D52="ACC",$C52,0)</f>
        <v>0</v>
      </c>
      <c r="K52" s="8">
        <f>K51+L52</f>
        <v>0</v>
      </c>
      <c r="L52" s="8">
        <f>IF($D52="CBB",$C52,0)</f>
        <v>0</v>
      </c>
    </row>
    <row r="53" spans="1:12" x14ac:dyDescent="0.25">
      <c r="A53" s="6">
        <v>41310</v>
      </c>
      <c r="B53" t="s">
        <v>48</v>
      </c>
      <c r="C53" s="7">
        <v>-100</v>
      </c>
      <c r="D53" t="s">
        <v>6</v>
      </c>
      <c r="E53" s="8">
        <f>E52+F53</f>
        <v>12888</v>
      </c>
      <c r="F53" s="8">
        <f>IF($D53="CR01",$C53,0)</f>
        <v>-100</v>
      </c>
      <c r="G53" s="8">
        <f>G52+H53</f>
        <v>0</v>
      </c>
      <c r="H53" s="8">
        <f>IF($D53="VISA",$C53,0)</f>
        <v>0</v>
      </c>
      <c r="I53" s="8">
        <f>I52+J53</f>
        <v>0</v>
      </c>
      <c r="J53" s="8">
        <f>IF($D53="ACC",$C53,0)</f>
        <v>0</v>
      </c>
      <c r="K53" s="8">
        <f>K52+L53</f>
        <v>0</v>
      </c>
      <c r="L53" s="8">
        <f>IF($D53="CBB",$C53,0)</f>
        <v>0</v>
      </c>
    </row>
    <row r="54" spans="1:12" x14ac:dyDescent="0.25">
      <c r="A54" s="6">
        <v>41311</v>
      </c>
      <c r="B54" t="s">
        <v>47</v>
      </c>
      <c r="C54" s="7">
        <v>-120</v>
      </c>
      <c r="D54" t="s">
        <v>6</v>
      </c>
      <c r="E54" s="8">
        <f>E53+F54</f>
        <v>12768</v>
      </c>
      <c r="F54" s="8">
        <f>IF($D54="CR01",$C54,0)</f>
        <v>-120</v>
      </c>
      <c r="G54" s="8">
        <f>G53+H54</f>
        <v>0</v>
      </c>
      <c r="H54" s="8">
        <f>IF($D54="VISA",$C54,0)</f>
        <v>0</v>
      </c>
      <c r="I54" s="8">
        <f>I53+J54</f>
        <v>0</v>
      </c>
      <c r="J54" s="8">
        <f>IF($D54="ACC",$C54,0)</f>
        <v>0</v>
      </c>
      <c r="K54" s="8">
        <f>K53+L54</f>
        <v>0</v>
      </c>
      <c r="L54" s="8">
        <f>IF($D54="CBB",$C54,0)</f>
        <v>0</v>
      </c>
    </row>
    <row r="55" spans="1:12" x14ac:dyDescent="0.25">
      <c r="A55" s="6">
        <v>41312</v>
      </c>
      <c r="B55" t="s">
        <v>44</v>
      </c>
      <c r="C55" s="7">
        <v>-400</v>
      </c>
      <c r="D55" t="s">
        <v>6</v>
      </c>
      <c r="E55" s="8">
        <f>E54+F55</f>
        <v>12368</v>
      </c>
      <c r="F55" s="8">
        <f>IF($D55="CR01",$C55,0)</f>
        <v>-400</v>
      </c>
      <c r="G55" s="8">
        <f>G54+H55</f>
        <v>0</v>
      </c>
      <c r="H55" s="8">
        <f>IF($D55="VISA",$C55,0)</f>
        <v>0</v>
      </c>
      <c r="I55" s="8">
        <f>I54+J55</f>
        <v>0</v>
      </c>
      <c r="J55" s="8">
        <f>IF($D55="ACC",$C55,0)</f>
        <v>0</v>
      </c>
      <c r="K55" s="8">
        <f>K54+L55</f>
        <v>0</v>
      </c>
      <c r="L55" s="8">
        <f>IF($D55="CBB",$C55,0)</f>
        <v>0</v>
      </c>
    </row>
    <row r="56" spans="1:12" x14ac:dyDescent="0.25">
      <c r="A56" s="6">
        <v>41312</v>
      </c>
      <c r="B56" t="s">
        <v>45</v>
      </c>
      <c r="C56" s="7">
        <v>-180</v>
      </c>
      <c r="D56" t="s">
        <v>6</v>
      </c>
      <c r="E56" s="8">
        <f>E55+F56</f>
        <v>12188</v>
      </c>
      <c r="F56" s="8">
        <f>IF($D56="CR01",$C56,0)</f>
        <v>-180</v>
      </c>
      <c r="G56" s="8">
        <f>G55+H56</f>
        <v>0</v>
      </c>
      <c r="H56" s="8">
        <f>IF($D56="VISA",$C56,0)</f>
        <v>0</v>
      </c>
      <c r="I56" s="8">
        <f>I55+J56</f>
        <v>0</v>
      </c>
      <c r="J56" s="8">
        <f>IF($D56="ACC",$C56,0)</f>
        <v>0</v>
      </c>
      <c r="K56" s="8">
        <f>K55+L56</f>
        <v>0</v>
      </c>
      <c r="L56" s="8">
        <f>IF($D56="CBB",$C56,0)</f>
        <v>0</v>
      </c>
    </row>
    <row r="57" spans="1:12" x14ac:dyDescent="0.25">
      <c r="A57" s="6">
        <v>41312</v>
      </c>
      <c r="B57" t="s">
        <v>46</v>
      </c>
      <c r="C57" s="7">
        <v>-300</v>
      </c>
      <c r="D57" t="s">
        <v>6</v>
      </c>
      <c r="E57" s="8">
        <f>E56+F57</f>
        <v>11888</v>
      </c>
      <c r="F57" s="8">
        <f>IF($D57="CR01",$C57,0)</f>
        <v>-300</v>
      </c>
      <c r="G57" s="8">
        <f>G56+H57</f>
        <v>0</v>
      </c>
      <c r="H57" s="8">
        <f>IF($D57="VISA",$C57,0)</f>
        <v>0</v>
      </c>
      <c r="I57" s="8">
        <f>I56+J57</f>
        <v>0</v>
      </c>
      <c r="J57" s="8">
        <f>IF($D57="ACC",$C57,0)</f>
        <v>0</v>
      </c>
      <c r="K57" s="8">
        <f>K56+L57</f>
        <v>0</v>
      </c>
      <c r="L57" s="8">
        <f>IF($D57="CBB",$C57,0)</f>
        <v>0</v>
      </c>
    </row>
    <row r="58" spans="1:12" x14ac:dyDescent="0.25">
      <c r="A58" s="6">
        <v>41314</v>
      </c>
      <c r="B58" t="s">
        <v>67</v>
      </c>
      <c r="C58" s="7">
        <v>6800</v>
      </c>
      <c r="D58" t="s">
        <v>6</v>
      </c>
      <c r="E58" s="8">
        <f>E57+F58</f>
        <v>18688</v>
      </c>
      <c r="F58" s="8">
        <f>IF($D58="CR01",$C58,0)</f>
        <v>6800</v>
      </c>
      <c r="G58" s="8">
        <f>G57+H58</f>
        <v>0</v>
      </c>
      <c r="H58" s="8">
        <f>IF($D58="VISA",$C58,0)</f>
        <v>0</v>
      </c>
      <c r="I58" s="8">
        <f>I57+J58</f>
        <v>0</v>
      </c>
      <c r="J58" s="8">
        <f>IF($D58="ACC",$C58,0)</f>
        <v>0</v>
      </c>
      <c r="K58" s="8">
        <f>K57+L58</f>
        <v>0</v>
      </c>
      <c r="L58" s="8">
        <f>IF($D58="CBB",$C58,0)</f>
        <v>0</v>
      </c>
    </row>
    <row r="59" spans="1:12" x14ac:dyDescent="0.25">
      <c r="A59" s="6">
        <v>41317</v>
      </c>
      <c r="B59" t="s">
        <v>42</v>
      </c>
      <c r="C59" s="7">
        <v>-2806</v>
      </c>
      <c r="D59" t="s">
        <v>6</v>
      </c>
      <c r="E59" s="8">
        <f>E58+F59</f>
        <v>15882</v>
      </c>
      <c r="F59" s="8">
        <f>IF($D59="CR01",$C59,0)</f>
        <v>-2806</v>
      </c>
      <c r="G59" s="8">
        <f>G58+H59</f>
        <v>0</v>
      </c>
      <c r="H59" s="8">
        <f>IF($D59="VISA",$C59,0)</f>
        <v>0</v>
      </c>
      <c r="I59" s="8">
        <f>I58+J59</f>
        <v>0</v>
      </c>
      <c r="J59" s="8">
        <f>IF($D59="ACC",$C59,0)</f>
        <v>0</v>
      </c>
      <c r="K59" s="8">
        <f>K58+L59</f>
        <v>0</v>
      </c>
      <c r="L59" s="8">
        <f>IF($D59="CBB",$C59,0)</f>
        <v>0</v>
      </c>
    </row>
    <row r="60" spans="1:12" x14ac:dyDescent="0.25">
      <c r="A60" s="6">
        <v>41317</v>
      </c>
      <c r="B60" t="s">
        <v>48</v>
      </c>
      <c r="C60" s="7">
        <v>-100</v>
      </c>
      <c r="D60" t="s">
        <v>6</v>
      </c>
      <c r="E60" s="8">
        <f>E59+F60</f>
        <v>15782</v>
      </c>
      <c r="F60" s="8">
        <f>IF($D60="CR01",$C60,0)</f>
        <v>-100</v>
      </c>
      <c r="G60" s="8">
        <f>G59+H60</f>
        <v>0</v>
      </c>
      <c r="H60" s="8">
        <f>IF($D60="VISA",$C60,0)</f>
        <v>0</v>
      </c>
      <c r="I60" s="8">
        <f>I59+J60</f>
        <v>0</v>
      </c>
      <c r="J60" s="8">
        <f>IF($D60="ACC",$C60,0)</f>
        <v>0</v>
      </c>
      <c r="K60" s="8">
        <f>K59+L60</f>
        <v>0</v>
      </c>
      <c r="L60" s="8">
        <f>IF($D60="CBB",$C60,0)</f>
        <v>0</v>
      </c>
    </row>
    <row r="61" spans="1:12" x14ac:dyDescent="0.25">
      <c r="A61" s="6">
        <v>41318</v>
      </c>
      <c r="B61" t="s">
        <v>47</v>
      </c>
      <c r="C61" s="7">
        <v>-120</v>
      </c>
      <c r="D61" t="s">
        <v>6</v>
      </c>
      <c r="E61" s="8">
        <f>E60+F61</f>
        <v>15662</v>
      </c>
      <c r="F61" s="8">
        <f>IF($D61="CR01",$C61,0)</f>
        <v>-120</v>
      </c>
      <c r="G61" s="8">
        <f>G60+H61</f>
        <v>0</v>
      </c>
      <c r="H61" s="8">
        <f>IF($D61="VISA",$C61,0)</f>
        <v>0</v>
      </c>
      <c r="I61" s="8">
        <f>I60+J61</f>
        <v>0</v>
      </c>
      <c r="J61" s="8">
        <f>IF($D61="ACC",$C61,0)</f>
        <v>0</v>
      </c>
      <c r="K61" s="8">
        <f>K60+L61</f>
        <v>0</v>
      </c>
      <c r="L61" s="8">
        <f>IF($D61="CBB",$C61,0)</f>
        <v>0</v>
      </c>
    </row>
    <row r="62" spans="1:12" x14ac:dyDescent="0.25">
      <c r="A62" s="6">
        <v>41319</v>
      </c>
      <c r="B62" t="s">
        <v>44</v>
      </c>
      <c r="C62" s="7">
        <v>-400</v>
      </c>
      <c r="D62" t="s">
        <v>6</v>
      </c>
      <c r="E62" s="8">
        <f>E61+F62</f>
        <v>15262</v>
      </c>
      <c r="F62" s="8">
        <f>IF($D62="CR01",$C62,0)</f>
        <v>-400</v>
      </c>
      <c r="G62" s="8">
        <f>G61+H62</f>
        <v>0</v>
      </c>
      <c r="H62" s="8">
        <f>IF($D62="VISA",$C62,0)</f>
        <v>0</v>
      </c>
      <c r="I62" s="8">
        <f>I61+J62</f>
        <v>0</v>
      </c>
      <c r="J62" s="8">
        <f>IF($D62="ACC",$C62,0)</f>
        <v>0</v>
      </c>
      <c r="K62" s="8">
        <f>K61+L62</f>
        <v>0</v>
      </c>
      <c r="L62" s="8">
        <f>IF($D62="CBB",$C62,0)</f>
        <v>0</v>
      </c>
    </row>
    <row r="63" spans="1:12" x14ac:dyDescent="0.25">
      <c r="A63" s="6">
        <v>41319</v>
      </c>
      <c r="B63" t="s">
        <v>45</v>
      </c>
      <c r="C63" s="7">
        <v>-180</v>
      </c>
      <c r="D63" t="s">
        <v>6</v>
      </c>
      <c r="E63" s="8">
        <f>E62+F63</f>
        <v>15082</v>
      </c>
      <c r="F63" s="8">
        <f>IF($D63="CR01",$C63,0)</f>
        <v>-180</v>
      </c>
      <c r="G63" s="8">
        <f>G62+H63</f>
        <v>0</v>
      </c>
      <c r="H63" s="8">
        <f>IF($D63="VISA",$C63,0)</f>
        <v>0</v>
      </c>
      <c r="I63" s="8">
        <f>I62+J63</f>
        <v>0</v>
      </c>
      <c r="J63" s="8">
        <f>IF($D63="ACC",$C63,0)</f>
        <v>0</v>
      </c>
      <c r="K63" s="8">
        <f>K62+L63</f>
        <v>0</v>
      </c>
      <c r="L63" s="8">
        <f>IF($D63="CBB",$C63,0)</f>
        <v>0</v>
      </c>
    </row>
    <row r="64" spans="1:12" x14ac:dyDescent="0.25">
      <c r="A64" s="6">
        <v>41319</v>
      </c>
      <c r="B64" t="s">
        <v>46</v>
      </c>
      <c r="C64" s="7">
        <v>-300</v>
      </c>
      <c r="D64" t="s">
        <v>6</v>
      </c>
      <c r="E64" s="8">
        <f>E63+F64</f>
        <v>14782</v>
      </c>
      <c r="F64" s="8">
        <f>IF($D64="CR01",$C64,0)</f>
        <v>-300</v>
      </c>
      <c r="G64" s="8">
        <f>G63+H64</f>
        <v>0</v>
      </c>
      <c r="H64" s="8">
        <f>IF($D64="VISA",$C64,0)</f>
        <v>0</v>
      </c>
      <c r="I64" s="8">
        <f>I63+J64</f>
        <v>0</v>
      </c>
      <c r="J64" s="8">
        <f>IF($D64="ACC",$C64,0)</f>
        <v>0</v>
      </c>
      <c r="K64" s="8">
        <f>K63+L64</f>
        <v>0</v>
      </c>
      <c r="L64" s="8">
        <f>IF($D64="CBB",$C64,0)</f>
        <v>0</v>
      </c>
    </row>
    <row r="65" spans="1:12" x14ac:dyDescent="0.25">
      <c r="A65" s="6">
        <v>41320</v>
      </c>
      <c r="B65" t="s">
        <v>43</v>
      </c>
      <c r="C65" s="7">
        <v>3226</v>
      </c>
      <c r="D65" t="s">
        <v>6</v>
      </c>
      <c r="E65" s="8">
        <f>E64+F65</f>
        <v>18008</v>
      </c>
      <c r="F65" s="8">
        <f>IF($D65="CR01",$C65,0)</f>
        <v>3226</v>
      </c>
      <c r="G65" s="8">
        <f>G64+H65</f>
        <v>0</v>
      </c>
      <c r="H65" s="8">
        <f>IF($D65="VISA",$C65,0)</f>
        <v>0</v>
      </c>
      <c r="I65" s="8">
        <f>I64+J65</f>
        <v>0</v>
      </c>
      <c r="J65" s="8">
        <f>IF($D65="ACC",$C65,0)</f>
        <v>0</v>
      </c>
      <c r="K65" s="8">
        <f>K64+L65</f>
        <v>0</v>
      </c>
      <c r="L65" s="8">
        <f>IF($D65="CBB",$C65,0)</f>
        <v>0</v>
      </c>
    </row>
    <row r="66" spans="1:12" x14ac:dyDescent="0.25">
      <c r="A66" s="6">
        <v>41324</v>
      </c>
      <c r="B66" t="s">
        <v>48</v>
      </c>
      <c r="C66" s="7">
        <v>-100</v>
      </c>
      <c r="D66" t="s">
        <v>6</v>
      </c>
      <c r="E66" s="8">
        <f>E65+F66</f>
        <v>17908</v>
      </c>
      <c r="F66" s="8">
        <f>IF($D66="CR01",$C66,0)</f>
        <v>-100</v>
      </c>
      <c r="G66" s="8">
        <f>G65+H66</f>
        <v>0</v>
      </c>
      <c r="H66" s="8">
        <f>IF($D66="VISA",$C66,0)</f>
        <v>0</v>
      </c>
      <c r="I66" s="8">
        <f>I65+J66</f>
        <v>0</v>
      </c>
      <c r="J66" s="8">
        <f>IF($D66="ACC",$C66,0)</f>
        <v>0</v>
      </c>
      <c r="K66" s="8">
        <f>K65+L66</f>
        <v>0</v>
      </c>
      <c r="L66" s="8">
        <f>IF($D66="CBB",$C66,0)</f>
        <v>0</v>
      </c>
    </row>
    <row r="67" spans="1:12" x14ac:dyDescent="0.25">
      <c r="A67" s="6">
        <v>41325</v>
      </c>
      <c r="B67" t="s">
        <v>47</v>
      </c>
      <c r="C67" s="7">
        <v>-120</v>
      </c>
      <c r="D67" t="s">
        <v>6</v>
      </c>
      <c r="E67" s="8">
        <f>E66+F67</f>
        <v>17788</v>
      </c>
      <c r="F67" s="8">
        <f>IF($D67="CR01",$C67,0)</f>
        <v>-120</v>
      </c>
      <c r="G67" s="8">
        <f>G66+H67</f>
        <v>0</v>
      </c>
      <c r="H67" s="8">
        <f>IF($D67="VISA",$C67,0)</f>
        <v>0</v>
      </c>
      <c r="I67" s="8">
        <f>I66+J67</f>
        <v>0</v>
      </c>
      <c r="J67" s="8">
        <f>IF($D67="ACC",$C67,0)</f>
        <v>0</v>
      </c>
      <c r="K67" s="8">
        <f>K66+L67</f>
        <v>0</v>
      </c>
      <c r="L67" s="8">
        <f>IF($D67="CBB",$C67,0)</f>
        <v>0</v>
      </c>
    </row>
    <row r="68" spans="1:12" x14ac:dyDescent="0.25">
      <c r="A68" s="6">
        <v>41326</v>
      </c>
      <c r="B68" t="s">
        <v>44</v>
      </c>
      <c r="C68" s="7">
        <v>-400</v>
      </c>
      <c r="D68" t="s">
        <v>6</v>
      </c>
      <c r="E68" s="8">
        <f>E67+F68</f>
        <v>17388</v>
      </c>
      <c r="F68" s="8">
        <f>IF($D68="CR01",$C68,0)</f>
        <v>-400</v>
      </c>
      <c r="G68" s="8">
        <f>G67+H68</f>
        <v>0</v>
      </c>
      <c r="H68" s="8">
        <f>IF($D68="VISA",$C68,0)</f>
        <v>0</v>
      </c>
      <c r="I68" s="8">
        <f>I67+J68</f>
        <v>0</v>
      </c>
      <c r="J68" s="8">
        <f>IF($D68="ACC",$C68,0)</f>
        <v>0</v>
      </c>
      <c r="K68" s="8">
        <f>K67+L68</f>
        <v>0</v>
      </c>
      <c r="L68" s="8">
        <f>IF($D68="CBB",$C68,0)</f>
        <v>0</v>
      </c>
    </row>
    <row r="69" spans="1:12" x14ac:dyDescent="0.25">
      <c r="A69" s="6">
        <v>41326</v>
      </c>
      <c r="B69" t="s">
        <v>45</v>
      </c>
      <c r="C69" s="7">
        <v>-180</v>
      </c>
      <c r="D69" t="s">
        <v>6</v>
      </c>
      <c r="E69" s="8">
        <f>E68+F69</f>
        <v>17208</v>
      </c>
      <c r="F69" s="8">
        <f>IF($D69="CR01",$C69,0)</f>
        <v>-180</v>
      </c>
      <c r="G69" s="8">
        <f>G68+H69</f>
        <v>0</v>
      </c>
      <c r="H69" s="8">
        <f>IF($D69="VISA",$C69,0)</f>
        <v>0</v>
      </c>
      <c r="I69" s="8">
        <f>I68+J69</f>
        <v>0</v>
      </c>
      <c r="J69" s="8">
        <f>IF($D69="ACC",$C69,0)</f>
        <v>0</v>
      </c>
      <c r="K69" s="8">
        <f>K68+L69</f>
        <v>0</v>
      </c>
      <c r="L69" s="8">
        <f>IF($D69="CBB",$C69,0)</f>
        <v>0</v>
      </c>
    </row>
    <row r="70" spans="1:12" x14ac:dyDescent="0.25">
      <c r="A70" s="6">
        <v>41326</v>
      </c>
      <c r="B70" t="s">
        <v>46</v>
      </c>
      <c r="C70" s="7">
        <v>-300</v>
      </c>
      <c r="D70" t="s">
        <v>6</v>
      </c>
      <c r="E70" s="8">
        <f>E69+F70</f>
        <v>16908</v>
      </c>
      <c r="F70" s="8">
        <f>IF($D70="CR01",$C70,0)</f>
        <v>-300</v>
      </c>
      <c r="G70" s="8">
        <f>G69+H70</f>
        <v>0</v>
      </c>
      <c r="H70" s="8">
        <f>IF($D70="VISA",$C70,0)</f>
        <v>0</v>
      </c>
      <c r="I70" s="8">
        <f>I69+J70</f>
        <v>0</v>
      </c>
      <c r="J70" s="8">
        <f>IF($D70="ACC",$C70,0)</f>
        <v>0</v>
      </c>
      <c r="K70" s="8">
        <f>K69+L70</f>
        <v>0</v>
      </c>
      <c r="L70" s="8">
        <f>IF($D70="CBB",$C70,0)</f>
        <v>0</v>
      </c>
    </row>
    <row r="71" spans="1:12" x14ac:dyDescent="0.25">
      <c r="A71" s="6">
        <v>41328</v>
      </c>
      <c r="B71" t="s">
        <v>67</v>
      </c>
      <c r="C71" s="7">
        <v>6800</v>
      </c>
      <c r="D71" t="s">
        <v>6</v>
      </c>
      <c r="E71" s="8">
        <f>E70+F71</f>
        <v>23708</v>
      </c>
      <c r="F71" s="8">
        <f>IF($D71="CR01",$C71,0)</f>
        <v>6800</v>
      </c>
      <c r="G71" s="8">
        <f>G70+H71</f>
        <v>0</v>
      </c>
      <c r="H71" s="8">
        <f>IF($D71="VISA",$C71,0)</f>
        <v>0</v>
      </c>
      <c r="I71" s="8">
        <f>I70+J71</f>
        <v>0</v>
      </c>
      <c r="J71" s="8">
        <f>IF($D71="ACC",$C71,0)</f>
        <v>0</v>
      </c>
      <c r="K71" s="8">
        <f>K70+L71</f>
        <v>0</v>
      </c>
      <c r="L71" s="8">
        <f>IF($D71="CBB",$C71,0)</f>
        <v>0</v>
      </c>
    </row>
    <row r="72" spans="1:12" x14ac:dyDescent="0.25">
      <c r="A72" s="6">
        <v>41331</v>
      </c>
      <c r="B72" t="s">
        <v>42</v>
      </c>
      <c r="C72" s="7">
        <v>-2806</v>
      </c>
      <c r="D72" t="s">
        <v>6</v>
      </c>
      <c r="E72" s="8">
        <f>E71+F72</f>
        <v>20902</v>
      </c>
      <c r="F72" s="8">
        <f>IF($D72="CR01",$C72,0)</f>
        <v>-2806</v>
      </c>
      <c r="G72" s="8">
        <f>G71+H72</f>
        <v>0</v>
      </c>
      <c r="H72" s="8">
        <f>IF($D72="VISA",$C72,0)</f>
        <v>0</v>
      </c>
      <c r="I72" s="8">
        <f>I71+J72</f>
        <v>0</v>
      </c>
      <c r="J72" s="8">
        <f>IF($D72="ACC",$C72,0)</f>
        <v>0</v>
      </c>
      <c r="K72" s="8">
        <f>K71+L72</f>
        <v>0</v>
      </c>
      <c r="L72" s="8">
        <f>IF($D72="CBB",$C72,0)</f>
        <v>0</v>
      </c>
    </row>
    <row r="73" spans="1:12" x14ac:dyDescent="0.25">
      <c r="A73" s="6">
        <v>41331</v>
      </c>
      <c r="B73" t="s">
        <v>48</v>
      </c>
      <c r="C73" s="7">
        <v>-100</v>
      </c>
      <c r="D73" t="s">
        <v>6</v>
      </c>
      <c r="E73" s="8">
        <f>E72+F73</f>
        <v>20802</v>
      </c>
      <c r="F73" s="8">
        <f>IF($D73="CR01",$C73,0)</f>
        <v>-100</v>
      </c>
      <c r="G73" s="8">
        <f>G72+H73</f>
        <v>0</v>
      </c>
      <c r="H73" s="8">
        <f>IF($D73="VISA",$C73,0)</f>
        <v>0</v>
      </c>
      <c r="I73" s="8">
        <f>I72+J73</f>
        <v>0</v>
      </c>
      <c r="J73" s="8">
        <f>IF($D73="ACC",$C73,0)</f>
        <v>0</v>
      </c>
      <c r="K73" s="8">
        <f>K72+L73</f>
        <v>0</v>
      </c>
      <c r="L73" s="8">
        <f>IF($D73="CBB",$C73,0)</f>
        <v>0</v>
      </c>
    </row>
    <row r="74" spans="1:12" x14ac:dyDescent="0.25">
      <c r="A74" s="6">
        <v>41332</v>
      </c>
      <c r="B74" t="s">
        <v>47</v>
      </c>
      <c r="C74" s="7">
        <v>-120</v>
      </c>
      <c r="D74" t="s">
        <v>6</v>
      </c>
      <c r="E74" s="8">
        <f>E73+F74</f>
        <v>20682</v>
      </c>
      <c r="F74" s="8">
        <f>IF($D74="CR01",$C74,0)</f>
        <v>-120</v>
      </c>
      <c r="G74" s="8">
        <f>G73+H74</f>
        <v>0</v>
      </c>
      <c r="H74" s="8">
        <f>IF($D74="VISA",$C74,0)</f>
        <v>0</v>
      </c>
      <c r="I74" s="8">
        <f>I73+J74</f>
        <v>0</v>
      </c>
      <c r="J74" s="8">
        <f>IF($D74="ACC",$C74,0)</f>
        <v>0</v>
      </c>
      <c r="K74" s="8">
        <f>K73+L74</f>
        <v>0</v>
      </c>
      <c r="L74" s="8">
        <f>IF($D74="CBB",$C74,0)</f>
        <v>0</v>
      </c>
    </row>
    <row r="75" spans="1:12" x14ac:dyDescent="0.25">
      <c r="A75" s="6">
        <v>41333</v>
      </c>
      <c r="B75" t="s">
        <v>44</v>
      </c>
      <c r="C75" s="7">
        <v>-400</v>
      </c>
      <c r="D75" t="s">
        <v>6</v>
      </c>
      <c r="E75" s="8">
        <f>E74+F75</f>
        <v>20282</v>
      </c>
      <c r="F75" s="8">
        <f>IF($D75="CR01",$C75,0)</f>
        <v>-400</v>
      </c>
      <c r="G75" s="8">
        <f>G74+H75</f>
        <v>0</v>
      </c>
      <c r="H75" s="8">
        <f>IF($D75="VISA",$C75,0)</f>
        <v>0</v>
      </c>
      <c r="I75" s="8">
        <f>I74+J75</f>
        <v>0</v>
      </c>
      <c r="J75" s="8">
        <f>IF($D75="ACC",$C75,0)</f>
        <v>0</v>
      </c>
      <c r="K75" s="8">
        <f>K74+L75</f>
        <v>0</v>
      </c>
      <c r="L75" s="8">
        <f>IF($D75="CBB",$C75,0)</f>
        <v>0</v>
      </c>
    </row>
    <row r="76" spans="1:12" x14ac:dyDescent="0.25">
      <c r="A76" s="6">
        <v>41333</v>
      </c>
      <c r="B76" t="s">
        <v>45</v>
      </c>
      <c r="C76" s="7">
        <v>-180</v>
      </c>
      <c r="D76" t="s">
        <v>6</v>
      </c>
      <c r="E76" s="8">
        <f>E75+F76</f>
        <v>20102</v>
      </c>
      <c r="F76" s="8">
        <f>IF($D76="CR01",$C76,0)</f>
        <v>-180</v>
      </c>
      <c r="G76" s="8">
        <f>G75+H76</f>
        <v>0</v>
      </c>
      <c r="H76" s="8">
        <f>IF($D76="VISA",$C76,0)</f>
        <v>0</v>
      </c>
      <c r="I76" s="8">
        <f>I75+J76</f>
        <v>0</v>
      </c>
      <c r="J76" s="8">
        <f>IF($D76="ACC",$C76,0)</f>
        <v>0</v>
      </c>
      <c r="K76" s="8">
        <f>K75+L76</f>
        <v>0</v>
      </c>
      <c r="L76" s="8">
        <f>IF($D76="CBB",$C76,0)</f>
        <v>0</v>
      </c>
    </row>
    <row r="77" spans="1:12" x14ac:dyDescent="0.25">
      <c r="A77" s="6">
        <v>41333</v>
      </c>
      <c r="B77" t="s">
        <v>46</v>
      </c>
      <c r="C77" s="7">
        <v>-300</v>
      </c>
      <c r="D77" t="s">
        <v>6</v>
      </c>
      <c r="E77" s="8">
        <f>E76+F77</f>
        <v>19802</v>
      </c>
      <c r="F77" s="8">
        <f>IF($D77="CR01",$C77,0)</f>
        <v>-300</v>
      </c>
      <c r="G77" s="8">
        <f>G76+H77</f>
        <v>0</v>
      </c>
      <c r="H77" s="8">
        <f>IF($D77="VISA",$C77,0)</f>
        <v>0</v>
      </c>
      <c r="I77" s="8">
        <f>I76+J77</f>
        <v>0</v>
      </c>
      <c r="J77" s="8">
        <f>IF($D77="ACC",$C77,0)</f>
        <v>0</v>
      </c>
      <c r="K77" s="8">
        <f>K76+L77</f>
        <v>0</v>
      </c>
      <c r="L77" s="8">
        <f>IF($D77="CBB",$C77,0)</f>
        <v>0</v>
      </c>
    </row>
    <row r="78" spans="1:12" x14ac:dyDescent="0.25">
      <c r="A78" s="6">
        <v>41334</v>
      </c>
      <c r="B78" t="s">
        <v>43</v>
      </c>
      <c r="C78" s="7">
        <v>3226</v>
      </c>
      <c r="D78" t="s">
        <v>6</v>
      </c>
      <c r="E78" s="8">
        <f>E77+F78</f>
        <v>23028</v>
      </c>
      <c r="F78" s="8">
        <f>IF($D78="CR01",$C78,0)</f>
        <v>3226</v>
      </c>
      <c r="G78" s="8">
        <f>G77+H78</f>
        <v>0</v>
      </c>
      <c r="H78" s="8">
        <f>IF($D78="VISA",$C78,0)</f>
        <v>0</v>
      </c>
      <c r="I78" s="8">
        <f>I77+J78</f>
        <v>0</v>
      </c>
      <c r="J78" s="8">
        <f>IF($D78="ACC",$C78,0)</f>
        <v>0</v>
      </c>
      <c r="K78" s="8">
        <f>K77+L78</f>
        <v>0</v>
      </c>
      <c r="L78" s="8">
        <f>IF($D78="CBB",$C78,0)</f>
        <v>0</v>
      </c>
    </row>
    <row r="79" spans="1:12" x14ac:dyDescent="0.25">
      <c r="A79" s="6">
        <v>41334</v>
      </c>
      <c r="B79" t="s">
        <v>58</v>
      </c>
      <c r="C79" s="7">
        <v>-200</v>
      </c>
      <c r="D79" t="s">
        <v>6</v>
      </c>
      <c r="E79" s="8">
        <f>E78+F79</f>
        <v>22828</v>
      </c>
      <c r="F79" s="8">
        <f>IF($D79="CR01",$C79,0)</f>
        <v>-200</v>
      </c>
      <c r="G79" s="8">
        <f>G78+H79</f>
        <v>0</v>
      </c>
      <c r="H79" s="8">
        <f>IF($D79="VISA",$C79,0)</f>
        <v>0</v>
      </c>
      <c r="I79" s="8">
        <f>I78+J79</f>
        <v>0</v>
      </c>
      <c r="J79" s="8">
        <f>IF($D79="ACC",$C79,0)</f>
        <v>0</v>
      </c>
      <c r="K79" s="8">
        <f>K78+L79</f>
        <v>0</v>
      </c>
      <c r="L79" s="8">
        <f>IF($D79="CBB",$C79,0)</f>
        <v>0</v>
      </c>
    </row>
    <row r="80" spans="1:12" x14ac:dyDescent="0.25">
      <c r="A80" s="6">
        <v>41334</v>
      </c>
      <c r="B80" t="s">
        <v>60</v>
      </c>
      <c r="C80" s="7">
        <v>-400</v>
      </c>
      <c r="D80" t="s">
        <v>6</v>
      </c>
      <c r="E80" s="8">
        <f>E79+F80</f>
        <v>22428</v>
      </c>
      <c r="F80" s="8">
        <f>IF($D80="CR01",$C80,0)</f>
        <v>-400</v>
      </c>
      <c r="G80" s="8">
        <f>G79+H80</f>
        <v>0</v>
      </c>
      <c r="H80" s="8">
        <f>IF($D80="VISA",$C80,0)</f>
        <v>0</v>
      </c>
      <c r="I80" s="8">
        <f>I79+J80</f>
        <v>0</v>
      </c>
      <c r="J80" s="8">
        <f>IF($D80="ACC",$C80,0)</f>
        <v>0</v>
      </c>
      <c r="K80" s="8">
        <f>K79+L80</f>
        <v>0</v>
      </c>
      <c r="L80" s="8">
        <f>IF($D80="CBB",$C80,0)</f>
        <v>0</v>
      </c>
    </row>
    <row r="81" spans="1:12" x14ac:dyDescent="0.25">
      <c r="A81" s="6">
        <v>41334</v>
      </c>
      <c r="B81" t="s">
        <v>64</v>
      </c>
      <c r="C81" s="7">
        <v>-26</v>
      </c>
      <c r="D81" t="s">
        <v>6</v>
      </c>
      <c r="E81" s="8">
        <f>E80+F81</f>
        <v>22402</v>
      </c>
      <c r="F81" s="8">
        <f>IF($D81="CR01",$C81,0)</f>
        <v>-26</v>
      </c>
      <c r="G81" s="8">
        <f>G80+H81</f>
        <v>0</v>
      </c>
      <c r="H81" s="8">
        <f>IF($D81="VISA",$C81,0)</f>
        <v>0</v>
      </c>
      <c r="I81" s="8">
        <f>I80+J81</f>
        <v>0</v>
      </c>
      <c r="J81" s="8">
        <f>IF($D81="ACC",$C81,0)</f>
        <v>0</v>
      </c>
      <c r="K81" s="8">
        <f>K80+L81</f>
        <v>0</v>
      </c>
      <c r="L81" s="8">
        <f>IF($D81="CBB",$C81,0)</f>
        <v>0</v>
      </c>
    </row>
    <row r="82" spans="1:12" x14ac:dyDescent="0.25">
      <c r="A82" s="6">
        <v>41334</v>
      </c>
      <c r="B82" t="s">
        <v>65</v>
      </c>
      <c r="C82" s="7">
        <v>-240</v>
      </c>
      <c r="D82" t="s">
        <v>6</v>
      </c>
      <c r="E82" s="8">
        <f>E81+F82</f>
        <v>22162</v>
      </c>
      <c r="F82" s="8">
        <f>IF($D82="CR01",$C82,0)</f>
        <v>-240</v>
      </c>
      <c r="G82" s="8">
        <f>G81+H82</f>
        <v>0</v>
      </c>
      <c r="H82" s="8">
        <f>IF($D82="VISA",$C82,0)</f>
        <v>0</v>
      </c>
      <c r="I82" s="8">
        <f>I81+J82</f>
        <v>0</v>
      </c>
      <c r="J82" s="8">
        <f>IF($D82="ACC",$C82,0)</f>
        <v>0</v>
      </c>
      <c r="K82" s="8">
        <f>K81+L82</f>
        <v>0</v>
      </c>
      <c r="L82" s="8">
        <f>IF($D82="CBB",$C82,0)</f>
        <v>0</v>
      </c>
    </row>
    <row r="83" spans="1:12" x14ac:dyDescent="0.25">
      <c r="A83" s="6">
        <v>41334</v>
      </c>
      <c r="B83" t="s">
        <v>66</v>
      </c>
      <c r="C83" s="7">
        <v>-120</v>
      </c>
      <c r="D83" t="s">
        <v>6</v>
      </c>
      <c r="E83" s="8">
        <f>E82+F83</f>
        <v>22042</v>
      </c>
      <c r="F83" s="8">
        <f>IF($D83="CR01",$C83,0)</f>
        <v>-120</v>
      </c>
      <c r="G83" s="8">
        <f>G82+H83</f>
        <v>0</v>
      </c>
      <c r="H83" s="8">
        <f>IF($D83="VISA",$C83,0)</f>
        <v>0</v>
      </c>
      <c r="I83" s="8">
        <f>I82+J83</f>
        <v>0</v>
      </c>
      <c r="J83" s="8">
        <f>IF($D83="ACC",$C83,0)</f>
        <v>0</v>
      </c>
      <c r="K83" s="8">
        <f>K82+L83</f>
        <v>0</v>
      </c>
      <c r="L83" s="8">
        <f>IF($D83="CBB",$C83,0)</f>
        <v>0</v>
      </c>
    </row>
    <row r="84" spans="1:12" x14ac:dyDescent="0.25">
      <c r="A84" s="6">
        <v>41335</v>
      </c>
      <c r="B84" t="s">
        <v>59</v>
      </c>
      <c r="C84" s="7">
        <v>-900</v>
      </c>
      <c r="D84" t="s">
        <v>6</v>
      </c>
      <c r="E84" s="8">
        <f>E83+F84</f>
        <v>21142</v>
      </c>
      <c r="F84" s="8">
        <f>IF($D84="CR01",$C84,0)</f>
        <v>-900</v>
      </c>
      <c r="G84" s="8">
        <f>G83+H84</f>
        <v>0</v>
      </c>
      <c r="H84" s="8">
        <f>IF($D84="VISA",$C84,0)</f>
        <v>0</v>
      </c>
      <c r="I84" s="8">
        <f>I83+J84</f>
        <v>0</v>
      </c>
      <c r="J84" s="8">
        <f>IF($D84="ACC",$C84,0)</f>
        <v>0</v>
      </c>
      <c r="K84" s="8">
        <f>K83+L84</f>
        <v>0</v>
      </c>
      <c r="L84" s="8">
        <f>IF($D84="CBB",$C84,0)</f>
        <v>0</v>
      </c>
    </row>
    <row r="85" spans="1:12" x14ac:dyDescent="0.25">
      <c r="A85" s="6">
        <v>41338</v>
      </c>
      <c r="B85" t="s">
        <v>48</v>
      </c>
      <c r="C85" s="7">
        <v>-100</v>
      </c>
      <c r="D85" t="s">
        <v>6</v>
      </c>
      <c r="E85" s="8">
        <f>E84+F85</f>
        <v>21042</v>
      </c>
      <c r="F85" s="8">
        <f>IF($D85="CR01",$C85,0)</f>
        <v>-100</v>
      </c>
      <c r="G85" s="8">
        <f>G84+H85</f>
        <v>0</v>
      </c>
      <c r="H85" s="8">
        <f>IF($D85="VISA",$C85,0)</f>
        <v>0</v>
      </c>
      <c r="I85" s="8">
        <f>I84+J85</f>
        <v>0</v>
      </c>
      <c r="J85" s="8">
        <f>IF($D85="ACC",$C85,0)</f>
        <v>0</v>
      </c>
      <c r="K85" s="8">
        <f>K84+L85</f>
        <v>0</v>
      </c>
      <c r="L85" s="8">
        <f>IF($D85="CBB",$C85,0)</f>
        <v>0</v>
      </c>
    </row>
    <row r="86" spans="1:12" x14ac:dyDescent="0.25">
      <c r="A86" s="6">
        <v>41339</v>
      </c>
      <c r="B86" t="s">
        <v>47</v>
      </c>
      <c r="C86" s="7">
        <v>-120</v>
      </c>
      <c r="D86" t="s">
        <v>6</v>
      </c>
      <c r="E86" s="8">
        <f>E85+F86</f>
        <v>20922</v>
      </c>
      <c r="F86" s="8">
        <f>IF($D86="CR01",$C86,0)</f>
        <v>-120</v>
      </c>
      <c r="G86" s="8">
        <f>G85+H86</f>
        <v>0</v>
      </c>
      <c r="H86" s="8">
        <f>IF($D86="VISA",$C86,0)</f>
        <v>0</v>
      </c>
      <c r="I86" s="8">
        <f>I85+J86</f>
        <v>0</v>
      </c>
      <c r="J86" s="8">
        <f>IF($D86="ACC",$C86,0)</f>
        <v>0</v>
      </c>
      <c r="K86" s="8">
        <f>K85+L86</f>
        <v>0</v>
      </c>
      <c r="L86" s="8">
        <f>IF($D86="CBB",$C86,0)</f>
        <v>0</v>
      </c>
    </row>
    <row r="87" spans="1:12" x14ac:dyDescent="0.25">
      <c r="A87" s="6">
        <v>41340</v>
      </c>
      <c r="B87" t="s">
        <v>44</v>
      </c>
      <c r="C87" s="7">
        <v>-400</v>
      </c>
      <c r="D87" t="s">
        <v>6</v>
      </c>
      <c r="E87" s="8">
        <f>E86+F87</f>
        <v>20522</v>
      </c>
      <c r="F87" s="8">
        <f>IF($D87="CR01",$C87,0)</f>
        <v>-400</v>
      </c>
      <c r="G87" s="8">
        <f>G86+H87</f>
        <v>0</v>
      </c>
      <c r="H87" s="8">
        <f>IF($D87="VISA",$C87,0)</f>
        <v>0</v>
      </c>
      <c r="I87" s="8">
        <f>I86+J87</f>
        <v>0</v>
      </c>
      <c r="J87" s="8">
        <f>IF($D87="ACC",$C87,0)</f>
        <v>0</v>
      </c>
      <c r="K87" s="8">
        <f>K86+L87</f>
        <v>0</v>
      </c>
      <c r="L87" s="8">
        <f>IF($D87="CBB",$C87,0)</f>
        <v>0</v>
      </c>
    </row>
    <row r="88" spans="1:12" x14ac:dyDescent="0.25">
      <c r="A88" s="6">
        <v>41340</v>
      </c>
      <c r="B88" t="s">
        <v>45</v>
      </c>
      <c r="C88" s="7">
        <v>-180</v>
      </c>
      <c r="D88" t="s">
        <v>6</v>
      </c>
      <c r="E88" s="8">
        <f>E87+F88</f>
        <v>20342</v>
      </c>
      <c r="F88" s="8">
        <f>IF($D88="CR01",$C88,0)</f>
        <v>-180</v>
      </c>
      <c r="G88" s="8">
        <f>G87+H88</f>
        <v>0</v>
      </c>
      <c r="H88" s="8">
        <f>IF($D88="VISA",$C88,0)</f>
        <v>0</v>
      </c>
      <c r="I88" s="8">
        <f>I87+J88</f>
        <v>0</v>
      </c>
      <c r="J88" s="8">
        <f>IF($D88="ACC",$C88,0)</f>
        <v>0</v>
      </c>
      <c r="K88" s="8">
        <f>K87+L88</f>
        <v>0</v>
      </c>
      <c r="L88" s="8">
        <f>IF($D88="CBB",$C88,0)</f>
        <v>0</v>
      </c>
    </row>
    <row r="89" spans="1:12" x14ac:dyDescent="0.25">
      <c r="A89" s="6">
        <v>41340</v>
      </c>
      <c r="B89" t="s">
        <v>46</v>
      </c>
      <c r="C89" s="7">
        <v>-300</v>
      </c>
      <c r="D89" t="s">
        <v>6</v>
      </c>
      <c r="E89" s="8">
        <f>E88+F89</f>
        <v>20042</v>
      </c>
      <c r="F89" s="8">
        <f>IF($D89="CR01",$C89,0)</f>
        <v>-300</v>
      </c>
      <c r="G89" s="8">
        <f>G88+H89</f>
        <v>0</v>
      </c>
      <c r="H89" s="8">
        <f>IF($D89="VISA",$C89,0)</f>
        <v>0</v>
      </c>
      <c r="I89" s="8">
        <f>I88+J89</f>
        <v>0</v>
      </c>
      <c r="J89" s="8">
        <f>IF($D89="ACC",$C89,0)</f>
        <v>0</v>
      </c>
      <c r="K89" s="8">
        <f>K88+L89</f>
        <v>0</v>
      </c>
      <c r="L89" s="8">
        <f>IF($D89="CBB",$C89,0)</f>
        <v>0</v>
      </c>
    </row>
    <row r="90" spans="1:12" x14ac:dyDescent="0.25">
      <c r="A90" s="6">
        <v>41342</v>
      </c>
      <c r="B90" t="s">
        <v>67</v>
      </c>
      <c r="C90" s="7">
        <v>6800</v>
      </c>
      <c r="D90" t="s">
        <v>6</v>
      </c>
      <c r="E90" s="8">
        <f>E89+F90</f>
        <v>26842</v>
      </c>
      <c r="F90" s="8">
        <f>IF($D90="CR01",$C90,0)</f>
        <v>6800</v>
      </c>
      <c r="G90" s="8">
        <f>G89+H90</f>
        <v>0</v>
      </c>
      <c r="H90" s="8">
        <f>IF($D90="VISA",$C90,0)</f>
        <v>0</v>
      </c>
      <c r="I90" s="8">
        <f>I89+J90</f>
        <v>0</v>
      </c>
      <c r="J90" s="8">
        <f>IF($D90="ACC",$C90,0)</f>
        <v>0</v>
      </c>
      <c r="K90" s="8">
        <f>K89+L90</f>
        <v>0</v>
      </c>
      <c r="L90" s="8">
        <f>IF($D90="CBB",$C90,0)</f>
        <v>0</v>
      </c>
    </row>
    <row r="91" spans="1:12" x14ac:dyDescent="0.25">
      <c r="A91" s="6">
        <v>41345</v>
      </c>
      <c r="B91" t="s">
        <v>42</v>
      </c>
      <c r="C91" s="7">
        <v>-2806</v>
      </c>
      <c r="D91" t="s">
        <v>6</v>
      </c>
      <c r="E91" s="8">
        <f>E90+F91</f>
        <v>24036</v>
      </c>
      <c r="F91" s="8">
        <f>IF($D91="CR01",$C91,0)</f>
        <v>-2806</v>
      </c>
      <c r="G91" s="8">
        <f>G90+H91</f>
        <v>0</v>
      </c>
      <c r="H91" s="8">
        <f>IF($D91="VISA",$C91,0)</f>
        <v>0</v>
      </c>
      <c r="I91" s="8">
        <f>I90+J91</f>
        <v>0</v>
      </c>
      <c r="J91" s="8">
        <f>IF($D91="ACC",$C91,0)</f>
        <v>0</v>
      </c>
      <c r="K91" s="8">
        <f>K90+L91</f>
        <v>0</v>
      </c>
      <c r="L91" s="8">
        <f>IF($D91="CBB",$C91,0)</f>
        <v>0</v>
      </c>
    </row>
    <row r="92" spans="1:12" x14ac:dyDescent="0.25">
      <c r="A92" s="6">
        <v>41345</v>
      </c>
      <c r="B92" t="s">
        <v>48</v>
      </c>
      <c r="C92" s="7">
        <v>-100</v>
      </c>
      <c r="D92" t="s">
        <v>6</v>
      </c>
      <c r="E92" s="8">
        <f>E91+F92</f>
        <v>23936</v>
      </c>
      <c r="F92" s="8">
        <f>IF($D92="CR01",$C92,0)</f>
        <v>-100</v>
      </c>
      <c r="G92" s="8">
        <f>G91+H92</f>
        <v>0</v>
      </c>
      <c r="H92" s="8">
        <f>IF($D92="VISA",$C92,0)</f>
        <v>0</v>
      </c>
      <c r="I92" s="8">
        <f>I91+J92</f>
        <v>0</v>
      </c>
      <c r="J92" s="8">
        <f>IF($D92="ACC",$C92,0)</f>
        <v>0</v>
      </c>
      <c r="K92" s="8">
        <f>K91+L92</f>
        <v>0</v>
      </c>
      <c r="L92" s="8">
        <f>IF($D92="CBB",$C92,0)</f>
        <v>0</v>
      </c>
    </row>
    <row r="93" spans="1:12" x14ac:dyDescent="0.25">
      <c r="A93" s="6">
        <v>41346</v>
      </c>
      <c r="B93" t="s">
        <v>47</v>
      </c>
      <c r="C93" s="7">
        <v>-120</v>
      </c>
      <c r="D93" t="s">
        <v>6</v>
      </c>
      <c r="E93" s="8">
        <f>E92+F93</f>
        <v>23816</v>
      </c>
      <c r="F93" s="8">
        <f>IF($D93="CR01",$C93,0)</f>
        <v>-120</v>
      </c>
      <c r="G93" s="8">
        <f>G92+H93</f>
        <v>0</v>
      </c>
      <c r="H93" s="8">
        <f>IF($D93="VISA",$C93,0)</f>
        <v>0</v>
      </c>
      <c r="I93" s="8">
        <f>I92+J93</f>
        <v>0</v>
      </c>
      <c r="J93" s="8">
        <f>IF($D93="ACC",$C93,0)</f>
        <v>0</v>
      </c>
      <c r="K93" s="8">
        <f>K92+L93</f>
        <v>0</v>
      </c>
      <c r="L93" s="8">
        <f>IF($D93="CBB",$C93,0)</f>
        <v>0</v>
      </c>
    </row>
    <row r="94" spans="1:12" x14ac:dyDescent="0.25">
      <c r="A94" s="6">
        <v>41347</v>
      </c>
      <c r="B94" t="s">
        <v>44</v>
      </c>
      <c r="C94" s="7">
        <v>-400</v>
      </c>
      <c r="D94" t="s">
        <v>6</v>
      </c>
      <c r="E94" s="8">
        <f>E93+F94</f>
        <v>23416</v>
      </c>
      <c r="F94" s="8">
        <f>IF($D94="CR01",$C94,0)</f>
        <v>-400</v>
      </c>
      <c r="G94" s="8">
        <f>G93+H94</f>
        <v>0</v>
      </c>
      <c r="H94" s="8">
        <f>IF($D94="VISA",$C94,0)</f>
        <v>0</v>
      </c>
      <c r="I94" s="8">
        <f>I93+J94</f>
        <v>0</v>
      </c>
      <c r="J94" s="8">
        <f>IF($D94="ACC",$C94,0)</f>
        <v>0</v>
      </c>
      <c r="K94" s="8">
        <f>K93+L94</f>
        <v>0</v>
      </c>
      <c r="L94" s="8">
        <f>IF($D94="CBB",$C94,0)</f>
        <v>0</v>
      </c>
    </row>
    <row r="95" spans="1:12" x14ac:dyDescent="0.25">
      <c r="A95" s="6">
        <v>41347</v>
      </c>
      <c r="B95" t="s">
        <v>45</v>
      </c>
      <c r="C95" s="7">
        <v>-180</v>
      </c>
      <c r="D95" t="s">
        <v>6</v>
      </c>
      <c r="E95" s="8">
        <f>E94+F95</f>
        <v>23236</v>
      </c>
      <c r="F95" s="8">
        <f>IF($D95="CR01",$C95,0)</f>
        <v>-180</v>
      </c>
      <c r="G95" s="8">
        <f>G94+H95</f>
        <v>0</v>
      </c>
      <c r="H95" s="8">
        <f>IF($D95="VISA",$C95,0)</f>
        <v>0</v>
      </c>
      <c r="I95" s="8">
        <f>I94+J95</f>
        <v>0</v>
      </c>
      <c r="J95" s="8">
        <f>IF($D95="ACC",$C95,0)</f>
        <v>0</v>
      </c>
      <c r="K95" s="8">
        <f>K94+L95</f>
        <v>0</v>
      </c>
      <c r="L95" s="8">
        <f>IF($D95="CBB",$C95,0)</f>
        <v>0</v>
      </c>
    </row>
    <row r="96" spans="1:12" x14ac:dyDescent="0.25">
      <c r="A96" s="6">
        <v>41347</v>
      </c>
      <c r="B96" t="s">
        <v>46</v>
      </c>
      <c r="C96" s="7">
        <v>-300</v>
      </c>
      <c r="D96" t="s">
        <v>6</v>
      </c>
      <c r="E96" s="8">
        <f>E95+F96</f>
        <v>22936</v>
      </c>
      <c r="F96" s="8">
        <f>IF($D96="CR01",$C96,0)</f>
        <v>-300</v>
      </c>
      <c r="G96" s="8">
        <f>G95+H96</f>
        <v>0</v>
      </c>
      <c r="H96" s="8">
        <f>IF($D96="VISA",$C96,0)</f>
        <v>0</v>
      </c>
      <c r="I96" s="8">
        <f>I95+J96</f>
        <v>0</v>
      </c>
      <c r="J96" s="8">
        <f>IF($D96="ACC",$C96,0)</f>
        <v>0</v>
      </c>
      <c r="K96" s="8">
        <f>K95+L96</f>
        <v>0</v>
      </c>
      <c r="L96" s="8">
        <f>IF($D96="CBB",$C96,0)</f>
        <v>0</v>
      </c>
    </row>
    <row r="97" spans="1:12" x14ac:dyDescent="0.25">
      <c r="A97" s="6">
        <v>41348</v>
      </c>
      <c r="B97" t="s">
        <v>43</v>
      </c>
      <c r="C97" s="7">
        <v>3226</v>
      </c>
      <c r="D97" t="s">
        <v>6</v>
      </c>
      <c r="E97" s="8">
        <f>E96+F97</f>
        <v>26162</v>
      </c>
      <c r="F97" s="8">
        <f>IF($D97="CR01",$C97,0)</f>
        <v>3226</v>
      </c>
      <c r="G97" s="8">
        <f>G96+H97</f>
        <v>0</v>
      </c>
      <c r="H97" s="8">
        <f>IF($D97="VISA",$C97,0)</f>
        <v>0</v>
      </c>
      <c r="I97" s="8">
        <f>I96+J97</f>
        <v>0</v>
      </c>
      <c r="J97" s="8">
        <f>IF($D97="ACC",$C97,0)</f>
        <v>0</v>
      </c>
      <c r="K97" s="8">
        <f>K96+L97</f>
        <v>0</v>
      </c>
      <c r="L97" s="8">
        <f>IF($D97="CBB",$C97,0)</f>
        <v>0</v>
      </c>
    </row>
    <row r="98" spans="1:12" x14ac:dyDescent="0.25">
      <c r="A98" s="6">
        <v>41352</v>
      </c>
      <c r="B98" t="s">
        <v>48</v>
      </c>
      <c r="C98" s="7">
        <v>-100</v>
      </c>
      <c r="D98" t="s">
        <v>6</v>
      </c>
      <c r="E98" s="8">
        <f>E97+F98</f>
        <v>26062</v>
      </c>
      <c r="F98" s="8">
        <f>IF($D98="CR01",$C98,0)</f>
        <v>-100</v>
      </c>
      <c r="G98" s="8">
        <f>G97+H98</f>
        <v>0</v>
      </c>
      <c r="H98" s="8">
        <f>IF($D98="VISA",$C98,0)</f>
        <v>0</v>
      </c>
      <c r="I98" s="8">
        <f>I97+J98</f>
        <v>0</v>
      </c>
      <c r="J98" s="8">
        <f>IF($D98="ACC",$C98,0)</f>
        <v>0</v>
      </c>
      <c r="K98" s="8">
        <f>K97+L98</f>
        <v>0</v>
      </c>
      <c r="L98" s="8">
        <f>IF($D98="CBB",$C98,0)</f>
        <v>0</v>
      </c>
    </row>
    <row r="99" spans="1:12" x14ac:dyDescent="0.25">
      <c r="A99" s="6">
        <v>41353</v>
      </c>
      <c r="B99" t="s">
        <v>47</v>
      </c>
      <c r="C99" s="7">
        <v>-120</v>
      </c>
      <c r="D99" t="s">
        <v>6</v>
      </c>
      <c r="E99" s="8">
        <f>E98+F99</f>
        <v>25942</v>
      </c>
      <c r="F99" s="8">
        <f>IF($D99="CR01",$C99,0)</f>
        <v>-120</v>
      </c>
      <c r="G99" s="8">
        <f>G98+H99</f>
        <v>0</v>
      </c>
      <c r="H99" s="8">
        <f>IF($D99="VISA",$C99,0)</f>
        <v>0</v>
      </c>
      <c r="I99" s="8">
        <f>I98+J99</f>
        <v>0</v>
      </c>
      <c r="J99" s="8">
        <f>IF($D99="ACC",$C99,0)</f>
        <v>0</v>
      </c>
      <c r="K99" s="8">
        <f>K98+L99</f>
        <v>0</v>
      </c>
      <c r="L99" s="8">
        <f>IF($D99="CBB",$C99,0)</f>
        <v>0</v>
      </c>
    </row>
    <row r="100" spans="1:12" x14ac:dyDescent="0.25">
      <c r="A100" s="6">
        <v>41354</v>
      </c>
      <c r="B100" t="s">
        <v>44</v>
      </c>
      <c r="C100" s="7">
        <v>-400</v>
      </c>
      <c r="D100" t="s">
        <v>6</v>
      </c>
      <c r="E100" s="8">
        <f>E99+F100</f>
        <v>25542</v>
      </c>
      <c r="F100" s="8">
        <f>IF($D100="CR01",$C100,0)</f>
        <v>-400</v>
      </c>
      <c r="G100" s="8">
        <f>G99+H100</f>
        <v>0</v>
      </c>
      <c r="H100" s="8">
        <f>IF($D100="VISA",$C100,0)</f>
        <v>0</v>
      </c>
      <c r="I100" s="8">
        <f>I99+J100</f>
        <v>0</v>
      </c>
      <c r="J100" s="8">
        <f>IF($D100="ACC",$C100,0)</f>
        <v>0</v>
      </c>
      <c r="K100" s="8">
        <f>K99+L100</f>
        <v>0</v>
      </c>
      <c r="L100" s="8">
        <f>IF($D100="CBB",$C100,0)</f>
        <v>0</v>
      </c>
    </row>
    <row r="101" spans="1:12" x14ac:dyDescent="0.25">
      <c r="A101" s="6">
        <v>41354</v>
      </c>
      <c r="B101" t="s">
        <v>45</v>
      </c>
      <c r="C101" s="7">
        <v>-180</v>
      </c>
      <c r="D101" t="s">
        <v>6</v>
      </c>
      <c r="E101" s="8">
        <f>E100+F101</f>
        <v>25362</v>
      </c>
      <c r="F101" s="8">
        <f>IF($D101="CR01",$C101,0)</f>
        <v>-180</v>
      </c>
      <c r="G101" s="8">
        <f>G100+H101</f>
        <v>0</v>
      </c>
      <c r="H101" s="8">
        <f>IF($D101="VISA",$C101,0)</f>
        <v>0</v>
      </c>
      <c r="I101" s="8">
        <f>I100+J101</f>
        <v>0</v>
      </c>
      <c r="J101" s="8">
        <f>IF($D101="ACC",$C101,0)</f>
        <v>0</v>
      </c>
      <c r="K101" s="8">
        <f>K100+L101</f>
        <v>0</v>
      </c>
      <c r="L101" s="8">
        <f>IF($D101="CBB",$C101,0)</f>
        <v>0</v>
      </c>
    </row>
    <row r="102" spans="1:12" x14ac:dyDescent="0.25">
      <c r="A102" s="6">
        <v>41354</v>
      </c>
      <c r="B102" t="s">
        <v>46</v>
      </c>
      <c r="C102" s="7">
        <v>-300</v>
      </c>
      <c r="D102" t="s">
        <v>6</v>
      </c>
      <c r="E102" s="8">
        <f>E101+F102</f>
        <v>25062</v>
      </c>
      <c r="F102" s="8">
        <f>IF($D102="CR01",$C102,0)</f>
        <v>-300</v>
      </c>
      <c r="G102" s="8">
        <f>G101+H102</f>
        <v>0</v>
      </c>
      <c r="H102" s="8">
        <f>IF($D102="VISA",$C102,0)</f>
        <v>0</v>
      </c>
      <c r="I102" s="8">
        <f>I101+J102</f>
        <v>0</v>
      </c>
      <c r="J102" s="8">
        <f>IF($D102="ACC",$C102,0)</f>
        <v>0</v>
      </c>
      <c r="K102" s="8">
        <f>K101+L102</f>
        <v>0</v>
      </c>
      <c r="L102" s="8">
        <f>IF($D102="CBB",$C102,0)</f>
        <v>0</v>
      </c>
    </row>
    <row r="103" spans="1:12" x14ac:dyDescent="0.25">
      <c r="A103" s="6">
        <v>41356</v>
      </c>
      <c r="B103" t="s">
        <v>67</v>
      </c>
      <c r="C103" s="7">
        <v>6800</v>
      </c>
      <c r="D103" t="s">
        <v>6</v>
      </c>
      <c r="E103" s="8">
        <f>E102+F103</f>
        <v>31862</v>
      </c>
      <c r="F103" s="8">
        <f>IF($D103="CR01",$C103,0)</f>
        <v>6800</v>
      </c>
      <c r="G103" s="8">
        <f>G102+H103</f>
        <v>0</v>
      </c>
      <c r="H103" s="8">
        <f>IF($D103="VISA",$C103,0)</f>
        <v>0</v>
      </c>
      <c r="I103" s="8">
        <f>I102+J103</f>
        <v>0</v>
      </c>
      <c r="J103" s="8">
        <f>IF($D103="ACC",$C103,0)</f>
        <v>0</v>
      </c>
      <c r="K103" s="8">
        <f>K102+L103</f>
        <v>0</v>
      </c>
      <c r="L103" s="8">
        <f>IF($D103="CBB",$C103,0)</f>
        <v>0</v>
      </c>
    </row>
    <row r="104" spans="1:12" x14ac:dyDescent="0.25">
      <c r="A104" s="6">
        <v>41359</v>
      </c>
      <c r="B104" t="s">
        <v>42</v>
      </c>
      <c r="C104" s="7">
        <v>-2806</v>
      </c>
      <c r="D104" t="s">
        <v>6</v>
      </c>
      <c r="E104" s="8">
        <f>E103+F104</f>
        <v>29056</v>
      </c>
      <c r="F104" s="8">
        <f>IF($D104="CR01",$C104,0)</f>
        <v>-2806</v>
      </c>
      <c r="G104" s="8">
        <f>G103+H104</f>
        <v>0</v>
      </c>
      <c r="H104" s="8">
        <f>IF($D104="VISA",$C104,0)</f>
        <v>0</v>
      </c>
      <c r="I104" s="8">
        <f>I103+J104</f>
        <v>0</v>
      </c>
      <c r="J104" s="8">
        <f>IF($D104="ACC",$C104,0)</f>
        <v>0</v>
      </c>
      <c r="K104" s="8">
        <f>K103+L104</f>
        <v>0</v>
      </c>
      <c r="L104" s="8">
        <f>IF($D104="CBB",$C104,0)</f>
        <v>0</v>
      </c>
    </row>
    <row r="105" spans="1:12" x14ac:dyDescent="0.25">
      <c r="A105" s="6">
        <v>41359</v>
      </c>
      <c r="B105" t="s">
        <v>48</v>
      </c>
      <c r="C105" s="7">
        <v>-100</v>
      </c>
      <c r="D105" t="s">
        <v>6</v>
      </c>
      <c r="E105" s="8">
        <f>E104+F105</f>
        <v>28956</v>
      </c>
      <c r="F105" s="8">
        <f>IF($D105="CR01",$C105,0)</f>
        <v>-100</v>
      </c>
      <c r="G105" s="8">
        <f>G104+H105</f>
        <v>0</v>
      </c>
      <c r="H105" s="8">
        <f>IF($D105="VISA",$C105,0)</f>
        <v>0</v>
      </c>
      <c r="I105" s="8">
        <f>I104+J105</f>
        <v>0</v>
      </c>
      <c r="J105" s="8">
        <f>IF($D105="ACC",$C105,0)</f>
        <v>0</v>
      </c>
      <c r="K105" s="8">
        <f>K104+L105</f>
        <v>0</v>
      </c>
      <c r="L105" s="8">
        <f>IF($D105="CBB",$C105,0)</f>
        <v>0</v>
      </c>
    </row>
    <row r="106" spans="1:12" x14ac:dyDescent="0.25">
      <c r="A106" s="6">
        <v>41360</v>
      </c>
      <c r="B106" t="s">
        <v>47</v>
      </c>
      <c r="C106" s="7">
        <v>-120</v>
      </c>
      <c r="D106" t="s">
        <v>6</v>
      </c>
      <c r="E106" s="8">
        <f>E105+F106</f>
        <v>28836</v>
      </c>
      <c r="F106" s="8">
        <f>IF($D106="CR01",$C106,0)</f>
        <v>-120</v>
      </c>
      <c r="G106" s="8">
        <f>G105+H106</f>
        <v>0</v>
      </c>
      <c r="H106" s="8">
        <f>IF($D106="VISA",$C106,0)</f>
        <v>0</v>
      </c>
      <c r="I106" s="8">
        <f>I105+J106</f>
        <v>0</v>
      </c>
      <c r="J106" s="8">
        <f>IF($D106="ACC",$C106,0)</f>
        <v>0</v>
      </c>
      <c r="K106" s="8">
        <f>K105+L106</f>
        <v>0</v>
      </c>
      <c r="L106" s="8">
        <f>IF($D106="CBB",$C106,0)</f>
        <v>0</v>
      </c>
    </row>
    <row r="107" spans="1:12" x14ac:dyDescent="0.25">
      <c r="A107" s="6">
        <v>41361</v>
      </c>
      <c r="B107" t="s">
        <v>44</v>
      </c>
      <c r="C107" s="7">
        <v>-400</v>
      </c>
      <c r="D107" t="s">
        <v>6</v>
      </c>
      <c r="E107" s="8">
        <f>E106+F107</f>
        <v>28436</v>
      </c>
      <c r="F107" s="8">
        <f>IF($D107="CR01",$C107,0)</f>
        <v>-400</v>
      </c>
      <c r="G107" s="8">
        <f>G106+H107</f>
        <v>0</v>
      </c>
      <c r="H107" s="8">
        <f>IF($D107="VISA",$C107,0)</f>
        <v>0</v>
      </c>
      <c r="I107" s="8">
        <f>I106+J107</f>
        <v>0</v>
      </c>
      <c r="J107" s="8">
        <f>IF($D107="ACC",$C107,0)</f>
        <v>0</v>
      </c>
      <c r="K107" s="8">
        <f>K106+L107</f>
        <v>0</v>
      </c>
      <c r="L107" s="8">
        <f>IF($D107="CBB",$C107,0)</f>
        <v>0</v>
      </c>
    </row>
    <row r="108" spans="1:12" x14ac:dyDescent="0.25">
      <c r="A108" s="6">
        <v>41361</v>
      </c>
      <c r="B108" t="s">
        <v>45</v>
      </c>
      <c r="C108" s="7">
        <v>-180</v>
      </c>
      <c r="D108" t="s">
        <v>6</v>
      </c>
      <c r="E108" s="8">
        <f>E107+F108</f>
        <v>28256</v>
      </c>
      <c r="F108" s="8">
        <f>IF($D108="CR01",$C108,0)</f>
        <v>-180</v>
      </c>
      <c r="G108" s="8">
        <f>G107+H108</f>
        <v>0</v>
      </c>
      <c r="H108" s="8">
        <f>IF($D108="VISA",$C108,0)</f>
        <v>0</v>
      </c>
      <c r="I108" s="8">
        <f>I107+J108</f>
        <v>0</v>
      </c>
      <c r="J108" s="8">
        <f>IF($D108="ACC",$C108,0)</f>
        <v>0</v>
      </c>
      <c r="K108" s="8">
        <f>K107+L108</f>
        <v>0</v>
      </c>
      <c r="L108" s="8">
        <f>IF($D108="CBB",$C108,0)</f>
        <v>0</v>
      </c>
    </row>
    <row r="109" spans="1:12" x14ac:dyDescent="0.25">
      <c r="A109" s="6">
        <v>41361</v>
      </c>
      <c r="B109" t="s">
        <v>46</v>
      </c>
      <c r="C109" s="7">
        <v>-300</v>
      </c>
      <c r="D109" t="s">
        <v>6</v>
      </c>
      <c r="E109" s="8">
        <f>E108+F109</f>
        <v>27956</v>
      </c>
      <c r="F109" s="8">
        <f>IF($D109="CR01",$C109,0)</f>
        <v>-300</v>
      </c>
      <c r="G109" s="8">
        <f>G108+H109</f>
        <v>0</v>
      </c>
      <c r="H109" s="8">
        <f>IF($D109="VISA",$C109,0)</f>
        <v>0</v>
      </c>
      <c r="I109" s="8">
        <f>I108+J109</f>
        <v>0</v>
      </c>
      <c r="J109" s="8">
        <f>IF($D109="ACC",$C109,0)</f>
        <v>0</v>
      </c>
      <c r="K109" s="8">
        <f>K108+L109</f>
        <v>0</v>
      </c>
      <c r="L109" s="8">
        <f>IF($D109="CBB",$C109,0)</f>
        <v>0</v>
      </c>
    </row>
    <row r="110" spans="1:12" x14ac:dyDescent="0.25">
      <c r="A110" s="6">
        <v>41362</v>
      </c>
      <c r="B110" t="s">
        <v>43</v>
      </c>
      <c r="C110" s="7">
        <v>3226</v>
      </c>
      <c r="D110" t="s">
        <v>6</v>
      </c>
      <c r="E110" s="8">
        <f>E109+F110</f>
        <v>31182</v>
      </c>
      <c r="F110" s="8">
        <f>IF($D110="CR01",$C110,0)</f>
        <v>3226</v>
      </c>
      <c r="G110" s="8">
        <f>G109+H110</f>
        <v>0</v>
      </c>
      <c r="H110" s="8">
        <f>IF($D110="VISA",$C110,0)</f>
        <v>0</v>
      </c>
      <c r="I110" s="8">
        <f>I109+J110</f>
        <v>0</v>
      </c>
      <c r="J110" s="8">
        <f>IF($D110="ACC",$C110,0)</f>
        <v>0</v>
      </c>
      <c r="K110" s="8">
        <f>K109+L110</f>
        <v>0</v>
      </c>
      <c r="L110" s="8">
        <f>IF($D110="CBB",$C110,0)</f>
        <v>0</v>
      </c>
    </row>
    <row r="111" spans="1:12" x14ac:dyDescent="0.25">
      <c r="A111" s="6">
        <v>41365</v>
      </c>
      <c r="B111" t="s">
        <v>58</v>
      </c>
      <c r="C111" s="7">
        <v>-200</v>
      </c>
      <c r="D111" t="s">
        <v>6</v>
      </c>
      <c r="E111" s="8">
        <f>E110+F111</f>
        <v>30982</v>
      </c>
      <c r="F111" s="8">
        <f>IF($D111="CR01",$C111,0)</f>
        <v>-200</v>
      </c>
      <c r="G111" s="8">
        <f>G110+H111</f>
        <v>0</v>
      </c>
      <c r="H111" s="8">
        <f>IF($D111="VISA",$C111,0)</f>
        <v>0</v>
      </c>
      <c r="I111" s="8">
        <f>I110+J111</f>
        <v>0</v>
      </c>
      <c r="J111" s="8">
        <f>IF($D111="ACC",$C111,0)</f>
        <v>0</v>
      </c>
      <c r="K111" s="8">
        <f>K110+L111</f>
        <v>0</v>
      </c>
      <c r="L111" s="8">
        <f>IF($D111="CBB",$C111,0)</f>
        <v>0</v>
      </c>
    </row>
    <row r="112" spans="1:12" x14ac:dyDescent="0.25">
      <c r="A112" s="6">
        <v>41365</v>
      </c>
      <c r="B112" t="s">
        <v>60</v>
      </c>
      <c r="C112" s="7">
        <v>-400</v>
      </c>
      <c r="D112" t="s">
        <v>6</v>
      </c>
      <c r="E112" s="8">
        <f>E111+F112</f>
        <v>30582</v>
      </c>
      <c r="F112" s="8">
        <f>IF($D112="CR01",$C112,0)</f>
        <v>-400</v>
      </c>
      <c r="G112" s="8">
        <f>G111+H112</f>
        <v>0</v>
      </c>
      <c r="H112" s="8">
        <f>IF($D112="VISA",$C112,0)</f>
        <v>0</v>
      </c>
      <c r="I112" s="8">
        <f>I111+J112</f>
        <v>0</v>
      </c>
      <c r="J112" s="8">
        <f>IF($D112="ACC",$C112,0)</f>
        <v>0</v>
      </c>
      <c r="K112" s="8">
        <f>K111+L112</f>
        <v>0</v>
      </c>
      <c r="L112" s="8">
        <f>IF($D112="CBB",$C112,0)</f>
        <v>0</v>
      </c>
    </row>
    <row r="113" spans="1:12" x14ac:dyDescent="0.25">
      <c r="A113" s="6">
        <v>41365</v>
      </c>
      <c r="B113" t="s">
        <v>61</v>
      </c>
      <c r="C113" s="7">
        <v>-300</v>
      </c>
      <c r="D113" t="s">
        <v>6</v>
      </c>
      <c r="E113" s="8">
        <f>E112+F113</f>
        <v>30282</v>
      </c>
      <c r="F113" s="8">
        <f>IF($D113="CR01",$C113,0)</f>
        <v>-300</v>
      </c>
      <c r="G113" s="8">
        <f>G112+H113</f>
        <v>0</v>
      </c>
      <c r="H113" s="8">
        <f>IF($D113="VISA",$C113,0)</f>
        <v>0</v>
      </c>
      <c r="I113" s="8">
        <f>I112+J113</f>
        <v>0</v>
      </c>
      <c r="J113" s="8">
        <f>IF($D113="ACC",$C113,0)</f>
        <v>0</v>
      </c>
      <c r="K113" s="8">
        <f>K112+L113</f>
        <v>0</v>
      </c>
      <c r="L113" s="8">
        <f>IF($D113="CBB",$C113,0)</f>
        <v>0</v>
      </c>
    </row>
    <row r="114" spans="1:12" x14ac:dyDescent="0.25">
      <c r="A114" s="6">
        <v>41365</v>
      </c>
      <c r="B114" t="s">
        <v>64</v>
      </c>
      <c r="C114" s="7">
        <v>-26</v>
      </c>
      <c r="D114" t="s">
        <v>6</v>
      </c>
      <c r="E114" s="8">
        <f>E113+F114</f>
        <v>30256</v>
      </c>
      <c r="F114" s="8">
        <f>IF($D114="CR01",$C114,0)</f>
        <v>-26</v>
      </c>
      <c r="G114" s="8">
        <f>G113+H114</f>
        <v>0</v>
      </c>
      <c r="H114" s="8">
        <f>IF($D114="VISA",$C114,0)</f>
        <v>0</v>
      </c>
      <c r="I114" s="8">
        <f>I113+J114</f>
        <v>0</v>
      </c>
      <c r="J114" s="8">
        <f>IF($D114="ACC",$C114,0)</f>
        <v>0</v>
      </c>
      <c r="K114" s="8">
        <f>K113+L114</f>
        <v>0</v>
      </c>
      <c r="L114" s="8">
        <f>IF($D114="CBB",$C114,0)</f>
        <v>0</v>
      </c>
    </row>
    <row r="115" spans="1:12" x14ac:dyDescent="0.25">
      <c r="A115" s="6">
        <v>41365</v>
      </c>
      <c r="B115" t="s">
        <v>65</v>
      </c>
      <c r="C115" s="7">
        <v>-240</v>
      </c>
      <c r="D115" t="s">
        <v>6</v>
      </c>
      <c r="E115" s="8">
        <f>E114+F115</f>
        <v>30016</v>
      </c>
      <c r="F115" s="8">
        <f>IF($D115="CR01",$C115,0)</f>
        <v>-240</v>
      </c>
      <c r="G115" s="8">
        <f>G114+H115</f>
        <v>0</v>
      </c>
      <c r="H115" s="8">
        <f>IF($D115="VISA",$C115,0)</f>
        <v>0</v>
      </c>
      <c r="I115" s="8">
        <f>I114+J115</f>
        <v>0</v>
      </c>
      <c r="J115" s="8">
        <f>IF($D115="ACC",$C115,0)</f>
        <v>0</v>
      </c>
      <c r="K115" s="8">
        <f>K114+L115</f>
        <v>0</v>
      </c>
      <c r="L115" s="8">
        <f>IF($D115="CBB",$C115,0)</f>
        <v>0</v>
      </c>
    </row>
    <row r="116" spans="1:12" x14ac:dyDescent="0.25">
      <c r="A116" s="6">
        <v>41365</v>
      </c>
      <c r="B116" t="s">
        <v>66</v>
      </c>
      <c r="C116" s="7">
        <v>-120</v>
      </c>
      <c r="D116" t="s">
        <v>6</v>
      </c>
      <c r="E116" s="8">
        <f>E115+F116</f>
        <v>29896</v>
      </c>
      <c r="F116" s="8">
        <f>IF($D116="CR01",$C116,0)</f>
        <v>-120</v>
      </c>
      <c r="G116" s="8">
        <f>G115+H116</f>
        <v>0</v>
      </c>
      <c r="H116" s="8">
        <f>IF($D116="VISA",$C116,0)</f>
        <v>0</v>
      </c>
      <c r="I116" s="8">
        <f>I115+J116</f>
        <v>0</v>
      </c>
      <c r="J116" s="8">
        <f>IF($D116="ACC",$C116,0)</f>
        <v>0</v>
      </c>
      <c r="K116" s="8">
        <f>K115+L116</f>
        <v>0</v>
      </c>
      <c r="L116" s="8">
        <f>IF($D116="CBB",$C116,0)</f>
        <v>0</v>
      </c>
    </row>
    <row r="117" spans="1:12" x14ac:dyDescent="0.25">
      <c r="A117" s="6">
        <v>41365</v>
      </c>
      <c r="B117" t="s">
        <v>69</v>
      </c>
      <c r="C117" s="7">
        <v>-1500</v>
      </c>
      <c r="D117" t="s">
        <v>6</v>
      </c>
      <c r="E117" s="8">
        <f>E116+F117</f>
        <v>28396</v>
      </c>
      <c r="F117" s="8">
        <f>IF($D117="CR01",$C117,0)</f>
        <v>-1500</v>
      </c>
      <c r="G117" s="8">
        <f>G116+H117</f>
        <v>0</v>
      </c>
      <c r="H117" s="8">
        <f>IF($D117="VISA",$C117,0)</f>
        <v>0</v>
      </c>
      <c r="I117" s="8">
        <f>I116+J117</f>
        <v>0</v>
      </c>
      <c r="J117" s="8">
        <f>IF($D117="ACC",$C117,0)</f>
        <v>0</v>
      </c>
      <c r="K117" s="8">
        <f>K116+L117</f>
        <v>0</v>
      </c>
      <c r="L117" s="8">
        <f>IF($D117="CBB",$C117,0)</f>
        <v>0</v>
      </c>
    </row>
    <row r="118" spans="1:12" x14ac:dyDescent="0.25">
      <c r="A118" s="6">
        <v>41366</v>
      </c>
      <c r="B118" t="s">
        <v>48</v>
      </c>
      <c r="C118" s="7">
        <v>-100</v>
      </c>
      <c r="D118" t="s">
        <v>6</v>
      </c>
      <c r="E118" s="8">
        <f>E117+F118</f>
        <v>28296</v>
      </c>
      <c r="F118" s="8">
        <f>IF($D118="CR01",$C118,0)</f>
        <v>-100</v>
      </c>
      <c r="G118" s="8">
        <f>G117+H118</f>
        <v>0</v>
      </c>
      <c r="H118" s="8">
        <f>IF($D118="VISA",$C118,0)</f>
        <v>0</v>
      </c>
      <c r="I118" s="8">
        <f>I117+J118</f>
        <v>0</v>
      </c>
      <c r="J118" s="8">
        <f>IF($D118="ACC",$C118,0)</f>
        <v>0</v>
      </c>
      <c r="K118" s="8">
        <f>K117+L118</f>
        <v>0</v>
      </c>
      <c r="L118" s="8">
        <f>IF($D118="CBB",$C118,0)</f>
        <v>0</v>
      </c>
    </row>
    <row r="119" spans="1:12" x14ac:dyDescent="0.25">
      <c r="A119" s="6">
        <v>41366</v>
      </c>
      <c r="B119" t="s">
        <v>59</v>
      </c>
      <c r="C119" s="7">
        <v>-900</v>
      </c>
      <c r="D119" t="s">
        <v>6</v>
      </c>
      <c r="E119" s="8">
        <f>E118+F119</f>
        <v>27396</v>
      </c>
      <c r="F119" s="8">
        <f>IF($D119="CR01",$C119,0)</f>
        <v>-900</v>
      </c>
      <c r="G119" s="8">
        <f>G118+H119</f>
        <v>0</v>
      </c>
      <c r="H119" s="8">
        <f>IF($D119="VISA",$C119,0)</f>
        <v>0</v>
      </c>
      <c r="I119" s="8">
        <f>I118+J119</f>
        <v>0</v>
      </c>
      <c r="J119" s="8">
        <f>IF($D119="ACC",$C119,0)</f>
        <v>0</v>
      </c>
      <c r="K119" s="8">
        <f>K118+L119</f>
        <v>0</v>
      </c>
      <c r="L119" s="8">
        <f>IF($D119="CBB",$C119,0)</f>
        <v>0</v>
      </c>
    </row>
    <row r="120" spans="1:12" x14ac:dyDescent="0.25">
      <c r="A120" s="6">
        <v>41367</v>
      </c>
      <c r="B120" t="s">
        <v>47</v>
      </c>
      <c r="C120" s="7">
        <v>-120</v>
      </c>
      <c r="D120" t="s">
        <v>6</v>
      </c>
      <c r="E120" s="8">
        <f>E119+F120</f>
        <v>27276</v>
      </c>
      <c r="F120" s="8">
        <f>IF($D120="CR01",$C120,0)</f>
        <v>-120</v>
      </c>
      <c r="G120" s="8">
        <f>G119+H120</f>
        <v>0</v>
      </c>
      <c r="H120" s="8">
        <f>IF($D120="VISA",$C120,0)</f>
        <v>0</v>
      </c>
      <c r="I120" s="8">
        <f>I119+J120</f>
        <v>0</v>
      </c>
      <c r="J120" s="8">
        <f>IF($D120="ACC",$C120,0)</f>
        <v>0</v>
      </c>
      <c r="K120" s="8">
        <f>K119+L120</f>
        <v>0</v>
      </c>
      <c r="L120" s="8">
        <f>IF($D120="CBB",$C120,0)</f>
        <v>0</v>
      </c>
    </row>
    <row r="121" spans="1:12" x14ac:dyDescent="0.25">
      <c r="A121" s="6">
        <v>41368</v>
      </c>
      <c r="B121" t="s">
        <v>44</v>
      </c>
      <c r="C121" s="7">
        <v>-400</v>
      </c>
      <c r="D121" t="s">
        <v>6</v>
      </c>
      <c r="E121" s="8">
        <f>E120+F121</f>
        <v>26876</v>
      </c>
      <c r="F121" s="8">
        <f>IF($D121="CR01",$C121,0)</f>
        <v>-400</v>
      </c>
      <c r="G121" s="8">
        <f>G120+H121</f>
        <v>0</v>
      </c>
      <c r="H121" s="8">
        <f>IF($D121="VISA",$C121,0)</f>
        <v>0</v>
      </c>
      <c r="I121" s="8">
        <f>I120+J121</f>
        <v>0</v>
      </c>
      <c r="J121" s="8">
        <f>IF($D121="ACC",$C121,0)</f>
        <v>0</v>
      </c>
      <c r="K121" s="8">
        <f>K120+L121</f>
        <v>0</v>
      </c>
      <c r="L121" s="8">
        <f>IF($D121="CBB",$C121,0)</f>
        <v>0</v>
      </c>
    </row>
    <row r="122" spans="1:12" x14ac:dyDescent="0.25">
      <c r="A122" s="6">
        <v>41368</v>
      </c>
      <c r="B122" t="s">
        <v>45</v>
      </c>
      <c r="C122" s="7">
        <v>-180</v>
      </c>
      <c r="D122" t="s">
        <v>6</v>
      </c>
      <c r="E122" s="8">
        <f>E121+F122</f>
        <v>26696</v>
      </c>
      <c r="F122" s="8">
        <f>IF($D122="CR01",$C122,0)</f>
        <v>-180</v>
      </c>
      <c r="G122" s="8">
        <f>G121+H122</f>
        <v>0</v>
      </c>
      <c r="H122" s="8">
        <f>IF($D122="VISA",$C122,0)</f>
        <v>0</v>
      </c>
      <c r="I122" s="8">
        <f>I121+J122</f>
        <v>0</v>
      </c>
      <c r="J122" s="8">
        <f>IF($D122="ACC",$C122,0)</f>
        <v>0</v>
      </c>
      <c r="K122" s="8">
        <f>K121+L122</f>
        <v>0</v>
      </c>
      <c r="L122" s="8">
        <f>IF($D122="CBB",$C122,0)</f>
        <v>0</v>
      </c>
    </row>
    <row r="123" spans="1:12" x14ac:dyDescent="0.25">
      <c r="A123" s="6">
        <v>41368</v>
      </c>
      <c r="B123" t="s">
        <v>46</v>
      </c>
      <c r="C123" s="7">
        <v>-300</v>
      </c>
      <c r="D123" t="s">
        <v>6</v>
      </c>
      <c r="E123" s="8">
        <f>E122+F123</f>
        <v>26396</v>
      </c>
      <c r="F123" s="8">
        <f>IF($D123="CR01",$C123,0)</f>
        <v>-300</v>
      </c>
      <c r="G123" s="8">
        <f>G122+H123</f>
        <v>0</v>
      </c>
      <c r="H123" s="8">
        <f>IF($D123="VISA",$C123,0)</f>
        <v>0</v>
      </c>
      <c r="I123" s="8">
        <f>I122+J123</f>
        <v>0</v>
      </c>
      <c r="J123" s="8">
        <f>IF($D123="ACC",$C123,0)</f>
        <v>0</v>
      </c>
      <c r="K123" s="8">
        <f>K122+L123</f>
        <v>0</v>
      </c>
      <c r="L123" s="8">
        <f>IF($D123="CBB",$C123,0)</f>
        <v>0</v>
      </c>
    </row>
    <row r="124" spans="1:12" x14ac:dyDescent="0.25">
      <c r="A124" s="6">
        <v>41370</v>
      </c>
      <c r="B124" t="s">
        <v>67</v>
      </c>
      <c r="C124" s="7">
        <v>6800</v>
      </c>
      <c r="D124" t="s">
        <v>6</v>
      </c>
      <c r="E124" s="8">
        <f>E123+F124</f>
        <v>33196</v>
      </c>
      <c r="F124" s="8">
        <f>IF($D124="CR01",$C124,0)</f>
        <v>6800</v>
      </c>
      <c r="G124" s="8">
        <f>G123+H124</f>
        <v>0</v>
      </c>
      <c r="H124" s="8">
        <f>IF($D124="VISA",$C124,0)</f>
        <v>0</v>
      </c>
      <c r="I124" s="8">
        <f>I123+J124</f>
        <v>0</v>
      </c>
      <c r="J124" s="8">
        <f>IF($D124="ACC",$C124,0)</f>
        <v>0</v>
      </c>
      <c r="K124" s="8">
        <f>K123+L124</f>
        <v>0</v>
      </c>
      <c r="L124" s="8">
        <f>IF($D124="CBB",$C124,0)</f>
        <v>0</v>
      </c>
    </row>
    <row r="125" spans="1:12" x14ac:dyDescent="0.25">
      <c r="A125" s="6">
        <v>41373</v>
      </c>
      <c r="B125" t="s">
        <v>42</v>
      </c>
      <c r="C125" s="7">
        <v>-2806</v>
      </c>
      <c r="D125" t="s">
        <v>6</v>
      </c>
      <c r="E125" s="8">
        <f>E124+F125</f>
        <v>30390</v>
      </c>
      <c r="F125" s="8">
        <f>IF($D125="CR01",$C125,0)</f>
        <v>-2806</v>
      </c>
      <c r="G125" s="8">
        <f>G124+H125</f>
        <v>0</v>
      </c>
      <c r="H125" s="8">
        <f>IF($D125="VISA",$C125,0)</f>
        <v>0</v>
      </c>
      <c r="I125" s="8">
        <f>I124+J125</f>
        <v>0</v>
      </c>
      <c r="J125" s="8">
        <f>IF($D125="ACC",$C125,0)</f>
        <v>0</v>
      </c>
      <c r="K125" s="8">
        <f>K124+L125</f>
        <v>0</v>
      </c>
      <c r="L125" s="8">
        <f>IF($D125="CBB",$C125,0)</f>
        <v>0</v>
      </c>
    </row>
    <row r="126" spans="1:12" x14ac:dyDescent="0.25">
      <c r="A126" s="6">
        <v>41373</v>
      </c>
      <c r="B126" t="s">
        <v>48</v>
      </c>
      <c r="C126" s="7">
        <v>-100</v>
      </c>
      <c r="D126" t="s">
        <v>6</v>
      </c>
      <c r="E126" s="8">
        <f>E125+F126</f>
        <v>30290</v>
      </c>
      <c r="F126" s="8">
        <f>IF($D126="CR01",$C126,0)</f>
        <v>-100</v>
      </c>
      <c r="G126" s="8">
        <f>G125+H126</f>
        <v>0</v>
      </c>
      <c r="H126" s="8">
        <f>IF($D126="VISA",$C126,0)</f>
        <v>0</v>
      </c>
      <c r="I126" s="8">
        <f>I125+J126</f>
        <v>0</v>
      </c>
      <c r="J126" s="8">
        <f>IF($D126="ACC",$C126,0)</f>
        <v>0</v>
      </c>
      <c r="K126" s="8">
        <f>K125+L126</f>
        <v>0</v>
      </c>
      <c r="L126" s="8">
        <f>IF($D126="CBB",$C126,0)</f>
        <v>0</v>
      </c>
    </row>
    <row r="127" spans="1:12" x14ac:dyDescent="0.25">
      <c r="A127" s="6">
        <v>41374</v>
      </c>
      <c r="B127" t="s">
        <v>47</v>
      </c>
      <c r="C127" s="7">
        <v>-120</v>
      </c>
      <c r="D127" t="s">
        <v>6</v>
      </c>
      <c r="E127" s="8">
        <f>E126+F127</f>
        <v>30170</v>
      </c>
      <c r="F127" s="8">
        <f>IF($D127="CR01",$C127,0)</f>
        <v>-120</v>
      </c>
      <c r="G127" s="8">
        <f>G126+H127</f>
        <v>0</v>
      </c>
      <c r="H127" s="8">
        <f>IF($D127="VISA",$C127,0)</f>
        <v>0</v>
      </c>
      <c r="I127" s="8">
        <f>I126+J127</f>
        <v>0</v>
      </c>
      <c r="J127" s="8">
        <f>IF($D127="ACC",$C127,0)</f>
        <v>0</v>
      </c>
      <c r="K127" s="8">
        <f>K126+L127</f>
        <v>0</v>
      </c>
      <c r="L127" s="8">
        <f>IF($D127="CBB",$C127,0)</f>
        <v>0</v>
      </c>
    </row>
    <row r="128" spans="1:12" x14ac:dyDescent="0.25">
      <c r="A128" s="6">
        <v>41375</v>
      </c>
      <c r="B128" t="s">
        <v>44</v>
      </c>
      <c r="C128" s="7">
        <v>-400</v>
      </c>
      <c r="D128" t="s">
        <v>6</v>
      </c>
      <c r="E128" s="8">
        <f>E127+F128</f>
        <v>29770</v>
      </c>
      <c r="F128" s="8">
        <f>IF($D128="CR01",$C128,0)</f>
        <v>-400</v>
      </c>
      <c r="G128" s="8">
        <f>G127+H128</f>
        <v>0</v>
      </c>
      <c r="H128" s="8">
        <f>IF($D128="VISA",$C128,0)</f>
        <v>0</v>
      </c>
      <c r="I128" s="8">
        <f>I127+J128</f>
        <v>0</v>
      </c>
      <c r="J128" s="8">
        <f>IF($D128="ACC",$C128,0)</f>
        <v>0</v>
      </c>
      <c r="K128" s="8">
        <f>K127+L128</f>
        <v>0</v>
      </c>
      <c r="L128" s="8">
        <f>IF($D128="CBB",$C128,0)</f>
        <v>0</v>
      </c>
    </row>
    <row r="129" spans="1:12" x14ac:dyDescent="0.25">
      <c r="A129" s="6">
        <v>41375</v>
      </c>
      <c r="B129" t="s">
        <v>45</v>
      </c>
      <c r="C129" s="7">
        <v>-180</v>
      </c>
      <c r="D129" t="s">
        <v>6</v>
      </c>
      <c r="E129" s="8">
        <f>E128+F129</f>
        <v>29590</v>
      </c>
      <c r="F129" s="8">
        <f>IF($D129="CR01",$C129,0)</f>
        <v>-180</v>
      </c>
      <c r="G129" s="8">
        <f>G128+H129</f>
        <v>0</v>
      </c>
      <c r="H129" s="8">
        <f>IF($D129="VISA",$C129,0)</f>
        <v>0</v>
      </c>
      <c r="I129" s="8">
        <f>I128+J129</f>
        <v>0</v>
      </c>
      <c r="J129" s="8">
        <f>IF($D129="ACC",$C129,0)</f>
        <v>0</v>
      </c>
      <c r="K129" s="8">
        <f>K128+L129</f>
        <v>0</v>
      </c>
      <c r="L129" s="8">
        <f>IF($D129="CBB",$C129,0)</f>
        <v>0</v>
      </c>
    </row>
    <row r="130" spans="1:12" x14ac:dyDescent="0.25">
      <c r="A130" s="6">
        <v>41375</v>
      </c>
      <c r="B130" t="s">
        <v>46</v>
      </c>
      <c r="C130" s="7">
        <v>-300</v>
      </c>
      <c r="D130" t="s">
        <v>6</v>
      </c>
      <c r="E130" s="8">
        <f>E129+F130</f>
        <v>29290</v>
      </c>
      <c r="F130" s="8">
        <f>IF($D130="CR01",$C130,0)</f>
        <v>-300</v>
      </c>
      <c r="G130" s="8">
        <f>G129+H130</f>
        <v>0</v>
      </c>
      <c r="H130" s="8">
        <f>IF($D130="VISA",$C130,0)</f>
        <v>0</v>
      </c>
      <c r="I130" s="8">
        <f>I129+J130</f>
        <v>0</v>
      </c>
      <c r="J130" s="8">
        <f>IF($D130="ACC",$C130,0)</f>
        <v>0</v>
      </c>
      <c r="K130" s="8">
        <f>K129+L130</f>
        <v>0</v>
      </c>
      <c r="L130" s="8">
        <f>IF($D130="CBB",$C130,0)</f>
        <v>0</v>
      </c>
    </row>
    <row r="131" spans="1:12" x14ac:dyDescent="0.25">
      <c r="A131" s="6">
        <v>41376</v>
      </c>
      <c r="B131" t="s">
        <v>43</v>
      </c>
      <c r="C131" s="7">
        <v>3226</v>
      </c>
      <c r="D131" t="s">
        <v>6</v>
      </c>
      <c r="E131" s="8">
        <f>E130+F131</f>
        <v>32516</v>
      </c>
      <c r="F131" s="8">
        <f>IF($D131="CR01",$C131,0)</f>
        <v>3226</v>
      </c>
      <c r="G131" s="8">
        <f>G130+H131</f>
        <v>0</v>
      </c>
      <c r="H131" s="8">
        <f>IF($D131="VISA",$C131,0)</f>
        <v>0</v>
      </c>
      <c r="I131" s="8">
        <f>I130+J131</f>
        <v>0</v>
      </c>
      <c r="J131" s="8">
        <f>IF($D131="ACC",$C131,0)</f>
        <v>0</v>
      </c>
      <c r="K131" s="8">
        <f>K130+L131</f>
        <v>0</v>
      </c>
      <c r="L131" s="8">
        <f>IF($D131="CBB",$C131,0)</f>
        <v>0</v>
      </c>
    </row>
    <row r="132" spans="1:12" x14ac:dyDescent="0.25">
      <c r="A132" s="6">
        <v>41380</v>
      </c>
      <c r="B132" t="s">
        <v>48</v>
      </c>
      <c r="C132" s="7">
        <v>-100</v>
      </c>
      <c r="D132" t="s">
        <v>6</v>
      </c>
      <c r="E132" s="8">
        <f>E131+F132</f>
        <v>32416</v>
      </c>
      <c r="F132" s="8">
        <f>IF($D132="CR01",$C132,0)</f>
        <v>-100</v>
      </c>
      <c r="G132" s="8">
        <f>G131+H132</f>
        <v>0</v>
      </c>
      <c r="H132" s="8">
        <f>IF($D132="VISA",$C132,0)</f>
        <v>0</v>
      </c>
      <c r="I132" s="8">
        <f>I131+J132</f>
        <v>0</v>
      </c>
      <c r="J132" s="8">
        <f>IF($D132="ACC",$C132,0)</f>
        <v>0</v>
      </c>
      <c r="K132" s="8">
        <f>K131+L132</f>
        <v>0</v>
      </c>
      <c r="L132" s="8">
        <f>IF($D132="CBB",$C132,0)</f>
        <v>0</v>
      </c>
    </row>
    <row r="133" spans="1:12" x14ac:dyDescent="0.25">
      <c r="A133" s="6">
        <v>41381</v>
      </c>
      <c r="B133" t="s">
        <v>47</v>
      </c>
      <c r="C133" s="7">
        <v>-120</v>
      </c>
      <c r="D133" t="s">
        <v>6</v>
      </c>
      <c r="E133" s="8">
        <f>E132+F133</f>
        <v>32296</v>
      </c>
      <c r="F133" s="8">
        <f>IF($D133="CR01",$C133,0)</f>
        <v>-120</v>
      </c>
      <c r="G133" s="8">
        <f>G132+H133</f>
        <v>0</v>
      </c>
      <c r="H133" s="8">
        <f>IF($D133="VISA",$C133,0)</f>
        <v>0</v>
      </c>
      <c r="I133" s="8">
        <f>I132+J133</f>
        <v>0</v>
      </c>
      <c r="J133" s="8">
        <f>IF($D133="ACC",$C133,0)</f>
        <v>0</v>
      </c>
      <c r="K133" s="8">
        <f>K132+L133</f>
        <v>0</v>
      </c>
      <c r="L133" s="8">
        <f>IF($D133="CBB",$C133,0)</f>
        <v>0</v>
      </c>
    </row>
    <row r="134" spans="1:12" x14ac:dyDescent="0.25">
      <c r="A134" s="6">
        <v>41382</v>
      </c>
      <c r="B134" t="s">
        <v>44</v>
      </c>
      <c r="C134" s="7">
        <v>-400</v>
      </c>
      <c r="D134" t="s">
        <v>6</v>
      </c>
      <c r="E134" s="8">
        <f>E133+F134</f>
        <v>31896</v>
      </c>
      <c r="F134" s="8">
        <f>IF($D134="CR01",$C134,0)</f>
        <v>-400</v>
      </c>
      <c r="G134" s="8">
        <f>G133+H134</f>
        <v>0</v>
      </c>
      <c r="H134" s="8">
        <f>IF($D134="VISA",$C134,0)</f>
        <v>0</v>
      </c>
      <c r="I134" s="8">
        <f>I133+J134</f>
        <v>0</v>
      </c>
      <c r="J134" s="8">
        <f>IF($D134="ACC",$C134,0)</f>
        <v>0</v>
      </c>
      <c r="K134" s="8">
        <f>K133+L134</f>
        <v>0</v>
      </c>
      <c r="L134" s="8">
        <f>IF($D134="CBB",$C134,0)</f>
        <v>0</v>
      </c>
    </row>
    <row r="135" spans="1:12" x14ac:dyDescent="0.25">
      <c r="A135" s="6">
        <v>41382</v>
      </c>
      <c r="B135" t="s">
        <v>45</v>
      </c>
      <c r="C135" s="7">
        <v>-180</v>
      </c>
      <c r="D135" t="s">
        <v>6</v>
      </c>
      <c r="E135" s="8">
        <f>E134+F135</f>
        <v>31716</v>
      </c>
      <c r="F135" s="8">
        <f>IF($D135="CR01",$C135,0)</f>
        <v>-180</v>
      </c>
      <c r="G135" s="8">
        <f>G134+H135</f>
        <v>0</v>
      </c>
      <c r="H135" s="8">
        <f>IF($D135="VISA",$C135,0)</f>
        <v>0</v>
      </c>
      <c r="I135" s="8">
        <f>I134+J135</f>
        <v>0</v>
      </c>
      <c r="J135" s="8">
        <f>IF($D135="ACC",$C135,0)</f>
        <v>0</v>
      </c>
      <c r="K135" s="8">
        <f>K134+L135</f>
        <v>0</v>
      </c>
      <c r="L135" s="8">
        <f>IF($D135="CBB",$C135,0)</f>
        <v>0</v>
      </c>
    </row>
    <row r="136" spans="1:12" x14ac:dyDescent="0.25">
      <c r="A136" s="6">
        <v>41382</v>
      </c>
      <c r="B136" t="s">
        <v>46</v>
      </c>
      <c r="C136" s="7">
        <v>-300</v>
      </c>
      <c r="D136" t="s">
        <v>6</v>
      </c>
      <c r="E136" s="8">
        <f>E135+F136</f>
        <v>31416</v>
      </c>
      <c r="F136" s="8">
        <f>IF($D136="CR01",$C136,0)</f>
        <v>-300</v>
      </c>
      <c r="G136" s="8">
        <f>G135+H136</f>
        <v>0</v>
      </c>
      <c r="H136" s="8">
        <f>IF($D136="VISA",$C136,0)</f>
        <v>0</v>
      </c>
      <c r="I136" s="8">
        <f>I135+J136</f>
        <v>0</v>
      </c>
      <c r="J136" s="8">
        <f>IF($D136="ACC",$C136,0)</f>
        <v>0</v>
      </c>
      <c r="K136" s="8">
        <f>K135+L136</f>
        <v>0</v>
      </c>
      <c r="L136" s="8">
        <f>IF($D136="CBB",$C136,0)</f>
        <v>0</v>
      </c>
    </row>
    <row r="137" spans="1:12" x14ac:dyDescent="0.25">
      <c r="A137" s="6">
        <v>41384</v>
      </c>
      <c r="B137" t="s">
        <v>67</v>
      </c>
      <c r="C137" s="7">
        <v>6800</v>
      </c>
      <c r="D137" t="s">
        <v>6</v>
      </c>
      <c r="E137" s="8">
        <f>E136+F137</f>
        <v>38216</v>
      </c>
      <c r="F137" s="8">
        <f>IF($D137="CR01",$C137,0)</f>
        <v>6800</v>
      </c>
      <c r="G137" s="8">
        <f>G136+H137</f>
        <v>0</v>
      </c>
      <c r="H137" s="8">
        <f>IF($D137="VISA",$C137,0)</f>
        <v>0</v>
      </c>
      <c r="I137" s="8">
        <f>I136+J137</f>
        <v>0</v>
      </c>
      <c r="J137" s="8">
        <f>IF($D137="ACC",$C137,0)</f>
        <v>0</v>
      </c>
      <c r="K137" s="8">
        <f>K136+L137</f>
        <v>0</v>
      </c>
      <c r="L137" s="8">
        <f>IF($D137="CBB",$C137,0)</f>
        <v>0</v>
      </c>
    </row>
    <row r="138" spans="1:12" x14ac:dyDescent="0.25">
      <c r="A138" s="6">
        <v>41387</v>
      </c>
      <c r="B138" t="s">
        <v>42</v>
      </c>
      <c r="C138" s="7">
        <v>-2806</v>
      </c>
      <c r="D138" t="s">
        <v>6</v>
      </c>
      <c r="E138" s="8">
        <f>E137+F138</f>
        <v>35410</v>
      </c>
      <c r="F138" s="8">
        <f>IF($D138="CR01",$C138,0)</f>
        <v>-2806</v>
      </c>
      <c r="G138" s="8">
        <f>G137+H138</f>
        <v>0</v>
      </c>
      <c r="H138" s="8">
        <f>IF($D138="VISA",$C138,0)</f>
        <v>0</v>
      </c>
      <c r="I138" s="8">
        <f>I137+J138</f>
        <v>0</v>
      </c>
      <c r="J138" s="8">
        <f>IF($D138="ACC",$C138,0)</f>
        <v>0</v>
      </c>
      <c r="K138" s="8">
        <f>K137+L138</f>
        <v>0</v>
      </c>
      <c r="L138" s="8">
        <f>IF($D138="CBB",$C138,0)</f>
        <v>0</v>
      </c>
    </row>
    <row r="139" spans="1:12" x14ac:dyDescent="0.25">
      <c r="A139" s="6">
        <v>41387</v>
      </c>
      <c r="B139" t="s">
        <v>48</v>
      </c>
      <c r="C139" s="7">
        <v>-100</v>
      </c>
      <c r="D139" t="s">
        <v>6</v>
      </c>
      <c r="E139" s="8">
        <f>E138+F139</f>
        <v>35310</v>
      </c>
      <c r="F139" s="8">
        <f>IF($D139="CR01",$C139,0)</f>
        <v>-100</v>
      </c>
      <c r="G139" s="8">
        <f>G138+H139</f>
        <v>0</v>
      </c>
      <c r="H139" s="8">
        <f>IF($D139="VISA",$C139,0)</f>
        <v>0</v>
      </c>
      <c r="I139" s="8">
        <f>I138+J139</f>
        <v>0</v>
      </c>
      <c r="J139" s="8">
        <f>IF($D139="ACC",$C139,0)</f>
        <v>0</v>
      </c>
      <c r="K139" s="8">
        <f>K138+L139</f>
        <v>0</v>
      </c>
      <c r="L139" s="8">
        <f>IF($D139="CBB",$C139,0)</f>
        <v>0</v>
      </c>
    </row>
    <row r="140" spans="1:12" x14ac:dyDescent="0.25">
      <c r="A140" s="6">
        <v>41388</v>
      </c>
      <c r="B140" t="s">
        <v>47</v>
      </c>
      <c r="C140" s="7">
        <v>-120</v>
      </c>
      <c r="D140" t="s">
        <v>6</v>
      </c>
      <c r="E140" s="8">
        <f>E139+F140</f>
        <v>35190</v>
      </c>
      <c r="F140" s="8">
        <f>IF($D140="CR01",$C140,0)</f>
        <v>-120</v>
      </c>
      <c r="G140" s="8">
        <f>G139+H140</f>
        <v>0</v>
      </c>
      <c r="H140" s="8">
        <f>IF($D140="VISA",$C140,0)</f>
        <v>0</v>
      </c>
      <c r="I140" s="8">
        <f>I139+J140</f>
        <v>0</v>
      </c>
      <c r="J140" s="8">
        <f>IF($D140="ACC",$C140,0)</f>
        <v>0</v>
      </c>
      <c r="K140" s="8">
        <f>K139+L140</f>
        <v>0</v>
      </c>
      <c r="L140" s="8">
        <f>IF($D140="CBB",$C140,0)</f>
        <v>0</v>
      </c>
    </row>
    <row r="141" spans="1:12" x14ac:dyDescent="0.25">
      <c r="A141" s="6">
        <v>41389</v>
      </c>
      <c r="B141" t="s">
        <v>44</v>
      </c>
      <c r="C141" s="7">
        <v>-400</v>
      </c>
      <c r="D141" t="s">
        <v>6</v>
      </c>
      <c r="E141" s="8">
        <f>E140+F141</f>
        <v>34790</v>
      </c>
      <c r="F141" s="8">
        <f>IF($D141="CR01",$C141,0)</f>
        <v>-400</v>
      </c>
      <c r="G141" s="8">
        <f>G140+H141</f>
        <v>0</v>
      </c>
      <c r="H141" s="8">
        <f>IF($D141="VISA",$C141,0)</f>
        <v>0</v>
      </c>
      <c r="I141" s="8">
        <f>I140+J141</f>
        <v>0</v>
      </c>
      <c r="J141" s="8">
        <f>IF($D141="ACC",$C141,0)</f>
        <v>0</v>
      </c>
      <c r="K141" s="8">
        <f>K140+L141</f>
        <v>0</v>
      </c>
      <c r="L141" s="8">
        <f>IF($D141="CBB",$C141,0)</f>
        <v>0</v>
      </c>
    </row>
    <row r="142" spans="1:12" x14ac:dyDescent="0.25">
      <c r="A142" s="6">
        <v>41389</v>
      </c>
      <c r="B142" t="s">
        <v>45</v>
      </c>
      <c r="C142" s="7">
        <v>-180</v>
      </c>
      <c r="D142" t="s">
        <v>6</v>
      </c>
      <c r="E142" s="8">
        <f>E141+F142</f>
        <v>34610</v>
      </c>
      <c r="F142" s="8">
        <f>IF($D142="CR01",$C142,0)</f>
        <v>-180</v>
      </c>
      <c r="G142" s="8">
        <f>G141+H142</f>
        <v>0</v>
      </c>
      <c r="H142" s="8">
        <f>IF($D142="VISA",$C142,0)</f>
        <v>0</v>
      </c>
      <c r="I142" s="8">
        <f>I141+J142</f>
        <v>0</v>
      </c>
      <c r="J142" s="8">
        <f>IF($D142="ACC",$C142,0)</f>
        <v>0</v>
      </c>
      <c r="K142" s="8">
        <f>K141+L142</f>
        <v>0</v>
      </c>
      <c r="L142" s="8">
        <f>IF($D142="CBB",$C142,0)</f>
        <v>0</v>
      </c>
    </row>
    <row r="143" spans="1:12" x14ac:dyDescent="0.25">
      <c r="A143" s="6">
        <v>41389</v>
      </c>
      <c r="B143" t="s">
        <v>46</v>
      </c>
      <c r="C143" s="7">
        <v>-300</v>
      </c>
      <c r="D143" t="s">
        <v>6</v>
      </c>
      <c r="E143" s="8">
        <f>E142+F143</f>
        <v>34310</v>
      </c>
      <c r="F143" s="8">
        <f>IF($D143="CR01",$C143,0)</f>
        <v>-300</v>
      </c>
      <c r="G143" s="8">
        <f>G142+H143</f>
        <v>0</v>
      </c>
      <c r="H143" s="8">
        <f>IF($D143="VISA",$C143,0)</f>
        <v>0</v>
      </c>
      <c r="I143" s="8">
        <f>I142+J143</f>
        <v>0</v>
      </c>
      <c r="J143" s="8">
        <f>IF($D143="ACC",$C143,0)</f>
        <v>0</v>
      </c>
      <c r="K143" s="8">
        <f>K142+L143</f>
        <v>0</v>
      </c>
      <c r="L143" s="8">
        <f>IF($D143="CBB",$C143,0)</f>
        <v>0</v>
      </c>
    </row>
    <row r="144" spans="1:12" x14ac:dyDescent="0.25">
      <c r="A144" s="6">
        <v>41390</v>
      </c>
      <c r="B144" t="s">
        <v>43</v>
      </c>
      <c r="C144" s="7">
        <v>3226</v>
      </c>
      <c r="D144" t="s">
        <v>6</v>
      </c>
      <c r="E144" s="8">
        <f>E143+F144</f>
        <v>37536</v>
      </c>
      <c r="F144" s="8">
        <f>IF($D144="CR01",$C144,0)</f>
        <v>3226</v>
      </c>
      <c r="G144" s="8">
        <f>G143+H144</f>
        <v>0</v>
      </c>
      <c r="H144" s="8">
        <f>IF($D144="VISA",$C144,0)</f>
        <v>0</v>
      </c>
      <c r="I144" s="8">
        <f>I143+J144</f>
        <v>0</v>
      </c>
      <c r="J144" s="8">
        <f>IF($D144="ACC",$C144,0)</f>
        <v>0</v>
      </c>
      <c r="K144" s="8">
        <f>K143+L144</f>
        <v>0</v>
      </c>
      <c r="L144" s="8">
        <f>IF($D144="CBB",$C144,0)</f>
        <v>0</v>
      </c>
    </row>
    <row r="145" spans="1:12" x14ac:dyDescent="0.25">
      <c r="A145" s="6">
        <v>41394</v>
      </c>
      <c r="B145" t="s">
        <v>48</v>
      </c>
      <c r="C145" s="7">
        <v>-100</v>
      </c>
      <c r="D145" t="s">
        <v>6</v>
      </c>
      <c r="E145" s="8">
        <f>E144+F145</f>
        <v>37436</v>
      </c>
      <c r="F145" s="8">
        <f>IF($D145="CR01",$C145,0)</f>
        <v>-100</v>
      </c>
      <c r="G145" s="8">
        <f>G144+H145</f>
        <v>0</v>
      </c>
      <c r="H145" s="8">
        <f>IF($D145="VISA",$C145,0)</f>
        <v>0</v>
      </c>
      <c r="I145" s="8">
        <f>I144+J145</f>
        <v>0</v>
      </c>
      <c r="J145" s="8">
        <f>IF($D145="ACC",$C145,0)</f>
        <v>0</v>
      </c>
      <c r="K145" s="8">
        <f>K144+L145</f>
        <v>0</v>
      </c>
      <c r="L145" s="8">
        <f>IF($D145="CBB",$C145,0)</f>
        <v>0</v>
      </c>
    </row>
    <row r="146" spans="1:12" x14ac:dyDescent="0.25">
      <c r="A146" s="6">
        <v>41395</v>
      </c>
      <c r="B146" t="s">
        <v>47</v>
      </c>
      <c r="C146" s="7">
        <v>-120</v>
      </c>
      <c r="D146" t="s">
        <v>6</v>
      </c>
      <c r="E146" s="8">
        <f>E145+F146</f>
        <v>37316</v>
      </c>
      <c r="F146" s="8">
        <f>IF($D146="CR01",$C146,0)</f>
        <v>-120</v>
      </c>
      <c r="G146" s="8">
        <f>G145+H146</f>
        <v>0</v>
      </c>
      <c r="H146" s="8">
        <f>IF($D146="VISA",$C146,0)</f>
        <v>0</v>
      </c>
      <c r="I146" s="8">
        <f>I145+J146</f>
        <v>0</v>
      </c>
      <c r="J146" s="8">
        <f>IF($D146="ACC",$C146,0)</f>
        <v>0</v>
      </c>
      <c r="K146" s="8">
        <f>K145+L146</f>
        <v>0</v>
      </c>
      <c r="L146" s="8">
        <f>IF($D146="CBB",$C146,0)</f>
        <v>0</v>
      </c>
    </row>
    <row r="147" spans="1:12" x14ac:dyDescent="0.25">
      <c r="A147" s="6">
        <v>41395</v>
      </c>
      <c r="B147" t="s">
        <v>58</v>
      </c>
      <c r="C147" s="7">
        <v>-200</v>
      </c>
      <c r="D147" t="s">
        <v>6</v>
      </c>
      <c r="E147" s="8">
        <f>E146+F147</f>
        <v>37116</v>
      </c>
      <c r="F147" s="8">
        <f>IF($D147="CR01",$C147,0)</f>
        <v>-200</v>
      </c>
      <c r="G147" s="8">
        <f>G146+H147</f>
        <v>0</v>
      </c>
      <c r="H147" s="8">
        <f>IF($D147="VISA",$C147,0)</f>
        <v>0</v>
      </c>
      <c r="I147" s="8">
        <f>I146+J147</f>
        <v>0</v>
      </c>
      <c r="J147" s="8">
        <f>IF($D147="ACC",$C147,0)</f>
        <v>0</v>
      </c>
      <c r="K147" s="8">
        <f>K146+L147</f>
        <v>0</v>
      </c>
      <c r="L147" s="8">
        <f>IF($D147="CBB",$C147,0)</f>
        <v>0</v>
      </c>
    </row>
    <row r="148" spans="1:12" x14ac:dyDescent="0.25">
      <c r="A148" s="6">
        <v>41395</v>
      </c>
      <c r="B148" t="s">
        <v>60</v>
      </c>
      <c r="C148" s="7">
        <v>-400</v>
      </c>
      <c r="D148" t="s">
        <v>6</v>
      </c>
      <c r="E148" s="8">
        <f>E147+F148</f>
        <v>36716</v>
      </c>
      <c r="F148" s="8">
        <f>IF($D148="CR01",$C148,0)</f>
        <v>-400</v>
      </c>
      <c r="G148" s="8">
        <f>G147+H148</f>
        <v>0</v>
      </c>
      <c r="H148" s="8">
        <f>IF($D148="VISA",$C148,0)</f>
        <v>0</v>
      </c>
      <c r="I148" s="8">
        <f>I147+J148</f>
        <v>0</v>
      </c>
      <c r="J148" s="8">
        <f>IF($D148="ACC",$C148,0)</f>
        <v>0</v>
      </c>
      <c r="K148" s="8">
        <f>K147+L148</f>
        <v>0</v>
      </c>
      <c r="L148" s="8">
        <f>IF($D148="CBB",$C148,0)</f>
        <v>0</v>
      </c>
    </row>
    <row r="149" spans="1:12" x14ac:dyDescent="0.25">
      <c r="A149" s="6">
        <v>41395</v>
      </c>
      <c r="B149" t="s">
        <v>62</v>
      </c>
      <c r="C149" s="7">
        <v>-300</v>
      </c>
      <c r="D149" t="s">
        <v>6</v>
      </c>
      <c r="E149" s="8">
        <f>E148+F149</f>
        <v>36416</v>
      </c>
      <c r="F149" s="8">
        <f>IF($D149="CR01",$C149,0)</f>
        <v>-300</v>
      </c>
      <c r="G149" s="8">
        <f>G148+H149</f>
        <v>0</v>
      </c>
      <c r="H149" s="8">
        <f>IF($D149="VISA",$C149,0)</f>
        <v>0</v>
      </c>
      <c r="I149" s="8">
        <f>I148+J149</f>
        <v>0</v>
      </c>
      <c r="J149" s="8">
        <f>IF($D149="ACC",$C149,0)</f>
        <v>0</v>
      </c>
      <c r="K149" s="8">
        <f>K148+L149</f>
        <v>0</v>
      </c>
      <c r="L149" s="8">
        <f>IF($D149="CBB",$C149,0)</f>
        <v>0</v>
      </c>
    </row>
    <row r="150" spans="1:12" x14ac:dyDescent="0.25">
      <c r="A150" s="6">
        <v>41395</v>
      </c>
      <c r="B150" t="s">
        <v>63</v>
      </c>
      <c r="C150" s="7">
        <v>-300</v>
      </c>
      <c r="D150" t="s">
        <v>6</v>
      </c>
      <c r="E150" s="8">
        <f>E149+F150</f>
        <v>36116</v>
      </c>
      <c r="F150" s="8">
        <f>IF($D150="CR01",$C150,0)</f>
        <v>-300</v>
      </c>
      <c r="G150" s="8">
        <f>G149+H150</f>
        <v>0</v>
      </c>
      <c r="H150" s="8">
        <f>IF($D150="VISA",$C150,0)</f>
        <v>0</v>
      </c>
      <c r="I150" s="8">
        <f>I149+J150</f>
        <v>0</v>
      </c>
      <c r="J150" s="8">
        <f>IF($D150="ACC",$C150,0)</f>
        <v>0</v>
      </c>
      <c r="K150" s="8">
        <f>K149+L150</f>
        <v>0</v>
      </c>
      <c r="L150" s="8">
        <f>IF($D150="CBB",$C150,0)</f>
        <v>0</v>
      </c>
    </row>
    <row r="151" spans="1:12" x14ac:dyDescent="0.25">
      <c r="A151" s="6">
        <v>41395</v>
      </c>
      <c r="B151" t="s">
        <v>64</v>
      </c>
      <c r="C151" s="7">
        <v>-26</v>
      </c>
      <c r="D151" t="s">
        <v>6</v>
      </c>
      <c r="E151" s="8">
        <f>E150+F151</f>
        <v>36090</v>
      </c>
      <c r="F151" s="8">
        <f>IF($D151="CR01",$C151,0)</f>
        <v>-26</v>
      </c>
      <c r="G151" s="8">
        <f>G150+H151</f>
        <v>0</v>
      </c>
      <c r="H151" s="8">
        <f>IF($D151="VISA",$C151,0)</f>
        <v>0</v>
      </c>
      <c r="I151" s="8">
        <f>I150+J151</f>
        <v>0</v>
      </c>
      <c r="J151" s="8">
        <f>IF($D151="ACC",$C151,0)</f>
        <v>0</v>
      </c>
      <c r="K151" s="8">
        <f>K150+L151</f>
        <v>0</v>
      </c>
      <c r="L151" s="8">
        <f>IF($D151="CBB",$C151,0)</f>
        <v>0</v>
      </c>
    </row>
    <row r="152" spans="1:12" x14ac:dyDescent="0.25">
      <c r="A152" s="6">
        <v>41395</v>
      </c>
      <c r="B152" t="s">
        <v>65</v>
      </c>
      <c r="C152" s="7">
        <v>-240</v>
      </c>
      <c r="D152" t="s">
        <v>6</v>
      </c>
      <c r="E152" s="8">
        <f>E151+F152</f>
        <v>35850</v>
      </c>
      <c r="F152" s="8">
        <f>IF($D152="CR01",$C152,0)</f>
        <v>-240</v>
      </c>
      <c r="G152" s="8">
        <f>G151+H152</f>
        <v>0</v>
      </c>
      <c r="H152" s="8">
        <f>IF($D152="VISA",$C152,0)</f>
        <v>0</v>
      </c>
      <c r="I152" s="8">
        <f>I151+J152</f>
        <v>0</v>
      </c>
      <c r="J152" s="8">
        <f>IF($D152="ACC",$C152,0)</f>
        <v>0</v>
      </c>
      <c r="K152" s="8">
        <f>K151+L152</f>
        <v>0</v>
      </c>
      <c r="L152" s="8">
        <f>IF($D152="CBB",$C152,0)</f>
        <v>0</v>
      </c>
    </row>
    <row r="153" spans="1:12" x14ac:dyDescent="0.25">
      <c r="A153" s="6">
        <v>41395</v>
      </c>
      <c r="B153" t="s">
        <v>66</v>
      </c>
      <c r="C153" s="7">
        <v>-120</v>
      </c>
      <c r="D153" t="s">
        <v>6</v>
      </c>
      <c r="E153" s="8">
        <f>E152+F153</f>
        <v>35730</v>
      </c>
      <c r="F153" s="8">
        <f>IF($D153="CR01",$C153,0)</f>
        <v>-120</v>
      </c>
      <c r="G153" s="8">
        <f>G152+H153</f>
        <v>0</v>
      </c>
      <c r="H153" s="8">
        <f>IF($D153="VISA",$C153,0)</f>
        <v>0</v>
      </c>
      <c r="I153" s="8">
        <f>I152+J153</f>
        <v>0</v>
      </c>
      <c r="J153" s="8">
        <f>IF($D153="ACC",$C153,0)</f>
        <v>0</v>
      </c>
      <c r="K153" s="8">
        <f>K152+L153</f>
        <v>0</v>
      </c>
      <c r="L153" s="8">
        <f>IF($D153="CBB",$C153,0)</f>
        <v>0</v>
      </c>
    </row>
    <row r="154" spans="1:12" x14ac:dyDescent="0.25">
      <c r="A154" s="6">
        <v>41396</v>
      </c>
      <c r="B154" t="s">
        <v>44</v>
      </c>
      <c r="C154" s="7">
        <v>-400</v>
      </c>
      <c r="D154" t="s">
        <v>6</v>
      </c>
      <c r="E154" s="8">
        <f>E153+F154</f>
        <v>35330</v>
      </c>
      <c r="F154" s="8">
        <f>IF($D154="CR01",$C154,0)</f>
        <v>-400</v>
      </c>
      <c r="G154" s="8">
        <f>G153+H154</f>
        <v>0</v>
      </c>
      <c r="H154" s="8">
        <f>IF($D154="VISA",$C154,0)</f>
        <v>0</v>
      </c>
      <c r="I154" s="8">
        <f>I153+J154</f>
        <v>0</v>
      </c>
      <c r="J154" s="8">
        <f>IF($D154="ACC",$C154,0)</f>
        <v>0</v>
      </c>
      <c r="K154" s="8">
        <f>K153+L154</f>
        <v>0</v>
      </c>
      <c r="L154" s="8">
        <f>IF($D154="CBB",$C154,0)</f>
        <v>0</v>
      </c>
    </row>
    <row r="155" spans="1:12" x14ac:dyDescent="0.25">
      <c r="A155" s="6">
        <v>41396</v>
      </c>
      <c r="B155" t="s">
        <v>45</v>
      </c>
      <c r="C155" s="7">
        <v>-180</v>
      </c>
      <c r="D155" t="s">
        <v>6</v>
      </c>
      <c r="E155" s="8">
        <f>E154+F155</f>
        <v>35150</v>
      </c>
      <c r="F155" s="8">
        <f>IF($D155="CR01",$C155,0)</f>
        <v>-180</v>
      </c>
      <c r="G155" s="8">
        <f>G154+H155</f>
        <v>0</v>
      </c>
      <c r="H155" s="8">
        <f>IF($D155="VISA",$C155,0)</f>
        <v>0</v>
      </c>
      <c r="I155" s="8">
        <f>I154+J155</f>
        <v>0</v>
      </c>
      <c r="J155" s="8">
        <f>IF($D155="ACC",$C155,0)</f>
        <v>0</v>
      </c>
      <c r="K155" s="8">
        <f>K154+L155</f>
        <v>0</v>
      </c>
      <c r="L155" s="8">
        <f>IF($D155="CBB",$C155,0)</f>
        <v>0</v>
      </c>
    </row>
    <row r="156" spans="1:12" x14ac:dyDescent="0.25">
      <c r="A156" s="6">
        <v>41396</v>
      </c>
      <c r="B156" t="s">
        <v>46</v>
      </c>
      <c r="C156" s="7">
        <v>-300</v>
      </c>
      <c r="D156" t="s">
        <v>6</v>
      </c>
      <c r="E156" s="8">
        <f>E155+F156</f>
        <v>34850</v>
      </c>
      <c r="F156" s="8">
        <f>IF($D156="CR01",$C156,0)</f>
        <v>-300</v>
      </c>
      <c r="G156" s="8">
        <f>G155+H156</f>
        <v>0</v>
      </c>
      <c r="H156" s="8">
        <f>IF($D156="VISA",$C156,0)</f>
        <v>0</v>
      </c>
      <c r="I156" s="8">
        <f>I155+J156</f>
        <v>0</v>
      </c>
      <c r="J156" s="8">
        <f>IF($D156="ACC",$C156,0)</f>
        <v>0</v>
      </c>
      <c r="K156" s="8">
        <f>K155+L156</f>
        <v>0</v>
      </c>
      <c r="L156" s="8">
        <f>IF($D156="CBB",$C156,0)</f>
        <v>0</v>
      </c>
    </row>
    <row r="157" spans="1:12" x14ac:dyDescent="0.25">
      <c r="A157" s="6">
        <v>41396</v>
      </c>
      <c r="B157" t="s">
        <v>59</v>
      </c>
      <c r="C157" s="7">
        <v>-900</v>
      </c>
      <c r="D157" t="s">
        <v>6</v>
      </c>
      <c r="E157" s="8">
        <f>E156+F157</f>
        <v>33950</v>
      </c>
      <c r="F157" s="8">
        <f>IF($D157="CR01",$C157,0)</f>
        <v>-900</v>
      </c>
      <c r="G157" s="8">
        <f>G156+H157</f>
        <v>0</v>
      </c>
      <c r="H157" s="8">
        <f>IF($D157="VISA",$C157,0)</f>
        <v>0</v>
      </c>
      <c r="I157" s="8">
        <f>I156+J157</f>
        <v>0</v>
      </c>
      <c r="J157" s="8">
        <f>IF($D157="ACC",$C157,0)</f>
        <v>0</v>
      </c>
      <c r="K157" s="8">
        <f>K156+L157</f>
        <v>0</v>
      </c>
      <c r="L157" s="8">
        <f>IF($D157="CBB",$C157,0)</f>
        <v>0</v>
      </c>
    </row>
    <row r="158" spans="1:12" x14ac:dyDescent="0.25">
      <c r="A158" s="6">
        <v>41398</v>
      </c>
      <c r="B158" t="s">
        <v>67</v>
      </c>
      <c r="C158" s="7">
        <v>6800</v>
      </c>
      <c r="D158" t="s">
        <v>6</v>
      </c>
      <c r="E158" s="8">
        <f>E157+F158</f>
        <v>40750</v>
      </c>
      <c r="F158" s="8">
        <f>IF($D158="CR01",$C158,0)</f>
        <v>6800</v>
      </c>
      <c r="G158" s="8">
        <f>G157+H158</f>
        <v>0</v>
      </c>
      <c r="H158" s="8">
        <f>IF($D158="VISA",$C158,0)</f>
        <v>0</v>
      </c>
      <c r="I158" s="8">
        <f>I157+J158</f>
        <v>0</v>
      </c>
      <c r="J158" s="8">
        <f>IF($D158="ACC",$C158,0)</f>
        <v>0</v>
      </c>
      <c r="K158" s="8">
        <f>K157+L158</f>
        <v>0</v>
      </c>
      <c r="L158" s="8">
        <f>IF($D158="CBB",$C158,0)</f>
        <v>0</v>
      </c>
    </row>
    <row r="159" spans="1:12" x14ac:dyDescent="0.25">
      <c r="A159" s="6">
        <v>41401</v>
      </c>
      <c r="B159" t="s">
        <v>42</v>
      </c>
      <c r="C159" s="7">
        <v>-2806</v>
      </c>
      <c r="D159" t="s">
        <v>6</v>
      </c>
      <c r="E159" s="8">
        <f>E158+F159</f>
        <v>37944</v>
      </c>
      <c r="F159" s="8">
        <f>IF($D159="CR01",$C159,0)</f>
        <v>-2806</v>
      </c>
      <c r="G159" s="8">
        <f>G158+H159</f>
        <v>0</v>
      </c>
      <c r="H159" s="8">
        <f>IF($D159="VISA",$C159,0)</f>
        <v>0</v>
      </c>
      <c r="I159" s="8">
        <f>I158+J159</f>
        <v>0</v>
      </c>
      <c r="J159" s="8">
        <f>IF($D159="ACC",$C159,0)</f>
        <v>0</v>
      </c>
      <c r="K159" s="8">
        <f>K158+L159</f>
        <v>0</v>
      </c>
      <c r="L159" s="8">
        <f>IF($D159="CBB",$C159,0)</f>
        <v>0</v>
      </c>
    </row>
    <row r="160" spans="1:12" x14ac:dyDescent="0.25">
      <c r="A160" s="6">
        <v>41401</v>
      </c>
      <c r="B160" t="s">
        <v>48</v>
      </c>
      <c r="C160" s="7">
        <v>-100</v>
      </c>
      <c r="D160" t="s">
        <v>6</v>
      </c>
      <c r="E160" s="8">
        <f>E159+F160</f>
        <v>37844</v>
      </c>
      <c r="F160" s="8">
        <f>IF($D160="CR01",$C160,0)</f>
        <v>-100</v>
      </c>
      <c r="G160" s="8">
        <f>G159+H160</f>
        <v>0</v>
      </c>
      <c r="H160" s="8">
        <f>IF($D160="VISA",$C160,0)</f>
        <v>0</v>
      </c>
      <c r="I160" s="8">
        <f>I159+J160</f>
        <v>0</v>
      </c>
      <c r="J160" s="8">
        <f>IF($D160="ACC",$C160,0)</f>
        <v>0</v>
      </c>
      <c r="K160" s="8">
        <f>K159+L160</f>
        <v>0</v>
      </c>
      <c r="L160" s="8">
        <f>IF($D160="CBB",$C160,0)</f>
        <v>0</v>
      </c>
    </row>
    <row r="161" spans="1:12" x14ac:dyDescent="0.25">
      <c r="A161" s="6">
        <v>41402</v>
      </c>
      <c r="B161" t="s">
        <v>47</v>
      </c>
      <c r="C161" s="7">
        <v>-120</v>
      </c>
      <c r="D161" t="s">
        <v>6</v>
      </c>
      <c r="E161" s="8">
        <f>E160+F161</f>
        <v>37724</v>
      </c>
      <c r="F161" s="8">
        <f>IF($D161="CR01",$C161,0)</f>
        <v>-120</v>
      </c>
      <c r="G161" s="8">
        <f>G160+H161</f>
        <v>0</v>
      </c>
      <c r="H161" s="8">
        <f>IF($D161="VISA",$C161,0)</f>
        <v>0</v>
      </c>
      <c r="I161" s="8">
        <f>I160+J161</f>
        <v>0</v>
      </c>
      <c r="J161" s="8">
        <f>IF($D161="ACC",$C161,0)</f>
        <v>0</v>
      </c>
      <c r="K161" s="8">
        <f>K160+L161</f>
        <v>0</v>
      </c>
      <c r="L161" s="8">
        <f>IF($D161="CBB",$C161,0)</f>
        <v>0</v>
      </c>
    </row>
    <row r="162" spans="1:12" x14ac:dyDescent="0.25">
      <c r="A162" s="6">
        <v>41403</v>
      </c>
      <c r="B162" t="s">
        <v>44</v>
      </c>
      <c r="C162" s="7">
        <v>-400</v>
      </c>
      <c r="D162" t="s">
        <v>6</v>
      </c>
      <c r="E162" s="8">
        <f>E161+F162</f>
        <v>37324</v>
      </c>
      <c r="F162" s="8">
        <f>IF($D162="CR01",$C162,0)</f>
        <v>-400</v>
      </c>
      <c r="G162" s="8">
        <f>G161+H162</f>
        <v>0</v>
      </c>
      <c r="H162" s="8">
        <f>IF($D162="VISA",$C162,0)</f>
        <v>0</v>
      </c>
      <c r="I162" s="8">
        <f>I161+J162</f>
        <v>0</v>
      </c>
      <c r="J162" s="8">
        <f>IF($D162="ACC",$C162,0)</f>
        <v>0</v>
      </c>
      <c r="K162" s="8">
        <f>K161+L162</f>
        <v>0</v>
      </c>
      <c r="L162" s="8">
        <f>IF($D162="CBB",$C162,0)</f>
        <v>0</v>
      </c>
    </row>
    <row r="163" spans="1:12" x14ac:dyDescent="0.25">
      <c r="A163" s="6">
        <v>41403</v>
      </c>
      <c r="B163" t="s">
        <v>45</v>
      </c>
      <c r="C163" s="7">
        <v>-180</v>
      </c>
      <c r="D163" t="s">
        <v>6</v>
      </c>
      <c r="E163" s="8">
        <f>E162+F163</f>
        <v>37144</v>
      </c>
      <c r="F163" s="8">
        <f>IF($D163="CR01",$C163,0)</f>
        <v>-180</v>
      </c>
      <c r="G163" s="8">
        <f>G162+H163</f>
        <v>0</v>
      </c>
      <c r="H163" s="8">
        <f>IF($D163="VISA",$C163,0)</f>
        <v>0</v>
      </c>
      <c r="I163" s="8">
        <f>I162+J163</f>
        <v>0</v>
      </c>
      <c r="J163" s="8">
        <f>IF($D163="ACC",$C163,0)</f>
        <v>0</v>
      </c>
      <c r="K163" s="8">
        <f>K162+L163</f>
        <v>0</v>
      </c>
      <c r="L163" s="8">
        <f>IF($D163="CBB",$C163,0)</f>
        <v>0</v>
      </c>
    </row>
    <row r="164" spans="1:12" x14ac:dyDescent="0.25">
      <c r="A164" s="6">
        <v>41403</v>
      </c>
      <c r="B164" t="s">
        <v>46</v>
      </c>
      <c r="C164" s="7">
        <v>-300</v>
      </c>
      <c r="D164" t="s">
        <v>6</v>
      </c>
      <c r="E164" s="8">
        <f>E163+F164</f>
        <v>36844</v>
      </c>
      <c r="F164" s="8">
        <f>IF($D164="CR01",$C164,0)</f>
        <v>-300</v>
      </c>
      <c r="G164" s="8">
        <f>G163+H164</f>
        <v>0</v>
      </c>
      <c r="H164" s="8">
        <f>IF($D164="VISA",$C164,0)</f>
        <v>0</v>
      </c>
      <c r="I164" s="8">
        <f>I163+J164</f>
        <v>0</v>
      </c>
      <c r="J164" s="8">
        <f>IF($D164="ACC",$C164,0)</f>
        <v>0</v>
      </c>
      <c r="K164" s="8">
        <f>K163+L164</f>
        <v>0</v>
      </c>
      <c r="L164" s="8">
        <f>IF($D164="CBB",$C164,0)</f>
        <v>0</v>
      </c>
    </row>
    <row r="165" spans="1:12" x14ac:dyDescent="0.25">
      <c r="A165" s="6">
        <v>41404</v>
      </c>
      <c r="B165" t="s">
        <v>43</v>
      </c>
      <c r="C165" s="7">
        <v>3226</v>
      </c>
      <c r="D165" t="s">
        <v>6</v>
      </c>
      <c r="E165" s="8">
        <f>E164+F165</f>
        <v>40070</v>
      </c>
      <c r="F165" s="8">
        <f>IF($D165="CR01",$C165,0)</f>
        <v>3226</v>
      </c>
      <c r="G165" s="8">
        <f>G164+H165</f>
        <v>0</v>
      </c>
      <c r="H165" s="8">
        <f>IF($D165="VISA",$C165,0)</f>
        <v>0</v>
      </c>
      <c r="I165" s="8">
        <f>I164+J165</f>
        <v>0</v>
      </c>
      <c r="J165" s="8">
        <f>IF($D165="ACC",$C165,0)</f>
        <v>0</v>
      </c>
      <c r="K165" s="8">
        <f>K164+L165</f>
        <v>0</v>
      </c>
      <c r="L165" s="8">
        <f>IF($D165="CBB",$C165,0)</f>
        <v>0</v>
      </c>
    </row>
    <row r="166" spans="1:12" x14ac:dyDescent="0.25">
      <c r="A166" s="6">
        <v>41408</v>
      </c>
      <c r="B166" t="s">
        <v>48</v>
      </c>
      <c r="C166" s="7">
        <v>-100</v>
      </c>
      <c r="D166" t="s">
        <v>6</v>
      </c>
      <c r="E166" s="8">
        <f>E165+F166</f>
        <v>39970</v>
      </c>
      <c r="F166" s="8">
        <f>IF($D166="CR01",$C166,0)</f>
        <v>-100</v>
      </c>
      <c r="G166" s="8">
        <f>G165+H166</f>
        <v>0</v>
      </c>
      <c r="H166" s="8">
        <f>IF($D166="VISA",$C166,0)</f>
        <v>0</v>
      </c>
      <c r="I166" s="8">
        <f>I165+J166</f>
        <v>0</v>
      </c>
      <c r="J166" s="8">
        <f>IF($D166="ACC",$C166,0)</f>
        <v>0</v>
      </c>
      <c r="K166" s="8">
        <f>K165+L166</f>
        <v>0</v>
      </c>
      <c r="L166" s="8">
        <f>IF($D166="CBB",$C166,0)</f>
        <v>0</v>
      </c>
    </row>
    <row r="167" spans="1:12" x14ac:dyDescent="0.25">
      <c r="A167" s="6">
        <v>41409</v>
      </c>
      <c r="B167" t="s">
        <v>47</v>
      </c>
      <c r="C167" s="7">
        <v>-120</v>
      </c>
      <c r="D167" t="s">
        <v>6</v>
      </c>
      <c r="E167" s="8">
        <f>E166+F167</f>
        <v>39850</v>
      </c>
      <c r="F167" s="8">
        <f>IF($D167="CR01",$C167,0)</f>
        <v>-120</v>
      </c>
      <c r="G167" s="8">
        <f>G166+H167</f>
        <v>0</v>
      </c>
      <c r="H167" s="8">
        <f>IF($D167="VISA",$C167,0)</f>
        <v>0</v>
      </c>
      <c r="I167" s="8">
        <f>I166+J167</f>
        <v>0</v>
      </c>
      <c r="J167" s="8">
        <f>IF($D167="ACC",$C167,0)</f>
        <v>0</v>
      </c>
      <c r="K167" s="8">
        <f>K166+L167</f>
        <v>0</v>
      </c>
      <c r="L167" s="8">
        <f>IF($D167="CBB",$C167,0)</f>
        <v>0</v>
      </c>
    </row>
    <row r="168" spans="1:12" x14ac:dyDescent="0.25">
      <c r="A168" s="6">
        <v>41410</v>
      </c>
      <c r="B168" t="s">
        <v>44</v>
      </c>
      <c r="C168" s="7">
        <v>-400</v>
      </c>
      <c r="D168" t="s">
        <v>6</v>
      </c>
      <c r="E168" s="8">
        <f>E167+F168</f>
        <v>39450</v>
      </c>
      <c r="F168" s="8">
        <f>IF($D168="CR01",$C168,0)</f>
        <v>-400</v>
      </c>
      <c r="G168" s="8">
        <f>G167+H168</f>
        <v>0</v>
      </c>
      <c r="H168" s="8">
        <f>IF($D168="VISA",$C168,0)</f>
        <v>0</v>
      </c>
      <c r="I168" s="8">
        <f>I167+J168</f>
        <v>0</v>
      </c>
      <c r="J168" s="8">
        <f>IF($D168="ACC",$C168,0)</f>
        <v>0</v>
      </c>
      <c r="K168" s="8">
        <f>K167+L168</f>
        <v>0</v>
      </c>
      <c r="L168" s="8">
        <f>IF($D168="CBB",$C168,0)</f>
        <v>0</v>
      </c>
    </row>
    <row r="169" spans="1:12" x14ac:dyDescent="0.25">
      <c r="A169" s="6">
        <v>41410</v>
      </c>
      <c r="B169" t="s">
        <v>45</v>
      </c>
      <c r="C169" s="7">
        <v>-180</v>
      </c>
      <c r="D169" t="s">
        <v>6</v>
      </c>
      <c r="E169" s="8">
        <f>E168+F169</f>
        <v>39270</v>
      </c>
      <c r="F169" s="8">
        <f>IF($D169="CR01",$C169,0)</f>
        <v>-180</v>
      </c>
      <c r="G169" s="8">
        <f>G168+H169</f>
        <v>0</v>
      </c>
      <c r="H169" s="8">
        <f>IF($D169="VISA",$C169,0)</f>
        <v>0</v>
      </c>
      <c r="I169" s="8">
        <f>I168+J169</f>
        <v>0</v>
      </c>
      <c r="J169" s="8">
        <f>IF($D169="ACC",$C169,0)</f>
        <v>0</v>
      </c>
      <c r="K169" s="8">
        <f>K168+L169</f>
        <v>0</v>
      </c>
      <c r="L169" s="8">
        <f>IF($D169="CBB",$C169,0)</f>
        <v>0</v>
      </c>
    </row>
    <row r="170" spans="1:12" x14ac:dyDescent="0.25">
      <c r="A170" s="6">
        <v>41410</v>
      </c>
      <c r="B170" t="s">
        <v>46</v>
      </c>
      <c r="C170" s="7">
        <v>-300</v>
      </c>
      <c r="D170" t="s">
        <v>6</v>
      </c>
      <c r="E170" s="8">
        <f>E169+F170</f>
        <v>38970</v>
      </c>
      <c r="F170" s="8">
        <f>IF($D170="CR01",$C170,0)</f>
        <v>-300</v>
      </c>
      <c r="G170" s="8">
        <f>G169+H170</f>
        <v>0</v>
      </c>
      <c r="H170" s="8">
        <f>IF($D170="VISA",$C170,0)</f>
        <v>0</v>
      </c>
      <c r="I170" s="8">
        <f>I169+J170</f>
        <v>0</v>
      </c>
      <c r="J170" s="8">
        <f>IF($D170="ACC",$C170,0)</f>
        <v>0</v>
      </c>
      <c r="K170" s="8">
        <f>K169+L170</f>
        <v>0</v>
      </c>
      <c r="L170" s="8">
        <f>IF($D170="CBB",$C170,0)</f>
        <v>0</v>
      </c>
    </row>
    <row r="171" spans="1:12" x14ac:dyDescent="0.25">
      <c r="A171" s="6">
        <v>41412</v>
      </c>
      <c r="B171" t="s">
        <v>67</v>
      </c>
      <c r="C171" s="7">
        <v>6800</v>
      </c>
      <c r="D171" t="s">
        <v>6</v>
      </c>
      <c r="E171" s="8">
        <f>E170+F171</f>
        <v>45770</v>
      </c>
      <c r="F171" s="8">
        <f>IF($D171="CR01",$C171,0)</f>
        <v>6800</v>
      </c>
      <c r="G171" s="8">
        <f>G170+H171</f>
        <v>0</v>
      </c>
      <c r="H171" s="8">
        <f>IF($D171="VISA",$C171,0)</f>
        <v>0</v>
      </c>
      <c r="I171" s="8">
        <f>I170+J171</f>
        <v>0</v>
      </c>
      <c r="J171" s="8">
        <f>IF($D171="ACC",$C171,0)</f>
        <v>0</v>
      </c>
      <c r="K171" s="8">
        <f>K170+L171</f>
        <v>0</v>
      </c>
      <c r="L171" s="8">
        <f>IF($D171="CBB",$C171,0)</f>
        <v>0</v>
      </c>
    </row>
    <row r="172" spans="1:12" x14ac:dyDescent="0.25">
      <c r="A172" s="6">
        <v>41415</v>
      </c>
      <c r="B172" t="s">
        <v>42</v>
      </c>
      <c r="C172" s="7">
        <v>-2806</v>
      </c>
      <c r="D172" t="s">
        <v>6</v>
      </c>
      <c r="E172" s="8">
        <f>E171+F172</f>
        <v>42964</v>
      </c>
      <c r="F172" s="8">
        <f>IF($D172="CR01",$C172,0)</f>
        <v>-2806</v>
      </c>
      <c r="G172" s="8">
        <f>G171+H172</f>
        <v>0</v>
      </c>
      <c r="H172" s="8">
        <f>IF($D172="VISA",$C172,0)</f>
        <v>0</v>
      </c>
      <c r="I172" s="8">
        <f>I171+J172</f>
        <v>0</v>
      </c>
      <c r="J172" s="8">
        <f>IF($D172="ACC",$C172,0)</f>
        <v>0</v>
      </c>
      <c r="K172" s="8">
        <f>K171+L172</f>
        <v>0</v>
      </c>
      <c r="L172" s="8">
        <f>IF($D172="CBB",$C172,0)</f>
        <v>0</v>
      </c>
    </row>
    <row r="173" spans="1:12" x14ac:dyDescent="0.25">
      <c r="A173" s="6">
        <v>41415</v>
      </c>
      <c r="B173" t="s">
        <v>48</v>
      </c>
      <c r="C173" s="7">
        <v>-100</v>
      </c>
      <c r="D173" t="s">
        <v>6</v>
      </c>
      <c r="E173" s="8">
        <f>E172+F173</f>
        <v>42864</v>
      </c>
      <c r="F173" s="8">
        <f>IF($D173="CR01",$C173,0)</f>
        <v>-100</v>
      </c>
      <c r="G173" s="8">
        <f>G172+H173</f>
        <v>0</v>
      </c>
      <c r="H173" s="8">
        <f>IF($D173="VISA",$C173,0)</f>
        <v>0</v>
      </c>
      <c r="I173" s="8">
        <f>I172+J173</f>
        <v>0</v>
      </c>
      <c r="J173" s="8">
        <f>IF($D173="ACC",$C173,0)</f>
        <v>0</v>
      </c>
      <c r="K173" s="8">
        <f>K172+L173</f>
        <v>0</v>
      </c>
      <c r="L173" s="8">
        <f>IF($D173="CBB",$C173,0)</f>
        <v>0</v>
      </c>
    </row>
    <row r="174" spans="1:12" x14ac:dyDescent="0.25">
      <c r="A174" s="6">
        <v>41416</v>
      </c>
      <c r="B174" t="s">
        <v>47</v>
      </c>
      <c r="C174" s="7">
        <v>-120</v>
      </c>
      <c r="D174" t="s">
        <v>6</v>
      </c>
      <c r="E174" s="8">
        <f>E173+F174</f>
        <v>42744</v>
      </c>
      <c r="F174" s="8">
        <f>IF($D174="CR01",$C174,0)</f>
        <v>-120</v>
      </c>
      <c r="G174" s="8">
        <f>G173+H174</f>
        <v>0</v>
      </c>
      <c r="H174" s="8">
        <f>IF($D174="VISA",$C174,0)</f>
        <v>0</v>
      </c>
      <c r="I174" s="8">
        <f>I173+J174</f>
        <v>0</v>
      </c>
      <c r="J174" s="8">
        <f>IF($D174="ACC",$C174,0)</f>
        <v>0</v>
      </c>
      <c r="K174" s="8">
        <f>K173+L174</f>
        <v>0</v>
      </c>
      <c r="L174" s="8">
        <f>IF($D174="CBB",$C174,0)</f>
        <v>0</v>
      </c>
    </row>
    <row r="175" spans="1:12" x14ac:dyDescent="0.25">
      <c r="A175" s="6">
        <v>41417</v>
      </c>
      <c r="B175" t="s">
        <v>44</v>
      </c>
      <c r="C175" s="7">
        <v>-400</v>
      </c>
      <c r="D175" t="s">
        <v>6</v>
      </c>
      <c r="E175" s="8">
        <f>E174+F175</f>
        <v>42344</v>
      </c>
      <c r="F175" s="8">
        <f>IF($D175="CR01",$C175,0)</f>
        <v>-400</v>
      </c>
      <c r="G175" s="8">
        <f>G174+H175</f>
        <v>0</v>
      </c>
      <c r="H175" s="8">
        <f>IF($D175="VISA",$C175,0)</f>
        <v>0</v>
      </c>
      <c r="I175" s="8">
        <f>I174+J175</f>
        <v>0</v>
      </c>
      <c r="J175" s="8">
        <f>IF($D175="ACC",$C175,0)</f>
        <v>0</v>
      </c>
      <c r="K175" s="8">
        <f>K174+L175</f>
        <v>0</v>
      </c>
      <c r="L175" s="8">
        <f>IF($D175="CBB",$C175,0)</f>
        <v>0</v>
      </c>
    </row>
    <row r="176" spans="1:12" x14ac:dyDescent="0.25">
      <c r="A176" s="6">
        <v>41417</v>
      </c>
      <c r="B176" t="s">
        <v>45</v>
      </c>
      <c r="C176" s="7">
        <v>-180</v>
      </c>
      <c r="D176" t="s">
        <v>6</v>
      </c>
      <c r="E176" s="8">
        <f>E175+F176</f>
        <v>42164</v>
      </c>
      <c r="F176" s="8">
        <f>IF($D176="CR01",$C176,0)</f>
        <v>-180</v>
      </c>
      <c r="G176" s="8">
        <f>G175+H176</f>
        <v>0</v>
      </c>
      <c r="H176" s="8">
        <f>IF($D176="VISA",$C176,0)</f>
        <v>0</v>
      </c>
      <c r="I176" s="8">
        <f>I175+J176</f>
        <v>0</v>
      </c>
      <c r="J176" s="8">
        <f>IF($D176="ACC",$C176,0)</f>
        <v>0</v>
      </c>
      <c r="K176" s="8">
        <f>K175+L176</f>
        <v>0</v>
      </c>
      <c r="L176" s="8">
        <f>IF($D176="CBB",$C176,0)</f>
        <v>0</v>
      </c>
    </row>
    <row r="177" spans="1:12" x14ac:dyDescent="0.25">
      <c r="A177" s="6">
        <v>41417</v>
      </c>
      <c r="B177" t="s">
        <v>46</v>
      </c>
      <c r="C177" s="7">
        <v>-300</v>
      </c>
      <c r="D177" t="s">
        <v>6</v>
      </c>
      <c r="E177" s="8">
        <f>E176+F177</f>
        <v>41864</v>
      </c>
      <c r="F177" s="8">
        <f>IF($D177="CR01",$C177,0)</f>
        <v>-300</v>
      </c>
      <c r="G177" s="8">
        <f>G176+H177</f>
        <v>0</v>
      </c>
      <c r="H177" s="8">
        <f>IF($D177="VISA",$C177,0)</f>
        <v>0</v>
      </c>
      <c r="I177" s="8">
        <f>I176+J177</f>
        <v>0</v>
      </c>
      <c r="J177" s="8">
        <f>IF($D177="ACC",$C177,0)</f>
        <v>0</v>
      </c>
      <c r="K177" s="8">
        <f>K176+L177</f>
        <v>0</v>
      </c>
      <c r="L177" s="8">
        <f>IF($D177="CBB",$C177,0)</f>
        <v>0</v>
      </c>
    </row>
    <row r="178" spans="1:12" x14ac:dyDescent="0.25">
      <c r="A178" s="6">
        <v>41418</v>
      </c>
      <c r="B178" t="s">
        <v>43</v>
      </c>
      <c r="C178" s="7">
        <v>3226</v>
      </c>
      <c r="D178" t="s">
        <v>6</v>
      </c>
      <c r="E178" s="8">
        <f>E177+F178</f>
        <v>45090</v>
      </c>
      <c r="F178" s="8">
        <f>IF($D178="CR01",$C178,0)</f>
        <v>3226</v>
      </c>
      <c r="G178" s="8">
        <f>G177+H178</f>
        <v>0</v>
      </c>
      <c r="H178" s="8">
        <f>IF($D178="VISA",$C178,0)</f>
        <v>0</v>
      </c>
      <c r="I178" s="8">
        <f>I177+J178</f>
        <v>0</v>
      </c>
      <c r="J178" s="8">
        <f>IF($D178="ACC",$C178,0)</f>
        <v>0</v>
      </c>
      <c r="K178" s="8">
        <f>K177+L178</f>
        <v>0</v>
      </c>
      <c r="L178" s="8">
        <f>IF($D178="CBB",$C178,0)</f>
        <v>0</v>
      </c>
    </row>
    <row r="179" spans="1:12" x14ac:dyDescent="0.25">
      <c r="A179" s="6">
        <v>41422</v>
      </c>
      <c r="B179" t="s">
        <v>48</v>
      </c>
      <c r="C179" s="7">
        <v>-100</v>
      </c>
      <c r="D179" t="s">
        <v>6</v>
      </c>
      <c r="E179" s="8">
        <f>E178+F179</f>
        <v>44990</v>
      </c>
      <c r="F179" s="8">
        <f>IF($D179="CR01",$C179,0)</f>
        <v>-100</v>
      </c>
      <c r="G179" s="8">
        <f>G178+H179</f>
        <v>0</v>
      </c>
      <c r="H179" s="8">
        <f>IF($D179="VISA",$C179,0)</f>
        <v>0</v>
      </c>
      <c r="I179" s="8">
        <f>I178+J179</f>
        <v>0</v>
      </c>
      <c r="J179" s="8">
        <f>IF($D179="ACC",$C179,0)</f>
        <v>0</v>
      </c>
      <c r="K179" s="8">
        <f>K178+L179</f>
        <v>0</v>
      </c>
      <c r="L179" s="8">
        <f>IF($D179="CBB",$C179,0)</f>
        <v>0</v>
      </c>
    </row>
    <row r="180" spans="1:12" x14ac:dyDescent="0.25">
      <c r="A180" s="6">
        <v>41423</v>
      </c>
      <c r="B180" t="s">
        <v>47</v>
      </c>
      <c r="C180" s="7">
        <v>-120</v>
      </c>
      <c r="D180" t="s">
        <v>6</v>
      </c>
      <c r="E180" s="8">
        <f>E179+F180</f>
        <v>44870</v>
      </c>
      <c r="F180" s="8">
        <f>IF($D180="CR01",$C180,0)</f>
        <v>-120</v>
      </c>
      <c r="G180" s="8">
        <f>G179+H180</f>
        <v>0</v>
      </c>
      <c r="H180" s="8">
        <f>IF($D180="VISA",$C180,0)</f>
        <v>0</v>
      </c>
      <c r="I180" s="8">
        <f>I179+J180</f>
        <v>0</v>
      </c>
      <c r="J180" s="8">
        <f>IF($D180="ACC",$C180,0)</f>
        <v>0</v>
      </c>
      <c r="K180" s="8">
        <f>K179+L180</f>
        <v>0</v>
      </c>
      <c r="L180" s="8">
        <f>IF($D180="CBB",$C180,0)</f>
        <v>0</v>
      </c>
    </row>
    <row r="181" spans="1:12" x14ac:dyDescent="0.25">
      <c r="A181" s="6">
        <v>41424</v>
      </c>
      <c r="B181" t="s">
        <v>44</v>
      </c>
      <c r="C181" s="7">
        <v>-400</v>
      </c>
      <c r="D181" t="s">
        <v>6</v>
      </c>
      <c r="E181" s="8">
        <f>E180+F181</f>
        <v>44470</v>
      </c>
      <c r="F181" s="8">
        <f>IF($D181="CR01",$C181,0)</f>
        <v>-400</v>
      </c>
      <c r="G181" s="8">
        <f>G180+H181</f>
        <v>0</v>
      </c>
      <c r="H181" s="8">
        <f>IF($D181="VISA",$C181,0)</f>
        <v>0</v>
      </c>
      <c r="I181" s="8">
        <f>I180+J181</f>
        <v>0</v>
      </c>
      <c r="J181" s="8">
        <f>IF($D181="ACC",$C181,0)</f>
        <v>0</v>
      </c>
      <c r="K181" s="8">
        <f>K180+L181</f>
        <v>0</v>
      </c>
      <c r="L181" s="8">
        <f>IF($D181="CBB",$C181,0)</f>
        <v>0</v>
      </c>
    </row>
    <row r="182" spans="1:12" x14ac:dyDescent="0.25">
      <c r="A182" s="6">
        <v>41424</v>
      </c>
      <c r="B182" t="s">
        <v>45</v>
      </c>
      <c r="C182" s="7">
        <v>-180</v>
      </c>
      <c r="D182" t="s">
        <v>6</v>
      </c>
      <c r="E182" s="8">
        <f>E181+F182</f>
        <v>44290</v>
      </c>
      <c r="F182" s="8">
        <f>IF($D182="CR01",$C182,0)</f>
        <v>-180</v>
      </c>
      <c r="G182" s="8">
        <f>G181+H182</f>
        <v>0</v>
      </c>
      <c r="H182" s="8">
        <f>IF($D182="VISA",$C182,0)</f>
        <v>0</v>
      </c>
      <c r="I182" s="8">
        <f>I181+J182</f>
        <v>0</v>
      </c>
      <c r="J182" s="8">
        <f>IF($D182="ACC",$C182,0)</f>
        <v>0</v>
      </c>
      <c r="K182" s="8">
        <f>K181+L182</f>
        <v>0</v>
      </c>
      <c r="L182" s="8">
        <f>IF($D182="CBB",$C182,0)</f>
        <v>0</v>
      </c>
    </row>
    <row r="183" spans="1:12" x14ac:dyDescent="0.25">
      <c r="A183" s="6">
        <v>41424</v>
      </c>
      <c r="B183" t="s">
        <v>46</v>
      </c>
      <c r="C183" s="7">
        <v>-300</v>
      </c>
      <c r="D183" t="s">
        <v>6</v>
      </c>
      <c r="E183" s="8">
        <f>E182+F183</f>
        <v>43990</v>
      </c>
      <c r="F183" s="8">
        <f>IF($D183="CR01",$C183,0)</f>
        <v>-300</v>
      </c>
      <c r="G183" s="8">
        <f>G182+H183</f>
        <v>0</v>
      </c>
      <c r="H183" s="8">
        <f>IF($D183="VISA",$C183,0)</f>
        <v>0</v>
      </c>
      <c r="I183" s="8">
        <f>I182+J183</f>
        <v>0</v>
      </c>
      <c r="J183" s="8">
        <f>IF($D183="ACC",$C183,0)</f>
        <v>0</v>
      </c>
      <c r="K183" s="8">
        <f>K182+L183</f>
        <v>0</v>
      </c>
      <c r="L183" s="8">
        <f>IF($D183="CBB",$C183,0)</f>
        <v>0</v>
      </c>
    </row>
    <row r="184" spans="1:12" x14ac:dyDescent="0.25">
      <c r="A184" s="6">
        <v>41426</v>
      </c>
      <c r="B184" t="s">
        <v>67</v>
      </c>
      <c r="C184" s="7">
        <v>6800</v>
      </c>
      <c r="D184" t="s">
        <v>6</v>
      </c>
      <c r="E184" s="8">
        <f>E183+F184</f>
        <v>50790</v>
      </c>
      <c r="F184" s="8">
        <f>IF($D184="CR01",$C184,0)</f>
        <v>6800</v>
      </c>
      <c r="G184" s="8">
        <f>G183+H184</f>
        <v>0</v>
      </c>
      <c r="H184" s="8">
        <f>IF($D184="VISA",$C184,0)</f>
        <v>0</v>
      </c>
      <c r="I184" s="8">
        <f>I183+J184</f>
        <v>0</v>
      </c>
      <c r="J184" s="8">
        <f>IF($D184="ACC",$C184,0)</f>
        <v>0</v>
      </c>
      <c r="K184" s="8">
        <f>K183+L184</f>
        <v>0</v>
      </c>
      <c r="L184" s="8">
        <f>IF($D184="CBB",$C184,0)</f>
        <v>0</v>
      </c>
    </row>
    <row r="185" spans="1:12" x14ac:dyDescent="0.25">
      <c r="A185" s="6">
        <v>41426</v>
      </c>
      <c r="B185" t="s">
        <v>58</v>
      </c>
      <c r="C185" s="7">
        <v>-200</v>
      </c>
      <c r="D185" t="s">
        <v>6</v>
      </c>
      <c r="E185" s="8">
        <f>E184+F185</f>
        <v>50590</v>
      </c>
      <c r="F185" s="8">
        <f>IF($D185="CR01",$C185,0)</f>
        <v>-200</v>
      </c>
      <c r="G185" s="8">
        <f>G184+H185</f>
        <v>0</v>
      </c>
      <c r="H185" s="8">
        <f>IF($D185="VISA",$C185,0)</f>
        <v>0</v>
      </c>
      <c r="I185" s="8">
        <f>I184+J185</f>
        <v>0</v>
      </c>
      <c r="J185" s="8">
        <f>IF($D185="ACC",$C185,0)</f>
        <v>0</v>
      </c>
      <c r="K185" s="8">
        <f>K184+L185</f>
        <v>0</v>
      </c>
      <c r="L185" s="8">
        <f>IF($D185="CBB",$C185,0)</f>
        <v>0</v>
      </c>
    </row>
    <row r="186" spans="1:12" x14ac:dyDescent="0.25">
      <c r="A186" s="6">
        <v>41426</v>
      </c>
      <c r="B186" t="s">
        <v>60</v>
      </c>
      <c r="C186" s="7">
        <v>-400</v>
      </c>
      <c r="D186" t="s">
        <v>6</v>
      </c>
      <c r="E186" s="8">
        <f>E185+F186</f>
        <v>50190</v>
      </c>
      <c r="F186" s="8">
        <f>IF($D186="CR01",$C186,0)</f>
        <v>-400</v>
      </c>
      <c r="G186" s="8">
        <f>G185+H186</f>
        <v>0</v>
      </c>
      <c r="H186" s="8">
        <f>IF($D186="VISA",$C186,0)</f>
        <v>0</v>
      </c>
      <c r="I186" s="8">
        <f>I185+J186</f>
        <v>0</v>
      </c>
      <c r="J186" s="8">
        <f>IF($D186="ACC",$C186,0)</f>
        <v>0</v>
      </c>
      <c r="K186" s="8">
        <f>K185+L186</f>
        <v>0</v>
      </c>
      <c r="L186" s="8">
        <f>IF($D186="CBB",$C186,0)</f>
        <v>0</v>
      </c>
    </row>
    <row r="187" spans="1:12" x14ac:dyDescent="0.25">
      <c r="A187" s="6">
        <v>41426</v>
      </c>
      <c r="B187" t="s">
        <v>64</v>
      </c>
      <c r="C187" s="7">
        <v>-26</v>
      </c>
      <c r="D187" t="s">
        <v>6</v>
      </c>
      <c r="E187" s="8">
        <f>E186+F187</f>
        <v>50164</v>
      </c>
      <c r="F187" s="8">
        <f>IF($D187="CR01",$C187,0)</f>
        <v>-26</v>
      </c>
      <c r="G187" s="8">
        <f>G186+H187</f>
        <v>0</v>
      </c>
      <c r="H187" s="8">
        <f>IF($D187="VISA",$C187,0)</f>
        <v>0</v>
      </c>
      <c r="I187" s="8">
        <f>I186+J187</f>
        <v>0</v>
      </c>
      <c r="J187" s="8">
        <f>IF($D187="ACC",$C187,0)</f>
        <v>0</v>
      </c>
      <c r="K187" s="8">
        <f>K186+L187</f>
        <v>0</v>
      </c>
      <c r="L187" s="8">
        <f>IF($D187="CBB",$C187,0)</f>
        <v>0</v>
      </c>
    </row>
    <row r="188" spans="1:12" x14ac:dyDescent="0.25">
      <c r="A188" s="6">
        <v>41426</v>
      </c>
      <c r="B188" t="s">
        <v>65</v>
      </c>
      <c r="C188" s="7">
        <v>-240</v>
      </c>
      <c r="D188" t="s">
        <v>6</v>
      </c>
      <c r="E188" s="8">
        <f>E187+F188</f>
        <v>49924</v>
      </c>
      <c r="F188" s="8">
        <f>IF($D188="CR01",$C188,0)</f>
        <v>-240</v>
      </c>
      <c r="G188" s="8">
        <f>G187+H188</f>
        <v>0</v>
      </c>
      <c r="H188" s="8">
        <f>IF($D188="VISA",$C188,0)</f>
        <v>0</v>
      </c>
      <c r="I188" s="8">
        <f>I187+J188</f>
        <v>0</v>
      </c>
      <c r="J188" s="8">
        <f>IF($D188="ACC",$C188,0)</f>
        <v>0</v>
      </c>
      <c r="K188" s="8">
        <f>K187+L188</f>
        <v>0</v>
      </c>
      <c r="L188" s="8">
        <f>IF($D188="CBB",$C188,0)</f>
        <v>0</v>
      </c>
    </row>
    <row r="189" spans="1:12" x14ac:dyDescent="0.25">
      <c r="A189" s="6">
        <v>41426</v>
      </c>
      <c r="B189" t="s">
        <v>66</v>
      </c>
      <c r="C189" s="7">
        <v>-120</v>
      </c>
      <c r="D189" t="s">
        <v>6</v>
      </c>
      <c r="E189" s="8">
        <f>E188+F189</f>
        <v>49804</v>
      </c>
      <c r="F189" s="8">
        <f>IF($D189="CR01",$C189,0)</f>
        <v>-120</v>
      </c>
      <c r="G189" s="8">
        <f>G188+H189</f>
        <v>0</v>
      </c>
      <c r="H189" s="8">
        <f>IF($D189="VISA",$C189,0)</f>
        <v>0</v>
      </c>
      <c r="I189" s="8">
        <f>I188+J189</f>
        <v>0</v>
      </c>
      <c r="J189" s="8">
        <f>IF($D189="ACC",$C189,0)</f>
        <v>0</v>
      </c>
      <c r="K189" s="8">
        <f>K188+L189</f>
        <v>0</v>
      </c>
      <c r="L189" s="8">
        <f>IF($D189="CBB",$C189,0)</f>
        <v>0</v>
      </c>
    </row>
    <row r="190" spans="1:12" x14ac:dyDescent="0.25">
      <c r="A190" s="6">
        <v>41427</v>
      </c>
      <c r="B190" t="s">
        <v>59</v>
      </c>
      <c r="C190" s="7">
        <v>-900</v>
      </c>
      <c r="D190" t="s">
        <v>6</v>
      </c>
      <c r="E190" s="8">
        <f>E189+F190</f>
        <v>48904</v>
      </c>
      <c r="F190" s="8">
        <f>IF($D190="CR01",$C190,0)</f>
        <v>-900</v>
      </c>
      <c r="G190" s="8">
        <f>G189+H190</f>
        <v>0</v>
      </c>
      <c r="H190" s="8">
        <f>IF($D190="VISA",$C190,0)</f>
        <v>0</v>
      </c>
      <c r="I190" s="8">
        <f>I189+J190</f>
        <v>0</v>
      </c>
      <c r="J190" s="8">
        <f>IF($D190="ACC",$C190,0)</f>
        <v>0</v>
      </c>
      <c r="K190" s="8">
        <f>K189+L190</f>
        <v>0</v>
      </c>
      <c r="L190" s="8">
        <f>IF($D190="CBB",$C190,0)</f>
        <v>0</v>
      </c>
    </row>
    <row r="191" spans="1:12" x14ac:dyDescent="0.25">
      <c r="A191" s="6">
        <v>41429</v>
      </c>
      <c r="B191" t="s">
        <v>42</v>
      </c>
      <c r="C191" s="7">
        <v>-2806</v>
      </c>
      <c r="D191" t="s">
        <v>6</v>
      </c>
      <c r="E191" s="8">
        <f>E190+F191</f>
        <v>46098</v>
      </c>
      <c r="F191" s="8">
        <f>IF($D191="CR01",$C191,0)</f>
        <v>-2806</v>
      </c>
      <c r="G191" s="8">
        <f>G190+H191</f>
        <v>0</v>
      </c>
      <c r="H191" s="8">
        <f>IF($D191="VISA",$C191,0)</f>
        <v>0</v>
      </c>
      <c r="I191" s="8">
        <f>I190+J191</f>
        <v>0</v>
      </c>
      <c r="J191" s="8">
        <f>IF($D191="ACC",$C191,0)</f>
        <v>0</v>
      </c>
      <c r="K191" s="8">
        <f>K190+L191</f>
        <v>0</v>
      </c>
      <c r="L191" s="8">
        <f>IF($D191="CBB",$C191,0)</f>
        <v>0</v>
      </c>
    </row>
    <row r="192" spans="1:12" x14ac:dyDescent="0.25">
      <c r="A192" s="6">
        <v>41429</v>
      </c>
      <c r="B192" t="s">
        <v>48</v>
      </c>
      <c r="C192" s="7">
        <v>-100</v>
      </c>
      <c r="D192" t="s">
        <v>6</v>
      </c>
      <c r="E192" s="8">
        <f>E191+F192</f>
        <v>45998</v>
      </c>
      <c r="F192" s="8">
        <f>IF($D192="CR01",$C192,0)</f>
        <v>-100</v>
      </c>
      <c r="G192" s="8">
        <f>G191+H192</f>
        <v>0</v>
      </c>
      <c r="H192" s="8">
        <f>IF($D192="VISA",$C192,0)</f>
        <v>0</v>
      </c>
      <c r="I192" s="8">
        <f>I191+J192</f>
        <v>0</v>
      </c>
      <c r="J192" s="8">
        <f>IF($D192="ACC",$C192,0)</f>
        <v>0</v>
      </c>
      <c r="K192" s="8">
        <f>K191+L192</f>
        <v>0</v>
      </c>
      <c r="L192" s="8">
        <f>IF($D192="CBB",$C192,0)</f>
        <v>0</v>
      </c>
    </row>
    <row r="193" spans="1:12" x14ac:dyDescent="0.25">
      <c r="A193" s="6">
        <v>41430</v>
      </c>
      <c r="B193" t="s">
        <v>47</v>
      </c>
      <c r="C193" s="7">
        <v>-120</v>
      </c>
      <c r="D193" t="s">
        <v>6</v>
      </c>
      <c r="E193" s="8">
        <f>E192+F193</f>
        <v>45878</v>
      </c>
      <c r="F193" s="8">
        <f>IF($D193="CR01",$C193,0)</f>
        <v>-120</v>
      </c>
      <c r="G193" s="8">
        <f>G192+H193</f>
        <v>0</v>
      </c>
      <c r="H193" s="8">
        <f>IF($D193="VISA",$C193,0)</f>
        <v>0</v>
      </c>
      <c r="I193" s="8">
        <f>I192+J193</f>
        <v>0</v>
      </c>
      <c r="J193" s="8">
        <f>IF($D193="ACC",$C193,0)</f>
        <v>0</v>
      </c>
      <c r="K193" s="8">
        <f>K192+L193</f>
        <v>0</v>
      </c>
      <c r="L193" s="8">
        <f>IF($D193="CBB",$C193,0)</f>
        <v>0</v>
      </c>
    </row>
    <row r="194" spans="1:12" x14ac:dyDescent="0.25">
      <c r="A194" s="6">
        <v>41431</v>
      </c>
      <c r="B194" t="s">
        <v>44</v>
      </c>
      <c r="C194" s="7">
        <v>-400</v>
      </c>
      <c r="D194" t="s">
        <v>6</v>
      </c>
      <c r="E194" s="8">
        <f>E193+F194</f>
        <v>45478</v>
      </c>
      <c r="F194" s="8">
        <f>IF($D194="CR01",$C194,0)</f>
        <v>-400</v>
      </c>
      <c r="G194" s="8">
        <f>G193+H194</f>
        <v>0</v>
      </c>
      <c r="H194" s="8">
        <f>IF($D194="VISA",$C194,0)</f>
        <v>0</v>
      </c>
      <c r="I194" s="8">
        <f>I193+J194</f>
        <v>0</v>
      </c>
      <c r="J194" s="8">
        <f>IF($D194="ACC",$C194,0)</f>
        <v>0</v>
      </c>
      <c r="K194" s="8">
        <f>K193+L194</f>
        <v>0</v>
      </c>
      <c r="L194" s="8">
        <f>IF($D194="CBB",$C194,0)</f>
        <v>0</v>
      </c>
    </row>
    <row r="195" spans="1:12" x14ac:dyDescent="0.25">
      <c r="A195" s="6">
        <v>41431</v>
      </c>
      <c r="B195" t="s">
        <v>45</v>
      </c>
      <c r="C195" s="7">
        <v>-180</v>
      </c>
      <c r="D195" t="s">
        <v>6</v>
      </c>
      <c r="E195" s="8">
        <f>E194+F195</f>
        <v>45298</v>
      </c>
      <c r="F195" s="8">
        <f>IF($D195="CR01",$C195,0)</f>
        <v>-180</v>
      </c>
      <c r="G195" s="8">
        <f>G194+H195</f>
        <v>0</v>
      </c>
      <c r="H195" s="8">
        <f>IF($D195="VISA",$C195,0)</f>
        <v>0</v>
      </c>
      <c r="I195" s="8">
        <f>I194+J195</f>
        <v>0</v>
      </c>
      <c r="J195" s="8">
        <f>IF($D195="ACC",$C195,0)</f>
        <v>0</v>
      </c>
      <c r="K195" s="8">
        <f>K194+L195</f>
        <v>0</v>
      </c>
      <c r="L195" s="8">
        <f>IF($D195="CBB",$C195,0)</f>
        <v>0</v>
      </c>
    </row>
    <row r="196" spans="1:12" x14ac:dyDescent="0.25">
      <c r="A196" s="6">
        <v>41431</v>
      </c>
      <c r="B196" t="s">
        <v>46</v>
      </c>
      <c r="C196" s="7">
        <v>-300</v>
      </c>
      <c r="D196" t="s">
        <v>6</v>
      </c>
      <c r="E196" s="8">
        <f>E195+F196</f>
        <v>44998</v>
      </c>
      <c r="F196" s="8">
        <f>IF($D196="CR01",$C196,0)</f>
        <v>-300</v>
      </c>
      <c r="G196" s="8">
        <f>G195+H196</f>
        <v>0</v>
      </c>
      <c r="H196" s="8">
        <f>IF($D196="VISA",$C196,0)</f>
        <v>0</v>
      </c>
      <c r="I196" s="8">
        <f>I195+J196</f>
        <v>0</v>
      </c>
      <c r="J196" s="8">
        <f>IF($D196="ACC",$C196,0)</f>
        <v>0</v>
      </c>
      <c r="K196" s="8">
        <f>K195+L196</f>
        <v>0</v>
      </c>
      <c r="L196" s="8">
        <f>IF($D196="CBB",$C196,0)</f>
        <v>0</v>
      </c>
    </row>
    <row r="197" spans="1:12" x14ac:dyDescent="0.25">
      <c r="A197" s="6">
        <v>41432</v>
      </c>
      <c r="B197" t="s">
        <v>43</v>
      </c>
      <c r="C197" s="7">
        <v>3226</v>
      </c>
      <c r="D197" t="s">
        <v>6</v>
      </c>
      <c r="E197" s="8">
        <f>E196+F197</f>
        <v>48224</v>
      </c>
      <c r="F197" s="8">
        <f>IF($D197="CR01",$C197,0)</f>
        <v>3226</v>
      </c>
      <c r="G197" s="8">
        <f>G196+H197</f>
        <v>0</v>
      </c>
      <c r="H197" s="8">
        <f>IF($D197="VISA",$C197,0)</f>
        <v>0</v>
      </c>
      <c r="I197" s="8">
        <f>I196+J197</f>
        <v>0</v>
      </c>
      <c r="J197" s="8">
        <f>IF($D197="ACC",$C197,0)</f>
        <v>0</v>
      </c>
      <c r="K197" s="8">
        <f>K196+L197</f>
        <v>0</v>
      </c>
      <c r="L197" s="8">
        <f>IF($D197="CBB",$C197,0)</f>
        <v>0</v>
      </c>
    </row>
    <row r="198" spans="1:12" x14ac:dyDescent="0.25">
      <c r="A198" s="6">
        <v>41436</v>
      </c>
      <c r="B198" t="s">
        <v>48</v>
      </c>
      <c r="C198" s="7">
        <v>-100</v>
      </c>
      <c r="D198" t="s">
        <v>6</v>
      </c>
      <c r="E198" s="8">
        <f>E197+F198</f>
        <v>48124</v>
      </c>
      <c r="F198" s="8">
        <f>IF($D198="CR01",$C198,0)</f>
        <v>-100</v>
      </c>
      <c r="G198" s="8">
        <f>G197+H198</f>
        <v>0</v>
      </c>
      <c r="H198" s="8">
        <f>IF($D198="VISA",$C198,0)</f>
        <v>0</v>
      </c>
      <c r="I198" s="8">
        <f>I197+J198</f>
        <v>0</v>
      </c>
      <c r="J198" s="8">
        <f>IF($D198="ACC",$C198,0)</f>
        <v>0</v>
      </c>
      <c r="K198" s="8">
        <f>K197+L198</f>
        <v>0</v>
      </c>
      <c r="L198" s="8">
        <f>IF($D198="CBB",$C198,0)</f>
        <v>0</v>
      </c>
    </row>
    <row r="199" spans="1:12" x14ac:dyDescent="0.25">
      <c r="A199" s="6">
        <v>41437</v>
      </c>
      <c r="B199" t="s">
        <v>47</v>
      </c>
      <c r="C199" s="7">
        <v>-120</v>
      </c>
      <c r="D199" t="s">
        <v>6</v>
      </c>
      <c r="E199" s="8">
        <f>E198+F199</f>
        <v>48004</v>
      </c>
      <c r="F199" s="8">
        <f>IF($D199="CR01",$C199,0)</f>
        <v>-120</v>
      </c>
      <c r="G199" s="8">
        <f>G198+H199</f>
        <v>0</v>
      </c>
      <c r="H199" s="8">
        <f>IF($D199="VISA",$C199,0)</f>
        <v>0</v>
      </c>
      <c r="I199" s="8">
        <f>I198+J199</f>
        <v>0</v>
      </c>
      <c r="J199" s="8">
        <f>IF($D199="ACC",$C199,0)</f>
        <v>0</v>
      </c>
      <c r="K199" s="8">
        <f>K198+L199</f>
        <v>0</v>
      </c>
      <c r="L199" s="8">
        <f>IF($D199="CBB",$C199,0)</f>
        <v>0</v>
      </c>
    </row>
    <row r="200" spans="1:12" x14ac:dyDescent="0.25">
      <c r="A200" s="6">
        <v>41438</v>
      </c>
      <c r="B200" t="s">
        <v>44</v>
      </c>
      <c r="C200" s="7">
        <v>-400</v>
      </c>
      <c r="D200" t="s">
        <v>6</v>
      </c>
      <c r="E200" s="8">
        <f>E199+F200</f>
        <v>47604</v>
      </c>
      <c r="F200" s="8">
        <f>IF($D200="CR01",$C200,0)</f>
        <v>-400</v>
      </c>
      <c r="G200" s="8">
        <f>G199+H200</f>
        <v>0</v>
      </c>
      <c r="H200" s="8">
        <f>IF($D200="VISA",$C200,0)</f>
        <v>0</v>
      </c>
      <c r="I200" s="8">
        <f>I199+J200</f>
        <v>0</v>
      </c>
      <c r="J200" s="8">
        <f>IF($D200="ACC",$C200,0)</f>
        <v>0</v>
      </c>
      <c r="K200" s="8">
        <f>K199+L200</f>
        <v>0</v>
      </c>
      <c r="L200" s="8">
        <f>IF($D200="CBB",$C200,0)</f>
        <v>0</v>
      </c>
    </row>
    <row r="201" spans="1:12" x14ac:dyDescent="0.25">
      <c r="A201" s="6">
        <v>41438</v>
      </c>
      <c r="B201" t="s">
        <v>45</v>
      </c>
      <c r="C201" s="7">
        <v>-180</v>
      </c>
      <c r="D201" t="s">
        <v>6</v>
      </c>
      <c r="E201" s="8">
        <f>E200+F201</f>
        <v>47424</v>
      </c>
      <c r="F201" s="8">
        <f>IF($D201="CR01",$C201,0)</f>
        <v>-180</v>
      </c>
      <c r="G201" s="8">
        <f>G200+H201</f>
        <v>0</v>
      </c>
      <c r="H201" s="8">
        <f>IF($D201="VISA",$C201,0)</f>
        <v>0</v>
      </c>
      <c r="I201" s="8">
        <f>I200+J201</f>
        <v>0</v>
      </c>
      <c r="J201" s="8">
        <f>IF($D201="ACC",$C201,0)</f>
        <v>0</v>
      </c>
      <c r="K201" s="8">
        <f>K200+L201</f>
        <v>0</v>
      </c>
      <c r="L201" s="8">
        <f>IF($D201="CBB",$C201,0)</f>
        <v>0</v>
      </c>
    </row>
    <row r="202" spans="1:12" x14ac:dyDescent="0.25">
      <c r="A202" s="6">
        <v>41438</v>
      </c>
      <c r="B202" t="s">
        <v>46</v>
      </c>
      <c r="C202" s="7">
        <v>-300</v>
      </c>
      <c r="D202" t="s">
        <v>6</v>
      </c>
      <c r="E202" s="8">
        <f>E201+F202</f>
        <v>47124</v>
      </c>
      <c r="F202" s="8">
        <f>IF($D202="CR01",$C202,0)</f>
        <v>-300</v>
      </c>
      <c r="G202" s="8">
        <f>G201+H202</f>
        <v>0</v>
      </c>
      <c r="H202" s="8">
        <f>IF($D202="VISA",$C202,0)</f>
        <v>0</v>
      </c>
      <c r="I202" s="8">
        <f>I201+J202</f>
        <v>0</v>
      </c>
      <c r="J202" s="8">
        <f>IF($D202="ACC",$C202,0)</f>
        <v>0</v>
      </c>
      <c r="K202" s="8">
        <f>K201+L202</f>
        <v>0</v>
      </c>
      <c r="L202" s="8">
        <f>IF($D202="CBB",$C202,0)</f>
        <v>0</v>
      </c>
    </row>
    <row r="203" spans="1:12" x14ac:dyDescent="0.25">
      <c r="A203" s="6">
        <v>41440</v>
      </c>
      <c r="B203" t="s">
        <v>67</v>
      </c>
      <c r="C203" s="7">
        <v>6800</v>
      </c>
      <c r="D203" t="s">
        <v>6</v>
      </c>
      <c r="E203" s="8">
        <f>E202+F203</f>
        <v>53924</v>
      </c>
      <c r="F203" s="8">
        <f>IF($D203="CR01",$C203,0)</f>
        <v>6800</v>
      </c>
      <c r="G203" s="8">
        <f>G202+H203</f>
        <v>0</v>
      </c>
      <c r="H203" s="8">
        <f>IF($D203="VISA",$C203,0)</f>
        <v>0</v>
      </c>
      <c r="I203" s="8">
        <f>I202+J203</f>
        <v>0</v>
      </c>
      <c r="J203" s="8">
        <f>IF($D203="ACC",$C203,0)</f>
        <v>0</v>
      </c>
      <c r="K203" s="8">
        <f>K202+L203</f>
        <v>0</v>
      </c>
      <c r="L203" s="8">
        <f>IF($D203="CBB",$C203,0)</f>
        <v>0</v>
      </c>
    </row>
    <row r="204" spans="1:12" x14ac:dyDescent="0.25">
      <c r="A204" s="6">
        <v>41443</v>
      </c>
      <c r="B204" t="s">
        <v>42</v>
      </c>
      <c r="C204" s="7">
        <v>-2806</v>
      </c>
      <c r="D204" t="s">
        <v>6</v>
      </c>
      <c r="E204" s="8">
        <f>E203+F204</f>
        <v>51118</v>
      </c>
      <c r="F204" s="8">
        <f>IF($D204="CR01",$C204,0)</f>
        <v>-2806</v>
      </c>
      <c r="G204" s="8">
        <f>G203+H204</f>
        <v>0</v>
      </c>
      <c r="H204" s="8">
        <f>IF($D204="VISA",$C204,0)</f>
        <v>0</v>
      </c>
      <c r="I204" s="8">
        <f>I203+J204</f>
        <v>0</v>
      </c>
      <c r="J204" s="8">
        <f>IF($D204="ACC",$C204,0)</f>
        <v>0</v>
      </c>
      <c r="K204" s="8">
        <f>K203+L204</f>
        <v>0</v>
      </c>
      <c r="L204" s="8">
        <f>IF($D204="CBB",$C204,0)</f>
        <v>0</v>
      </c>
    </row>
    <row r="205" spans="1:12" x14ac:dyDescent="0.25">
      <c r="A205" s="6">
        <v>41443</v>
      </c>
      <c r="B205" t="s">
        <v>48</v>
      </c>
      <c r="C205" s="7">
        <v>-100</v>
      </c>
      <c r="D205" t="s">
        <v>6</v>
      </c>
      <c r="E205" s="8">
        <f>E204+F205</f>
        <v>51018</v>
      </c>
      <c r="F205" s="8">
        <f>IF($D205="CR01",$C205,0)</f>
        <v>-100</v>
      </c>
      <c r="G205" s="8">
        <f>G204+H205</f>
        <v>0</v>
      </c>
      <c r="H205" s="8">
        <f>IF($D205="VISA",$C205,0)</f>
        <v>0</v>
      </c>
      <c r="I205" s="8">
        <f>I204+J205</f>
        <v>0</v>
      </c>
      <c r="J205" s="8">
        <f>IF($D205="ACC",$C205,0)</f>
        <v>0</v>
      </c>
      <c r="K205" s="8">
        <f>K204+L205</f>
        <v>0</v>
      </c>
      <c r="L205" s="8">
        <f>IF($D205="CBB",$C205,0)</f>
        <v>0</v>
      </c>
    </row>
    <row r="206" spans="1:12" x14ac:dyDescent="0.25">
      <c r="A206" s="6">
        <v>41444</v>
      </c>
      <c r="B206" t="s">
        <v>47</v>
      </c>
      <c r="C206" s="7">
        <v>-120</v>
      </c>
      <c r="D206" t="s">
        <v>6</v>
      </c>
      <c r="E206" s="8">
        <f>E205+F206</f>
        <v>50898</v>
      </c>
      <c r="F206" s="8">
        <f>IF($D206="CR01",$C206,0)</f>
        <v>-120</v>
      </c>
      <c r="G206" s="8">
        <f>G205+H206</f>
        <v>0</v>
      </c>
      <c r="H206" s="8">
        <f>IF($D206="VISA",$C206,0)</f>
        <v>0</v>
      </c>
      <c r="I206" s="8">
        <f>I205+J206</f>
        <v>0</v>
      </c>
      <c r="J206" s="8">
        <f>IF($D206="ACC",$C206,0)</f>
        <v>0</v>
      </c>
      <c r="K206" s="8">
        <f>K205+L206</f>
        <v>0</v>
      </c>
      <c r="L206" s="8">
        <f>IF($D206="CBB",$C206,0)</f>
        <v>0</v>
      </c>
    </row>
    <row r="207" spans="1:12" x14ac:dyDescent="0.25">
      <c r="A207" s="6">
        <v>41445</v>
      </c>
      <c r="B207" t="s">
        <v>44</v>
      </c>
      <c r="C207" s="7">
        <v>-400</v>
      </c>
      <c r="D207" t="s">
        <v>6</v>
      </c>
      <c r="E207" s="8">
        <f>E206+F207</f>
        <v>50498</v>
      </c>
      <c r="F207" s="8">
        <f>IF($D207="CR01",$C207,0)</f>
        <v>-400</v>
      </c>
      <c r="G207" s="8">
        <f>G206+H207</f>
        <v>0</v>
      </c>
      <c r="H207" s="8">
        <f>IF($D207="VISA",$C207,0)</f>
        <v>0</v>
      </c>
      <c r="I207" s="8">
        <f>I206+J207</f>
        <v>0</v>
      </c>
      <c r="J207" s="8">
        <f>IF($D207="ACC",$C207,0)</f>
        <v>0</v>
      </c>
      <c r="K207" s="8">
        <f>K206+L207</f>
        <v>0</v>
      </c>
      <c r="L207" s="8">
        <f>IF($D207="CBB",$C207,0)</f>
        <v>0</v>
      </c>
    </row>
    <row r="208" spans="1:12" x14ac:dyDescent="0.25">
      <c r="A208" s="6">
        <v>41445</v>
      </c>
      <c r="B208" t="s">
        <v>45</v>
      </c>
      <c r="C208" s="7">
        <v>-180</v>
      </c>
      <c r="D208" t="s">
        <v>6</v>
      </c>
      <c r="E208" s="8">
        <f>E207+F208</f>
        <v>50318</v>
      </c>
      <c r="F208" s="8">
        <f>IF($D208="CR01",$C208,0)</f>
        <v>-180</v>
      </c>
      <c r="G208" s="8">
        <f>G207+H208</f>
        <v>0</v>
      </c>
      <c r="H208" s="8">
        <f>IF($D208="VISA",$C208,0)</f>
        <v>0</v>
      </c>
      <c r="I208" s="8">
        <f>I207+J208</f>
        <v>0</v>
      </c>
      <c r="J208" s="8">
        <f>IF($D208="ACC",$C208,0)</f>
        <v>0</v>
      </c>
      <c r="K208" s="8">
        <f>K207+L208</f>
        <v>0</v>
      </c>
      <c r="L208" s="8">
        <f>IF($D208="CBB",$C208,0)</f>
        <v>0</v>
      </c>
    </row>
    <row r="209" spans="1:12" x14ac:dyDescent="0.25">
      <c r="A209" s="6">
        <v>41445</v>
      </c>
      <c r="B209" t="s">
        <v>46</v>
      </c>
      <c r="C209" s="7">
        <v>-300</v>
      </c>
      <c r="D209" t="s">
        <v>6</v>
      </c>
      <c r="E209" s="8">
        <f>E208+F209</f>
        <v>50018</v>
      </c>
      <c r="F209" s="8">
        <f>IF($D209="CR01",$C209,0)</f>
        <v>-300</v>
      </c>
      <c r="G209" s="8">
        <f>G208+H209</f>
        <v>0</v>
      </c>
      <c r="H209" s="8">
        <f>IF($D209="VISA",$C209,0)</f>
        <v>0</v>
      </c>
      <c r="I209" s="8">
        <f>I208+J209</f>
        <v>0</v>
      </c>
      <c r="J209" s="8">
        <f>IF($D209="ACC",$C209,0)</f>
        <v>0</v>
      </c>
      <c r="K209" s="8">
        <f>K208+L209</f>
        <v>0</v>
      </c>
      <c r="L209" s="8">
        <f>IF($D209="CBB",$C209,0)</f>
        <v>0</v>
      </c>
    </row>
    <row r="210" spans="1:12" x14ac:dyDescent="0.25">
      <c r="A210" s="6">
        <v>41446</v>
      </c>
      <c r="B210" t="s">
        <v>43</v>
      </c>
      <c r="C210" s="7">
        <v>3226</v>
      </c>
      <c r="D210" t="s">
        <v>6</v>
      </c>
      <c r="E210" s="8">
        <f>E209+F210</f>
        <v>53244</v>
      </c>
      <c r="F210" s="8">
        <f>IF($D210="CR01",$C210,0)</f>
        <v>3226</v>
      </c>
      <c r="G210" s="8">
        <f>G209+H210</f>
        <v>0</v>
      </c>
      <c r="H210" s="8">
        <f>IF($D210="VISA",$C210,0)</f>
        <v>0</v>
      </c>
      <c r="I210" s="8">
        <f>I209+J210</f>
        <v>0</v>
      </c>
      <c r="J210" s="8">
        <f>IF($D210="ACC",$C210,0)</f>
        <v>0</v>
      </c>
      <c r="K210" s="8">
        <f>K209+L210</f>
        <v>0</v>
      </c>
      <c r="L210" s="8">
        <f>IF($D210="CBB",$C210,0)</f>
        <v>0</v>
      </c>
    </row>
    <row r="211" spans="1:12" x14ac:dyDescent="0.25">
      <c r="A211" s="6">
        <v>41450</v>
      </c>
      <c r="B211" t="s">
        <v>48</v>
      </c>
      <c r="C211" s="7">
        <v>-100</v>
      </c>
      <c r="D211" t="s">
        <v>6</v>
      </c>
      <c r="E211" s="8">
        <f>E210+F211</f>
        <v>53144</v>
      </c>
      <c r="F211" s="8">
        <f>IF($D211="CR01",$C211,0)</f>
        <v>-100</v>
      </c>
      <c r="G211" s="8">
        <f>G210+H211</f>
        <v>0</v>
      </c>
      <c r="H211" s="8">
        <f>IF($D211="VISA",$C211,0)</f>
        <v>0</v>
      </c>
      <c r="I211" s="8">
        <f>I210+J211</f>
        <v>0</v>
      </c>
      <c r="J211" s="8">
        <f>IF($D211="ACC",$C211,0)</f>
        <v>0</v>
      </c>
      <c r="K211" s="8">
        <f>K210+L211</f>
        <v>0</v>
      </c>
      <c r="L211" s="8">
        <f>IF($D211="CBB",$C211,0)</f>
        <v>0</v>
      </c>
    </row>
    <row r="212" spans="1:12" x14ac:dyDescent="0.25">
      <c r="A212" s="6">
        <v>41451</v>
      </c>
      <c r="B212" t="s">
        <v>47</v>
      </c>
      <c r="C212" s="7">
        <v>-120</v>
      </c>
      <c r="D212" t="s">
        <v>6</v>
      </c>
      <c r="E212" s="8">
        <f>E211+F212</f>
        <v>53024</v>
      </c>
      <c r="F212" s="8">
        <f>IF($D212="CR01",$C212,0)</f>
        <v>-120</v>
      </c>
      <c r="G212" s="8">
        <f>G211+H212</f>
        <v>0</v>
      </c>
      <c r="H212" s="8">
        <f>IF($D212="VISA",$C212,0)</f>
        <v>0</v>
      </c>
      <c r="I212" s="8">
        <f>I211+J212</f>
        <v>0</v>
      </c>
      <c r="J212" s="8">
        <f>IF($D212="ACC",$C212,0)</f>
        <v>0</v>
      </c>
      <c r="K212" s="8">
        <f>K211+L212</f>
        <v>0</v>
      </c>
      <c r="L212" s="8">
        <f>IF($D212="CBB",$C212,0)</f>
        <v>0</v>
      </c>
    </row>
    <row r="213" spans="1:12" x14ac:dyDescent="0.25">
      <c r="A213" s="6">
        <v>41452</v>
      </c>
      <c r="B213" t="s">
        <v>44</v>
      </c>
      <c r="C213" s="7">
        <v>-400</v>
      </c>
      <c r="D213" t="s">
        <v>6</v>
      </c>
      <c r="E213" s="8">
        <f>E212+F213</f>
        <v>52624</v>
      </c>
      <c r="F213" s="8">
        <f>IF($D213="CR01",$C213,0)</f>
        <v>-400</v>
      </c>
      <c r="G213" s="8">
        <f>G212+H213</f>
        <v>0</v>
      </c>
      <c r="H213" s="8">
        <f>IF($D213="VISA",$C213,0)</f>
        <v>0</v>
      </c>
      <c r="I213" s="8">
        <f>I212+J213</f>
        <v>0</v>
      </c>
      <c r="J213" s="8">
        <f>IF($D213="ACC",$C213,0)</f>
        <v>0</v>
      </c>
      <c r="K213" s="8">
        <f>K212+L213</f>
        <v>0</v>
      </c>
      <c r="L213" s="8">
        <f>IF($D213="CBB",$C213,0)</f>
        <v>0</v>
      </c>
    </row>
    <row r="214" spans="1:12" x14ac:dyDescent="0.25">
      <c r="A214" s="6">
        <v>41452</v>
      </c>
      <c r="B214" t="s">
        <v>45</v>
      </c>
      <c r="C214" s="7">
        <v>-180</v>
      </c>
      <c r="D214" t="s">
        <v>6</v>
      </c>
      <c r="E214" s="8">
        <f>E213+F214</f>
        <v>52444</v>
      </c>
      <c r="F214" s="8">
        <f>IF($D214="CR01",$C214,0)</f>
        <v>-180</v>
      </c>
      <c r="G214" s="8">
        <f>G213+H214</f>
        <v>0</v>
      </c>
      <c r="H214" s="8">
        <f>IF($D214="VISA",$C214,0)</f>
        <v>0</v>
      </c>
      <c r="I214" s="8">
        <f>I213+J214</f>
        <v>0</v>
      </c>
      <c r="J214" s="8">
        <f>IF($D214="ACC",$C214,0)</f>
        <v>0</v>
      </c>
      <c r="K214" s="8">
        <f>K213+L214</f>
        <v>0</v>
      </c>
      <c r="L214" s="8">
        <f>IF($D214="CBB",$C214,0)</f>
        <v>0</v>
      </c>
    </row>
    <row r="215" spans="1:12" x14ac:dyDescent="0.25">
      <c r="A215" s="6">
        <v>41452</v>
      </c>
      <c r="B215" t="s">
        <v>46</v>
      </c>
      <c r="C215" s="7">
        <v>-300</v>
      </c>
      <c r="D215" t="s">
        <v>6</v>
      </c>
      <c r="E215" s="8">
        <f>E214+F215</f>
        <v>52144</v>
      </c>
      <c r="F215" s="8">
        <f>IF($D215="CR01",$C215,0)</f>
        <v>-300</v>
      </c>
      <c r="G215" s="8">
        <f>G214+H215</f>
        <v>0</v>
      </c>
      <c r="H215" s="8">
        <f>IF($D215="VISA",$C215,0)</f>
        <v>0</v>
      </c>
      <c r="I215" s="8">
        <f>I214+J215</f>
        <v>0</v>
      </c>
      <c r="J215" s="8">
        <f>IF($D215="ACC",$C215,0)</f>
        <v>0</v>
      </c>
      <c r="K215" s="8">
        <f>K214+L215</f>
        <v>0</v>
      </c>
      <c r="L215" s="8">
        <f>IF($D215="CBB",$C215,0)</f>
        <v>0</v>
      </c>
    </row>
    <row r="216" spans="1:12" x14ac:dyDescent="0.25">
      <c r="A216" s="6">
        <v>41454</v>
      </c>
      <c r="B216" t="s">
        <v>67</v>
      </c>
      <c r="C216" s="7">
        <v>6800</v>
      </c>
      <c r="D216" t="s">
        <v>6</v>
      </c>
      <c r="E216" s="8">
        <f>E215+F216</f>
        <v>58944</v>
      </c>
      <c r="F216" s="8">
        <f>IF($D216="CR01",$C216,0)</f>
        <v>6800</v>
      </c>
      <c r="G216" s="8">
        <f>G215+H216</f>
        <v>0</v>
      </c>
      <c r="H216" s="8">
        <f>IF($D216="VISA",$C216,0)</f>
        <v>0</v>
      </c>
      <c r="I216" s="8">
        <f>I215+J216</f>
        <v>0</v>
      </c>
      <c r="J216" s="8">
        <f>IF($D216="ACC",$C216,0)</f>
        <v>0</v>
      </c>
      <c r="K216" s="8">
        <f>K215+L216</f>
        <v>0</v>
      </c>
      <c r="L216" s="8">
        <f>IF($D216="CBB",$C216,0)</f>
        <v>0</v>
      </c>
    </row>
    <row r="217" spans="1:12" x14ac:dyDescent="0.25">
      <c r="A217" s="6">
        <v>41456</v>
      </c>
      <c r="B217" t="s">
        <v>58</v>
      </c>
      <c r="C217" s="7">
        <v>-200</v>
      </c>
      <c r="D217" t="s">
        <v>6</v>
      </c>
      <c r="E217" s="8">
        <f>E216+F217</f>
        <v>58744</v>
      </c>
      <c r="F217" s="8">
        <f>IF($D217="CR01",$C217,0)</f>
        <v>-200</v>
      </c>
      <c r="G217" s="8">
        <f>G216+H217</f>
        <v>0</v>
      </c>
      <c r="H217" s="8">
        <f>IF($D217="VISA",$C217,0)</f>
        <v>0</v>
      </c>
      <c r="I217" s="8">
        <f>I216+J217</f>
        <v>0</v>
      </c>
      <c r="J217" s="8">
        <f>IF($D217="ACC",$C217,0)</f>
        <v>0</v>
      </c>
      <c r="K217" s="8">
        <f>K216+L217</f>
        <v>0</v>
      </c>
      <c r="L217" s="8">
        <f>IF($D217="CBB",$C217,0)</f>
        <v>0</v>
      </c>
    </row>
    <row r="218" spans="1:12" x14ac:dyDescent="0.25">
      <c r="A218" s="6">
        <v>41456</v>
      </c>
      <c r="B218" t="s">
        <v>60</v>
      </c>
      <c r="C218" s="7">
        <v>-400</v>
      </c>
      <c r="D218" t="s">
        <v>6</v>
      </c>
      <c r="E218" s="8">
        <f>E217+F218</f>
        <v>58344</v>
      </c>
      <c r="F218" s="8">
        <f>IF($D218="CR01",$C218,0)</f>
        <v>-400</v>
      </c>
      <c r="G218" s="8">
        <f>G217+H218</f>
        <v>0</v>
      </c>
      <c r="H218" s="8">
        <f>IF($D218="VISA",$C218,0)</f>
        <v>0</v>
      </c>
      <c r="I218" s="8">
        <f>I217+J218</f>
        <v>0</v>
      </c>
      <c r="J218" s="8">
        <f>IF($D218="ACC",$C218,0)</f>
        <v>0</v>
      </c>
      <c r="K218" s="8">
        <f>K217+L218</f>
        <v>0</v>
      </c>
      <c r="L218" s="8">
        <f>IF($D218="CBB",$C218,0)</f>
        <v>0</v>
      </c>
    </row>
    <row r="219" spans="1:12" x14ac:dyDescent="0.25">
      <c r="A219" s="6">
        <v>41456</v>
      </c>
      <c r="B219" t="s">
        <v>61</v>
      </c>
      <c r="C219" s="7">
        <v>-300</v>
      </c>
      <c r="D219" t="s">
        <v>6</v>
      </c>
      <c r="E219" s="8">
        <f>E218+F219</f>
        <v>58044</v>
      </c>
      <c r="F219" s="8">
        <f>IF($D219="CR01",$C219,0)</f>
        <v>-300</v>
      </c>
      <c r="G219" s="8">
        <f>G218+H219</f>
        <v>0</v>
      </c>
      <c r="H219" s="8">
        <f>IF($D219="VISA",$C219,0)</f>
        <v>0</v>
      </c>
      <c r="I219" s="8">
        <f>I218+J219</f>
        <v>0</v>
      </c>
      <c r="J219" s="8">
        <f>IF($D219="ACC",$C219,0)</f>
        <v>0</v>
      </c>
      <c r="K219" s="8">
        <f>K218+L219</f>
        <v>0</v>
      </c>
      <c r="L219" s="8">
        <f>IF($D219="CBB",$C219,0)</f>
        <v>0</v>
      </c>
    </row>
    <row r="220" spans="1:12" x14ac:dyDescent="0.25">
      <c r="A220" s="6">
        <v>41456</v>
      </c>
      <c r="B220" t="s">
        <v>64</v>
      </c>
      <c r="C220" s="7">
        <v>-26</v>
      </c>
      <c r="D220" t="s">
        <v>6</v>
      </c>
      <c r="E220" s="8">
        <f>E219+F220</f>
        <v>58018</v>
      </c>
      <c r="F220" s="8">
        <f>IF($D220="CR01",$C220,0)</f>
        <v>-26</v>
      </c>
      <c r="G220" s="8">
        <f>G219+H220</f>
        <v>0</v>
      </c>
      <c r="H220" s="8">
        <f>IF($D220="VISA",$C220,0)</f>
        <v>0</v>
      </c>
      <c r="I220" s="8">
        <f>I219+J220</f>
        <v>0</v>
      </c>
      <c r="J220" s="8">
        <f>IF($D220="ACC",$C220,0)</f>
        <v>0</v>
      </c>
      <c r="K220" s="8">
        <f>K219+L220</f>
        <v>0</v>
      </c>
      <c r="L220" s="8">
        <f>IF($D220="CBB",$C220,0)</f>
        <v>0</v>
      </c>
    </row>
    <row r="221" spans="1:12" x14ac:dyDescent="0.25">
      <c r="A221" s="6">
        <v>41456</v>
      </c>
      <c r="B221" t="s">
        <v>65</v>
      </c>
      <c r="C221" s="7">
        <v>-240</v>
      </c>
      <c r="D221" t="s">
        <v>6</v>
      </c>
      <c r="E221" s="8">
        <f>E220+F221</f>
        <v>57778</v>
      </c>
      <c r="F221" s="8">
        <f>IF($D221="CR01",$C221,0)</f>
        <v>-240</v>
      </c>
      <c r="G221" s="8">
        <f>G220+H221</f>
        <v>0</v>
      </c>
      <c r="H221" s="8">
        <f>IF($D221="VISA",$C221,0)</f>
        <v>0</v>
      </c>
      <c r="I221" s="8">
        <f>I220+J221</f>
        <v>0</v>
      </c>
      <c r="J221" s="8">
        <f>IF($D221="ACC",$C221,0)</f>
        <v>0</v>
      </c>
      <c r="K221" s="8">
        <f>K220+L221</f>
        <v>0</v>
      </c>
      <c r="L221" s="8">
        <f>IF($D221="CBB",$C221,0)</f>
        <v>0</v>
      </c>
    </row>
    <row r="222" spans="1:12" x14ac:dyDescent="0.25">
      <c r="A222" s="6">
        <v>41456</v>
      </c>
      <c r="B222" t="s">
        <v>66</v>
      </c>
      <c r="C222" s="7">
        <v>-120</v>
      </c>
      <c r="D222" t="s">
        <v>6</v>
      </c>
      <c r="E222" s="8">
        <f>E221+F222</f>
        <v>57658</v>
      </c>
      <c r="F222" s="8">
        <f>IF($D222="CR01",$C222,0)</f>
        <v>-120</v>
      </c>
      <c r="G222" s="8">
        <f>G221+H222</f>
        <v>0</v>
      </c>
      <c r="H222" s="8">
        <f>IF($D222="VISA",$C222,0)</f>
        <v>0</v>
      </c>
      <c r="I222" s="8">
        <f>I221+J222</f>
        <v>0</v>
      </c>
      <c r="J222" s="8">
        <f>IF($D222="ACC",$C222,0)</f>
        <v>0</v>
      </c>
      <c r="K222" s="8">
        <f>K221+L222</f>
        <v>0</v>
      </c>
      <c r="L222" s="8">
        <f>IF($D222="CBB",$C222,0)</f>
        <v>0</v>
      </c>
    </row>
    <row r="223" spans="1:12" x14ac:dyDescent="0.25">
      <c r="A223" s="6">
        <v>41457</v>
      </c>
      <c r="B223" t="s">
        <v>42</v>
      </c>
      <c r="C223" s="7">
        <v>-2806</v>
      </c>
      <c r="D223" t="s">
        <v>6</v>
      </c>
      <c r="E223" s="8">
        <f>E222+F223</f>
        <v>54852</v>
      </c>
      <c r="F223" s="8">
        <f>IF($D223="CR01",$C223,0)</f>
        <v>-2806</v>
      </c>
      <c r="G223" s="8">
        <f>G222+H223</f>
        <v>0</v>
      </c>
      <c r="H223" s="8">
        <f>IF($D223="VISA",$C223,0)</f>
        <v>0</v>
      </c>
      <c r="I223" s="8">
        <f>I222+J223</f>
        <v>0</v>
      </c>
      <c r="J223" s="8">
        <f>IF($D223="ACC",$C223,0)</f>
        <v>0</v>
      </c>
      <c r="K223" s="8">
        <f>K222+L223</f>
        <v>0</v>
      </c>
      <c r="L223" s="8">
        <f>IF($D223="CBB",$C223,0)</f>
        <v>0</v>
      </c>
    </row>
    <row r="224" spans="1:12" x14ac:dyDescent="0.25">
      <c r="A224" s="6">
        <v>41457</v>
      </c>
      <c r="B224" t="s">
        <v>48</v>
      </c>
      <c r="C224" s="7">
        <v>-100</v>
      </c>
      <c r="D224" t="s">
        <v>6</v>
      </c>
      <c r="E224" s="8">
        <f>E223+F224</f>
        <v>54752</v>
      </c>
      <c r="F224" s="8">
        <f>IF($D224="CR01",$C224,0)</f>
        <v>-100</v>
      </c>
      <c r="G224" s="8">
        <f>G223+H224</f>
        <v>0</v>
      </c>
      <c r="H224" s="8">
        <f>IF($D224="VISA",$C224,0)</f>
        <v>0</v>
      </c>
      <c r="I224" s="8">
        <f>I223+J224</f>
        <v>0</v>
      </c>
      <c r="J224" s="8">
        <f>IF($D224="ACC",$C224,0)</f>
        <v>0</v>
      </c>
      <c r="K224" s="8">
        <f>K223+L224</f>
        <v>0</v>
      </c>
      <c r="L224" s="8">
        <f>IF($D224="CBB",$C224,0)</f>
        <v>0</v>
      </c>
    </row>
    <row r="225" spans="1:12" x14ac:dyDescent="0.25">
      <c r="A225" s="6">
        <v>41457</v>
      </c>
      <c r="B225" t="s">
        <v>59</v>
      </c>
      <c r="C225" s="7">
        <v>-900</v>
      </c>
      <c r="D225" t="s">
        <v>6</v>
      </c>
      <c r="E225" s="8">
        <f>E224+F225</f>
        <v>53852</v>
      </c>
      <c r="F225" s="8">
        <f>IF($D225="CR01",$C225,0)</f>
        <v>-900</v>
      </c>
      <c r="G225" s="8">
        <f>G224+H225</f>
        <v>0</v>
      </c>
      <c r="H225" s="8">
        <f>IF($D225="VISA",$C225,0)</f>
        <v>0</v>
      </c>
      <c r="I225" s="8">
        <f>I224+J225</f>
        <v>0</v>
      </c>
      <c r="J225" s="8">
        <f>IF($D225="ACC",$C225,0)</f>
        <v>0</v>
      </c>
      <c r="K225" s="8">
        <f>K224+L225</f>
        <v>0</v>
      </c>
      <c r="L225" s="8">
        <f>IF($D225="CBB",$C225,0)</f>
        <v>0</v>
      </c>
    </row>
    <row r="226" spans="1:12" x14ac:dyDescent="0.25">
      <c r="A226" s="6">
        <v>41458</v>
      </c>
      <c r="B226" t="s">
        <v>47</v>
      </c>
      <c r="C226" s="7">
        <v>-120</v>
      </c>
      <c r="D226" t="s">
        <v>6</v>
      </c>
      <c r="E226" s="8">
        <f>E225+F226</f>
        <v>53732</v>
      </c>
      <c r="F226" s="8">
        <f>IF($D226="CR01",$C226,0)</f>
        <v>-120</v>
      </c>
      <c r="G226" s="8">
        <f>G225+H226</f>
        <v>0</v>
      </c>
      <c r="H226" s="8">
        <f>IF($D226="VISA",$C226,0)</f>
        <v>0</v>
      </c>
      <c r="I226" s="8">
        <f>I225+J226</f>
        <v>0</v>
      </c>
      <c r="J226" s="8">
        <f>IF($D226="ACC",$C226,0)</f>
        <v>0</v>
      </c>
      <c r="K226" s="8">
        <f>K225+L226</f>
        <v>0</v>
      </c>
      <c r="L226" s="8">
        <f>IF($D226="CBB",$C226,0)</f>
        <v>0</v>
      </c>
    </row>
    <row r="227" spans="1:12" x14ac:dyDescent="0.25">
      <c r="A227" s="6">
        <v>41459</v>
      </c>
      <c r="B227" t="s">
        <v>44</v>
      </c>
      <c r="C227" s="7">
        <v>-400</v>
      </c>
      <c r="D227" t="s">
        <v>6</v>
      </c>
      <c r="E227" s="8">
        <f>E226+F227</f>
        <v>53332</v>
      </c>
      <c r="F227" s="8">
        <f>IF($D227="CR01",$C227,0)</f>
        <v>-400</v>
      </c>
      <c r="G227" s="8">
        <f>G226+H227</f>
        <v>0</v>
      </c>
      <c r="H227" s="8">
        <f>IF($D227="VISA",$C227,0)</f>
        <v>0</v>
      </c>
      <c r="I227" s="8">
        <f>I226+J227</f>
        <v>0</v>
      </c>
      <c r="J227" s="8">
        <f>IF($D227="ACC",$C227,0)</f>
        <v>0</v>
      </c>
      <c r="K227" s="8">
        <f>K226+L227</f>
        <v>0</v>
      </c>
      <c r="L227" s="8">
        <f>IF($D227="CBB",$C227,0)</f>
        <v>0</v>
      </c>
    </row>
    <row r="228" spans="1:12" x14ac:dyDescent="0.25">
      <c r="A228" s="6">
        <v>41459</v>
      </c>
      <c r="B228" t="s">
        <v>45</v>
      </c>
      <c r="C228" s="7">
        <v>-180</v>
      </c>
      <c r="D228" t="s">
        <v>6</v>
      </c>
      <c r="E228" s="8">
        <f>E227+F228</f>
        <v>53152</v>
      </c>
      <c r="F228" s="8">
        <f>IF($D228="CR01",$C228,0)</f>
        <v>-180</v>
      </c>
      <c r="G228" s="8">
        <f>G227+H228</f>
        <v>0</v>
      </c>
      <c r="H228" s="8">
        <f>IF($D228="VISA",$C228,0)</f>
        <v>0</v>
      </c>
      <c r="I228" s="8">
        <f>I227+J228</f>
        <v>0</v>
      </c>
      <c r="J228" s="8">
        <f>IF($D228="ACC",$C228,0)</f>
        <v>0</v>
      </c>
      <c r="K228" s="8">
        <f>K227+L228</f>
        <v>0</v>
      </c>
      <c r="L228" s="8">
        <f>IF($D228="CBB",$C228,0)</f>
        <v>0</v>
      </c>
    </row>
    <row r="229" spans="1:12" x14ac:dyDescent="0.25">
      <c r="A229" s="6">
        <v>41459</v>
      </c>
      <c r="B229" t="s">
        <v>46</v>
      </c>
      <c r="C229" s="7">
        <v>-300</v>
      </c>
      <c r="D229" t="s">
        <v>6</v>
      </c>
      <c r="E229" s="8">
        <f>E228+F229</f>
        <v>52852</v>
      </c>
      <c r="F229" s="8">
        <f>IF($D229="CR01",$C229,0)</f>
        <v>-300</v>
      </c>
      <c r="G229" s="8">
        <f>G228+H229</f>
        <v>0</v>
      </c>
      <c r="H229" s="8">
        <f>IF($D229="VISA",$C229,0)</f>
        <v>0</v>
      </c>
      <c r="I229" s="8">
        <f>I228+J229</f>
        <v>0</v>
      </c>
      <c r="J229" s="8">
        <f>IF($D229="ACC",$C229,0)</f>
        <v>0</v>
      </c>
      <c r="K229" s="8">
        <f>K228+L229</f>
        <v>0</v>
      </c>
      <c r="L229" s="8">
        <f>IF($D229="CBB",$C229,0)</f>
        <v>0</v>
      </c>
    </row>
    <row r="230" spans="1:12" x14ac:dyDescent="0.25">
      <c r="A230" s="6">
        <v>41460</v>
      </c>
      <c r="B230" t="s">
        <v>43</v>
      </c>
      <c r="C230" s="7">
        <v>3226</v>
      </c>
      <c r="D230" t="s">
        <v>6</v>
      </c>
      <c r="E230" s="8">
        <f>E229+F230</f>
        <v>56078</v>
      </c>
      <c r="F230" s="8">
        <f>IF($D230="CR01",$C230,0)</f>
        <v>3226</v>
      </c>
      <c r="G230" s="8">
        <f>G229+H230</f>
        <v>0</v>
      </c>
      <c r="H230" s="8">
        <f>IF($D230="VISA",$C230,0)</f>
        <v>0</v>
      </c>
      <c r="I230" s="8">
        <f>I229+J230</f>
        <v>0</v>
      </c>
      <c r="J230" s="8">
        <f>IF($D230="ACC",$C230,0)</f>
        <v>0</v>
      </c>
      <c r="K230" s="8">
        <f>K229+L230</f>
        <v>0</v>
      </c>
      <c r="L230" s="8">
        <f>IF($D230="CBB",$C230,0)</f>
        <v>0</v>
      </c>
    </row>
    <row r="231" spans="1:12" x14ac:dyDescent="0.25">
      <c r="A231" s="6">
        <v>41464</v>
      </c>
      <c r="B231" t="s">
        <v>48</v>
      </c>
      <c r="C231" s="7">
        <v>-100</v>
      </c>
      <c r="D231" t="s">
        <v>6</v>
      </c>
      <c r="E231" s="8">
        <f>E230+F231</f>
        <v>55978</v>
      </c>
      <c r="F231" s="8">
        <f>IF($D231="CR01",$C231,0)</f>
        <v>-100</v>
      </c>
      <c r="G231" s="8">
        <f>G230+H231</f>
        <v>0</v>
      </c>
      <c r="H231" s="8">
        <f>IF($D231="VISA",$C231,0)</f>
        <v>0</v>
      </c>
      <c r="I231" s="8">
        <f>I230+J231</f>
        <v>0</v>
      </c>
      <c r="J231" s="8">
        <f>IF($D231="ACC",$C231,0)</f>
        <v>0</v>
      </c>
      <c r="K231" s="8">
        <f>K230+L231</f>
        <v>0</v>
      </c>
      <c r="L231" s="8">
        <f>IF($D231="CBB",$C231,0)</f>
        <v>0</v>
      </c>
    </row>
    <row r="232" spans="1:12" x14ac:dyDescent="0.25">
      <c r="A232" s="6">
        <v>41465</v>
      </c>
      <c r="B232" t="s">
        <v>47</v>
      </c>
      <c r="C232" s="7">
        <v>-120</v>
      </c>
      <c r="D232" t="s">
        <v>6</v>
      </c>
      <c r="E232" s="8">
        <f>E231+F232</f>
        <v>55858</v>
      </c>
      <c r="F232" s="8">
        <f>IF($D232="CR01",$C232,0)</f>
        <v>-120</v>
      </c>
      <c r="G232" s="8">
        <f>G231+H232</f>
        <v>0</v>
      </c>
      <c r="H232" s="8">
        <f>IF($D232="VISA",$C232,0)</f>
        <v>0</v>
      </c>
      <c r="I232" s="8">
        <f>I231+J232</f>
        <v>0</v>
      </c>
      <c r="J232" s="8">
        <f>IF($D232="ACC",$C232,0)</f>
        <v>0</v>
      </c>
      <c r="K232" s="8">
        <f>K231+L232</f>
        <v>0</v>
      </c>
      <c r="L232" s="8">
        <f>IF($D232="CBB",$C232,0)</f>
        <v>0</v>
      </c>
    </row>
    <row r="233" spans="1:12" x14ac:dyDescent="0.25">
      <c r="A233" s="6">
        <v>41466</v>
      </c>
      <c r="B233" t="s">
        <v>44</v>
      </c>
      <c r="C233" s="7">
        <v>-400</v>
      </c>
      <c r="D233" t="s">
        <v>6</v>
      </c>
      <c r="E233" s="8">
        <f>E232+F233</f>
        <v>55458</v>
      </c>
      <c r="F233" s="8">
        <f>IF($D233="CR01",$C233,0)</f>
        <v>-400</v>
      </c>
      <c r="G233" s="8">
        <f>G232+H233</f>
        <v>0</v>
      </c>
      <c r="H233" s="8">
        <f>IF($D233="VISA",$C233,0)</f>
        <v>0</v>
      </c>
      <c r="I233" s="8">
        <f>I232+J233</f>
        <v>0</v>
      </c>
      <c r="J233" s="8">
        <f>IF($D233="ACC",$C233,0)</f>
        <v>0</v>
      </c>
      <c r="K233" s="8">
        <f>K232+L233</f>
        <v>0</v>
      </c>
      <c r="L233" s="8">
        <f>IF($D233="CBB",$C233,0)</f>
        <v>0</v>
      </c>
    </row>
    <row r="234" spans="1:12" x14ac:dyDescent="0.25">
      <c r="A234" s="6">
        <v>41466</v>
      </c>
      <c r="B234" t="s">
        <v>45</v>
      </c>
      <c r="C234" s="7">
        <v>-180</v>
      </c>
      <c r="D234" t="s">
        <v>6</v>
      </c>
      <c r="E234" s="8">
        <f>E233+F234</f>
        <v>55278</v>
      </c>
      <c r="F234" s="8">
        <f>IF($D234="CR01",$C234,0)</f>
        <v>-180</v>
      </c>
      <c r="G234" s="8">
        <f>G233+H234</f>
        <v>0</v>
      </c>
      <c r="H234" s="8">
        <f>IF($D234="VISA",$C234,0)</f>
        <v>0</v>
      </c>
      <c r="I234" s="8">
        <f>I233+J234</f>
        <v>0</v>
      </c>
      <c r="J234" s="8">
        <f>IF($D234="ACC",$C234,0)</f>
        <v>0</v>
      </c>
      <c r="K234" s="8">
        <f>K233+L234</f>
        <v>0</v>
      </c>
      <c r="L234" s="8">
        <f>IF($D234="CBB",$C234,0)</f>
        <v>0</v>
      </c>
    </row>
    <row r="235" spans="1:12" x14ac:dyDescent="0.25">
      <c r="A235" s="6">
        <v>41466</v>
      </c>
      <c r="B235" t="s">
        <v>46</v>
      </c>
      <c r="C235" s="7">
        <v>-300</v>
      </c>
      <c r="D235" t="s">
        <v>6</v>
      </c>
      <c r="E235" s="8">
        <f>E234+F235</f>
        <v>54978</v>
      </c>
      <c r="F235" s="8">
        <f>IF($D235="CR01",$C235,0)</f>
        <v>-300</v>
      </c>
      <c r="G235" s="8">
        <f>G234+H235</f>
        <v>0</v>
      </c>
      <c r="H235" s="8">
        <f>IF($D235="VISA",$C235,0)</f>
        <v>0</v>
      </c>
      <c r="I235" s="8">
        <f>I234+J235</f>
        <v>0</v>
      </c>
      <c r="J235" s="8">
        <f>IF($D235="ACC",$C235,0)</f>
        <v>0</v>
      </c>
      <c r="K235" s="8">
        <f>K234+L235</f>
        <v>0</v>
      </c>
      <c r="L235" s="8">
        <f>IF($D235="CBB",$C235,0)</f>
        <v>0</v>
      </c>
    </row>
    <row r="236" spans="1:12" x14ac:dyDescent="0.25">
      <c r="A236" s="6">
        <v>41468</v>
      </c>
      <c r="B236" t="s">
        <v>67</v>
      </c>
      <c r="C236" s="7">
        <v>6800</v>
      </c>
      <c r="D236" t="s">
        <v>6</v>
      </c>
      <c r="E236" s="8">
        <f>E235+F236</f>
        <v>61778</v>
      </c>
      <c r="F236" s="8">
        <f>IF($D236="CR01",$C236,0)</f>
        <v>6800</v>
      </c>
      <c r="G236" s="8">
        <f>G235+H236</f>
        <v>0</v>
      </c>
      <c r="H236" s="8">
        <f>IF($D236="VISA",$C236,0)</f>
        <v>0</v>
      </c>
      <c r="I236" s="8">
        <f>I235+J236</f>
        <v>0</v>
      </c>
      <c r="J236" s="8">
        <f>IF($D236="ACC",$C236,0)</f>
        <v>0</v>
      </c>
      <c r="K236" s="8">
        <f>K235+L236</f>
        <v>0</v>
      </c>
      <c r="L236" s="8">
        <f>IF($D236="CBB",$C236,0)</f>
        <v>0</v>
      </c>
    </row>
    <row r="237" spans="1:12" x14ac:dyDescent="0.25">
      <c r="A237" s="6">
        <v>41471</v>
      </c>
      <c r="B237" t="s">
        <v>42</v>
      </c>
      <c r="C237" s="7">
        <v>-2806</v>
      </c>
      <c r="D237" t="s">
        <v>6</v>
      </c>
      <c r="E237" s="8">
        <f>E236+F237</f>
        <v>58972</v>
      </c>
      <c r="F237" s="8">
        <f>IF($D237="CR01",$C237,0)</f>
        <v>-2806</v>
      </c>
      <c r="G237" s="8">
        <f>G236+H237</f>
        <v>0</v>
      </c>
      <c r="H237" s="8">
        <f>IF($D237="VISA",$C237,0)</f>
        <v>0</v>
      </c>
      <c r="I237" s="8">
        <f>I236+J237</f>
        <v>0</v>
      </c>
      <c r="J237" s="8">
        <f>IF($D237="ACC",$C237,0)</f>
        <v>0</v>
      </c>
      <c r="K237" s="8">
        <f>K236+L237</f>
        <v>0</v>
      </c>
      <c r="L237" s="8">
        <f>IF($D237="CBB",$C237,0)</f>
        <v>0</v>
      </c>
    </row>
    <row r="238" spans="1:12" x14ac:dyDescent="0.25">
      <c r="A238" s="6">
        <v>41471</v>
      </c>
      <c r="B238" t="s">
        <v>48</v>
      </c>
      <c r="C238" s="7">
        <v>-100</v>
      </c>
      <c r="D238" t="s">
        <v>6</v>
      </c>
      <c r="E238" s="8">
        <f>E237+F238</f>
        <v>58872</v>
      </c>
      <c r="F238" s="8">
        <f>IF($D238="CR01",$C238,0)</f>
        <v>-100</v>
      </c>
      <c r="G238" s="8">
        <f>G237+H238</f>
        <v>0</v>
      </c>
      <c r="H238" s="8">
        <f>IF($D238="VISA",$C238,0)</f>
        <v>0</v>
      </c>
      <c r="I238" s="8">
        <f>I237+J238</f>
        <v>0</v>
      </c>
      <c r="J238" s="8">
        <f>IF($D238="ACC",$C238,0)</f>
        <v>0</v>
      </c>
      <c r="K238" s="8">
        <f>K237+L238</f>
        <v>0</v>
      </c>
      <c r="L238" s="8">
        <f>IF($D238="CBB",$C238,0)</f>
        <v>0</v>
      </c>
    </row>
    <row r="239" spans="1:12" x14ac:dyDescent="0.25">
      <c r="A239" s="6">
        <v>41472</v>
      </c>
      <c r="B239" t="s">
        <v>47</v>
      </c>
      <c r="C239" s="7">
        <v>-120</v>
      </c>
      <c r="D239" t="s">
        <v>6</v>
      </c>
      <c r="E239" s="8">
        <f>E238+F239</f>
        <v>58752</v>
      </c>
      <c r="F239" s="8">
        <f>IF($D239="CR01",$C239,0)</f>
        <v>-120</v>
      </c>
      <c r="G239" s="8">
        <f>G238+H239</f>
        <v>0</v>
      </c>
      <c r="H239" s="8">
        <f>IF($D239="VISA",$C239,0)</f>
        <v>0</v>
      </c>
      <c r="I239" s="8">
        <f>I238+J239</f>
        <v>0</v>
      </c>
      <c r="J239" s="8">
        <f>IF($D239="ACC",$C239,0)</f>
        <v>0</v>
      </c>
      <c r="K239" s="8">
        <f>K238+L239</f>
        <v>0</v>
      </c>
      <c r="L239" s="8">
        <f>IF($D239="CBB",$C239,0)</f>
        <v>0</v>
      </c>
    </row>
    <row r="240" spans="1:12" x14ac:dyDescent="0.25">
      <c r="A240" s="6">
        <v>41473</v>
      </c>
      <c r="B240" t="s">
        <v>44</v>
      </c>
      <c r="C240" s="7">
        <v>-400</v>
      </c>
      <c r="D240" t="s">
        <v>6</v>
      </c>
      <c r="E240" s="8">
        <f>E239+F240</f>
        <v>58352</v>
      </c>
      <c r="F240" s="8">
        <f>IF($D240="CR01",$C240,0)</f>
        <v>-400</v>
      </c>
      <c r="G240" s="8">
        <f>G239+H240</f>
        <v>0</v>
      </c>
      <c r="H240" s="8">
        <f>IF($D240="VISA",$C240,0)</f>
        <v>0</v>
      </c>
      <c r="I240" s="8">
        <f>I239+J240</f>
        <v>0</v>
      </c>
      <c r="J240" s="8">
        <f>IF($D240="ACC",$C240,0)</f>
        <v>0</v>
      </c>
      <c r="K240" s="8">
        <f>K239+L240</f>
        <v>0</v>
      </c>
      <c r="L240" s="8">
        <f>IF($D240="CBB",$C240,0)</f>
        <v>0</v>
      </c>
    </row>
    <row r="241" spans="1:12" x14ac:dyDescent="0.25">
      <c r="A241" s="6">
        <v>41473</v>
      </c>
      <c r="B241" t="s">
        <v>45</v>
      </c>
      <c r="C241" s="7">
        <v>-180</v>
      </c>
      <c r="D241" t="s">
        <v>6</v>
      </c>
      <c r="E241" s="8">
        <f>E240+F241</f>
        <v>58172</v>
      </c>
      <c r="F241" s="8">
        <f>IF($D241="CR01",$C241,0)</f>
        <v>-180</v>
      </c>
      <c r="G241" s="8">
        <f>G240+H241</f>
        <v>0</v>
      </c>
      <c r="H241" s="8">
        <f>IF($D241="VISA",$C241,0)</f>
        <v>0</v>
      </c>
      <c r="I241" s="8">
        <f>I240+J241</f>
        <v>0</v>
      </c>
      <c r="J241" s="8">
        <f>IF($D241="ACC",$C241,0)</f>
        <v>0</v>
      </c>
      <c r="K241" s="8">
        <f>K240+L241</f>
        <v>0</v>
      </c>
      <c r="L241" s="8">
        <f>IF($D241="CBB",$C241,0)</f>
        <v>0</v>
      </c>
    </row>
    <row r="242" spans="1:12" x14ac:dyDescent="0.25">
      <c r="A242" s="6">
        <v>41473</v>
      </c>
      <c r="B242" t="s">
        <v>46</v>
      </c>
      <c r="C242" s="7">
        <v>-300</v>
      </c>
      <c r="D242" t="s">
        <v>6</v>
      </c>
      <c r="E242" s="8">
        <f>E241+F242</f>
        <v>57872</v>
      </c>
      <c r="F242" s="8">
        <f>IF($D242="CR01",$C242,0)</f>
        <v>-300</v>
      </c>
      <c r="G242" s="8">
        <f>G241+H242</f>
        <v>0</v>
      </c>
      <c r="H242" s="8">
        <f>IF($D242="VISA",$C242,0)</f>
        <v>0</v>
      </c>
      <c r="I242" s="8">
        <f>I241+J242</f>
        <v>0</v>
      </c>
      <c r="J242" s="8">
        <f>IF($D242="ACC",$C242,0)</f>
        <v>0</v>
      </c>
      <c r="K242" s="8">
        <f>K241+L242</f>
        <v>0</v>
      </c>
      <c r="L242" s="8">
        <f>IF($D242="CBB",$C242,0)</f>
        <v>0</v>
      </c>
    </row>
    <row r="243" spans="1:12" x14ac:dyDescent="0.25">
      <c r="A243" s="6">
        <v>41474</v>
      </c>
      <c r="B243" t="s">
        <v>43</v>
      </c>
      <c r="C243" s="7">
        <v>3226</v>
      </c>
      <c r="D243" t="s">
        <v>6</v>
      </c>
      <c r="E243" s="8">
        <f>E242+F243</f>
        <v>61098</v>
      </c>
      <c r="F243" s="8">
        <f>IF($D243="CR01",$C243,0)</f>
        <v>3226</v>
      </c>
      <c r="G243" s="8">
        <f>G242+H243</f>
        <v>0</v>
      </c>
      <c r="H243" s="8">
        <f>IF($D243="VISA",$C243,0)</f>
        <v>0</v>
      </c>
      <c r="I243" s="8">
        <f>I242+J243</f>
        <v>0</v>
      </c>
      <c r="J243" s="8">
        <f>IF($D243="ACC",$C243,0)</f>
        <v>0</v>
      </c>
      <c r="K243" s="8">
        <f>K242+L243</f>
        <v>0</v>
      </c>
      <c r="L243" s="8">
        <f>IF($D243="CBB",$C243,0)</f>
        <v>0</v>
      </c>
    </row>
    <row r="244" spans="1:12" x14ac:dyDescent="0.25">
      <c r="A244" s="6">
        <v>41478</v>
      </c>
      <c r="B244" t="s">
        <v>48</v>
      </c>
      <c r="C244" s="7">
        <v>-100</v>
      </c>
      <c r="D244" t="s">
        <v>6</v>
      </c>
      <c r="E244" s="8">
        <f>E243+F244</f>
        <v>60998</v>
      </c>
      <c r="F244" s="8">
        <f>IF($D244="CR01",$C244,0)</f>
        <v>-100</v>
      </c>
      <c r="G244" s="8">
        <f>G243+H244</f>
        <v>0</v>
      </c>
      <c r="H244" s="8">
        <f>IF($D244="VISA",$C244,0)</f>
        <v>0</v>
      </c>
      <c r="I244" s="8">
        <f>I243+J244</f>
        <v>0</v>
      </c>
      <c r="J244" s="8">
        <f>IF($D244="ACC",$C244,0)</f>
        <v>0</v>
      </c>
      <c r="K244" s="8">
        <f>K243+L244</f>
        <v>0</v>
      </c>
      <c r="L244" s="8">
        <f>IF($D244="CBB",$C244,0)</f>
        <v>0</v>
      </c>
    </row>
    <row r="245" spans="1:12" x14ac:dyDescent="0.25">
      <c r="A245" s="6">
        <v>41479</v>
      </c>
      <c r="B245" t="s">
        <v>47</v>
      </c>
      <c r="C245" s="7">
        <v>-120</v>
      </c>
      <c r="D245" t="s">
        <v>6</v>
      </c>
      <c r="E245" s="8">
        <f>E244+F245</f>
        <v>60878</v>
      </c>
      <c r="F245" s="8">
        <f>IF($D245="CR01",$C245,0)</f>
        <v>-120</v>
      </c>
      <c r="G245" s="8">
        <f>G244+H245</f>
        <v>0</v>
      </c>
      <c r="H245" s="8">
        <f>IF($D245="VISA",$C245,0)</f>
        <v>0</v>
      </c>
      <c r="I245" s="8">
        <f>I244+J245</f>
        <v>0</v>
      </c>
      <c r="J245" s="8">
        <f>IF($D245="ACC",$C245,0)</f>
        <v>0</v>
      </c>
      <c r="K245" s="8">
        <f>K244+L245</f>
        <v>0</v>
      </c>
      <c r="L245" s="8">
        <f>IF($D245="CBB",$C245,0)</f>
        <v>0</v>
      </c>
    </row>
    <row r="246" spans="1:12" x14ac:dyDescent="0.25">
      <c r="A246" s="6">
        <v>41480</v>
      </c>
      <c r="B246" t="s">
        <v>44</v>
      </c>
      <c r="C246" s="7">
        <v>-400</v>
      </c>
      <c r="D246" t="s">
        <v>6</v>
      </c>
      <c r="E246" s="8">
        <f>E245+F246</f>
        <v>60478</v>
      </c>
      <c r="F246" s="8">
        <f>IF($D246="CR01",$C246,0)</f>
        <v>-400</v>
      </c>
      <c r="G246" s="8">
        <f>G245+H246</f>
        <v>0</v>
      </c>
      <c r="H246" s="8">
        <f>IF($D246="VISA",$C246,0)</f>
        <v>0</v>
      </c>
      <c r="I246" s="8">
        <f>I245+J246</f>
        <v>0</v>
      </c>
      <c r="J246" s="8">
        <f>IF($D246="ACC",$C246,0)</f>
        <v>0</v>
      </c>
      <c r="K246" s="8">
        <f>K245+L246</f>
        <v>0</v>
      </c>
      <c r="L246" s="8">
        <f>IF($D246="CBB",$C246,0)</f>
        <v>0</v>
      </c>
    </row>
    <row r="247" spans="1:12" x14ac:dyDescent="0.25">
      <c r="A247" s="6">
        <v>41480</v>
      </c>
      <c r="B247" t="s">
        <v>45</v>
      </c>
      <c r="C247" s="7">
        <v>-180</v>
      </c>
      <c r="D247" t="s">
        <v>6</v>
      </c>
      <c r="E247" s="8">
        <f>E246+F247</f>
        <v>60298</v>
      </c>
      <c r="F247" s="8">
        <f>IF($D247="CR01",$C247,0)</f>
        <v>-180</v>
      </c>
      <c r="G247" s="8">
        <f>G246+H247</f>
        <v>0</v>
      </c>
      <c r="H247" s="8">
        <f>IF($D247="VISA",$C247,0)</f>
        <v>0</v>
      </c>
      <c r="I247" s="8">
        <f>I246+J247</f>
        <v>0</v>
      </c>
      <c r="J247" s="8">
        <f>IF($D247="ACC",$C247,0)</f>
        <v>0</v>
      </c>
      <c r="K247" s="8">
        <f>K246+L247</f>
        <v>0</v>
      </c>
      <c r="L247" s="8">
        <f>IF($D247="CBB",$C247,0)</f>
        <v>0</v>
      </c>
    </row>
    <row r="248" spans="1:12" x14ac:dyDescent="0.25">
      <c r="A248" s="6">
        <v>41480</v>
      </c>
      <c r="B248" t="s">
        <v>46</v>
      </c>
      <c r="C248" s="7">
        <v>-300</v>
      </c>
      <c r="D248" t="s">
        <v>6</v>
      </c>
      <c r="E248" s="8">
        <f>E247+F248</f>
        <v>59998</v>
      </c>
      <c r="F248" s="8">
        <f>IF($D248="CR01",$C248,0)</f>
        <v>-300</v>
      </c>
      <c r="G248" s="8">
        <f>G247+H248</f>
        <v>0</v>
      </c>
      <c r="H248" s="8">
        <f>IF($D248="VISA",$C248,0)</f>
        <v>0</v>
      </c>
      <c r="I248" s="8">
        <f>I247+J248</f>
        <v>0</v>
      </c>
      <c r="J248" s="8">
        <f>IF($D248="ACC",$C248,0)</f>
        <v>0</v>
      </c>
      <c r="K248" s="8">
        <f>K247+L248</f>
        <v>0</v>
      </c>
      <c r="L248" s="8">
        <f>IF($D248="CBB",$C248,0)</f>
        <v>0</v>
      </c>
    </row>
    <row r="249" spans="1:12" x14ac:dyDescent="0.25">
      <c r="A249" s="6">
        <v>41482</v>
      </c>
      <c r="B249" t="s">
        <v>67</v>
      </c>
      <c r="C249" s="7">
        <v>6800</v>
      </c>
      <c r="D249" t="s">
        <v>6</v>
      </c>
      <c r="E249" s="8">
        <f>E248+F249</f>
        <v>66798</v>
      </c>
      <c r="F249" s="8">
        <f>IF($D249="CR01",$C249,0)</f>
        <v>6800</v>
      </c>
      <c r="G249" s="8">
        <f>G248+H249</f>
        <v>0</v>
      </c>
      <c r="H249" s="8">
        <f>IF($D249="VISA",$C249,0)</f>
        <v>0</v>
      </c>
      <c r="I249" s="8">
        <f>I248+J249</f>
        <v>0</v>
      </c>
      <c r="J249" s="8">
        <f>IF($D249="ACC",$C249,0)</f>
        <v>0</v>
      </c>
      <c r="K249" s="8">
        <f>K248+L249</f>
        <v>0</v>
      </c>
      <c r="L249" s="8">
        <f>IF($D249="CBB",$C249,0)</f>
        <v>0</v>
      </c>
    </row>
    <row r="250" spans="1:12" x14ac:dyDescent="0.25">
      <c r="A250" s="6">
        <v>41485</v>
      </c>
      <c r="B250" t="s">
        <v>42</v>
      </c>
      <c r="C250" s="7">
        <v>-2806</v>
      </c>
      <c r="D250" t="s">
        <v>6</v>
      </c>
      <c r="E250" s="8">
        <f>E249+F250</f>
        <v>63992</v>
      </c>
      <c r="F250" s="8">
        <f>IF($D250="CR01",$C250,0)</f>
        <v>-2806</v>
      </c>
      <c r="G250" s="8">
        <f>G249+H250</f>
        <v>0</v>
      </c>
      <c r="H250" s="8">
        <f>IF($D250="VISA",$C250,0)</f>
        <v>0</v>
      </c>
      <c r="I250" s="8">
        <f>I249+J250</f>
        <v>0</v>
      </c>
      <c r="J250" s="8">
        <f>IF($D250="ACC",$C250,0)</f>
        <v>0</v>
      </c>
      <c r="K250" s="8">
        <f>K249+L250</f>
        <v>0</v>
      </c>
      <c r="L250" s="8">
        <f>IF($D250="CBB",$C250,0)</f>
        <v>0</v>
      </c>
    </row>
    <row r="251" spans="1:12" x14ac:dyDescent="0.25">
      <c r="A251" s="6">
        <v>41485</v>
      </c>
      <c r="B251" t="s">
        <v>48</v>
      </c>
      <c r="C251" s="7">
        <v>-100</v>
      </c>
      <c r="D251" t="s">
        <v>6</v>
      </c>
      <c r="E251" s="8">
        <f>E250+F251</f>
        <v>63892</v>
      </c>
      <c r="F251" s="8">
        <f>IF($D251="CR01",$C251,0)</f>
        <v>-100</v>
      </c>
      <c r="G251" s="8">
        <f>G250+H251</f>
        <v>0</v>
      </c>
      <c r="H251" s="8">
        <f>IF($D251="VISA",$C251,0)</f>
        <v>0</v>
      </c>
      <c r="I251" s="8">
        <f>I250+J251</f>
        <v>0</v>
      </c>
      <c r="J251" s="8">
        <f>IF($D251="ACC",$C251,0)</f>
        <v>0</v>
      </c>
      <c r="K251" s="8">
        <f>K250+L251</f>
        <v>0</v>
      </c>
      <c r="L251" s="8">
        <f>IF($D251="CBB",$C251,0)</f>
        <v>0</v>
      </c>
    </row>
    <row r="252" spans="1:12" x14ac:dyDescent="0.25">
      <c r="A252" s="6">
        <v>41486</v>
      </c>
      <c r="B252" t="s">
        <v>47</v>
      </c>
      <c r="C252" s="7">
        <v>-120</v>
      </c>
      <c r="D252" t="s">
        <v>6</v>
      </c>
      <c r="E252" s="8">
        <f>E251+F252</f>
        <v>63772</v>
      </c>
      <c r="F252" s="8">
        <f>IF($D252="CR01",$C252,0)</f>
        <v>-120</v>
      </c>
      <c r="G252" s="8">
        <f>G251+H252</f>
        <v>0</v>
      </c>
      <c r="H252" s="8">
        <f>IF($D252="VISA",$C252,0)</f>
        <v>0</v>
      </c>
      <c r="I252" s="8">
        <f>I251+J252</f>
        <v>0</v>
      </c>
      <c r="J252" s="8">
        <f>IF($D252="ACC",$C252,0)</f>
        <v>0</v>
      </c>
      <c r="K252" s="8">
        <f>K251+L252</f>
        <v>0</v>
      </c>
      <c r="L252" s="8">
        <f>IF($D252="CBB",$C252,0)</f>
        <v>0</v>
      </c>
    </row>
    <row r="253" spans="1:12" x14ac:dyDescent="0.25">
      <c r="A253" s="6">
        <v>41487</v>
      </c>
      <c r="B253" t="s">
        <v>44</v>
      </c>
      <c r="C253" s="7">
        <v>-400</v>
      </c>
      <c r="D253" t="s">
        <v>6</v>
      </c>
      <c r="E253" s="8">
        <f>E252+F253</f>
        <v>63372</v>
      </c>
      <c r="F253" s="8">
        <f>IF($D253="CR01",$C253,0)</f>
        <v>-400</v>
      </c>
      <c r="G253" s="8">
        <f>G252+H253</f>
        <v>0</v>
      </c>
      <c r="H253" s="8">
        <f>IF($D253="VISA",$C253,0)</f>
        <v>0</v>
      </c>
      <c r="I253" s="8">
        <f>I252+J253</f>
        <v>0</v>
      </c>
      <c r="J253" s="8">
        <f>IF($D253="ACC",$C253,0)</f>
        <v>0</v>
      </c>
      <c r="K253" s="8">
        <f>K252+L253</f>
        <v>0</v>
      </c>
      <c r="L253" s="8">
        <f>IF($D253="CBB",$C253,0)</f>
        <v>0</v>
      </c>
    </row>
    <row r="254" spans="1:12" x14ac:dyDescent="0.25">
      <c r="A254" s="6">
        <v>41487</v>
      </c>
      <c r="B254" t="s">
        <v>45</v>
      </c>
      <c r="C254" s="7">
        <v>-180</v>
      </c>
      <c r="D254" t="s">
        <v>6</v>
      </c>
      <c r="E254" s="8">
        <f>E253+F254</f>
        <v>63192</v>
      </c>
      <c r="F254" s="8">
        <f>IF($D254="CR01",$C254,0)</f>
        <v>-180</v>
      </c>
      <c r="G254" s="8">
        <f>G253+H254</f>
        <v>0</v>
      </c>
      <c r="H254" s="8">
        <f>IF($D254="VISA",$C254,0)</f>
        <v>0</v>
      </c>
      <c r="I254" s="8">
        <f>I253+J254</f>
        <v>0</v>
      </c>
      <c r="J254" s="8">
        <f>IF($D254="ACC",$C254,0)</f>
        <v>0</v>
      </c>
      <c r="K254" s="8">
        <f>K253+L254</f>
        <v>0</v>
      </c>
      <c r="L254" s="8">
        <f>IF($D254="CBB",$C254,0)</f>
        <v>0</v>
      </c>
    </row>
    <row r="255" spans="1:12" x14ac:dyDescent="0.25">
      <c r="A255" s="6">
        <v>41487</v>
      </c>
      <c r="B255" t="s">
        <v>46</v>
      </c>
      <c r="C255" s="7">
        <v>-300</v>
      </c>
      <c r="D255" t="s">
        <v>6</v>
      </c>
      <c r="E255" s="8">
        <f>E254+F255</f>
        <v>62892</v>
      </c>
      <c r="F255" s="8">
        <f>IF($D255="CR01",$C255,0)</f>
        <v>-300</v>
      </c>
      <c r="G255" s="8">
        <f>G254+H255</f>
        <v>0</v>
      </c>
      <c r="H255" s="8">
        <f>IF($D255="VISA",$C255,0)</f>
        <v>0</v>
      </c>
      <c r="I255" s="8">
        <f>I254+J255</f>
        <v>0</v>
      </c>
      <c r="J255" s="8">
        <f>IF($D255="ACC",$C255,0)</f>
        <v>0</v>
      </c>
      <c r="K255" s="8">
        <f>K254+L255</f>
        <v>0</v>
      </c>
      <c r="L255" s="8">
        <f>IF($D255="CBB",$C255,0)</f>
        <v>0</v>
      </c>
    </row>
    <row r="256" spans="1:12" x14ac:dyDescent="0.25">
      <c r="A256" s="6">
        <v>41487</v>
      </c>
      <c r="B256" t="s">
        <v>58</v>
      </c>
      <c r="C256" s="7">
        <v>-200</v>
      </c>
      <c r="D256" t="s">
        <v>6</v>
      </c>
      <c r="E256" s="8">
        <f>E255+F256</f>
        <v>62692</v>
      </c>
      <c r="F256" s="8">
        <f>IF($D256="CR01",$C256,0)</f>
        <v>-200</v>
      </c>
      <c r="G256" s="8">
        <f>G255+H256</f>
        <v>0</v>
      </c>
      <c r="H256" s="8">
        <f>IF($D256="VISA",$C256,0)</f>
        <v>0</v>
      </c>
      <c r="I256" s="8">
        <f>I255+J256</f>
        <v>0</v>
      </c>
      <c r="J256" s="8">
        <f>IF($D256="ACC",$C256,0)</f>
        <v>0</v>
      </c>
      <c r="K256" s="8">
        <f>K255+L256</f>
        <v>0</v>
      </c>
      <c r="L256" s="8">
        <f>IF($D256="CBB",$C256,0)</f>
        <v>0</v>
      </c>
    </row>
    <row r="257" spans="1:12" x14ac:dyDescent="0.25">
      <c r="A257" s="6">
        <v>41487</v>
      </c>
      <c r="B257" t="s">
        <v>60</v>
      </c>
      <c r="C257" s="7">
        <v>-400</v>
      </c>
      <c r="D257" t="s">
        <v>6</v>
      </c>
      <c r="E257" s="8">
        <f>E256+F257</f>
        <v>62292</v>
      </c>
      <c r="F257" s="8">
        <f>IF($D257="CR01",$C257,0)</f>
        <v>-400</v>
      </c>
      <c r="G257" s="8">
        <f>G256+H257</f>
        <v>0</v>
      </c>
      <c r="H257" s="8">
        <f>IF($D257="VISA",$C257,0)</f>
        <v>0</v>
      </c>
      <c r="I257" s="8">
        <f>I256+J257</f>
        <v>0</v>
      </c>
      <c r="J257" s="8">
        <f>IF($D257="ACC",$C257,0)</f>
        <v>0</v>
      </c>
      <c r="K257" s="8">
        <f>K256+L257</f>
        <v>0</v>
      </c>
      <c r="L257" s="8">
        <f>IF($D257="CBB",$C257,0)</f>
        <v>0</v>
      </c>
    </row>
    <row r="258" spans="1:12" x14ac:dyDescent="0.25">
      <c r="A258" s="6">
        <v>41487</v>
      </c>
      <c r="B258" t="s">
        <v>62</v>
      </c>
      <c r="C258" s="7">
        <v>-300</v>
      </c>
      <c r="D258" t="s">
        <v>6</v>
      </c>
      <c r="E258" s="8">
        <f>E257+F258</f>
        <v>61992</v>
      </c>
      <c r="F258" s="8">
        <f>IF($D258="CR01",$C258,0)</f>
        <v>-300</v>
      </c>
      <c r="G258" s="8">
        <f>G257+H258</f>
        <v>0</v>
      </c>
      <c r="H258" s="8">
        <f>IF($D258="VISA",$C258,0)</f>
        <v>0</v>
      </c>
      <c r="I258" s="8">
        <f>I257+J258</f>
        <v>0</v>
      </c>
      <c r="J258" s="8">
        <f>IF($D258="ACC",$C258,0)</f>
        <v>0</v>
      </c>
      <c r="K258" s="8">
        <f>K257+L258</f>
        <v>0</v>
      </c>
      <c r="L258" s="8">
        <f>IF($D258="CBB",$C258,0)</f>
        <v>0</v>
      </c>
    </row>
    <row r="259" spans="1:12" x14ac:dyDescent="0.25">
      <c r="A259" s="6">
        <v>41487</v>
      </c>
      <c r="B259" t="s">
        <v>63</v>
      </c>
      <c r="C259" s="7">
        <v>-300</v>
      </c>
      <c r="D259" t="s">
        <v>6</v>
      </c>
      <c r="E259" s="8">
        <f>E258+F259</f>
        <v>61692</v>
      </c>
      <c r="F259" s="8">
        <f>IF($D259="CR01",$C259,0)</f>
        <v>-300</v>
      </c>
      <c r="G259" s="8">
        <f>G258+H259</f>
        <v>0</v>
      </c>
      <c r="H259" s="8">
        <f>IF($D259="VISA",$C259,0)</f>
        <v>0</v>
      </c>
      <c r="I259" s="8">
        <f>I258+J259</f>
        <v>0</v>
      </c>
      <c r="J259" s="8">
        <f>IF($D259="ACC",$C259,0)</f>
        <v>0</v>
      </c>
      <c r="K259" s="8">
        <f>K258+L259</f>
        <v>0</v>
      </c>
      <c r="L259" s="8">
        <f>IF($D259="CBB",$C259,0)</f>
        <v>0</v>
      </c>
    </row>
    <row r="260" spans="1:12" x14ac:dyDescent="0.25">
      <c r="A260" s="6">
        <v>41487</v>
      </c>
      <c r="B260" t="s">
        <v>64</v>
      </c>
      <c r="C260" s="7">
        <v>-26</v>
      </c>
      <c r="D260" t="s">
        <v>6</v>
      </c>
      <c r="E260" s="8">
        <f>E259+F260</f>
        <v>61666</v>
      </c>
      <c r="F260" s="8">
        <f>IF($D260="CR01",$C260,0)</f>
        <v>-26</v>
      </c>
      <c r="G260" s="8">
        <f>G259+H260</f>
        <v>0</v>
      </c>
      <c r="H260" s="8">
        <f>IF($D260="VISA",$C260,0)</f>
        <v>0</v>
      </c>
      <c r="I260" s="8">
        <f>I259+J260</f>
        <v>0</v>
      </c>
      <c r="J260" s="8">
        <f>IF($D260="ACC",$C260,0)</f>
        <v>0</v>
      </c>
      <c r="K260" s="8">
        <f>K259+L260</f>
        <v>0</v>
      </c>
      <c r="L260" s="8">
        <f>IF($D260="CBB",$C260,0)</f>
        <v>0</v>
      </c>
    </row>
    <row r="261" spans="1:12" x14ac:dyDescent="0.25">
      <c r="A261" s="6">
        <v>41487</v>
      </c>
      <c r="B261" t="s">
        <v>65</v>
      </c>
      <c r="C261" s="7">
        <v>-240</v>
      </c>
      <c r="D261" t="s">
        <v>6</v>
      </c>
      <c r="E261" s="8">
        <f>E260+F261</f>
        <v>61426</v>
      </c>
      <c r="F261" s="8">
        <f>IF($D261="CR01",$C261,0)</f>
        <v>-240</v>
      </c>
      <c r="G261" s="8">
        <f>G260+H261</f>
        <v>0</v>
      </c>
      <c r="H261" s="8">
        <f>IF($D261="VISA",$C261,0)</f>
        <v>0</v>
      </c>
      <c r="I261" s="8">
        <f>I260+J261</f>
        <v>0</v>
      </c>
      <c r="J261" s="8">
        <f>IF($D261="ACC",$C261,0)</f>
        <v>0</v>
      </c>
      <c r="K261" s="8">
        <f>K260+L261</f>
        <v>0</v>
      </c>
      <c r="L261" s="8">
        <f>IF($D261="CBB",$C261,0)</f>
        <v>0</v>
      </c>
    </row>
    <row r="262" spans="1:12" x14ac:dyDescent="0.25">
      <c r="A262" s="6">
        <v>41487</v>
      </c>
      <c r="B262" t="s">
        <v>66</v>
      </c>
      <c r="C262" s="7">
        <v>-120</v>
      </c>
      <c r="D262" t="s">
        <v>6</v>
      </c>
      <c r="E262" s="8">
        <f>E261+F262</f>
        <v>61306</v>
      </c>
      <c r="F262" s="8">
        <f>IF($D262="CR01",$C262,0)</f>
        <v>-120</v>
      </c>
      <c r="G262" s="8">
        <f>G261+H262</f>
        <v>0</v>
      </c>
      <c r="H262" s="8">
        <f>IF($D262="VISA",$C262,0)</f>
        <v>0</v>
      </c>
      <c r="I262" s="8">
        <f>I261+J262</f>
        <v>0</v>
      </c>
      <c r="J262" s="8">
        <f>IF($D262="ACC",$C262,0)</f>
        <v>0</v>
      </c>
      <c r="K262" s="8">
        <f>K261+L262</f>
        <v>0</v>
      </c>
      <c r="L262" s="8">
        <f>IF($D262="CBB",$C262,0)</f>
        <v>0</v>
      </c>
    </row>
    <row r="263" spans="1:12" x14ac:dyDescent="0.25">
      <c r="A263" s="6">
        <v>41488</v>
      </c>
      <c r="B263" t="s">
        <v>43</v>
      </c>
      <c r="C263" s="7">
        <v>3226</v>
      </c>
      <c r="D263" t="s">
        <v>6</v>
      </c>
      <c r="E263" s="8">
        <f>E262+F263</f>
        <v>64532</v>
      </c>
      <c r="F263" s="8">
        <f>IF($D263="CR01",$C263,0)</f>
        <v>3226</v>
      </c>
      <c r="G263" s="8">
        <f>G262+H263</f>
        <v>0</v>
      </c>
      <c r="H263" s="8">
        <f>IF($D263="VISA",$C263,0)</f>
        <v>0</v>
      </c>
      <c r="I263" s="8">
        <f>I262+J263</f>
        <v>0</v>
      </c>
      <c r="J263" s="8">
        <f>IF($D263="ACC",$C263,0)</f>
        <v>0</v>
      </c>
      <c r="K263" s="8">
        <f>K262+L263</f>
        <v>0</v>
      </c>
      <c r="L263" s="8">
        <f>IF($D263="CBB",$C263,0)</f>
        <v>0</v>
      </c>
    </row>
    <row r="264" spans="1:12" x14ac:dyDescent="0.25">
      <c r="A264" s="6">
        <v>41488</v>
      </c>
      <c r="B264" t="s">
        <v>59</v>
      </c>
      <c r="C264" s="7">
        <v>-900</v>
      </c>
      <c r="D264" t="s">
        <v>6</v>
      </c>
      <c r="E264" s="8">
        <f>E263+F264</f>
        <v>63632</v>
      </c>
      <c r="F264" s="8">
        <f>IF($D264="CR01",$C264,0)</f>
        <v>-900</v>
      </c>
      <c r="G264" s="8">
        <f>G263+H264</f>
        <v>0</v>
      </c>
      <c r="H264" s="8">
        <f>IF($D264="VISA",$C264,0)</f>
        <v>0</v>
      </c>
      <c r="I264" s="8">
        <f>I263+J264</f>
        <v>0</v>
      </c>
      <c r="J264" s="8">
        <f>IF($D264="ACC",$C264,0)</f>
        <v>0</v>
      </c>
      <c r="K264" s="8">
        <f>K263+L264</f>
        <v>0</v>
      </c>
      <c r="L264" s="8">
        <f>IF($D264="CBB",$C264,0)</f>
        <v>0</v>
      </c>
    </row>
    <row r="265" spans="1:12" x14ac:dyDescent="0.25">
      <c r="A265" s="6">
        <v>41492</v>
      </c>
      <c r="B265" t="s">
        <v>48</v>
      </c>
      <c r="C265" s="7">
        <v>-100</v>
      </c>
      <c r="D265" t="s">
        <v>6</v>
      </c>
      <c r="E265" s="8">
        <f>E264+F265</f>
        <v>63532</v>
      </c>
      <c r="F265" s="8">
        <f>IF($D265="CR01",$C265,0)</f>
        <v>-100</v>
      </c>
      <c r="G265" s="8">
        <f>G264+H265</f>
        <v>0</v>
      </c>
      <c r="H265" s="8">
        <f>IF($D265="VISA",$C265,0)</f>
        <v>0</v>
      </c>
      <c r="I265" s="8">
        <f>I264+J265</f>
        <v>0</v>
      </c>
      <c r="J265" s="8">
        <f>IF($D265="ACC",$C265,0)</f>
        <v>0</v>
      </c>
      <c r="K265" s="8">
        <f>K264+L265</f>
        <v>0</v>
      </c>
      <c r="L265" s="8">
        <f>IF($D265="CBB",$C265,0)</f>
        <v>0</v>
      </c>
    </row>
    <row r="266" spans="1:12" x14ac:dyDescent="0.25">
      <c r="A266" s="6">
        <v>41493</v>
      </c>
      <c r="B266" t="s">
        <v>47</v>
      </c>
      <c r="C266" s="7">
        <v>-120</v>
      </c>
      <c r="D266" t="s">
        <v>6</v>
      </c>
      <c r="E266" s="8">
        <f>E265+F266</f>
        <v>63412</v>
      </c>
      <c r="F266" s="8">
        <f>IF($D266="CR01",$C266,0)</f>
        <v>-120</v>
      </c>
      <c r="G266" s="8">
        <f>G265+H266</f>
        <v>0</v>
      </c>
      <c r="H266" s="8">
        <f>IF($D266="VISA",$C266,0)</f>
        <v>0</v>
      </c>
      <c r="I266" s="8">
        <f>I265+J266</f>
        <v>0</v>
      </c>
      <c r="J266" s="8">
        <f>IF($D266="ACC",$C266,0)</f>
        <v>0</v>
      </c>
      <c r="K266" s="8">
        <f>K265+L266</f>
        <v>0</v>
      </c>
      <c r="L266" s="8">
        <f>IF($D266="CBB",$C266,0)</f>
        <v>0</v>
      </c>
    </row>
    <row r="267" spans="1:12" x14ac:dyDescent="0.25">
      <c r="A267" s="6">
        <v>41494</v>
      </c>
      <c r="B267" t="s">
        <v>44</v>
      </c>
      <c r="C267" s="7">
        <v>-400</v>
      </c>
      <c r="D267" t="s">
        <v>6</v>
      </c>
      <c r="E267" s="8">
        <f>E266+F267</f>
        <v>63012</v>
      </c>
      <c r="F267" s="8">
        <f>IF($D267="CR01",$C267,0)</f>
        <v>-400</v>
      </c>
      <c r="G267" s="8">
        <f>G266+H267</f>
        <v>0</v>
      </c>
      <c r="H267" s="8">
        <f>IF($D267="VISA",$C267,0)</f>
        <v>0</v>
      </c>
      <c r="I267" s="8">
        <f>I266+J267</f>
        <v>0</v>
      </c>
      <c r="J267" s="8">
        <f>IF($D267="ACC",$C267,0)</f>
        <v>0</v>
      </c>
      <c r="K267" s="8">
        <f>K266+L267</f>
        <v>0</v>
      </c>
      <c r="L267" s="8">
        <f>IF($D267="CBB",$C267,0)</f>
        <v>0</v>
      </c>
    </row>
    <row r="268" spans="1:12" x14ac:dyDescent="0.25">
      <c r="A268" s="6">
        <v>41494</v>
      </c>
      <c r="B268" t="s">
        <v>45</v>
      </c>
      <c r="C268" s="7">
        <v>-180</v>
      </c>
      <c r="D268" t="s">
        <v>6</v>
      </c>
      <c r="E268" s="8">
        <f>E267+F268</f>
        <v>62832</v>
      </c>
      <c r="F268" s="8">
        <f>IF($D268="CR01",$C268,0)</f>
        <v>-180</v>
      </c>
      <c r="G268" s="8">
        <f>G267+H268</f>
        <v>0</v>
      </c>
      <c r="H268" s="8">
        <f>IF($D268="VISA",$C268,0)</f>
        <v>0</v>
      </c>
      <c r="I268" s="8">
        <f>I267+J268</f>
        <v>0</v>
      </c>
      <c r="J268" s="8">
        <f>IF($D268="ACC",$C268,0)</f>
        <v>0</v>
      </c>
      <c r="K268" s="8">
        <f>K267+L268</f>
        <v>0</v>
      </c>
      <c r="L268" s="8">
        <f>IF($D268="CBB",$C268,0)</f>
        <v>0</v>
      </c>
    </row>
    <row r="269" spans="1:12" x14ac:dyDescent="0.25">
      <c r="A269" s="6">
        <v>41494</v>
      </c>
      <c r="B269" t="s">
        <v>46</v>
      </c>
      <c r="C269" s="7">
        <v>-300</v>
      </c>
      <c r="D269" t="s">
        <v>6</v>
      </c>
      <c r="E269" s="8">
        <f>E268+F269</f>
        <v>62532</v>
      </c>
      <c r="F269" s="8">
        <f>IF($D269="CR01",$C269,0)</f>
        <v>-300</v>
      </c>
      <c r="G269" s="8">
        <f>G268+H269</f>
        <v>0</v>
      </c>
      <c r="H269" s="8">
        <f>IF($D269="VISA",$C269,0)</f>
        <v>0</v>
      </c>
      <c r="I269" s="8">
        <f>I268+J269</f>
        <v>0</v>
      </c>
      <c r="J269" s="8">
        <f>IF($D269="ACC",$C269,0)</f>
        <v>0</v>
      </c>
      <c r="K269" s="8">
        <f>K268+L269</f>
        <v>0</v>
      </c>
      <c r="L269" s="8">
        <f>IF($D269="CBB",$C269,0)</f>
        <v>0</v>
      </c>
    </row>
    <row r="270" spans="1:12" x14ac:dyDescent="0.25">
      <c r="A270" s="6">
        <v>41496</v>
      </c>
      <c r="B270" t="s">
        <v>67</v>
      </c>
      <c r="C270" s="7">
        <v>6800</v>
      </c>
      <c r="D270" t="s">
        <v>6</v>
      </c>
      <c r="E270" s="8">
        <f>E269+F270</f>
        <v>69332</v>
      </c>
      <c r="F270" s="8">
        <f>IF($D270="CR01",$C270,0)</f>
        <v>6800</v>
      </c>
      <c r="G270" s="8">
        <f>G269+H270</f>
        <v>0</v>
      </c>
      <c r="H270" s="8">
        <f>IF($D270="VISA",$C270,0)</f>
        <v>0</v>
      </c>
      <c r="I270" s="8">
        <f>I269+J270</f>
        <v>0</v>
      </c>
      <c r="J270" s="8">
        <f>IF($D270="ACC",$C270,0)</f>
        <v>0</v>
      </c>
      <c r="K270" s="8">
        <f>K269+L270</f>
        <v>0</v>
      </c>
      <c r="L270" s="8">
        <f>IF($D270="CBB",$C270,0)</f>
        <v>0</v>
      </c>
    </row>
    <row r="271" spans="1:12" x14ac:dyDescent="0.25">
      <c r="A271" s="6">
        <v>41499</v>
      </c>
      <c r="B271" t="s">
        <v>42</v>
      </c>
      <c r="C271" s="7">
        <v>-2806</v>
      </c>
      <c r="D271" t="s">
        <v>6</v>
      </c>
      <c r="E271" s="8">
        <f>E270+F271</f>
        <v>66526</v>
      </c>
      <c r="F271" s="8">
        <f>IF($D271="CR01",$C271,0)</f>
        <v>-2806</v>
      </c>
      <c r="G271" s="8">
        <f>G270+H271</f>
        <v>0</v>
      </c>
      <c r="H271" s="8">
        <f>IF($D271="VISA",$C271,0)</f>
        <v>0</v>
      </c>
      <c r="I271" s="8">
        <f>I270+J271</f>
        <v>0</v>
      </c>
      <c r="J271" s="8">
        <f>IF($D271="ACC",$C271,0)</f>
        <v>0</v>
      </c>
      <c r="K271" s="8">
        <f>K270+L271</f>
        <v>0</v>
      </c>
      <c r="L271" s="8">
        <f>IF($D271="CBB",$C271,0)</f>
        <v>0</v>
      </c>
    </row>
    <row r="272" spans="1:12" x14ac:dyDescent="0.25">
      <c r="A272" s="6">
        <v>41499</v>
      </c>
      <c r="B272" t="s">
        <v>48</v>
      </c>
      <c r="C272" s="7">
        <v>-100</v>
      </c>
      <c r="D272" t="s">
        <v>6</v>
      </c>
      <c r="E272" s="8">
        <f>E271+F272</f>
        <v>66426</v>
      </c>
      <c r="F272" s="8">
        <f>IF($D272="CR01",$C272,0)</f>
        <v>-100</v>
      </c>
      <c r="G272" s="8">
        <f>G271+H272</f>
        <v>0</v>
      </c>
      <c r="H272" s="8">
        <f>IF($D272="VISA",$C272,0)</f>
        <v>0</v>
      </c>
      <c r="I272" s="8">
        <f>I271+J272</f>
        <v>0</v>
      </c>
      <c r="J272" s="8">
        <f>IF($D272="ACC",$C272,0)</f>
        <v>0</v>
      </c>
      <c r="K272" s="8">
        <f>K271+L272</f>
        <v>0</v>
      </c>
      <c r="L272" s="8">
        <f>IF($D272="CBB",$C272,0)</f>
        <v>0</v>
      </c>
    </row>
    <row r="273" spans="1:12" x14ac:dyDescent="0.25">
      <c r="A273" s="6">
        <v>41500</v>
      </c>
      <c r="B273" t="s">
        <v>47</v>
      </c>
      <c r="C273" s="7">
        <v>-120</v>
      </c>
      <c r="D273" t="s">
        <v>6</v>
      </c>
      <c r="E273" s="8">
        <f>E272+F273</f>
        <v>66306</v>
      </c>
      <c r="F273" s="8">
        <f>IF($D273="CR01",$C273,0)</f>
        <v>-120</v>
      </c>
      <c r="G273" s="8">
        <f>G272+H273</f>
        <v>0</v>
      </c>
      <c r="H273" s="8">
        <f>IF($D273="VISA",$C273,0)</f>
        <v>0</v>
      </c>
      <c r="I273" s="8">
        <f>I272+J273</f>
        <v>0</v>
      </c>
      <c r="J273" s="8">
        <f>IF($D273="ACC",$C273,0)</f>
        <v>0</v>
      </c>
      <c r="K273" s="8">
        <f>K272+L273</f>
        <v>0</v>
      </c>
      <c r="L273" s="8">
        <f>IF($D273="CBB",$C273,0)</f>
        <v>0</v>
      </c>
    </row>
    <row r="274" spans="1:12" x14ac:dyDescent="0.25">
      <c r="A274" s="6">
        <v>41501</v>
      </c>
      <c r="B274" t="s">
        <v>44</v>
      </c>
      <c r="C274" s="7">
        <v>-400</v>
      </c>
      <c r="D274" t="s">
        <v>6</v>
      </c>
      <c r="E274" s="8">
        <f>E273+F274</f>
        <v>65906</v>
      </c>
      <c r="F274" s="8">
        <f>IF($D274="CR01",$C274,0)</f>
        <v>-400</v>
      </c>
      <c r="G274" s="8">
        <f>G273+H274</f>
        <v>0</v>
      </c>
      <c r="H274" s="8">
        <f>IF($D274="VISA",$C274,0)</f>
        <v>0</v>
      </c>
      <c r="I274" s="8">
        <f>I273+J274</f>
        <v>0</v>
      </c>
      <c r="J274" s="8">
        <f>IF($D274="ACC",$C274,0)</f>
        <v>0</v>
      </c>
      <c r="K274" s="8">
        <f>K273+L274</f>
        <v>0</v>
      </c>
      <c r="L274" s="8">
        <f>IF($D274="CBB",$C274,0)</f>
        <v>0</v>
      </c>
    </row>
    <row r="275" spans="1:12" x14ac:dyDescent="0.25">
      <c r="A275" s="6">
        <v>41501</v>
      </c>
      <c r="B275" t="s">
        <v>45</v>
      </c>
      <c r="C275" s="7">
        <v>-180</v>
      </c>
      <c r="D275" t="s">
        <v>6</v>
      </c>
      <c r="E275" s="8">
        <f>E274+F275</f>
        <v>65726</v>
      </c>
      <c r="F275" s="8">
        <f>IF($D275="CR01",$C275,0)</f>
        <v>-180</v>
      </c>
      <c r="G275" s="8">
        <f>G274+H275</f>
        <v>0</v>
      </c>
      <c r="H275" s="8">
        <f>IF($D275="VISA",$C275,0)</f>
        <v>0</v>
      </c>
      <c r="I275" s="8">
        <f>I274+J275</f>
        <v>0</v>
      </c>
      <c r="J275" s="8">
        <f>IF($D275="ACC",$C275,0)</f>
        <v>0</v>
      </c>
      <c r="K275" s="8">
        <f>K274+L275</f>
        <v>0</v>
      </c>
      <c r="L275" s="8">
        <f>IF($D275="CBB",$C275,0)</f>
        <v>0</v>
      </c>
    </row>
    <row r="276" spans="1:12" x14ac:dyDescent="0.25">
      <c r="A276" s="6">
        <v>41501</v>
      </c>
      <c r="B276" t="s">
        <v>46</v>
      </c>
      <c r="C276" s="7">
        <v>-300</v>
      </c>
      <c r="D276" t="s">
        <v>6</v>
      </c>
      <c r="E276" s="8">
        <f>E275+F276</f>
        <v>65426</v>
      </c>
      <c r="F276" s="8">
        <f>IF($D276="CR01",$C276,0)</f>
        <v>-300</v>
      </c>
      <c r="G276" s="8">
        <f>G275+H276</f>
        <v>0</v>
      </c>
      <c r="H276" s="8">
        <f>IF($D276="VISA",$C276,0)</f>
        <v>0</v>
      </c>
      <c r="I276" s="8">
        <f>I275+J276</f>
        <v>0</v>
      </c>
      <c r="J276" s="8">
        <f>IF($D276="ACC",$C276,0)</f>
        <v>0</v>
      </c>
      <c r="K276" s="8">
        <f>K275+L276</f>
        <v>0</v>
      </c>
      <c r="L276" s="8">
        <f>IF($D276="CBB",$C276,0)</f>
        <v>0</v>
      </c>
    </row>
    <row r="277" spans="1:12" x14ac:dyDescent="0.25">
      <c r="A277" s="6">
        <v>41502</v>
      </c>
      <c r="B277" t="s">
        <v>43</v>
      </c>
      <c r="C277" s="7">
        <v>3226</v>
      </c>
      <c r="D277" t="s">
        <v>6</v>
      </c>
      <c r="E277" s="8">
        <f>E276+F277</f>
        <v>68652</v>
      </c>
      <c r="F277" s="8">
        <f>IF($D277="CR01",$C277,0)</f>
        <v>3226</v>
      </c>
      <c r="G277" s="8">
        <f>G276+H277</f>
        <v>0</v>
      </c>
      <c r="H277" s="8">
        <f>IF($D277="VISA",$C277,0)</f>
        <v>0</v>
      </c>
      <c r="I277" s="8">
        <f>I276+J277</f>
        <v>0</v>
      </c>
      <c r="J277" s="8">
        <f>IF($D277="ACC",$C277,0)</f>
        <v>0</v>
      </c>
      <c r="K277" s="8">
        <f>K276+L277</f>
        <v>0</v>
      </c>
      <c r="L277" s="8">
        <f>IF($D277="CBB",$C277,0)</f>
        <v>0</v>
      </c>
    </row>
    <row r="278" spans="1:12" x14ac:dyDescent="0.25">
      <c r="A278" s="6">
        <v>41506</v>
      </c>
      <c r="B278" t="s">
        <v>48</v>
      </c>
      <c r="C278" s="7">
        <v>-100</v>
      </c>
      <c r="D278" t="s">
        <v>6</v>
      </c>
      <c r="E278" s="8">
        <f>E277+F278</f>
        <v>68552</v>
      </c>
      <c r="F278" s="8">
        <f>IF($D278="CR01",$C278,0)</f>
        <v>-100</v>
      </c>
      <c r="G278" s="8">
        <f>G277+H278</f>
        <v>0</v>
      </c>
      <c r="H278" s="8">
        <f>IF($D278="VISA",$C278,0)</f>
        <v>0</v>
      </c>
      <c r="I278" s="8">
        <f>I277+J278</f>
        <v>0</v>
      </c>
      <c r="J278" s="8">
        <f>IF($D278="ACC",$C278,0)</f>
        <v>0</v>
      </c>
      <c r="K278" s="8">
        <f>K277+L278</f>
        <v>0</v>
      </c>
      <c r="L278" s="8">
        <f>IF($D278="CBB",$C278,0)</f>
        <v>0</v>
      </c>
    </row>
    <row r="279" spans="1:12" x14ac:dyDescent="0.25">
      <c r="A279" s="6">
        <v>41507</v>
      </c>
      <c r="B279" t="s">
        <v>47</v>
      </c>
      <c r="C279" s="7">
        <v>-120</v>
      </c>
      <c r="D279" t="s">
        <v>6</v>
      </c>
      <c r="E279" s="8">
        <f>E278+F279</f>
        <v>68432</v>
      </c>
      <c r="F279" s="8">
        <f>IF($D279="CR01",$C279,0)</f>
        <v>-120</v>
      </c>
      <c r="G279" s="8">
        <f>G278+H279</f>
        <v>0</v>
      </c>
      <c r="H279" s="8">
        <f>IF($D279="VISA",$C279,0)</f>
        <v>0</v>
      </c>
      <c r="I279" s="8">
        <f>I278+J279</f>
        <v>0</v>
      </c>
      <c r="J279" s="8">
        <f>IF($D279="ACC",$C279,0)</f>
        <v>0</v>
      </c>
      <c r="K279" s="8">
        <f>K278+L279</f>
        <v>0</v>
      </c>
      <c r="L279" s="8">
        <f>IF($D279="CBB",$C279,0)</f>
        <v>0</v>
      </c>
    </row>
    <row r="280" spans="1:12" x14ac:dyDescent="0.25">
      <c r="A280" s="6">
        <v>41508</v>
      </c>
      <c r="B280" t="s">
        <v>44</v>
      </c>
      <c r="C280" s="7">
        <v>-400</v>
      </c>
      <c r="D280" t="s">
        <v>6</v>
      </c>
      <c r="E280" s="8">
        <f>E279+F280</f>
        <v>68032</v>
      </c>
      <c r="F280" s="8">
        <f>IF($D280="CR01",$C280,0)</f>
        <v>-400</v>
      </c>
      <c r="G280" s="8">
        <f>G279+H280</f>
        <v>0</v>
      </c>
      <c r="H280" s="8">
        <f>IF($D280="VISA",$C280,0)</f>
        <v>0</v>
      </c>
      <c r="I280" s="8">
        <f>I279+J280</f>
        <v>0</v>
      </c>
      <c r="J280" s="8">
        <f>IF($D280="ACC",$C280,0)</f>
        <v>0</v>
      </c>
      <c r="K280" s="8">
        <f>K279+L280</f>
        <v>0</v>
      </c>
      <c r="L280" s="8">
        <f>IF($D280="CBB",$C280,0)</f>
        <v>0</v>
      </c>
    </row>
    <row r="281" spans="1:12" x14ac:dyDescent="0.25">
      <c r="A281" s="6">
        <v>41508</v>
      </c>
      <c r="B281" t="s">
        <v>45</v>
      </c>
      <c r="C281" s="7">
        <v>-180</v>
      </c>
      <c r="D281" t="s">
        <v>6</v>
      </c>
      <c r="E281" s="8">
        <f>E280+F281</f>
        <v>67852</v>
      </c>
      <c r="F281" s="8">
        <f>IF($D281="CR01",$C281,0)</f>
        <v>-180</v>
      </c>
      <c r="G281" s="8">
        <f>G280+H281</f>
        <v>0</v>
      </c>
      <c r="H281" s="8">
        <f>IF($D281="VISA",$C281,0)</f>
        <v>0</v>
      </c>
      <c r="I281" s="8">
        <f>I280+J281</f>
        <v>0</v>
      </c>
      <c r="J281" s="8">
        <f>IF($D281="ACC",$C281,0)</f>
        <v>0</v>
      </c>
      <c r="K281" s="8">
        <f>K280+L281</f>
        <v>0</v>
      </c>
      <c r="L281" s="8">
        <f>IF($D281="CBB",$C281,0)</f>
        <v>0</v>
      </c>
    </row>
    <row r="282" spans="1:12" x14ac:dyDescent="0.25">
      <c r="A282" s="6">
        <v>41508</v>
      </c>
      <c r="B282" t="s">
        <v>46</v>
      </c>
      <c r="C282" s="7">
        <v>-300</v>
      </c>
      <c r="D282" t="s">
        <v>6</v>
      </c>
      <c r="E282" s="8">
        <f>E281+F282</f>
        <v>67552</v>
      </c>
      <c r="F282" s="8">
        <f>IF($D282="CR01",$C282,0)</f>
        <v>-300</v>
      </c>
      <c r="G282" s="8">
        <f>G281+H282</f>
        <v>0</v>
      </c>
      <c r="H282" s="8">
        <f>IF($D282="VISA",$C282,0)</f>
        <v>0</v>
      </c>
      <c r="I282" s="8">
        <f>I281+J282</f>
        <v>0</v>
      </c>
      <c r="J282" s="8">
        <f>IF($D282="ACC",$C282,0)</f>
        <v>0</v>
      </c>
      <c r="K282" s="8">
        <f>K281+L282</f>
        <v>0</v>
      </c>
      <c r="L282" s="8">
        <f>IF($D282="CBB",$C282,0)</f>
        <v>0</v>
      </c>
    </row>
    <row r="283" spans="1:12" x14ac:dyDescent="0.25">
      <c r="A283" s="6">
        <v>41510</v>
      </c>
      <c r="B283" t="s">
        <v>67</v>
      </c>
      <c r="C283" s="7">
        <v>6800</v>
      </c>
      <c r="D283" t="s">
        <v>6</v>
      </c>
      <c r="E283" s="8">
        <f>E282+F283</f>
        <v>74352</v>
      </c>
      <c r="F283" s="8">
        <f>IF($D283="CR01",$C283,0)</f>
        <v>6800</v>
      </c>
      <c r="G283" s="8">
        <f>G282+H283</f>
        <v>0</v>
      </c>
      <c r="H283" s="8">
        <f>IF($D283="VISA",$C283,0)</f>
        <v>0</v>
      </c>
      <c r="I283" s="8">
        <f>I282+J283</f>
        <v>0</v>
      </c>
      <c r="J283" s="8">
        <f>IF($D283="ACC",$C283,0)</f>
        <v>0</v>
      </c>
      <c r="K283" s="8">
        <f>K282+L283</f>
        <v>0</v>
      </c>
      <c r="L283" s="8">
        <f>IF($D283="CBB",$C283,0)</f>
        <v>0</v>
      </c>
    </row>
    <row r="284" spans="1:12" x14ac:dyDescent="0.25">
      <c r="A284" s="6">
        <v>41513</v>
      </c>
      <c r="B284" t="s">
        <v>42</v>
      </c>
      <c r="C284" s="7">
        <v>-2806</v>
      </c>
      <c r="D284" t="s">
        <v>6</v>
      </c>
      <c r="E284" s="8">
        <f>E283+F284</f>
        <v>71546</v>
      </c>
      <c r="F284" s="8">
        <f>IF($D284="CR01",$C284,0)</f>
        <v>-2806</v>
      </c>
      <c r="G284" s="8">
        <f>G283+H284</f>
        <v>0</v>
      </c>
      <c r="H284" s="8">
        <f>IF($D284="VISA",$C284,0)</f>
        <v>0</v>
      </c>
      <c r="I284" s="8">
        <f>I283+J284</f>
        <v>0</v>
      </c>
      <c r="J284" s="8">
        <f>IF($D284="ACC",$C284,0)</f>
        <v>0</v>
      </c>
      <c r="K284" s="8">
        <f>K283+L284</f>
        <v>0</v>
      </c>
      <c r="L284" s="8">
        <f>IF($D284="CBB",$C284,0)</f>
        <v>0</v>
      </c>
    </row>
    <row r="285" spans="1:12" x14ac:dyDescent="0.25">
      <c r="A285" s="6">
        <v>41513</v>
      </c>
      <c r="B285" t="s">
        <v>48</v>
      </c>
      <c r="C285" s="7">
        <v>-100</v>
      </c>
      <c r="D285" t="s">
        <v>6</v>
      </c>
      <c r="E285" s="8">
        <f>E284+F285</f>
        <v>71446</v>
      </c>
      <c r="F285" s="8">
        <f>IF($D285="CR01",$C285,0)</f>
        <v>-100</v>
      </c>
      <c r="G285" s="8">
        <f>G284+H285</f>
        <v>0</v>
      </c>
      <c r="H285" s="8">
        <f>IF($D285="VISA",$C285,0)</f>
        <v>0</v>
      </c>
      <c r="I285" s="8">
        <f>I284+J285</f>
        <v>0</v>
      </c>
      <c r="J285" s="8">
        <f>IF($D285="ACC",$C285,0)</f>
        <v>0</v>
      </c>
      <c r="K285" s="8">
        <f>K284+L285</f>
        <v>0</v>
      </c>
      <c r="L285" s="8">
        <f>IF($D285="CBB",$C285,0)</f>
        <v>0</v>
      </c>
    </row>
    <row r="286" spans="1:12" x14ac:dyDescent="0.25">
      <c r="A286" s="6">
        <v>41514</v>
      </c>
      <c r="B286" t="s">
        <v>47</v>
      </c>
      <c r="C286" s="7">
        <v>-120</v>
      </c>
      <c r="D286" t="s">
        <v>6</v>
      </c>
      <c r="E286" s="8">
        <f>E285+F286</f>
        <v>71326</v>
      </c>
      <c r="F286" s="8">
        <f>IF($D286="CR01",$C286,0)</f>
        <v>-120</v>
      </c>
      <c r="G286" s="8">
        <f>G285+H286</f>
        <v>0</v>
      </c>
      <c r="H286" s="8">
        <f>IF($D286="VISA",$C286,0)</f>
        <v>0</v>
      </c>
      <c r="I286" s="8">
        <f>I285+J286</f>
        <v>0</v>
      </c>
      <c r="J286" s="8">
        <f>IF($D286="ACC",$C286,0)</f>
        <v>0</v>
      </c>
      <c r="K286" s="8">
        <f>K285+L286</f>
        <v>0</v>
      </c>
      <c r="L286" s="8">
        <f>IF($D286="CBB",$C286,0)</f>
        <v>0</v>
      </c>
    </row>
    <row r="287" spans="1:12" x14ac:dyDescent="0.25">
      <c r="A287" s="6">
        <v>41515</v>
      </c>
      <c r="B287" t="s">
        <v>44</v>
      </c>
      <c r="C287" s="7">
        <v>-400</v>
      </c>
      <c r="D287" t="s">
        <v>6</v>
      </c>
      <c r="E287" s="8">
        <f>E286+F287</f>
        <v>70926</v>
      </c>
      <c r="F287" s="8">
        <f>IF($D287="CR01",$C287,0)</f>
        <v>-400</v>
      </c>
      <c r="G287" s="8">
        <f>G286+H287</f>
        <v>0</v>
      </c>
      <c r="H287" s="8">
        <f>IF($D287="VISA",$C287,0)</f>
        <v>0</v>
      </c>
      <c r="I287" s="8">
        <f>I286+J287</f>
        <v>0</v>
      </c>
      <c r="J287" s="8">
        <f>IF($D287="ACC",$C287,0)</f>
        <v>0</v>
      </c>
      <c r="K287" s="8">
        <f>K286+L287</f>
        <v>0</v>
      </c>
      <c r="L287" s="8">
        <f>IF($D287="CBB",$C287,0)</f>
        <v>0</v>
      </c>
    </row>
    <row r="288" spans="1:12" x14ac:dyDescent="0.25">
      <c r="A288" s="6">
        <v>41515</v>
      </c>
      <c r="B288" t="s">
        <v>45</v>
      </c>
      <c r="C288" s="7">
        <v>-180</v>
      </c>
      <c r="D288" t="s">
        <v>6</v>
      </c>
      <c r="E288" s="8">
        <f>E287+F288</f>
        <v>70746</v>
      </c>
      <c r="F288" s="8">
        <f>IF($D288="CR01",$C288,0)</f>
        <v>-180</v>
      </c>
      <c r="G288" s="8">
        <f>G287+H288</f>
        <v>0</v>
      </c>
      <c r="H288" s="8">
        <f>IF($D288="VISA",$C288,0)</f>
        <v>0</v>
      </c>
      <c r="I288" s="8">
        <f>I287+J288</f>
        <v>0</v>
      </c>
      <c r="J288" s="8">
        <f>IF($D288="ACC",$C288,0)</f>
        <v>0</v>
      </c>
      <c r="K288" s="8">
        <f>K287+L288</f>
        <v>0</v>
      </c>
      <c r="L288" s="8">
        <f>IF($D288="CBB",$C288,0)</f>
        <v>0</v>
      </c>
    </row>
    <row r="289" spans="1:12" x14ac:dyDescent="0.25">
      <c r="A289" s="6">
        <v>41515</v>
      </c>
      <c r="B289" t="s">
        <v>46</v>
      </c>
      <c r="C289" s="7">
        <v>-300</v>
      </c>
      <c r="D289" t="s">
        <v>6</v>
      </c>
      <c r="E289" s="8">
        <f>E288+F289</f>
        <v>70446</v>
      </c>
      <c r="F289" s="8">
        <f>IF($D289="CR01",$C289,0)</f>
        <v>-300</v>
      </c>
      <c r="G289" s="8">
        <f>G288+H289</f>
        <v>0</v>
      </c>
      <c r="H289" s="8">
        <f>IF($D289="VISA",$C289,0)</f>
        <v>0</v>
      </c>
      <c r="I289" s="8">
        <f>I288+J289</f>
        <v>0</v>
      </c>
      <c r="J289" s="8">
        <f>IF($D289="ACC",$C289,0)</f>
        <v>0</v>
      </c>
      <c r="K289" s="8">
        <f>K288+L289</f>
        <v>0</v>
      </c>
      <c r="L289" s="8">
        <f>IF($D289="CBB",$C289,0)</f>
        <v>0</v>
      </c>
    </row>
    <row r="290" spans="1:12" x14ac:dyDescent="0.25">
      <c r="A290" s="6">
        <v>41516</v>
      </c>
      <c r="B290" t="s">
        <v>43</v>
      </c>
      <c r="C290" s="7">
        <v>3226</v>
      </c>
      <c r="D290" t="s">
        <v>6</v>
      </c>
      <c r="E290" s="8">
        <f>E289+F290</f>
        <v>73672</v>
      </c>
      <c r="F290" s="8">
        <f>IF($D290="CR01",$C290,0)</f>
        <v>3226</v>
      </c>
      <c r="G290" s="8">
        <f>G289+H290</f>
        <v>0</v>
      </c>
      <c r="H290" s="8">
        <f>IF($D290="VISA",$C290,0)</f>
        <v>0</v>
      </c>
      <c r="I290" s="8">
        <f>I289+J290</f>
        <v>0</v>
      </c>
      <c r="J290" s="8">
        <f>IF($D290="ACC",$C290,0)</f>
        <v>0</v>
      </c>
      <c r="K290" s="8">
        <f>K289+L290</f>
        <v>0</v>
      </c>
      <c r="L290" s="8">
        <f>IF($D290="CBB",$C290,0)</f>
        <v>0</v>
      </c>
    </row>
    <row r="291" spans="1:12" x14ac:dyDescent="0.25">
      <c r="A291" s="6">
        <v>41518</v>
      </c>
      <c r="B291" t="s">
        <v>58</v>
      </c>
      <c r="C291" s="7">
        <v>-200</v>
      </c>
      <c r="D291" t="s">
        <v>6</v>
      </c>
      <c r="E291" s="8">
        <f>E290+F291</f>
        <v>73472</v>
      </c>
      <c r="F291" s="8">
        <f>IF($D291="CR01",$C291,0)</f>
        <v>-200</v>
      </c>
      <c r="G291" s="8">
        <f>G290+H291</f>
        <v>0</v>
      </c>
      <c r="H291" s="8">
        <f>IF($D291="VISA",$C291,0)</f>
        <v>0</v>
      </c>
      <c r="I291" s="8">
        <f>I290+J291</f>
        <v>0</v>
      </c>
      <c r="J291" s="8">
        <f>IF($D291="ACC",$C291,0)</f>
        <v>0</v>
      </c>
      <c r="K291" s="8">
        <f>K290+L291</f>
        <v>0</v>
      </c>
      <c r="L291" s="8">
        <f>IF($D291="CBB",$C291,0)</f>
        <v>0</v>
      </c>
    </row>
    <row r="292" spans="1:12" x14ac:dyDescent="0.25">
      <c r="A292" s="6">
        <v>41518</v>
      </c>
      <c r="B292" t="s">
        <v>60</v>
      </c>
      <c r="C292" s="7">
        <v>-400</v>
      </c>
      <c r="D292" t="s">
        <v>6</v>
      </c>
      <c r="E292" s="8">
        <f>E291+F292</f>
        <v>73072</v>
      </c>
      <c r="F292" s="8">
        <f>IF($D292="CR01",$C292,0)</f>
        <v>-400</v>
      </c>
      <c r="G292" s="8">
        <f>G291+H292</f>
        <v>0</v>
      </c>
      <c r="H292" s="8">
        <f>IF($D292="VISA",$C292,0)</f>
        <v>0</v>
      </c>
      <c r="I292" s="8">
        <f>I291+J292</f>
        <v>0</v>
      </c>
      <c r="J292" s="8">
        <f>IF($D292="ACC",$C292,0)</f>
        <v>0</v>
      </c>
      <c r="K292" s="8">
        <f>K291+L292</f>
        <v>0</v>
      </c>
      <c r="L292" s="8">
        <f>IF($D292="CBB",$C292,0)</f>
        <v>0</v>
      </c>
    </row>
    <row r="293" spans="1:12" x14ac:dyDescent="0.25">
      <c r="A293" s="6">
        <v>41518</v>
      </c>
      <c r="B293" t="s">
        <v>64</v>
      </c>
      <c r="C293" s="7">
        <v>-26</v>
      </c>
      <c r="D293" t="s">
        <v>6</v>
      </c>
      <c r="E293" s="8">
        <f>E292+F293</f>
        <v>73046</v>
      </c>
      <c r="F293" s="8">
        <f>IF($D293="CR01",$C293,0)</f>
        <v>-26</v>
      </c>
      <c r="G293" s="8">
        <f>G292+H293</f>
        <v>0</v>
      </c>
      <c r="H293" s="8">
        <f>IF($D293="VISA",$C293,0)</f>
        <v>0</v>
      </c>
      <c r="I293" s="8">
        <f>I292+J293</f>
        <v>0</v>
      </c>
      <c r="J293" s="8">
        <f>IF($D293="ACC",$C293,0)</f>
        <v>0</v>
      </c>
      <c r="K293" s="8">
        <f>K292+L293</f>
        <v>0</v>
      </c>
      <c r="L293" s="8">
        <f>IF($D293="CBB",$C293,0)</f>
        <v>0</v>
      </c>
    </row>
    <row r="294" spans="1:12" x14ac:dyDescent="0.25">
      <c r="A294" s="6">
        <v>41518</v>
      </c>
      <c r="B294" t="s">
        <v>65</v>
      </c>
      <c r="C294" s="7">
        <v>-240</v>
      </c>
      <c r="D294" t="s">
        <v>6</v>
      </c>
      <c r="E294" s="8">
        <f>E293+F294</f>
        <v>72806</v>
      </c>
      <c r="F294" s="8">
        <f>IF($D294="CR01",$C294,0)</f>
        <v>-240</v>
      </c>
      <c r="G294" s="8">
        <f>G293+H294</f>
        <v>0</v>
      </c>
      <c r="H294" s="8">
        <f>IF($D294="VISA",$C294,0)</f>
        <v>0</v>
      </c>
      <c r="I294" s="8">
        <f>I293+J294</f>
        <v>0</v>
      </c>
      <c r="J294" s="8">
        <f>IF($D294="ACC",$C294,0)</f>
        <v>0</v>
      </c>
      <c r="K294" s="8">
        <f>K293+L294</f>
        <v>0</v>
      </c>
      <c r="L294" s="8">
        <f>IF($D294="CBB",$C294,0)</f>
        <v>0</v>
      </c>
    </row>
    <row r="295" spans="1:12" x14ac:dyDescent="0.25">
      <c r="A295" s="6">
        <v>41518</v>
      </c>
      <c r="B295" t="s">
        <v>66</v>
      </c>
      <c r="C295" s="7">
        <v>-120</v>
      </c>
      <c r="D295" t="s">
        <v>6</v>
      </c>
      <c r="E295" s="8">
        <f>E294+F295</f>
        <v>72686</v>
      </c>
      <c r="F295" s="8">
        <f>IF($D295="CR01",$C295,0)</f>
        <v>-120</v>
      </c>
      <c r="G295" s="8">
        <f>G294+H295</f>
        <v>0</v>
      </c>
      <c r="H295" s="8">
        <f>IF($D295="VISA",$C295,0)</f>
        <v>0</v>
      </c>
      <c r="I295" s="8">
        <f>I294+J295</f>
        <v>0</v>
      </c>
      <c r="J295" s="8">
        <f>IF($D295="ACC",$C295,0)</f>
        <v>0</v>
      </c>
      <c r="K295" s="8">
        <f>K294+L295</f>
        <v>0</v>
      </c>
      <c r="L295" s="8">
        <f>IF($D295="CBB",$C295,0)</f>
        <v>0</v>
      </c>
    </row>
    <row r="296" spans="1:12" x14ac:dyDescent="0.25">
      <c r="A296" s="6">
        <v>41519</v>
      </c>
      <c r="B296" t="s">
        <v>59</v>
      </c>
      <c r="C296" s="7">
        <v>-900</v>
      </c>
      <c r="D296" t="s">
        <v>6</v>
      </c>
      <c r="E296" s="8">
        <f>E295+F296</f>
        <v>71786</v>
      </c>
      <c r="F296" s="8">
        <f>IF($D296="CR01",$C296,0)</f>
        <v>-900</v>
      </c>
      <c r="G296" s="8">
        <f>G295+H296</f>
        <v>0</v>
      </c>
      <c r="H296" s="8">
        <f>IF($D296="VISA",$C296,0)</f>
        <v>0</v>
      </c>
      <c r="I296" s="8">
        <f>I295+J296</f>
        <v>0</v>
      </c>
      <c r="J296" s="8">
        <f>IF($D296="ACC",$C296,0)</f>
        <v>0</v>
      </c>
      <c r="K296" s="8">
        <f>K295+L296</f>
        <v>0</v>
      </c>
      <c r="L296" s="8">
        <f>IF($D296="CBB",$C296,0)</f>
        <v>0</v>
      </c>
    </row>
    <row r="297" spans="1:12" x14ac:dyDescent="0.25">
      <c r="A297" s="6">
        <v>41520</v>
      </c>
      <c r="B297" t="s">
        <v>48</v>
      </c>
      <c r="C297" s="7">
        <v>-100</v>
      </c>
      <c r="D297" t="s">
        <v>6</v>
      </c>
      <c r="E297" s="8">
        <f>E296+F297</f>
        <v>71686</v>
      </c>
      <c r="F297" s="8">
        <f>IF($D297="CR01",$C297,0)</f>
        <v>-100</v>
      </c>
      <c r="G297" s="8">
        <f>G296+H297</f>
        <v>0</v>
      </c>
      <c r="H297" s="8">
        <f>IF($D297="VISA",$C297,0)</f>
        <v>0</v>
      </c>
      <c r="I297" s="8">
        <f>I296+J297</f>
        <v>0</v>
      </c>
      <c r="J297" s="8">
        <f>IF($D297="ACC",$C297,0)</f>
        <v>0</v>
      </c>
      <c r="K297" s="8">
        <f>K296+L297</f>
        <v>0</v>
      </c>
      <c r="L297" s="8">
        <f>IF($D297="CBB",$C297,0)</f>
        <v>0</v>
      </c>
    </row>
    <row r="298" spans="1:12" x14ac:dyDescent="0.25">
      <c r="A298" s="6">
        <v>41521</v>
      </c>
      <c r="B298" t="s">
        <v>47</v>
      </c>
      <c r="C298" s="7">
        <v>-120</v>
      </c>
      <c r="D298" t="s">
        <v>6</v>
      </c>
      <c r="E298" s="8">
        <f>E297+F298</f>
        <v>71566</v>
      </c>
      <c r="F298" s="8">
        <f>IF($D298="CR01",$C298,0)</f>
        <v>-120</v>
      </c>
      <c r="G298" s="8">
        <f>G297+H298</f>
        <v>0</v>
      </c>
      <c r="H298" s="8">
        <f>IF($D298="VISA",$C298,0)</f>
        <v>0</v>
      </c>
      <c r="I298" s="8">
        <f>I297+J298</f>
        <v>0</v>
      </c>
      <c r="J298" s="8">
        <f>IF($D298="ACC",$C298,0)</f>
        <v>0</v>
      </c>
      <c r="K298" s="8">
        <f>K297+L298</f>
        <v>0</v>
      </c>
      <c r="L298" s="8">
        <f>IF($D298="CBB",$C298,0)</f>
        <v>0</v>
      </c>
    </row>
    <row r="299" spans="1:12" x14ac:dyDescent="0.25">
      <c r="A299" s="6">
        <v>41522</v>
      </c>
      <c r="B299" t="s">
        <v>44</v>
      </c>
      <c r="C299" s="7">
        <v>-400</v>
      </c>
      <c r="D299" t="s">
        <v>6</v>
      </c>
      <c r="E299" s="8">
        <f>E298+F299</f>
        <v>71166</v>
      </c>
      <c r="F299" s="8">
        <f>IF($D299="CR01",$C299,0)</f>
        <v>-400</v>
      </c>
      <c r="G299" s="8">
        <f>G298+H299</f>
        <v>0</v>
      </c>
      <c r="H299" s="8">
        <f>IF($D299="VISA",$C299,0)</f>
        <v>0</v>
      </c>
      <c r="I299" s="8">
        <f>I298+J299</f>
        <v>0</v>
      </c>
      <c r="J299" s="8">
        <f>IF($D299="ACC",$C299,0)</f>
        <v>0</v>
      </c>
      <c r="K299" s="8">
        <f>K298+L299</f>
        <v>0</v>
      </c>
      <c r="L299" s="8">
        <f>IF($D299="CBB",$C299,0)</f>
        <v>0</v>
      </c>
    </row>
    <row r="300" spans="1:12" x14ac:dyDescent="0.25">
      <c r="A300" s="6">
        <v>41522</v>
      </c>
      <c r="B300" t="s">
        <v>45</v>
      </c>
      <c r="C300" s="7">
        <v>-180</v>
      </c>
      <c r="D300" t="s">
        <v>6</v>
      </c>
      <c r="E300" s="8">
        <f>E299+F300</f>
        <v>70986</v>
      </c>
      <c r="F300" s="8">
        <f>IF($D300="CR01",$C300,0)</f>
        <v>-180</v>
      </c>
      <c r="G300" s="8">
        <f>G299+H300</f>
        <v>0</v>
      </c>
      <c r="H300" s="8">
        <f>IF($D300="VISA",$C300,0)</f>
        <v>0</v>
      </c>
      <c r="I300" s="8">
        <f>I299+J300</f>
        <v>0</v>
      </c>
      <c r="J300" s="8">
        <f>IF($D300="ACC",$C300,0)</f>
        <v>0</v>
      </c>
      <c r="K300" s="8">
        <f>K299+L300</f>
        <v>0</v>
      </c>
      <c r="L300" s="8">
        <f>IF($D300="CBB",$C300,0)</f>
        <v>0</v>
      </c>
    </row>
    <row r="301" spans="1:12" x14ac:dyDescent="0.25">
      <c r="A301" s="6">
        <v>41522</v>
      </c>
      <c r="B301" t="s">
        <v>46</v>
      </c>
      <c r="C301" s="7">
        <v>-300</v>
      </c>
      <c r="D301" t="s">
        <v>6</v>
      </c>
      <c r="E301" s="8">
        <f>E300+F301</f>
        <v>70686</v>
      </c>
      <c r="F301" s="8">
        <f>IF($D301="CR01",$C301,0)</f>
        <v>-300</v>
      </c>
      <c r="G301" s="8">
        <f>G300+H301</f>
        <v>0</v>
      </c>
      <c r="H301" s="8">
        <f>IF($D301="VISA",$C301,0)</f>
        <v>0</v>
      </c>
      <c r="I301" s="8">
        <f>I300+J301</f>
        <v>0</v>
      </c>
      <c r="J301" s="8">
        <f>IF($D301="ACC",$C301,0)</f>
        <v>0</v>
      </c>
      <c r="K301" s="8">
        <f>K300+L301</f>
        <v>0</v>
      </c>
      <c r="L301" s="8">
        <f>IF($D301="CBB",$C301,0)</f>
        <v>0</v>
      </c>
    </row>
    <row r="302" spans="1:12" x14ac:dyDescent="0.25">
      <c r="A302" s="6">
        <v>41524</v>
      </c>
      <c r="B302" t="s">
        <v>67</v>
      </c>
      <c r="C302" s="7">
        <v>6800</v>
      </c>
      <c r="D302" t="s">
        <v>6</v>
      </c>
      <c r="E302" s="8">
        <f>E301+F302</f>
        <v>77486</v>
      </c>
      <c r="F302" s="8">
        <f>IF($D302="CR01",$C302,0)</f>
        <v>6800</v>
      </c>
      <c r="G302" s="8">
        <f>G301+H302</f>
        <v>0</v>
      </c>
      <c r="H302" s="8">
        <f>IF($D302="VISA",$C302,0)</f>
        <v>0</v>
      </c>
      <c r="I302" s="8">
        <f>I301+J302</f>
        <v>0</v>
      </c>
      <c r="J302" s="8">
        <f>IF($D302="ACC",$C302,0)</f>
        <v>0</v>
      </c>
      <c r="K302" s="8">
        <f>K301+L302</f>
        <v>0</v>
      </c>
      <c r="L302" s="8">
        <f>IF($D302="CBB",$C302,0)</f>
        <v>0</v>
      </c>
    </row>
    <row r="303" spans="1:12" x14ac:dyDescent="0.25">
      <c r="A303" s="6">
        <v>41527</v>
      </c>
      <c r="B303" t="s">
        <v>42</v>
      </c>
      <c r="C303" s="7">
        <v>-2806</v>
      </c>
      <c r="D303" t="s">
        <v>6</v>
      </c>
      <c r="E303" s="8">
        <f>E302+F303</f>
        <v>74680</v>
      </c>
      <c r="F303" s="8">
        <f>IF($D303="CR01",$C303,0)</f>
        <v>-2806</v>
      </c>
      <c r="G303" s="8">
        <f>G302+H303</f>
        <v>0</v>
      </c>
      <c r="H303" s="8">
        <f>IF($D303="VISA",$C303,0)</f>
        <v>0</v>
      </c>
      <c r="I303" s="8">
        <f>I302+J303</f>
        <v>0</v>
      </c>
      <c r="J303" s="8">
        <f>IF($D303="ACC",$C303,0)</f>
        <v>0</v>
      </c>
      <c r="K303" s="8">
        <f>K302+L303</f>
        <v>0</v>
      </c>
      <c r="L303" s="8">
        <f>IF($D303="CBB",$C303,0)</f>
        <v>0</v>
      </c>
    </row>
    <row r="304" spans="1:12" x14ac:dyDescent="0.25">
      <c r="A304" s="6">
        <v>41527</v>
      </c>
      <c r="B304" t="s">
        <v>48</v>
      </c>
      <c r="C304" s="7">
        <v>-100</v>
      </c>
      <c r="D304" t="s">
        <v>6</v>
      </c>
      <c r="E304" s="8">
        <f>E303+F304</f>
        <v>74580</v>
      </c>
      <c r="F304" s="8">
        <f>IF($D304="CR01",$C304,0)</f>
        <v>-100</v>
      </c>
      <c r="G304" s="8">
        <f>G303+H304</f>
        <v>0</v>
      </c>
      <c r="H304" s="8">
        <f>IF($D304="VISA",$C304,0)</f>
        <v>0</v>
      </c>
      <c r="I304" s="8">
        <f>I303+J304</f>
        <v>0</v>
      </c>
      <c r="J304" s="8">
        <f>IF($D304="ACC",$C304,0)</f>
        <v>0</v>
      </c>
      <c r="K304" s="8">
        <f>K303+L304</f>
        <v>0</v>
      </c>
      <c r="L304" s="8">
        <f>IF($D304="CBB",$C304,0)</f>
        <v>0</v>
      </c>
    </row>
    <row r="305" spans="1:12" x14ac:dyDescent="0.25">
      <c r="A305" s="6">
        <v>41528</v>
      </c>
      <c r="B305" t="s">
        <v>47</v>
      </c>
      <c r="C305" s="7">
        <v>-120</v>
      </c>
      <c r="D305" t="s">
        <v>6</v>
      </c>
      <c r="E305" s="8">
        <f>E304+F305</f>
        <v>74460</v>
      </c>
      <c r="F305" s="8">
        <f>IF($D305="CR01",$C305,0)</f>
        <v>-120</v>
      </c>
      <c r="G305" s="8">
        <f>G304+H305</f>
        <v>0</v>
      </c>
      <c r="H305" s="8">
        <f>IF($D305="VISA",$C305,0)</f>
        <v>0</v>
      </c>
      <c r="I305" s="8">
        <f>I304+J305</f>
        <v>0</v>
      </c>
      <c r="J305" s="8">
        <f>IF($D305="ACC",$C305,0)</f>
        <v>0</v>
      </c>
      <c r="K305" s="8">
        <f>K304+L305</f>
        <v>0</v>
      </c>
      <c r="L305" s="8">
        <f>IF($D305="CBB",$C305,0)</f>
        <v>0</v>
      </c>
    </row>
    <row r="306" spans="1:12" x14ac:dyDescent="0.25">
      <c r="A306" s="6">
        <v>41529</v>
      </c>
      <c r="B306" t="s">
        <v>44</v>
      </c>
      <c r="C306" s="7">
        <v>-400</v>
      </c>
      <c r="D306" t="s">
        <v>6</v>
      </c>
      <c r="E306" s="8">
        <f>E305+F306</f>
        <v>74060</v>
      </c>
      <c r="F306" s="8">
        <f>IF($D306="CR01",$C306,0)</f>
        <v>-400</v>
      </c>
      <c r="G306" s="8">
        <f>G305+H306</f>
        <v>0</v>
      </c>
      <c r="H306" s="8">
        <f>IF($D306="VISA",$C306,0)</f>
        <v>0</v>
      </c>
      <c r="I306" s="8">
        <f>I305+J306</f>
        <v>0</v>
      </c>
      <c r="J306" s="8">
        <f>IF($D306="ACC",$C306,0)</f>
        <v>0</v>
      </c>
      <c r="K306" s="8">
        <f>K305+L306</f>
        <v>0</v>
      </c>
      <c r="L306" s="8">
        <f>IF($D306="CBB",$C306,0)</f>
        <v>0</v>
      </c>
    </row>
    <row r="307" spans="1:12" x14ac:dyDescent="0.25">
      <c r="A307" s="6">
        <v>41529</v>
      </c>
      <c r="B307" t="s">
        <v>45</v>
      </c>
      <c r="C307" s="7">
        <v>-180</v>
      </c>
      <c r="D307" t="s">
        <v>6</v>
      </c>
      <c r="E307" s="8">
        <f>E306+F307</f>
        <v>73880</v>
      </c>
      <c r="F307" s="8">
        <f>IF($D307="CR01",$C307,0)</f>
        <v>-180</v>
      </c>
      <c r="G307" s="8">
        <f>G306+H307</f>
        <v>0</v>
      </c>
      <c r="H307" s="8">
        <f>IF($D307="VISA",$C307,0)</f>
        <v>0</v>
      </c>
      <c r="I307" s="8">
        <f>I306+J307</f>
        <v>0</v>
      </c>
      <c r="J307" s="8">
        <f>IF($D307="ACC",$C307,0)</f>
        <v>0</v>
      </c>
      <c r="K307" s="8">
        <f>K306+L307</f>
        <v>0</v>
      </c>
      <c r="L307" s="8">
        <f>IF($D307="CBB",$C307,0)</f>
        <v>0</v>
      </c>
    </row>
    <row r="308" spans="1:12" x14ac:dyDescent="0.25">
      <c r="A308" s="6">
        <v>41529</v>
      </c>
      <c r="B308" t="s">
        <v>46</v>
      </c>
      <c r="C308" s="7">
        <v>-300</v>
      </c>
      <c r="D308" t="s">
        <v>6</v>
      </c>
      <c r="E308" s="8">
        <f>E307+F308</f>
        <v>73580</v>
      </c>
      <c r="F308" s="8">
        <f>IF($D308="CR01",$C308,0)</f>
        <v>-300</v>
      </c>
      <c r="G308" s="8">
        <f>G307+H308</f>
        <v>0</v>
      </c>
      <c r="H308" s="8">
        <f>IF($D308="VISA",$C308,0)</f>
        <v>0</v>
      </c>
      <c r="I308" s="8">
        <f>I307+J308</f>
        <v>0</v>
      </c>
      <c r="J308" s="8">
        <f>IF($D308="ACC",$C308,0)</f>
        <v>0</v>
      </c>
      <c r="K308" s="8">
        <f>K307+L308</f>
        <v>0</v>
      </c>
      <c r="L308" s="8">
        <f>IF($D308="CBB",$C308,0)</f>
        <v>0</v>
      </c>
    </row>
    <row r="309" spans="1:12" x14ac:dyDescent="0.25">
      <c r="A309" s="6">
        <v>41530</v>
      </c>
      <c r="B309" t="s">
        <v>43</v>
      </c>
      <c r="C309" s="7">
        <v>3226</v>
      </c>
      <c r="D309" t="s">
        <v>6</v>
      </c>
      <c r="E309" s="8">
        <f>E308+F309</f>
        <v>76806</v>
      </c>
      <c r="F309" s="8">
        <f>IF($D309="CR01",$C309,0)</f>
        <v>3226</v>
      </c>
      <c r="G309" s="8">
        <f>G308+H309</f>
        <v>0</v>
      </c>
      <c r="H309" s="8">
        <f>IF($D309="VISA",$C309,0)</f>
        <v>0</v>
      </c>
      <c r="I309" s="8">
        <f>I308+J309</f>
        <v>0</v>
      </c>
      <c r="J309" s="8">
        <f>IF($D309="ACC",$C309,0)</f>
        <v>0</v>
      </c>
      <c r="K309" s="8">
        <f>K308+L309</f>
        <v>0</v>
      </c>
      <c r="L309" s="8">
        <f>IF($D309="CBB",$C309,0)</f>
        <v>0</v>
      </c>
    </row>
    <row r="310" spans="1:12" x14ac:dyDescent="0.25">
      <c r="A310" s="6">
        <v>41534</v>
      </c>
      <c r="B310" t="s">
        <v>48</v>
      </c>
      <c r="C310" s="7">
        <v>-100</v>
      </c>
      <c r="D310" t="s">
        <v>6</v>
      </c>
      <c r="E310" s="8">
        <f>E309+F310</f>
        <v>76706</v>
      </c>
      <c r="F310" s="8">
        <f>IF($D310="CR01",$C310,0)</f>
        <v>-100</v>
      </c>
      <c r="G310" s="8">
        <f>G309+H310</f>
        <v>0</v>
      </c>
      <c r="H310" s="8">
        <f>IF($D310="VISA",$C310,0)</f>
        <v>0</v>
      </c>
      <c r="I310" s="8">
        <f>I309+J310</f>
        <v>0</v>
      </c>
      <c r="J310" s="8">
        <f>IF($D310="ACC",$C310,0)</f>
        <v>0</v>
      </c>
      <c r="K310" s="8">
        <f>K309+L310</f>
        <v>0</v>
      </c>
      <c r="L310" s="8">
        <f>IF($D310="CBB",$C310,0)</f>
        <v>0</v>
      </c>
    </row>
    <row r="311" spans="1:12" x14ac:dyDescent="0.25">
      <c r="A311" s="6">
        <v>41535</v>
      </c>
      <c r="B311" t="s">
        <v>47</v>
      </c>
      <c r="C311" s="7">
        <v>-120</v>
      </c>
      <c r="D311" t="s">
        <v>6</v>
      </c>
      <c r="E311" s="8">
        <f>E310+F311</f>
        <v>76586</v>
      </c>
      <c r="F311" s="8">
        <f>IF($D311="CR01",$C311,0)</f>
        <v>-120</v>
      </c>
      <c r="G311" s="8">
        <f>G310+H311</f>
        <v>0</v>
      </c>
      <c r="H311" s="8">
        <f>IF($D311="VISA",$C311,0)</f>
        <v>0</v>
      </c>
      <c r="I311" s="8">
        <f>I310+J311</f>
        <v>0</v>
      </c>
      <c r="J311" s="8">
        <f>IF($D311="ACC",$C311,0)</f>
        <v>0</v>
      </c>
      <c r="K311" s="8">
        <f>K310+L311</f>
        <v>0</v>
      </c>
      <c r="L311" s="8">
        <f>IF($D311="CBB",$C311,0)</f>
        <v>0</v>
      </c>
    </row>
    <row r="312" spans="1:12" x14ac:dyDescent="0.25">
      <c r="A312" s="6">
        <v>41536</v>
      </c>
      <c r="B312" t="s">
        <v>44</v>
      </c>
      <c r="C312" s="7">
        <v>-400</v>
      </c>
      <c r="D312" t="s">
        <v>6</v>
      </c>
      <c r="E312" s="8">
        <f>E311+F312</f>
        <v>76186</v>
      </c>
      <c r="F312" s="8">
        <f>IF($D312="CR01",$C312,0)</f>
        <v>-400</v>
      </c>
      <c r="G312" s="8">
        <f>G311+H312</f>
        <v>0</v>
      </c>
      <c r="H312" s="8">
        <f>IF($D312="VISA",$C312,0)</f>
        <v>0</v>
      </c>
      <c r="I312" s="8">
        <f>I311+J312</f>
        <v>0</v>
      </c>
      <c r="J312" s="8">
        <f>IF($D312="ACC",$C312,0)</f>
        <v>0</v>
      </c>
      <c r="K312" s="8">
        <f>K311+L312</f>
        <v>0</v>
      </c>
      <c r="L312" s="8">
        <f>IF($D312="CBB",$C312,0)</f>
        <v>0</v>
      </c>
    </row>
    <row r="313" spans="1:12" x14ac:dyDescent="0.25">
      <c r="A313" s="6">
        <v>41536</v>
      </c>
      <c r="B313" t="s">
        <v>45</v>
      </c>
      <c r="C313" s="7">
        <v>-180</v>
      </c>
      <c r="D313" t="s">
        <v>6</v>
      </c>
      <c r="E313" s="8">
        <f>E312+F313</f>
        <v>76006</v>
      </c>
      <c r="F313" s="8">
        <f>IF($D313="CR01",$C313,0)</f>
        <v>-180</v>
      </c>
      <c r="G313" s="8">
        <f>G312+H313</f>
        <v>0</v>
      </c>
      <c r="H313" s="8">
        <f>IF($D313="VISA",$C313,0)</f>
        <v>0</v>
      </c>
      <c r="I313" s="8">
        <f>I312+J313</f>
        <v>0</v>
      </c>
      <c r="J313" s="8">
        <f>IF($D313="ACC",$C313,0)</f>
        <v>0</v>
      </c>
      <c r="K313" s="8">
        <f>K312+L313</f>
        <v>0</v>
      </c>
      <c r="L313" s="8">
        <f>IF($D313="CBB",$C313,0)</f>
        <v>0</v>
      </c>
    </row>
    <row r="314" spans="1:12" x14ac:dyDescent="0.25">
      <c r="A314" s="6">
        <v>41536</v>
      </c>
      <c r="B314" t="s">
        <v>46</v>
      </c>
      <c r="C314" s="7">
        <v>-300</v>
      </c>
      <c r="D314" t="s">
        <v>6</v>
      </c>
      <c r="E314" s="8">
        <f>E313+F314</f>
        <v>75706</v>
      </c>
      <c r="F314" s="8">
        <f>IF($D314="CR01",$C314,0)</f>
        <v>-300</v>
      </c>
      <c r="G314" s="8">
        <f>G313+H314</f>
        <v>0</v>
      </c>
      <c r="H314" s="8">
        <f>IF($D314="VISA",$C314,0)</f>
        <v>0</v>
      </c>
      <c r="I314" s="8">
        <f>I313+J314</f>
        <v>0</v>
      </c>
      <c r="J314" s="8">
        <f>IF($D314="ACC",$C314,0)</f>
        <v>0</v>
      </c>
      <c r="K314" s="8">
        <f>K313+L314</f>
        <v>0</v>
      </c>
      <c r="L314" s="8">
        <f>IF($D314="CBB",$C314,0)</f>
        <v>0</v>
      </c>
    </row>
    <row r="315" spans="1:12" x14ac:dyDescent="0.25">
      <c r="A315" s="6">
        <v>41538</v>
      </c>
      <c r="B315" t="s">
        <v>67</v>
      </c>
      <c r="C315" s="7">
        <v>6800</v>
      </c>
      <c r="D315" t="s">
        <v>6</v>
      </c>
      <c r="E315" s="8">
        <f>E314+F315</f>
        <v>82506</v>
      </c>
      <c r="F315" s="8">
        <f>IF($D315="CR01",$C315,0)</f>
        <v>6800</v>
      </c>
      <c r="G315" s="8">
        <f>G314+H315</f>
        <v>0</v>
      </c>
      <c r="H315" s="8">
        <f>IF($D315="VISA",$C315,0)</f>
        <v>0</v>
      </c>
      <c r="I315" s="8">
        <f>I314+J315</f>
        <v>0</v>
      </c>
      <c r="J315" s="8">
        <f>IF($D315="ACC",$C315,0)</f>
        <v>0</v>
      </c>
      <c r="K315" s="8">
        <f>K314+L315</f>
        <v>0</v>
      </c>
      <c r="L315" s="8">
        <f>IF($D315="CBB",$C315,0)</f>
        <v>0</v>
      </c>
    </row>
    <row r="316" spans="1:12" x14ac:dyDescent="0.25">
      <c r="A316" s="6">
        <v>41541</v>
      </c>
      <c r="B316" t="s">
        <v>42</v>
      </c>
      <c r="C316" s="7">
        <v>-2806</v>
      </c>
      <c r="D316" t="s">
        <v>6</v>
      </c>
      <c r="E316" s="8">
        <f>E315+F316</f>
        <v>79700</v>
      </c>
      <c r="F316" s="8">
        <f>IF($D316="CR01",$C316,0)</f>
        <v>-2806</v>
      </c>
      <c r="G316" s="8">
        <f>G315+H316</f>
        <v>0</v>
      </c>
      <c r="H316" s="8">
        <f>IF($D316="VISA",$C316,0)</f>
        <v>0</v>
      </c>
      <c r="I316" s="8">
        <f>I315+J316</f>
        <v>0</v>
      </c>
      <c r="J316" s="8">
        <f>IF($D316="ACC",$C316,0)</f>
        <v>0</v>
      </c>
      <c r="K316" s="8">
        <f>K315+L316</f>
        <v>0</v>
      </c>
      <c r="L316" s="8">
        <f>IF($D316="CBB",$C316,0)</f>
        <v>0</v>
      </c>
    </row>
    <row r="317" spans="1:12" x14ac:dyDescent="0.25">
      <c r="A317" s="6">
        <v>41541</v>
      </c>
      <c r="B317" t="s">
        <v>48</v>
      </c>
      <c r="C317" s="7">
        <v>-100</v>
      </c>
      <c r="D317" t="s">
        <v>6</v>
      </c>
      <c r="E317" s="8">
        <f>E316+F317</f>
        <v>79600</v>
      </c>
      <c r="F317" s="8">
        <f>IF($D317="CR01",$C317,0)</f>
        <v>-100</v>
      </c>
      <c r="G317" s="8">
        <f>G316+H317</f>
        <v>0</v>
      </c>
      <c r="H317" s="8">
        <f>IF($D317="VISA",$C317,0)</f>
        <v>0</v>
      </c>
      <c r="I317" s="8">
        <f>I316+J317</f>
        <v>0</v>
      </c>
      <c r="J317" s="8">
        <f>IF($D317="ACC",$C317,0)</f>
        <v>0</v>
      </c>
      <c r="K317" s="8">
        <f>K316+L317</f>
        <v>0</v>
      </c>
      <c r="L317" s="8">
        <f>IF($D317="CBB",$C317,0)</f>
        <v>0</v>
      </c>
    </row>
    <row r="318" spans="1:12" x14ac:dyDescent="0.25">
      <c r="A318" s="6">
        <v>41542</v>
      </c>
      <c r="B318" t="s">
        <v>47</v>
      </c>
      <c r="C318" s="7">
        <v>-120</v>
      </c>
      <c r="D318" t="s">
        <v>6</v>
      </c>
      <c r="E318" s="8">
        <f>E317+F318</f>
        <v>79480</v>
      </c>
      <c r="F318" s="8">
        <f>IF($D318="CR01",$C318,0)</f>
        <v>-120</v>
      </c>
      <c r="G318" s="8">
        <f>G317+H318</f>
        <v>0</v>
      </c>
      <c r="H318" s="8">
        <f>IF($D318="VISA",$C318,0)</f>
        <v>0</v>
      </c>
      <c r="I318" s="8">
        <f>I317+J318</f>
        <v>0</v>
      </c>
      <c r="J318" s="8">
        <f>IF($D318="ACC",$C318,0)</f>
        <v>0</v>
      </c>
      <c r="K318" s="8">
        <f>K317+L318</f>
        <v>0</v>
      </c>
      <c r="L318" s="8">
        <f>IF($D318="CBB",$C318,0)</f>
        <v>0</v>
      </c>
    </row>
    <row r="319" spans="1:12" x14ac:dyDescent="0.25">
      <c r="A319" s="6">
        <v>41543</v>
      </c>
      <c r="B319" t="s">
        <v>44</v>
      </c>
      <c r="C319" s="7">
        <v>-400</v>
      </c>
      <c r="D319" t="s">
        <v>6</v>
      </c>
      <c r="E319" s="8">
        <f>E318+F319</f>
        <v>79080</v>
      </c>
      <c r="F319" s="8">
        <f>IF($D319="CR01",$C319,0)</f>
        <v>-400</v>
      </c>
      <c r="G319" s="8">
        <f>G318+H319</f>
        <v>0</v>
      </c>
      <c r="H319" s="8">
        <f>IF($D319="VISA",$C319,0)</f>
        <v>0</v>
      </c>
      <c r="I319" s="8">
        <f>I318+J319</f>
        <v>0</v>
      </c>
      <c r="J319" s="8">
        <f>IF($D319="ACC",$C319,0)</f>
        <v>0</v>
      </c>
      <c r="K319" s="8">
        <f>K318+L319</f>
        <v>0</v>
      </c>
      <c r="L319" s="8">
        <f>IF($D319="CBB",$C319,0)</f>
        <v>0</v>
      </c>
    </row>
    <row r="320" spans="1:12" x14ac:dyDescent="0.25">
      <c r="A320" s="6">
        <v>41543</v>
      </c>
      <c r="B320" t="s">
        <v>45</v>
      </c>
      <c r="C320" s="7">
        <v>-180</v>
      </c>
      <c r="D320" t="s">
        <v>6</v>
      </c>
      <c r="E320" s="8">
        <f>E319+F320</f>
        <v>78900</v>
      </c>
      <c r="F320" s="8">
        <f>IF($D320="CR01",$C320,0)</f>
        <v>-180</v>
      </c>
      <c r="G320" s="8">
        <f>G319+H320</f>
        <v>0</v>
      </c>
      <c r="H320" s="8">
        <f>IF($D320="VISA",$C320,0)</f>
        <v>0</v>
      </c>
      <c r="I320" s="8">
        <f>I319+J320</f>
        <v>0</v>
      </c>
      <c r="J320" s="8">
        <f>IF($D320="ACC",$C320,0)</f>
        <v>0</v>
      </c>
      <c r="K320" s="8">
        <f>K319+L320</f>
        <v>0</v>
      </c>
      <c r="L320" s="8">
        <f>IF($D320="CBB",$C320,0)</f>
        <v>0</v>
      </c>
    </row>
    <row r="321" spans="1:12" x14ac:dyDescent="0.25">
      <c r="A321" s="6">
        <v>41543</v>
      </c>
      <c r="B321" t="s">
        <v>46</v>
      </c>
      <c r="C321" s="7">
        <v>-300</v>
      </c>
      <c r="D321" t="s">
        <v>6</v>
      </c>
      <c r="E321" s="8">
        <f>E320+F321</f>
        <v>78600</v>
      </c>
      <c r="F321" s="8">
        <f>IF($D321="CR01",$C321,0)</f>
        <v>-300</v>
      </c>
      <c r="G321" s="8">
        <f>G320+H321</f>
        <v>0</v>
      </c>
      <c r="H321" s="8">
        <f>IF($D321="VISA",$C321,0)</f>
        <v>0</v>
      </c>
      <c r="I321" s="8">
        <f>I320+J321</f>
        <v>0</v>
      </c>
      <c r="J321" s="8">
        <f>IF($D321="ACC",$C321,0)</f>
        <v>0</v>
      </c>
      <c r="K321" s="8">
        <f>K320+L321</f>
        <v>0</v>
      </c>
      <c r="L321" s="8">
        <f>IF($D321="CBB",$C321,0)</f>
        <v>0</v>
      </c>
    </row>
    <row r="322" spans="1:12" x14ac:dyDescent="0.25">
      <c r="A322" s="6">
        <v>41544</v>
      </c>
      <c r="B322" t="s">
        <v>43</v>
      </c>
      <c r="C322" s="7">
        <v>3226</v>
      </c>
      <c r="D322" t="s">
        <v>6</v>
      </c>
      <c r="E322" s="8">
        <f>E321+F322</f>
        <v>81826</v>
      </c>
      <c r="F322" s="8">
        <f>IF($D322="CR01",$C322,0)</f>
        <v>3226</v>
      </c>
      <c r="G322" s="8">
        <f>G321+H322</f>
        <v>0</v>
      </c>
      <c r="H322" s="8">
        <f>IF($D322="VISA",$C322,0)</f>
        <v>0</v>
      </c>
      <c r="I322" s="8">
        <f>I321+J322</f>
        <v>0</v>
      </c>
      <c r="J322" s="8">
        <f>IF($D322="ACC",$C322,0)</f>
        <v>0</v>
      </c>
      <c r="K322" s="8">
        <f>K321+L322</f>
        <v>0</v>
      </c>
      <c r="L322" s="8">
        <f>IF($D322="CBB",$C322,0)</f>
        <v>0</v>
      </c>
    </row>
    <row r="323" spans="1:12" x14ac:dyDescent="0.25">
      <c r="A323" s="6">
        <v>41548</v>
      </c>
      <c r="B323" t="s">
        <v>48</v>
      </c>
      <c r="C323" s="7">
        <v>-100</v>
      </c>
      <c r="D323" t="s">
        <v>6</v>
      </c>
      <c r="E323" s="8">
        <f>E322+F323</f>
        <v>81726</v>
      </c>
      <c r="F323" s="8">
        <f>IF($D323="CR01",$C323,0)</f>
        <v>-100</v>
      </c>
      <c r="G323" s="8">
        <f>G322+H323</f>
        <v>0</v>
      </c>
      <c r="H323" s="8">
        <f>IF($D323="VISA",$C323,0)</f>
        <v>0</v>
      </c>
      <c r="I323" s="8">
        <f>I322+J323</f>
        <v>0</v>
      </c>
      <c r="J323" s="8">
        <f>IF($D323="ACC",$C323,0)</f>
        <v>0</v>
      </c>
      <c r="K323" s="8">
        <f>K322+L323</f>
        <v>0</v>
      </c>
      <c r="L323" s="8">
        <f>IF($D323="CBB",$C323,0)</f>
        <v>0</v>
      </c>
    </row>
    <row r="324" spans="1:12" x14ac:dyDescent="0.25">
      <c r="A324" s="6">
        <v>41548</v>
      </c>
      <c r="B324" t="s">
        <v>58</v>
      </c>
      <c r="C324" s="7">
        <v>-200</v>
      </c>
      <c r="D324" t="s">
        <v>6</v>
      </c>
      <c r="E324" s="8">
        <f>E323+F324</f>
        <v>81526</v>
      </c>
      <c r="F324" s="8">
        <f>IF($D324="CR01",$C324,0)</f>
        <v>-200</v>
      </c>
      <c r="G324" s="8">
        <f>G323+H324</f>
        <v>0</v>
      </c>
      <c r="H324" s="8">
        <f>IF($D324="VISA",$C324,0)</f>
        <v>0</v>
      </c>
      <c r="I324" s="8">
        <f>I323+J324</f>
        <v>0</v>
      </c>
      <c r="J324" s="8">
        <f>IF($D324="ACC",$C324,0)</f>
        <v>0</v>
      </c>
      <c r="K324" s="8">
        <f>K323+L324</f>
        <v>0</v>
      </c>
      <c r="L324" s="8">
        <f>IF($D324="CBB",$C324,0)</f>
        <v>0</v>
      </c>
    </row>
    <row r="325" spans="1:12" x14ac:dyDescent="0.25">
      <c r="A325" s="6">
        <v>41548</v>
      </c>
      <c r="B325" t="s">
        <v>60</v>
      </c>
      <c r="C325" s="7">
        <v>-400</v>
      </c>
      <c r="D325" t="s">
        <v>6</v>
      </c>
      <c r="E325" s="8">
        <f>E324+F325</f>
        <v>81126</v>
      </c>
      <c r="F325" s="8">
        <f>IF($D325="CR01",$C325,0)</f>
        <v>-400</v>
      </c>
      <c r="G325" s="8">
        <f>G324+H325</f>
        <v>0</v>
      </c>
      <c r="H325" s="8">
        <f>IF($D325="VISA",$C325,0)</f>
        <v>0</v>
      </c>
      <c r="I325" s="8">
        <f>I324+J325</f>
        <v>0</v>
      </c>
      <c r="J325" s="8">
        <f>IF($D325="ACC",$C325,0)</f>
        <v>0</v>
      </c>
      <c r="K325" s="8">
        <f>K324+L325</f>
        <v>0</v>
      </c>
      <c r="L325" s="8">
        <f>IF($D325="CBB",$C325,0)</f>
        <v>0</v>
      </c>
    </row>
    <row r="326" spans="1:12" x14ac:dyDescent="0.25">
      <c r="A326" s="6">
        <v>41548</v>
      </c>
      <c r="B326" t="s">
        <v>61</v>
      </c>
      <c r="C326" s="7">
        <v>-300</v>
      </c>
      <c r="D326" t="s">
        <v>6</v>
      </c>
      <c r="E326" s="8">
        <f>E325+F326</f>
        <v>80826</v>
      </c>
      <c r="F326" s="8">
        <f>IF($D326="CR01",$C326,0)</f>
        <v>-300</v>
      </c>
      <c r="G326" s="8">
        <f>G325+H326</f>
        <v>0</v>
      </c>
      <c r="H326" s="8">
        <f>IF($D326="VISA",$C326,0)</f>
        <v>0</v>
      </c>
      <c r="I326" s="8">
        <f>I325+J326</f>
        <v>0</v>
      </c>
      <c r="J326" s="8">
        <f>IF($D326="ACC",$C326,0)</f>
        <v>0</v>
      </c>
      <c r="K326" s="8">
        <f>K325+L326</f>
        <v>0</v>
      </c>
      <c r="L326" s="8">
        <f>IF($D326="CBB",$C326,0)</f>
        <v>0</v>
      </c>
    </row>
    <row r="327" spans="1:12" x14ac:dyDescent="0.25">
      <c r="A327" s="6">
        <v>41548</v>
      </c>
      <c r="B327" t="s">
        <v>64</v>
      </c>
      <c r="C327" s="7">
        <v>-26</v>
      </c>
      <c r="D327" t="s">
        <v>6</v>
      </c>
      <c r="E327" s="8">
        <f>E326+F327</f>
        <v>80800</v>
      </c>
      <c r="F327" s="8">
        <f>IF($D327="CR01",$C327,0)</f>
        <v>-26</v>
      </c>
      <c r="G327" s="8">
        <f>G326+H327</f>
        <v>0</v>
      </c>
      <c r="H327" s="8">
        <f>IF($D327="VISA",$C327,0)</f>
        <v>0</v>
      </c>
      <c r="I327" s="8">
        <f>I326+J327</f>
        <v>0</v>
      </c>
      <c r="J327" s="8">
        <f>IF($D327="ACC",$C327,0)</f>
        <v>0</v>
      </c>
      <c r="K327" s="8">
        <f>K326+L327</f>
        <v>0</v>
      </c>
      <c r="L327" s="8">
        <f>IF($D327="CBB",$C327,0)</f>
        <v>0</v>
      </c>
    </row>
    <row r="328" spans="1:12" x14ac:dyDescent="0.25">
      <c r="A328" s="6">
        <v>41548</v>
      </c>
      <c r="B328" t="s">
        <v>65</v>
      </c>
      <c r="C328" s="7">
        <v>-240</v>
      </c>
      <c r="D328" t="s">
        <v>6</v>
      </c>
      <c r="E328" s="8">
        <f>E327+F328</f>
        <v>80560</v>
      </c>
      <c r="F328" s="8">
        <f>IF($D328="CR01",$C328,0)</f>
        <v>-240</v>
      </c>
      <c r="G328" s="8">
        <f>G327+H328</f>
        <v>0</v>
      </c>
      <c r="H328" s="8">
        <f>IF($D328="VISA",$C328,0)</f>
        <v>0</v>
      </c>
      <c r="I328" s="8">
        <f>I327+J328</f>
        <v>0</v>
      </c>
      <c r="J328" s="8">
        <f>IF($D328="ACC",$C328,0)</f>
        <v>0</v>
      </c>
      <c r="K328" s="8">
        <f>K327+L328</f>
        <v>0</v>
      </c>
      <c r="L328" s="8">
        <f>IF($D328="CBB",$C328,0)</f>
        <v>0</v>
      </c>
    </row>
    <row r="329" spans="1:12" x14ac:dyDescent="0.25">
      <c r="A329" s="6">
        <v>41548</v>
      </c>
      <c r="B329" t="s">
        <v>66</v>
      </c>
      <c r="C329" s="7">
        <v>-120</v>
      </c>
      <c r="D329" t="s">
        <v>6</v>
      </c>
      <c r="E329" s="8">
        <f>E328+F329</f>
        <v>80440</v>
      </c>
      <c r="F329" s="8">
        <f>IF($D329="CR01",$C329,0)</f>
        <v>-120</v>
      </c>
      <c r="G329" s="8">
        <f>G328+H329</f>
        <v>0</v>
      </c>
      <c r="H329" s="8">
        <f>IF($D329="VISA",$C329,0)</f>
        <v>0</v>
      </c>
      <c r="I329" s="8">
        <f>I328+J329</f>
        <v>0</v>
      </c>
      <c r="J329" s="8">
        <f>IF($D329="ACC",$C329,0)</f>
        <v>0</v>
      </c>
      <c r="K329" s="8">
        <f>K328+L329</f>
        <v>0</v>
      </c>
      <c r="L329" s="8">
        <f>IF($D329="CBB",$C329,0)</f>
        <v>0</v>
      </c>
    </row>
    <row r="330" spans="1:12" x14ac:dyDescent="0.25">
      <c r="A330" s="6">
        <v>41549</v>
      </c>
      <c r="B330" t="s">
        <v>47</v>
      </c>
      <c r="C330" s="7">
        <v>-120</v>
      </c>
      <c r="D330" t="s">
        <v>6</v>
      </c>
      <c r="E330" s="8">
        <f>E329+F330</f>
        <v>80320</v>
      </c>
      <c r="F330" s="8">
        <f>IF($D330="CR01",$C330,0)</f>
        <v>-120</v>
      </c>
      <c r="G330" s="8">
        <f>G329+H330</f>
        <v>0</v>
      </c>
      <c r="H330" s="8">
        <f>IF($D330="VISA",$C330,0)</f>
        <v>0</v>
      </c>
      <c r="I330" s="8">
        <f>I329+J330</f>
        <v>0</v>
      </c>
      <c r="J330" s="8">
        <f>IF($D330="ACC",$C330,0)</f>
        <v>0</v>
      </c>
      <c r="K330" s="8">
        <f>K329+L330</f>
        <v>0</v>
      </c>
      <c r="L330" s="8">
        <f>IF($D330="CBB",$C330,0)</f>
        <v>0</v>
      </c>
    </row>
    <row r="331" spans="1:12" x14ac:dyDescent="0.25">
      <c r="A331" s="6">
        <v>41549</v>
      </c>
      <c r="B331" t="s">
        <v>59</v>
      </c>
      <c r="C331" s="7">
        <v>-900</v>
      </c>
      <c r="D331" t="s">
        <v>6</v>
      </c>
      <c r="E331" s="8">
        <f>E330+F331</f>
        <v>79420</v>
      </c>
      <c r="F331" s="8">
        <f>IF($D331="CR01",$C331,0)</f>
        <v>-900</v>
      </c>
      <c r="G331" s="8">
        <f>G330+H331</f>
        <v>0</v>
      </c>
      <c r="H331" s="8">
        <f>IF($D331="VISA",$C331,0)</f>
        <v>0</v>
      </c>
      <c r="I331" s="8">
        <f>I330+J331</f>
        <v>0</v>
      </c>
      <c r="J331" s="8">
        <f>IF($D331="ACC",$C331,0)</f>
        <v>0</v>
      </c>
      <c r="K331" s="8">
        <f>K330+L331</f>
        <v>0</v>
      </c>
      <c r="L331" s="8">
        <f>IF($D331="CBB",$C331,0)</f>
        <v>0</v>
      </c>
    </row>
    <row r="332" spans="1:12" x14ac:dyDescent="0.25">
      <c r="A332" s="6">
        <v>41550</v>
      </c>
      <c r="B332" t="s">
        <v>44</v>
      </c>
      <c r="C332" s="7">
        <v>-400</v>
      </c>
      <c r="D332" t="s">
        <v>6</v>
      </c>
      <c r="E332" s="8">
        <f>E331+F332</f>
        <v>79020</v>
      </c>
      <c r="F332" s="8">
        <f>IF($D332="CR01",$C332,0)</f>
        <v>-400</v>
      </c>
      <c r="G332" s="8">
        <f>G331+H332</f>
        <v>0</v>
      </c>
      <c r="H332" s="8">
        <f>IF($D332="VISA",$C332,0)</f>
        <v>0</v>
      </c>
      <c r="I332" s="8">
        <f>I331+J332</f>
        <v>0</v>
      </c>
      <c r="J332" s="8">
        <f>IF($D332="ACC",$C332,0)</f>
        <v>0</v>
      </c>
      <c r="K332" s="8">
        <f>K331+L332</f>
        <v>0</v>
      </c>
      <c r="L332" s="8">
        <f>IF($D332="CBB",$C332,0)</f>
        <v>0</v>
      </c>
    </row>
    <row r="333" spans="1:12" x14ac:dyDescent="0.25">
      <c r="A333" s="6">
        <v>41550</v>
      </c>
      <c r="B333" t="s">
        <v>45</v>
      </c>
      <c r="C333" s="7">
        <v>-180</v>
      </c>
      <c r="D333" t="s">
        <v>6</v>
      </c>
      <c r="E333" s="8">
        <f>E332+F333</f>
        <v>78840</v>
      </c>
      <c r="F333" s="8">
        <f>IF($D333="CR01",$C333,0)</f>
        <v>-180</v>
      </c>
      <c r="G333" s="8">
        <f>G332+H333</f>
        <v>0</v>
      </c>
      <c r="H333" s="8">
        <f>IF($D333="VISA",$C333,0)</f>
        <v>0</v>
      </c>
      <c r="I333" s="8">
        <f>I332+J333</f>
        <v>0</v>
      </c>
      <c r="J333" s="8">
        <f>IF($D333="ACC",$C333,0)</f>
        <v>0</v>
      </c>
      <c r="K333" s="8">
        <f>K332+L333</f>
        <v>0</v>
      </c>
      <c r="L333" s="8">
        <f>IF($D333="CBB",$C333,0)</f>
        <v>0</v>
      </c>
    </row>
    <row r="334" spans="1:12" x14ac:dyDescent="0.25">
      <c r="A334" s="6">
        <v>41550</v>
      </c>
      <c r="B334" t="s">
        <v>46</v>
      </c>
      <c r="C334" s="7">
        <v>-300</v>
      </c>
      <c r="D334" t="s">
        <v>6</v>
      </c>
      <c r="E334" s="8">
        <f>E333+F334</f>
        <v>78540</v>
      </c>
      <c r="F334" s="8">
        <f>IF($D334="CR01",$C334,0)</f>
        <v>-300</v>
      </c>
      <c r="G334" s="8">
        <f>G333+H334</f>
        <v>0</v>
      </c>
      <c r="H334" s="8">
        <f>IF($D334="VISA",$C334,0)</f>
        <v>0</v>
      </c>
      <c r="I334" s="8">
        <f>I333+J334</f>
        <v>0</v>
      </c>
      <c r="J334" s="8">
        <f>IF($D334="ACC",$C334,0)</f>
        <v>0</v>
      </c>
      <c r="K334" s="8">
        <f>K333+L334</f>
        <v>0</v>
      </c>
      <c r="L334" s="8">
        <f>IF($D334="CBB",$C334,0)</f>
        <v>0</v>
      </c>
    </row>
    <row r="335" spans="1:12" x14ac:dyDescent="0.25">
      <c r="A335" s="6">
        <v>41552</v>
      </c>
      <c r="B335" t="s">
        <v>67</v>
      </c>
      <c r="C335" s="7">
        <v>6800</v>
      </c>
      <c r="D335" t="s">
        <v>6</v>
      </c>
      <c r="E335" s="8">
        <f>E334+F335</f>
        <v>85340</v>
      </c>
      <c r="F335" s="8">
        <f>IF($D335="CR01",$C335,0)</f>
        <v>6800</v>
      </c>
      <c r="G335" s="8">
        <f>G334+H335</f>
        <v>0</v>
      </c>
      <c r="H335" s="8">
        <f>IF($D335="VISA",$C335,0)</f>
        <v>0</v>
      </c>
      <c r="I335" s="8">
        <f>I334+J335</f>
        <v>0</v>
      </c>
      <c r="J335" s="8">
        <f>IF($D335="ACC",$C335,0)</f>
        <v>0</v>
      </c>
      <c r="K335" s="8">
        <f>K334+L335</f>
        <v>0</v>
      </c>
      <c r="L335" s="8">
        <f>IF($D335="CBB",$C335,0)</f>
        <v>0</v>
      </c>
    </row>
    <row r="336" spans="1:12" x14ac:dyDescent="0.25">
      <c r="A336" s="6">
        <v>41555</v>
      </c>
      <c r="B336" t="s">
        <v>42</v>
      </c>
      <c r="C336" s="7">
        <v>-2806</v>
      </c>
      <c r="D336" t="s">
        <v>6</v>
      </c>
      <c r="E336" s="8">
        <f>E335+F336</f>
        <v>82534</v>
      </c>
      <c r="F336" s="8">
        <f>IF($D336="CR01",$C336,0)</f>
        <v>-2806</v>
      </c>
      <c r="G336" s="8">
        <f>G335+H336</f>
        <v>0</v>
      </c>
      <c r="H336" s="8">
        <f>IF($D336="VISA",$C336,0)</f>
        <v>0</v>
      </c>
      <c r="I336" s="8">
        <f>I335+J336</f>
        <v>0</v>
      </c>
      <c r="J336" s="8">
        <f>IF($D336="ACC",$C336,0)</f>
        <v>0</v>
      </c>
      <c r="K336" s="8">
        <f>K335+L336</f>
        <v>0</v>
      </c>
      <c r="L336" s="8">
        <f>IF($D336="CBB",$C336,0)</f>
        <v>0</v>
      </c>
    </row>
    <row r="337" spans="1:12" x14ac:dyDescent="0.25">
      <c r="A337" s="6">
        <v>41555</v>
      </c>
      <c r="B337" t="s">
        <v>48</v>
      </c>
      <c r="C337" s="7">
        <v>-100</v>
      </c>
      <c r="D337" t="s">
        <v>6</v>
      </c>
      <c r="E337" s="8">
        <f>E336+F337</f>
        <v>82434</v>
      </c>
      <c r="F337" s="8">
        <f>IF($D337="CR01",$C337,0)</f>
        <v>-100</v>
      </c>
      <c r="G337" s="8">
        <f>G336+H337</f>
        <v>0</v>
      </c>
      <c r="H337" s="8">
        <f>IF($D337="VISA",$C337,0)</f>
        <v>0</v>
      </c>
      <c r="I337" s="8">
        <f>I336+J337</f>
        <v>0</v>
      </c>
      <c r="J337" s="8">
        <f>IF($D337="ACC",$C337,0)</f>
        <v>0</v>
      </c>
      <c r="K337" s="8">
        <f>K336+L337</f>
        <v>0</v>
      </c>
      <c r="L337" s="8">
        <f>IF($D337="CBB",$C337,0)</f>
        <v>0</v>
      </c>
    </row>
    <row r="338" spans="1:12" x14ac:dyDescent="0.25">
      <c r="A338" s="6">
        <v>41556</v>
      </c>
      <c r="B338" t="s">
        <v>47</v>
      </c>
      <c r="C338" s="7">
        <v>-120</v>
      </c>
      <c r="D338" t="s">
        <v>6</v>
      </c>
      <c r="E338" s="8">
        <f>E337+F338</f>
        <v>82314</v>
      </c>
      <c r="F338" s="8">
        <f>IF($D338="CR01",$C338,0)</f>
        <v>-120</v>
      </c>
      <c r="G338" s="8">
        <f>G337+H338</f>
        <v>0</v>
      </c>
      <c r="H338" s="8">
        <f>IF($D338="VISA",$C338,0)</f>
        <v>0</v>
      </c>
      <c r="I338" s="8">
        <f>I337+J338</f>
        <v>0</v>
      </c>
      <c r="J338" s="8">
        <f>IF($D338="ACC",$C338,0)</f>
        <v>0</v>
      </c>
      <c r="K338" s="8">
        <f>K337+L338</f>
        <v>0</v>
      </c>
      <c r="L338" s="8">
        <f>IF($D338="CBB",$C338,0)</f>
        <v>0</v>
      </c>
    </row>
    <row r="339" spans="1:12" x14ac:dyDescent="0.25">
      <c r="A339" s="6">
        <v>41557</v>
      </c>
      <c r="B339" t="s">
        <v>44</v>
      </c>
      <c r="C339" s="7">
        <v>-400</v>
      </c>
      <c r="D339" t="s">
        <v>6</v>
      </c>
      <c r="E339" s="8">
        <f>E338+F339</f>
        <v>81914</v>
      </c>
      <c r="F339" s="8">
        <f>IF($D339="CR01",$C339,0)</f>
        <v>-400</v>
      </c>
      <c r="G339" s="8">
        <f>G338+H339</f>
        <v>0</v>
      </c>
      <c r="H339" s="8">
        <f>IF($D339="VISA",$C339,0)</f>
        <v>0</v>
      </c>
      <c r="I339" s="8">
        <f>I338+J339</f>
        <v>0</v>
      </c>
      <c r="J339" s="8">
        <f>IF($D339="ACC",$C339,0)</f>
        <v>0</v>
      </c>
      <c r="K339" s="8">
        <f>K338+L339</f>
        <v>0</v>
      </c>
      <c r="L339" s="8">
        <f>IF($D339="CBB",$C339,0)</f>
        <v>0</v>
      </c>
    </row>
    <row r="340" spans="1:12" x14ac:dyDescent="0.25">
      <c r="A340" s="6">
        <v>41557</v>
      </c>
      <c r="B340" t="s">
        <v>45</v>
      </c>
      <c r="C340" s="7">
        <v>-180</v>
      </c>
      <c r="D340" t="s">
        <v>6</v>
      </c>
      <c r="E340" s="8">
        <f>E339+F340</f>
        <v>81734</v>
      </c>
      <c r="F340" s="8">
        <f>IF($D340="CR01",$C340,0)</f>
        <v>-180</v>
      </c>
      <c r="G340" s="8">
        <f>G339+H340</f>
        <v>0</v>
      </c>
      <c r="H340" s="8">
        <f>IF($D340="VISA",$C340,0)</f>
        <v>0</v>
      </c>
      <c r="I340" s="8">
        <f>I339+J340</f>
        <v>0</v>
      </c>
      <c r="J340" s="8">
        <f>IF($D340="ACC",$C340,0)</f>
        <v>0</v>
      </c>
      <c r="K340" s="8">
        <f>K339+L340</f>
        <v>0</v>
      </c>
      <c r="L340" s="8">
        <f>IF($D340="CBB",$C340,0)</f>
        <v>0</v>
      </c>
    </row>
    <row r="341" spans="1:12" x14ac:dyDescent="0.25">
      <c r="A341" s="6">
        <v>41557</v>
      </c>
      <c r="B341" t="s">
        <v>46</v>
      </c>
      <c r="C341" s="7">
        <v>-300</v>
      </c>
      <c r="D341" t="s">
        <v>6</v>
      </c>
      <c r="E341" s="8">
        <f>E340+F341</f>
        <v>81434</v>
      </c>
      <c r="F341" s="8">
        <f>IF($D341="CR01",$C341,0)</f>
        <v>-300</v>
      </c>
      <c r="G341" s="8">
        <f>G340+H341</f>
        <v>0</v>
      </c>
      <c r="H341" s="8">
        <f>IF($D341="VISA",$C341,0)</f>
        <v>0</v>
      </c>
      <c r="I341" s="8">
        <f>I340+J341</f>
        <v>0</v>
      </c>
      <c r="J341" s="8">
        <f>IF($D341="ACC",$C341,0)</f>
        <v>0</v>
      </c>
      <c r="K341" s="8">
        <f>K340+L341</f>
        <v>0</v>
      </c>
      <c r="L341" s="8">
        <f>IF($D341="CBB",$C341,0)</f>
        <v>0</v>
      </c>
    </row>
    <row r="342" spans="1:12" x14ac:dyDescent="0.25">
      <c r="A342" s="6">
        <v>41558</v>
      </c>
      <c r="B342" t="s">
        <v>43</v>
      </c>
      <c r="C342" s="7">
        <v>3226</v>
      </c>
      <c r="D342" t="s">
        <v>6</v>
      </c>
      <c r="E342" s="8">
        <f>E341+F342</f>
        <v>84660</v>
      </c>
      <c r="F342" s="8">
        <f>IF($D342="CR01",$C342,0)</f>
        <v>3226</v>
      </c>
      <c r="G342" s="8">
        <f>G341+H342</f>
        <v>0</v>
      </c>
      <c r="H342" s="8">
        <f>IF($D342="VISA",$C342,0)</f>
        <v>0</v>
      </c>
      <c r="I342" s="8">
        <f>I341+J342</f>
        <v>0</v>
      </c>
      <c r="J342" s="8">
        <f>IF($D342="ACC",$C342,0)</f>
        <v>0</v>
      </c>
      <c r="K342" s="8">
        <f>K341+L342</f>
        <v>0</v>
      </c>
      <c r="L342" s="8">
        <f>IF($D342="CBB",$C342,0)</f>
        <v>0</v>
      </c>
    </row>
    <row r="343" spans="1:12" x14ac:dyDescent="0.25">
      <c r="A343" s="6">
        <v>41562</v>
      </c>
      <c r="B343" t="s">
        <v>48</v>
      </c>
      <c r="C343" s="7">
        <v>-100</v>
      </c>
      <c r="D343" t="s">
        <v>6</v>
      </c>
      <c r="E343" s="8">
        <f>E342+F343</f>
        <v>84560</v>
      </c>
      <c r="F343" s="8">
        <f>IF($D343="CR01",$C343,0)</f>
        <v>-100</v>
      </c>
      <c r="G343" s="8">
        <f>G342+H343</f>
        <v>0</v>
      </c>
      <c r="H343" s="8">
        <f>IF($D343="VISA",$C343,0)</f>
        <v>0</v>
      </c>
      <c r="I343" s="8">
        <f>I342+J343</f>
        <v>0</v>
      </c>
      <c r="J343" s="8">
        <f>IF($D343="ACC",$C343,0)</f>
        <v>0</v>
      </c>
      <c r="K343" s="8">
        <f>K342+L343</f>
        <v>0</v>
      </c>
      <c r="L343" s="8">
        <f>IF($D343="CBB",$C343,0)</f>
        <v>0</v>
      </c>
    </row>
    <row r="344" spans="1:12" x14ac:dyDescent="0.25">
      <c r="A344" s="6">
        <v>41563</v>
      </c>
      <c r="B344" t="s">
        <v>47</v>
      </c>
      <c r="C344" s="7">
        <v>-120</v>
      </c>
      <c r="D344" t="s">
        <v>6</v>
      </c>
      <c r="E344" s="8">
        <f>E343+F344</f>
        <v>84440</v>
      </c>
      <c r="F344" s="8">
        <f>IF($D344="CR01",$C344,0)</f>
        <v>-120</v>
      </c>
      <c r="G344" s="8">
        <f>G343+H344</f>
        <v>0</v>
      </c>
      <c r="H344" s="8">
        <f>IF($D344="VISA",$C344,0)</f>
        <v>0</v>
      </c>
      <c r="I344" s="8">
        <f>I343+J344</f>
        <v>0</v>
      </c>
      <c r="J344" s="8">
        <f>IF($D344="ACC",$C344,0)</f>
        <v>0</v>
      </c>
      <c r="K344" s="8">
        <f>K343+L344</f>
        <v>0</v>
      </c>
      <c r="L344" s="8">
        <f>IF($D344="CBB",$C344,0)</f>
        <v>0</v>
      </c>
    </row>
    <row r="345" spans="1:12" x14ac:dyDescent="0.25">
      <c r="A345" s="6">
        <v>41564</v>
      </c>
      <c r="B345" t="s">
        <v>44</v>
      </c>
      <c r="C345" s="7">
        <v>-400</v>
      </c>
      <c r="D345" t="s">
        <v>6</v>
      </c>
      <c r="E345" s="8">
        <f>E344+F345</f>
        <v>84040</v>
      </c>
      <c r="F345" s="8">
        <f>IF($D345="CR01",$C345,0)</f>
        <v>-400</v>
      </c>
      <c r="G345" s="8">
        <f>G344+H345</f>
        <v>0</v>
      </c>
      <c r="H345" s="8">
        <f>IF($D345="VISA",$C345,0)</f>
        <v>0</v>
      </c>
      <c r="I345" s="8">
        <f>I344+J345</f>
        <v>0</v>
      </c>
      <c r="J345" s="8">
        <f>IF($D345="ACC",$C345,0)</f>
        <v>0</v>
      </c>
      <c r="K345" s="8">
        <f>K344+L345</f>
        <v>0</v>
      </c>
      <c r="L345" s="8">
        <f>IF($D345="CBB",$C345,0)</f>
        <v>0</v>
      </c>
    </row>
    <row r="346" spans="1:12" x14ac:dyDescent="0.25">
      <c r="A346" s="6">
        <v>41564</v>
      </c>
      <c r="B346" t="s">
        <v>45</v>
      </c>
      <c r="C346" s="7">
        <v>-180</v>
      </c>
      <c r="D346" t="s">
        <v>6</v>
      </c>
      <c r="E346" s="8">
        <f>E345+F346</f>
        <v>83860</v>
      </c>
      <c r="F346" s="8">
        <f>IF($D346="CR01",$C346,0)</f>
        <v>-180</v>
      </c>
      <c r="G346" s="8">
        <f>G345+H346</f>
        <v>0</v>
      </c>
      <c r="H346" s="8">
        <f>IF($D346="VISA",$C346,0)</f>
        <v>0</v>
      </c>
      <c r="I346" s="8">
        <f>I345+J346</f>
        <v>0</v>
      </c>
      <c r="J346" s="8">
        <f>IF($D346="ACC",$C346,0)</f>
        <v>0</v>
      </c>
      <c r="K346" s="8">
        <f>K345+L346</f>
        <v>0</v>
      </c>
      <c r="L346" s="8">
        <f>IF($D346="CBB",$C346,0)</f>
        <v>0</v>
      </c>
    </row>
    <row r="347" spans="1:12" x14ac:dyDescent="0.25">
      <c r="A347" s="6">
        <v>41564</v>
      </c>
      <c r="B347" t="s">
        <v>46</v>
      </c>
      <c r="C347" s="7">
        <v>-300</v>
      </c>
      <c r="D347" t="s">
        <v>6</v>
      </c>
      <c r="E347" s="8">
        <f>E346+F347</f>
        <v>83560</v>
      </c>
      <c r="F347" s="8">
        <f>IF($D347="CR01",$C347,0)</f>
        <v>-300</v>
      </c>
      <c r="G347" s="8">
        <f>G346+H347</f>
        <v>0</v>
      </c>
      <c r="H347" s="8">
        <f>IF($D347="VISA",$C347,0)</f>
        <v>0</v>
      </c>
      <c r="I347" s="8">
        <f>I346+J347</f>
        <v>0</v>
      </c>
      <c r="J347" s="8">
        <f>IF($D347="ACC",$C347,0)</f>
        <v>0</v>
      </c>
      <c r="K347" s="8">
        <f>K346+L347</f>
        <v>0</v>
      </c>
      <c r="L347" s="8">
        <f>IF($D347="CBB",$C347,0)</f>
        <v>0</v>
      </c>
    </row>
    <row r="348" spans="1:12" x14ac:dyDescent="0.25">
      <c r="A348" s="6">
        <v>41566</v>
      </c>
      <c r="B348" t="s">
        <v>67</v>
      </c>
      <c r="C348" s="7">
        <v>6800</v>
      </c>
      <c r="D348" t="s">
        <v>6</v>
      </c>
      <c r="E348" s="8">
        <f>E347+F348</f>
        <v>90360</v>
      </c>
      <c r="F348" s="8">
        <f>IF($D348="CR01",$C348,0)</f>
        <v>6800</v>
      </c>
      <c r="G348" s="8">
        <f>G347+H348</f>
        <v>0</v>
      </c>
      <c r="H348" s="8">
        <f>IF($D348="VISA",$C348,0)</f>
        <v>0</v>
      </c>
      <c r="I348" s="8">
        <f>I347+J348</f>
        <v>0</v>
      </c>
      <c r="J348" s="8">
        <f>IF($D348="ACC",$C348,0)</f>
        <v>0</v>
      </c>
      <c r="K348" s="8">
        <f>K347+L348</f>
        <v>0</v>
      </c>
      <c r="L348" s="8">
        <f>IF($D348="CBB",$C348,0)</f>
        <v>0</v>
      </c>
    </row>
    <row r="349" spans="1:12" x14ac:dyDescent="0.25">
      <c r="A349" s="6">
        <v>41569</v>
      </c>
      <c r="B349" t="s">
        <v>42</v>
      </c>
      <c r="C349" s="7">
        <v>-2806</v>
      </c>
      <c r="D349" t="s">
        <v>6</v>
      </c>
      <c r="E349" s="8">
        <f>E348+F349</f>
        <v>87554</v>
      </c>
      <c r="F349" s="8">
        <f>IF($D349="CR01",$C349,0)</f>
        <v>-2806</v>
      </c>
      <c r="G349" s="8">
        <f>G348+H349</f>
        <v>0</v>
      </c>
      <c r="H349" s="8">
        <f>IF($D349="VISA",$C349,0)</f>
        <v>0</v>
      </c>
      <c r="I349" s="8">
        <f>I348+J349</f>
        <v>0</v>
      </c>
      <c r="J349" s="8">
        <f>IF($D349="ACC",$C349,0)</f>
        <v>0</v>
      </c>
      <c r="K349" s="8">
        <f>K348+L349</f>
        <v>0</v>
      </c>
      <c r="L349" s="8">
        <f>IF($D349="CBB",$C349,0)</f>
        <v>0</v>
      </c>
    </row>
    <row r="350" spans="1:12" x14ac:dyDescent="0.25">
      <c r="A350" s="6">
        <v>41569</v>
      </c>
      <c r="B350" t="s">
        <v>48</v>
      </c>
      <c r="C350" s="7">
        <v>-100</v>
      </c>
      <c r="D350" t="s">
        <v>6</v>
      </c>
      <c r="E350" s="8">
        <f>E349+F350</f>
        <v>87454</v>
      </c>
      <c r="F350" s="8">
        <f>IF($D350="CR01",$C350,0)</f>
        <v>-100</v>
      </c>
      <c r="G350" s="8">
        <f>G349+H350</f>
        <v>0</v>
      </c>
      <c r="H350" s="8">
        <f>IF($D350="VISA",$C350,0)</f>
        <v>0</v>
      </c>
      <c r="I350" s="8">
        <f>I349+J350</f>
        <v>0</v>
      </c>
      <c r="J350" s="8">
        <f>IF($D350="ACC",$C350,0)</f>
        <v>0</v>
      </c>
      <c r="K350" s="8">
        <f>K349+L350</f>
        <v>0</v>
      </c>
      <c r="L350" s="8">
        <f>IF($D350="CBB",$C350,0)</f>
        <v>0</v>
      </c>
    </row>
    <row r="351" spans="1:12" x14ac:dyDescent="0.25">
      <c r="A351" s="6">
        <v>41570</v>
      </c>
      <c r="B351" t="s">
        <v>47</v>
      </c>
      <c r="C351" s="7">
        <v>-120</v>
      </c>
      <c r="D351" t="s">
        <v>6</v>
      </c>
      <c r="E351" s="8">
        <f>E350+F351</f>
        <v>87334</v>
      </c>
      <c r="F351" s="8">
        <f>IF($D351="CR01",$C351,0)</f>
        <v>-120</v>
      </c>
      <c r="G351" s="8">
        <f>G350+H351</f>
        <v>0</v>
      </c>
      <c r="H351" s="8">
        <f>IF($D351="VISA",$C351,0)</f>
        <v>0</v>
      </c>
      <c r="I351" s="8">
        <f>I350+J351</f>
        <v>0</v>
      </c>
      <c r="J351" s="8">
        <f>IF($D351="ACC",$C351,0)</f>
        <v>0</v>
      </c>
      <c r="K351" s="8">
        <f>K350+L351</f>
        <v>0</v>
      </c>
      <c r="L351" s="8">
        <f>IF($D351="CBB",$C351,0)</f>
        <v>0</v>
      </c>
    </row>
    <row r="352" spans="1:12" x14ac:dyDescent="0.25">
      <c r="A352" s="6">
        <v>41571</v>
      </c>
      <c r="B352" t="s">
        <v>44</v>
      </c>
      <c r="C352" s="7">
        <v>-400</v>
      </c>
      <c r="D352" t="s">
        <v>6</v>
      </c>
      <c r="E352" s="8">
        <f>E351+F352</f>
        <v>86934</v>
      </c>
      <c r="F352" s="8">
        <f>IF($D352="CR01",$C352,0)</f>
        <v>-400</v>
      </c>
      <c r="G352" s="8">
        <f>G351+H352</f>
        <v>0</v>
      </c>
      <c r="H352" s="8">
        <f>IF($D352="VISA",$C352,0)</f>
        <v>0</v>
      </c>
      <c r="I352" s="8">
        <f>I351+J352</f>
        <v>0</v>
      </c>
      <c r="J352" s="8">
        <f>IF($D352="ACC",$C352,0)</f>
        <v>0</v>
      </c>
      <c r="K352" s="8">
        <f>K351+L352</f>
        <v>0</v>
      </c>
      <c r="L352" s="8">
        <f>IF($D352="CBB",$C352,0)</f>
        <v>0</v>
      </c>
    </row>
    <row r="353" spans="1:12" x14ac:dyDescent="0.25">
      <c r="A353" s="6">
        <v>41571</v>
      </c>
      <c r="B353" t="s">
        <v>45</v>
      </c>
      <c r="C353" s="7">
        <v>-180</v>
      </c>
      <c r="D353" t="s">
        <v>6</v>
      </c>
      <c r="E353" s="8">
        <f>E352+F353</f>
        <v>86754</v>
      </c>
      <c r="F353" s="8">
        <f>IF($D353="CR01",$C353,0)</f>
        <v>-180</v>
      </c>
      <c r="G353" s="8">
        <f>G352+H353</f>
        <v>0</v>
      </c>
      <c r="H353" s="8">
        <f>IF($D353="VISA",$C353,0)</f>
        <v>0</v>
      </c>
      <c r="I353" s="8">
        <f>I352+J353</f>
        <v>0</v>
      </c>
      <c r="J353" s="8">
        <f>IF($D353="ACC",$C353,0)</f>
        <v>0</v>
      </c>
      <c r="K353" s="8">
        <f>K352+L353</f>
        <v>0</v>
      </c>
      <c r="L353" s="8">
        <f>IF($D353="CBB",$C353,0)</f>
        <v>0</v>
      </c>
    </row>
    <row r="354" spans="1:12" x14ac:dyDescent="0.25">
      <c r="A354" s="6">
        <v>41571</v>
      </c>
      <c r="B354" t="s">
        <v>46</v>
      </c>
      <c r="C354" s="7">
        <v>-300</v>
      </c>
      <c r="D354" t="s">
        <v>6</v>
      </c>
      <c r="E354" s="8">
        <f>E353+F354</f>
        <v>86454</v>
      </c>
      <c r="F354" s="8">
        <f>IF($D354="CR01",$C354,0)</f>
        <v>-300</v>
      </c>
      <c r="G354" s="8">
        <f>G353+H354</f>
        <v>0</v>
      </c>
      <c r="H354" s="8">
        <f>IF($D354="VISA",$C354,0)</f>
        <v>0</v>
      </c>
      <c r="I354" s="8">
        <f>I353+J354</f>
        <v>0</v>
      </c>
      <c r="J354" s="8">
        <f>IF($D354="ACC",$C354,0)</f>
        <v>0</v>
      </c>
      <c r="K354" s="8">
        <f>K353+L354</f>
        <v>0</v>
      </c>
      <c r="L354" s="8">
        <f>IF($D354="CBB",$C354,0)</f>
        <v>0</v>
      </c>
    </row>
    <row r="355" spans="1:12" x14ac:dyDescent="0.25">
      <c r="A355" s="6">
        <v>41572</v>
      </c>
      <c r="B355" t="s">
        <v>43</v>
      </c>
      <c r="C355" s="7">
        <v>3226</v>
      </c>
      <c r="D355" t="s">
        <v>6</v>
      </c>
      <c r="E355" s="8">
        <f>E354+F355</f>
        <v>89680</v>
      </c>
      <c r="F355" s="8">
        <f>IF($D355="CR01",$C355,0)</f>
        <v>3226</v>
      </c>
      <c r="G355" s="8">
        <f>G354+H355</f>
        <v>0</v>
      </c>
      <c r="H355" s="8">
        <f>IF($D355="VISA",$C355,0)</f>
        <v>0</v>
      </c>
      <c r="I355" s="8">
        <f>I354+J355</f>
        <v>0</v>
      </c>
      <c r="J355" s="8">
        <f>IF($D355="ACC",$C355,0)</f>
        <v>0</v>
      </c>
      <c r="K355" s="8">
        <f>K354+L355</f>
        <v>0</v>
      </c>
      <c r="L355" s="8">
        <f>IF($D355="CBB",$C355,0)</f>
        <v>0</v>
      </c>
    </row>
    <row r="356" spans="1:12" x14ac:dyDescent="0.25">
      <c r="A356" s="6">
        <v>41576</v>
      </c>
      <c r="B356" t="s">
        <v>48</v>
      </c>
      <c r="C356" s="7">
        <v>-100</v>
      </c>
      <c r="D356" t="s">
        <v>6</v>
      </c>
      <c r="E356" s="8">
        <f>E355+F356</f>
        <v>89580</v>
      </c>
      <c r="F356" s="8">
        <f>IF($D356="CR01",$C356,0)</f>
        <v>-100</v>
      </c>
      <c r="G356" s="8">
        <f>G355+H356</f>
        <v>0</v>
      </c>
      <c r="H356" s="8">
        <f>IF($D356="VISA",$C356,0)</f>
        <v>0</v>
      </c>
      <c r="I356" s="8">
        <f>I355+J356</f>
        <v>0</v>
      </c>
      <c r="J356" s="8">
        <f>IF($D356="ACC",$C356,0)</f>
        <v>0</v>
      </c>
      <c r="K356" s="8">
        <f>K355+L356</f>
        <v>0</v>
      </c>
      <c r="L356" s="8">
        <f>IF($D356="CBB",$C356,0)</f>
        <v>0</v>
      </c>
    </row>
    <row r="357" spans="1:12" x14ac:dyDescent="0.25">
      <c r="A357" s="6">
        <v>41577</v>
      </c>
      <c r="B357" t="s">
        <v>47</v>
      </c>
      <c r="C357" s="7">
        <v>-120</v>
      </c>
      <c r="D357" t="s">
        <v>6</v>
      </c>
      <c r="E357" s="8">
        <f>E356+F357</f>
        <v>89460</v>
      </c>
      <c r="F357" s="8">
        <f>IF($D357="CR01",$C357,0)</f>
        <v>-120</v>
      </c>
      <c r="G357" s="8">
        <f>G356+H357</f>
        <v>0</v>
      </c>
      <c r="H357" s="8">
        <f>IF($D357="VISA",$C357,0)</f>
        <v>0</v>
      </c>
      <c r="I357" s="8">
        <f>I356+J357</f>
        <v>0</v>
      </c>
      <c r="J357" s="8">
        <f>IF($D357="ACC",$C357,0)</f>
        <v>0</v>
      </c>
      <c r="K357" s="8">
        <f>K356+L357</f>
        <v>0</v>
      </c>
      <c r="L357" s="8">
        <f>IF($D357="CBB",$C357,0)</f>
        <v>0</v>
      </c>
    </row>
    <row r="358" spans="1:12" x14ac:dyDescent="0.25">
      <c r="A358" s="6">
        <v>41578</v>
      </c>
      <c r="B358" t="s">
        <v>44</v>
      </c>
      <c r="C358" s="7">
        <v>-400</v>
      </c>
      <c r="D358" t="s">
        <v>6</v>
      </c>
      <c r="E358" s="8">
        <f>E357+F358</f>
        <v>89060</v>
      </c>
      <c r="F358" s="8">
        <f>IF($D358="CR01",$C358,0)</f>
        <v>-400</v>
      </c>
      <c r="G358" s="8">
        <f>G357+H358</f>
        <v>0</v>
      </c>
      <c r="H358" s="8">
        <f>IF($D358="VISA",$C358,0)</f>
        <v>0</v>
      </c>
      <c r="I358" s="8">
        <f>I357+J358</f>
        <v>0</v>
      </c>
      <c r="J358" s="8">
        <f>IF($D358="ACC",$C358,0)</f>
        <v>0</v>
      </c>
      <c r="K358" s="8">
        <f>K357+L358</f>
        <v>0</v>
      </c>
      <c r="L358" s="8">
        <f>IF($D358="CBB",$C358,0)</f>
        <v>0</v>
      </c>
    </row>
    <row r="359" spans="1:12" x14ac:dyDescent="0.25">
      <c r="A359" s="6">
        <v>41578</v>
      </c>
      <c r="B359" t="s">
        <v>45</v>
      </c>
      <c r="C359" s="7">
        <v>-180</v>
      </c>
      <c r="D359" t="s">
        <v>6</v>
      </c>
      <c r="E359" s="8">
        <f>E358+F359</f>
        <v>88880</v>
      </c>
      <c r="F359" s="8">
        <f>IF($D359="CR01",$C359,0)</f>
        <v>-180</v>
      </c>
      <c r="G359" s="8">
        <f>G358+H359</f>
        <v>0</v>
      </c>
      <c r="H359" s="8">
        <f>IF($D359="VISA",$C359,0)</f>
        <v>0</v>
      </c>
      <c r="I359" s="8">
        <f>I358+J359</f>
        <v>0</v>
      </c>
      <c r="J359" s="8">
        <f>IF($D359="ACC",$C359,0)</f>
        <v>0</v>
      </c>
      <c r="K359" s="8">
        <f>K358+L359</f>
        <v>0</v>
      </c>
      <c r="L359" s="8">
        <f>IF($D359="CBB",$C359,0)</f>
        <v>0</v>
      </c>
    </row>
    <row r="360" spans="1:12" x14ac:dyDescent="0.25">
      <c r="A360" s="6">
        <v>41578</v>
      </c>
      <c r="B360" t="s">
        <v>46</v>
      </c>
      <c r="C360" s="7">
        <v>-300</v>
      </c>
      <c r="D360" t="s">
        <v>6</v>
      </c>
      <c r="E360" s="8">
        <f>E359+F360</f>
        <v>88580</v>
      </c>
      <c r="F360" s="8">
        <f>IF($D360="CR01",$C360,0)</f>
        <v>-300</v>
      </c>
      <c r="G360" s="8">
        <f>G359+H360</f>
        <v>0</v>
      </c>
      <c r="H360" s="8">
        <f>IF($D360="VISA",$C360,0)</f>
        <v>0</v>
      </c>
      <c r="I360" s="8">
        <f>I359+J360</f>
        <v>0</v>
      </c>
      <c r="J360" s="8">
        <f>IF($D360="ACC",$C360,0)</f>
        <v>0</v>
      </c>
      <c r="K360" s="8">
        <f>K359+L360</f>
        <v>0</v>
      </c>
      <c r="L360" s="8">
        <f>IF($D360="CBB",$C360,0)</f>
        <v>0</v>
      </c>
    </row>
    <row r="361" spans="1:12" x14ac:dyDescent="0.25">
      <c r="A361" s="6">
        <v>41579</v>
      </c>
      <c r="B361" t="s">
        <v>58</v>
      </c>
      <c r="C361" s="7">
        <v>-200</v>
      </c>
      <c r="D361" t="s">
        <v>6</v>
      </c>
      <c r="E361" s="8">
        <f>E360+F361</f>
        <v>88380</v>
      </c>
      <c r="F361" s="8">
        <f>IF($D361="CR01",$C361,0)</f>
        <v>-200</v>
      </c>
      <c r="G361" s="8">
        <f>G360+H361</f>
        <v>0</v>
      </c>
      <c r="H361" s="8">
        <f>IF($D361="VISA",$C361,0)</f>
        <v>0</v>
      </c>
      <c r="I361" s="8">
        <f>I360+J361</f>
        <v>0</v>
      </c>
      <c r="J361" s="8">
        <f>IF($D361="ACC",$C361,0)</f>
        <v>0</v>
      </c>
      <c r="K361" s="8">
        <f>K360+L361</f>
        <v>0</v>
      </c>
      <c r="L361" s="8">
        <f>IF($D361="CBB",$C361,0)</f>
        <v>0</v>
      </c>
    </row>
    <row r="362" spans="1:12" x14ac:dyDescent="0.25">
      <c r="A362" s="6">
        <v>41579</v>
      </c>
      <c r="B362" t="s">
        <v>60</v>
      </c>
      <c r="C362" s="7">
        <v>-400</v>
      </c>
      <c r="D362" t="s">
        <v>6</v>
      </c>
      <c r="E362" s="8">
        <f>E361+F362</f>
        <v>87980</v>
      </c>
      <c r="F362" s="8">
        <f>IF($D362="CR01",$C362,0)</f>
        <v>-400</v>
      </c>
      <c r="G362" s="8">
        <f>G361+H362</f>
        <v>0</v>
      </c>
      <c r="H362" s="8">
        <f>IF($D362="VISA",$C362,0)</f>
        <v>0</v>
      </c>
      <c r="I362" s="8">
        <f>I361+J362</f>
        <v>0</v>
      </c>
      <c r="J362" s="8">
        <f>IF($D362="ACC",$C362,0)</f>
        <v>0</v>
      </c>
      <c r="K362" s="8">
        <f>K361+L362</f>
        <v>0</v>
      </c>
      <c r="L362" s="8">
        <f>IF($D362="CBB",$C362,0)</f>
        <v>0</v>
      </c>
    </row>
    <row r="363" spans="1:12" x14ac:dyDescent="0.25">
      <c r="A363" s="6">
        <v>41579</v>
      </c>
      <c r="B363" t="s">
        <v>62</v>
      </c>
      <c r="C363" s="7">
        <v>-300</v>
      </c>
      <c r="D363" t="s">
        <v>6</v>
      </c>
      <c r="E363" s="8">
        <f>E362+F363</f>
        <v>87680</v>
      </c>
      <c r="F363" s="8">
        <f>IF($D363="CR01",$C363,0)</f>
        <v>-300</v>
      </c>
      <c r="G363" s="8">
        <f>G362+H363</f>
        <v>0</v>
      </c>
      <c r="H363" s="8">
        <f>IF($D363="VISA",$C363,0)</f>
        <v>0</v>
      </c>
      <c r="I363" s="8">
        <f>I362+J363</f>
        <v>0</v>
      </c>
      <c r="J363" s="8">
        <f>IF($D363="ACC",$C363,0)</f>
        <v>0</v>
      </c>
      <c r="K363" s="8">
        <f>K362+L363</f>
        <v>0</v>
      </c>
      <c r="L363" s="8">
        <f>IF($D363="CBB",$C363,0)</f>
        <v>0</v>
      </c>
    </row>
    <row r="364" spans="1:12" x14ac:dyDescent="0.25">
      <c r="A364" s="6">
        <v>41579</v>
      </c>
      <c r="B364" t="s">
        <v>63</v>
      </c>
      <c r="C364" s="7">
        <v>-300</v>
      </c>
      <c r="D364" t="s">
        <v>6</v>
      </c>
      <c r="E364" s="8">
        <f>E363+F364</f>
        <v>87380</v>
      </c>
      <c r="F364" s="8">
        <f>IF($D364="CR01",$C364,0)</f>
        <v>-300</v>
      </c>
      <c r="G364" s="8">
        <f>G363+H364</f>
        <v>0</v>
      </c>
      <c r="H364" s="8">
        <f>IF($D364="VISA",$C364,0)</f>
        <v>0</v>
      </c>
      <c r="I364" s="8">
        <f>I363+J364</f>
        <v>0</v>
      </c>
      <c r="J364" s="8">
        <f>IF($D364="ACC",$C364,0)</f>
        <v>0</v>
      </c>
      <c r="K364" s="8">
        <f>K363+L364</f>
        <v>0</v>
      </c>
      <c r="L364" s="8">
        <f>IF($D364="CBB",$C364,0)</f>
        <v>0</v>
      </c>
    </row>
    <row r="365" spans="1:12" x14ac:dyDescent="0.25">
      <c r="A365" s="6">
        <v>41579</v>
      </c>
      <c r="B365" t="s">
        <v>64</v>
      </c>
      <c r="C365" s="7">
        <v>-26</v>
      </c>
      <c r="D365" t="s">
        <v>6</v>
      </c>
      <c r="E365" s="8">
        <f>E364+F365</f>
        <v>87354</v>
      </c>
      <c r="F365" s="8">
        <f>IF($D365="CR01",$C365,0)</f>
        <v>-26</v>
      </c>
      <c r="G365" s="8">
        <f>G364+H365</f>
        <v>0</v>
      </c>
      <c r="H365" s="8">
        <f>IF($D365="VISA",$C365,0)</f>
        <v>0</v>
      </c>
      <c r="I365" s="8">
        <f>I364+J365</f>
        <v>0</v>
      </c>
      <c r="J365" s="8">
        <f>IF($D365="ACC",$C365,0)</f>
        <v>0</v>
      </c>
      <c r="K365" s="8">
        <f>K364+L365</f>
        <v>0</v>
      </c>
      <c r="L365" s="8">
        <f>IF($D365="CBB",$C365,0)</f>
        <v>0</v>
      </c>
    </row>
    <row r="366" spans="1:12" x14ac:dyDescent="0.25">
      <c r="A366" s="6">
        <v>41579</v>
      </c>
      <c r="B366" t="s">
        <v>65</v>
      </c>
      <c r="C366" s="7">
        <v>-240</v>
      </c>
      <c r="D366" t="s">
        <v>6</v>
      </c>
      <c r="E366" s="8">
        <f>E365+F366</f>
        <v>87114</v>
      </c>
      <c r="F366" s="8">
        <f>IF($D366="CR01",$C366,0)</f>
        <v>-240</v>
      </c>
      <c r="G366" s="8">
        <f>G365+H366</f>
        <v>0</v>
      </c>
      <c r="H366" s="8">
        <f>IF($D366="VISA",$C366,0)</f>
        <v>0</v>
      </c>
      <c r="I366" s="8">
        <f>I365+J366</f>
        <v>0</v>
      </c>
      <c r="J366" s="8">
        <f>IF($D366="ACC",$C366,0)</f>
        <v>0</v>
      </c>
      <c r="K366" s="8">
        <f>K365+L366</f>
        <v>0</v>
      </c>
      <c r="L366" s="8">
        <f>IF($D366="CBB",$C366,0)</f>
        <v>0</v>
      </c>
    </row>
    <row r="367" spans="1:12" x14ac:dyDescent="0.25">
      <c r="A367" s="6">
        <v>41579</v>
      </c>
      <c r="B367" t="s">
        <v>66</v>
      </c>
      <c r="C367" s="7">
        <v>-120</v>
      </c>
      <c r="D367" t="s">
        <v>6</v>
      </c>
      <c r="E367" s="8">
        <f>E366+F367</f>
        <v>86994</v>
      </c>
      <c r="F367" s="8">
        <f>IF($D367="CR01",$C367,0)</f>
        <v>-120</v>
      </c>
      <c r="G367" s="8">
        <f>G366+H367</f>
        <v>0</v>
      </c>
      <c r="H367" s="8">
        <f>IF($D367="VISA",$C367,0)</f>
        <v>0</v>
      </c>
      <c r="I367" s="8">
        <f>I366+J367</f>
        <v>0</v>
      </c>
      <c r="J367" s="8">
        <f>IF($D367="ACC",$C367,0)</f>
        <v>0</v>
      </c>
      <c r="K367" s="8">
        <f>K366+L367</f>
        <v>0</v>
      </c>
      <c r="L367" s="8">
        <f>IF($D367="CBB",$C367,0)</f>
        <v>0</v>
      </c>
    </row>
    <row r="368" spans="1:12" x14ac:dyDescent="0.25">
      <c r="A368" s="6">
        <v>41580</v>
      </c>
      <c r="B368" t="s">
        <v>67</v>
      </c>
      <c r="C368" s="7">
        <v>6800</v>
      </c>
      <c r="D368" t="s">
        <v>6</v>
      </c>
      <c r="E368" s="8">
        <f>E367+F368</f>
        <v>93794</v>
      </c>
      <c r="F368" s="8">
        <f>IF($D368="CR01",$C368,0)</f>
        <v>6800</v>
      </c>
      <c r="G368" s="8">
        <f>G367+H368</f>
        <v>0</v>
      </c>
      <c r="H368" s="8">
        <f>IF($D368="VISA",$C368,0)</f>
        <v>0</v>
      </c>
      <c r="I368" s="8">
        <f>I367+J368</f>
        <v>0</v>
      </c>
      <c r="J368" s="8">
        <f>IF($D368="ACC",$C368,0)</f>
        <v>0</v>
      </c>
      <c r="K368" s="8">
        <f>K367+L368</f>
        <v>0</v>
      </c>
      <c r="L368" s="8">
        <f>IF($D368="CBB",$C368,0)</f>
        <v>0</v>
      </c>
    </row>
    <row r="369" spans="1:12" x14ac:dyDescent="0.25">
      <c r="A369" s="6">
        <v>41580</v>
      </c>
      <c r="B369" t="s">
        <v>59</v>
      </c>
      <c r="C369" s="7">
        <v>-900</v>
      </c>
      <c r="D369" t="s">
        <v>6</v>
      </c>
      <c r="E369" s="8">
        <f>E368+F369</f>
        <v>92894</v>
      </c>
      <c r="F369" s="8">
        <f>IF($D369="CR01",$C369,0)</f>
        <v>-900</v>
      </c>
      <c r="G369" s="8">
        <f>G368+H369</f>
        <v>0</v>
      </c>
      <c r="H369" s="8">
        <f>IF($D369="VISA",$C369,0)</f>
        <v>0</v>
      </c>
      <c r="I369" s="8">
        <f>I368+J369</f>
        <v>0</v>
      </c>
      <c r="J369" s="8">
        <f>IF($D369="ACC",$C369,0)</f>
        <v>0</v>
      </c>
      <c r="K369" s="8">
        <f>K368+L369</f>
        <v>0</v>
      </c>
      <c r="L369" s="8">
        <f>IF($D369="CBB",$C369,0)</f>
        <v>0</v>
      </c>
    </row>
    <row r="370" spans="1:12" x14ac:dyDescent="0.25">
      <c r="A370" s="6">
        <v>41583</v>
      </c>
      <c r="B370" t="s">
        <v>42</v>
      </c>
      <c r="C370" s="7">
        <v>-2806</v>
      </c>
      <c r="D370" t="s">
        <v>6</v>
      </c>
      <c r="E370" s="8">
        <f>E369+F370</f>
        <v>90088</v>
      </c>
      <c r="F370" s="8">
        <f>IF($D370="CR01",$C370,0)</f>
        <v>-2806</v>
      </c>
      <c r="G370" s="8">
        <f>G369+H370</f>
        <v>0</v>
      </c>
      <c r="H370" s="8">
        <f>IF($D370="VISA",$C370,0)</f>
        <v>0</v>
      </c>
      <c r="I370" s="8">
        <f>I369+J370</f>
        <v>0</v>
      </c>
      <c r="J370" s="8">
        <f>IF($D370="ACC",$C370,0)</f>
        <v>0</v>
      </c>
      <c r="K370" s="8">
        <f>K369+L370</f>
        <v>0</v>
      </c>
      <c r="L370" s="8">
        <f>IF($D370="CBB",$C370,0)</f>
        <v>0</v>
      </c>
    </row>
    <row r="371" spans="1:12" x14ac:dyDescent="0.25">
      <c r="A371" s="6">
        <v>41583</v>
      </c>
      <c r="B371" t="s">
        <v>48</v>
      </c>
      <c r="C371" s="7">
        <v>-100</v>
      </c>
      <c r="D371" t="s">
        <v>6</v>
      </c>
      <c r="E371" s="8">
        <f>E370+F371</f>
        <v>89988</v>
      </c>
      <c r="F371" s="8">
        <f>IF($D371="CR01",$C371,0)</f>
        <v>-100</v>
      </c>
      <c r="G371" s="8">
        <f>G370+H371</f>
        <v>0</v>
      </c>
      <c r="H371" s="8">
        <f>IF($D371="VISA",$C371,0)</f>
        <v>0</v>
      </c>
      <c r="I371" s="8">
        <f>I370+J371</f>
        <v>0</v>
      </c>
      <c r="J371" s="8">
        <f>IF($D371="ACC",$C371,0)</f>
        <v>0</v>
      </c>
      <c r="K371" s="8">
        <f>K370+L371</f>
        <v>0</v>
      </c>
      <c r="L371" s="8">
        <f>IF($D371="CBB",$C371,0)</f>
        <v>0</v>
      </c>
    </row>
    <row r="372" spans="1:12" x14ac:dyDescent="0.25">
      <c r="A372" s="6">
        <v>41584</v>
      </c>
      <c r="B372" t="s">
        <v>47</v>
      </c>
      <c r="C372" s="7">
        <v>-120</v>
      </c>
      <c r="D372" t="s">
        <v>6</v>
      </c>
      <c r="E372" s="8">
        <f>E371+F372</f>
        <v>89868</v>
      </c>
      <c r="F372" s="8">
        <f>IF($D372="CR01",$C372,0)</f>
        <v>-120</v>
      </c>
      <c r="G372" s="8">
        <f>G371+H372</f>
        <v>0</v>
      </c>
      <c r="H372" s="8">
        <f>IF($D372="VISA",$C372,0)</f>
        <v>0</v>
      </c>
      <c r="I372" s="8">
        <f>I371+J372</f>
        <v>0</v>
      </c>
      <c r="J372" s="8">
        <f>IF($D372="ACC",$C372,0)</f>
        <v>0</v>
      </c>
      <c r="K372" s="8">
        <f>K371+L372</f>
        <v>0</v>
      </c>
      <c r="L372" s="8">
        <f>IF($D372="CBB",$C372,0)</f>
        <v>0</v>
      </c>
    </row>
    <row r="373" spans="1:12" x14ac:dyDescent="0.25">
      <c r="A373" s="6">
        <v>41585</v>
      </c>
      <c r="B373" t="s">
        <v>44</v>
      </c>
      <c r="C373" s="7">
        <v>-400</v>
      </c>
      <c r="D373" t="s">
        <v>6</v>
      </c>
      <c r="E373" s="8">
        <f>E372+F373</f>
        <v>89468</v>
      </c>
      <c r="F373" s="8">
        <f>IF($D373="CR01",$C373,0)</f>
        <v>-400</v>
      </c>
      <c r="G373" s="8">
        <f>G372+H373</f>
        <v>0</v>
      </c>
      <c r="H373" s="8">
        <f>IF($D373="VISA",$C373,0)</f>
        <v>0</v>
      </c>
      <c r="I373" s="8">
        <f>I372+J373</f>
        <v>0</v>
      </c>
      <c r="J373" s="8">
        <f>IF($D373="ACC",$C373,0)</f>
        <v>0</v>
      </c>
      <c r="K373" s="8">
        <f>K372+L373</f>
        <v>0</v>
      </c>
      <c r="L373" s="8">
        <f>IF($D373="CBB",$C373,0)</f>
        <v>0</v>
      </c>
    </row>
    <row r="374" spans="1:12" x14ac:dyDescent="0.25">
      <c r="A374" s="6">
        <v>41585</v>
      </c>
      <c r="B374" t="s">
        <v>45</v>
      </c>
      <c r="C374" s="7">
        <v>-180</v>
      </c>
      <c r="D374" t="s">
        <v>6</v>
      </c>
      <c r="E374" s="8">
        <f>E373+F374</f>
        <v>89288</v>
      </c>
      <c r="F374" s="8">
        <f>IF($D374="CR01",$C374,0)</f>
        <v>-180</v>
      </c>
      <c r="G374" s="8">
        <f>G373+H374</f>
        <v>0</v>
      </c>
      <c r="H374" s="8">
        <f>IF($D374="VISA",$C374,0)</f>
        <v>0</v>
      </c>
      <c r="I374" s="8">
        <f>I373+J374</f>
        <v>0</v>
      </c>
      <c r="J374" s="8">
        <f>IF($D374="ACC",$C374,0)</f>
        <v>0</v>
      </c>
      <c r="K374" s="8">
        <f>K373+L374</f>
        <v>0</v>
      </c>
      <c r="L374" s="8">
        <f>IF($D374="CBB",$C374,0)</f>
        <v>0</v>
      </c>
    </row>
    <row r="375" spans="1:12" x14ac:dyDescent="0.25">
      <c r="A375" s="6">
        <v>41585</v>
      </c>
      <c r="B375" t="s">
        <v>46</v>
      </c>
      <c r="C375" s="7">
        <v>-300</v>
      </c>
      <c r="D375" t="s">
        <v>6</v>
      </c>
      <c r="E375" s="8">
        <f>E374+F375</f>
        <v>88988</v>
      </c>
      <c r="F375" s="8">
        <f>IF($D375="CR01",$C375,0)</f>
        <v>-300</v>
      </c>
      <c r="G375" s="8">
        <f>G374+H375</f>
        <v>0</v>
      </c>
      <c r="H375" s="8">
        <f>IF($D375="VISA",$C375,0)</f>
        <v>0</v>
      </c>
      <c r="I375" s="8">
        <f>I374+J375</f>
        <v>0</v>
      </c>
      <c r="J375" s="8">
        <f>IF($D375="ACC",$C375,0)</f>
        <v>0</v>
      </c>
      <c r="K375" s="8">
        <f>K374+L375</f>
        <v>0</v>
      </c>
      <c r="L375" s="8">
        <f>IF($D375="CBB",$C375,0)</f>
        <v>0</v>
      </c>
    </row>
    <row r="376" spans="1:12" x14ac:dyDescent="0.25">
      <c r="A376" s="6">
        <v>41586</v>
      </c>
      <c r="B376" t="s">
        <v>43</v>
      </c>
      <c r="C376" s="7">
        <v>3226</v>
      </c>
      <c r="D376" t="s">
        <v>6</v>
      </c>
      <c r="E376" s="8">
        <f>E375+F376</f>
        <v>92214</v>
      </c>
      <c r="F376" s="8">
        <f>IF($D376="CR01",$C376,0)</f>
        <v>3226</v>
      </c>
      <c r="G376" s="8">
        <f>G375+H376</f>
        <v>0</v>
      </c>
      <c r="H376" s="8">
        <f>IF($D376="VISA",$C376,0)</f>
        <v>0</v>
      </c>
      <c r="I376" s="8">
        <f>I375+J376</f>
        <v>0</v>
      </c>
      <c r="J376" s="8">
        <f>IF($D376="ACC",$C376,0)</f>
        <v>0</v>
      </c>
      <c r="K376" s="8">
        <f>K375+L376</f>
        <v>0</v>
      </c>
      <c r="L376" s="8">
        <f>IF($D376="CBB",$C376,0)</f>
        <v>0</v>
      </c>
    </row>
    <row r="377" spans="1:12" x14ac:dyDescent="0.25">
      <c r="A377" s="6">
        <v>41590</v>
      </c>
      <c r="B377" t="s">
        <v>48</v>
      </c>
      <c r="C377" s="7">
        <v>-100</v>
      </c>
      <c r="D377" t="s">
        <v>6</v>
      </c>
      <c r="E377" s="8">
        <f>E376+F377</f>
        <v>92114</v>
      </c>
      <c r="F377" s="8">
        <f>IF($D377="CR01",$C377,0)</f>
        <v>-100</v>
      </c>
      <c r="G377" s="8">
        <f>G376+H377</f>
        <v>0</v>
      </c>
      <c r="H377" s="8">
        <f>IF($D377="VISA",$C377,0)</f>
        <v>0</v>
      </c>
      <c r="I377" s="8">
        <f>I376+J377</f>
        <v>0</v>
      </c>
      <c r="J377" s="8">
        <f>IF($D377="ACC",$C377,0)</f>
        <v>0</v>
      </c>
      <c r="K377" s="8">
        <f>K376+L377</f>
        <v>0</v>
      </c>
      <c r="L377" s="8">
        <f>IF($D377="CBB",$C377,0)</f>
        <v>0</v>
      </c>
    </row>
    <row r="378" spans="1:12" x14ac:dyDescent="0.25">
      <c r="A378" s="6">
        <v>41591</v>
      </c>
      <c r="B378" t="s">
        <v>47</v>
      </c>
      <c r="C378" s="7">
        <v>-120</v>
      </c>
      <c r="D378" t="s">
        <v>6</v>
      </c>
      <c r="E378" s="8">
        <f>E377+F378</f>
        <v>91994</v>
      </c>
      <c r="F378" s="8">
        <f>IF($D378="CR01",$C378,0)</f>
        <v>-120</v>
      </c>
      <c r="G378" s="8">
        <f>G377+H378</f>
        <v>0</v>
      </c>
      <c r="H378" s="8">
        <f>IF($D378="VISA",$C378,0)</f>
        <v>0</v>
      </c>
      <c r="I378" s="8">
        <f>I377+J378</f>
        <v>0</v>
      </c>
      <c r="J378" s="8">
        <f>IF($D378="ACC",$C378,0)</f>
        <v>0</v>
      </c>
      <c r="K378" s="8">
        <f>K377+L378</f>
        <v>0</v>
      </c>
      <c r="L378" s="8">
        <f>IF($D378="CBB",$C378,0)</f>
        <v>0</v>
      </c>
    </row>
    <row r="379" spans="1:12" x14ac:dyDescent="0.25">
      <c r="A379" s="6">
        <v>41592</v>
      </c>
      <c r="B379" t="s">
        <v>44</v>
      </c>
      <c r="C379" s="7">
        <v>-400</v>
      </c>
      <c r="D379" t="s">
        <v>6</v>
      </c>
      <c r="E379" s="8">
        <f>E378+F379</f>
        <v>91594</v>
      </c>
      <c r="F379" s="8">
        <f>IF($D379="CR01",$C379,0)</f>
        <v>-400</v>
      </c>
      <c r="G379" s="8">
        <f>G378+H379</f>
        <v>0</v>
      </c>
      <c r="H379" s="8">
        <f>IF($D379="VISA",$C379,0)</f>
        <v>0</v>
      </c>
      <c r="I379" s="8">
        <f>I378+J379</f>
        <v>0</v>
      </c>
      <c r="J379" s="8">
        <f>IF($D379="ACC",$C379,0)</f>
        <v>0</v>
      </c>
      <c r="K379" s="8">
        <f>K378+L379</f>
        <v>0</v>
      </c>
      <c r="L379" s="8">
        <f>IF($D379="CBB",$C379,0)</f>
        <v>0</v>
      </c>
    </row>
    <row r="380" spans="1:12" x14ac:dyDescent="0.25">
      <c r="A380" s="6">
        <v>41592</v>
      </c>
      <c r="B380" t="s">
        <v>45</v>
      </c>
      <c r="C380" s="7">
        <v>-180</v>
      </c>
      <c r="D380" t="s">
        <v>6</v>
      </c>
      <c r="E380" s="8">
        <f>E379+F380</f>
        <v>91414</v>
      </c>
      <c r="F380" s="8">
        <f>IF($D380="CR01",$C380,0)</f>
        <v>-180</v>
      </c>
      <c r="G380" s="8">
        <f>G379+H380</f>
        <v>0</v>
      </c>
      <c r="H380" s="8">
        <f>IF($D380="VISA",$C380,0)</f>
        <v>0</v>
      </c>
      <c r="I380" s="8">
        <f>I379+J380</f>
        <v>0</v>
      </c>
      <c r="J380" s="8">
        <f>IF($D380="ACC",$C380,0)</f>
        <v>0</v>
      </c>
      <c r="K380" s="8">
        <f>K379+L380</f>
        <v>0</v>
      </c>
      <c r="L380" s="8">
        <f>IF($D380="CBB",$C380,0)</f>
        <v>0</v>
      </c>
    </row>
    <row r="381" spans="1:12" x14ac:dyDescent="0.25">
      <c r="A381" s="6">
        <v>41592</v>
      </c>
      <c r="B381" t="s">
        <v>46</v>
      </c>
      <c r="C381" s="7">
        <v>-300</v>
      </c>
      <c r="D381" t="s">
        <v>6</v>
      </c>
      <c r="E381" s="8">
        <f>E380+F381</f>
        <v>91114</v>
      </c>
      <c r="F381" s="8">
        <f>IF($D381="CR01",$C381,0)</f>
        <v>-300</v>
      </c>
      <c r="G381" s="8">
        <f>G380+H381</f>
        <v>0</v>
      </c>
      <c r="H381" s="8">
        <f>IF($D381="VISA",$C381,0)</f>
        <v>0</v>
      </c>
      <c r="I381" s="8">
        <f>I380+J381</f>
        <v>0</v>
      </c>
      <c r="J381" s="8">
        <f>IF($D381="ACC",$C381,0)</f>
        <v>0</v>
      </c>
      <c r="K381" s="8">
        <f>K380+L381</f>
        <v>0</v>
      </c>
      <c r="L381" s="8">
        <f>IF($D381="CBB",$C381,0)</f>
        <v>0</v>
      </c>
    </row>
    <row r="382" spans="1:12" x14ac:dyDescent="0.25">
      <c r="A382" s="6">
        <v>41594</v>
      </c>
      <c r="B382" t="s">
        <v>67</v>
      </c>
      <c r="C382" s="7">
        <v>6800</v>
      </c>
      <c r="D382" t="s">
        <v>6</v>
      </c>
      <c r="E382" s="8">
        <f>E381+F382</f>
        <v>97914</v>
      </c>
      <c r="F382" s="8">
        <f>IF($D382="CR01",$C382,0)</f>
        <v>6800</v>
      </c>
      <c r="G382" s="8">
        <f>G381+H382</f>
        <v>0</v>
      </c>
      <c r="H382" s="8">
        <f>IF($D382="VISA",$C382,0)</f>
        <v>0</v>
      </c>
      <c r="I382" s="8">
        <f>I381+J382</f>
        <v>0</v>
      </c>
      <c r="J382" s="8">
        <f>IF($D382="ACC",$C382,0)</f>
        <v>0</v>
      </c>
      <c r="K382" s="8">
        <f>K381+L382</f>
        <v>0</v>
      </c>
      <c r="L382" s="8">
        <f>IF($D382="CBB",$C382,0)</f>
        <v>0</v>
      </c>
    </row>
    <row r="383" spans="1:12" x14ac:dyDescent="0.25">
      <c r="A383" s="6">
        <v>41597</v>
      </c>
      <c r="B383" t="s">
        <v>42</v>
      </c>
      <c r="C383" s="7">
        <v>-2806</v>
      </c>
      <c r="D383" t="s">
        <v>6</v>
      </c>
      <c r="E383" s="8">
        <f>E382+F383</f>
        <v>95108</v>
      </c>
      <c r="F383" s="8">
        <f>IF($D383="CR01",$C383,0)</f>
        <v>-2806</v>
      </c>
      <c r="G383" s="8">
        <f>G382+H383</f>
        <v>0</v>
      </c>
      <c r="H383" s="8">
        <f>IF($D383="VISA",$C383,0)</f>
        <v>0</v>
      </c>
      <c r="I383" s="8">
        <f>I382+J383</f>
        <v>0</v>
      </c>
      <c r="J383" s="8">
        <f>IF($D383="ACC",$C383,0)</f>
        <v>0</v>
      </c>
      <c r="K383" s="8">
        <f>K382+L383</f>
        <v>0</v>
      </c>
      <c r="L383" s="8">
        <f>IF($D383="CBB",$C383,0)</f>
        <v>0</v>
      </c>
    </row>
    <row r="384" spans="1:12" x14ac:dyDescent="0.25">
      <c r="A384" s="6">
        <v>41597</v>
      </c>
      <c r="B384" t="s">
        <v>48</v>
      </c>
      <c r="C384" s="7">
        <v>-100</v>
      </c>
      <c r="D384" t="s">
        <v>6</v>
      </c>
      <c r="E384" s="8">
        <f>E383+F384</f>
        <v>95008</v>
      </c>
      <c r="F384" s="8">
        <f>IF($D384="CR01",$C384,0)</f>
        <v>-100</v>
      </c>
      <c r="G384" s="8">
        <f>G383+H384</f>
        <v>0</v>
      </c>
      <c r="H384" s="8">
        <f>IF($D384="VISA",$C384,0)</f>
        <v>0</v>
      </c>
      <c r="I384" s="8">
        <f>I383+J384</f>
        <v>0</v>
      </c>
      <c r="J384" s="8">
        <f>IF($D384="ACC",$C384,0)</f>
        <v>0</v>
      </c>
      <c r="K384" s="8">
        <f>K383+L384</f>
        <v>0</v>
      </c>
      <c r="L384" s="8">
        <f>IF($D384="CBB",$C384,0)</f>
        <v>0</v>
      </c>
    </row>
    <row r="385" spans="1:12" x14ac:dyDescent="0.25">
      <c r="A385" s="6">
        <v>41598</v>
      </c>
      <c r="B385" t="s">
        <v>47</v>
      </c>
      <c r="C385" s="7">
        <v>-120</v>
      </c>
      <c r="D385" t="s">
        <v>6</v>
      </c>
      <c r="E385" s="8">
        <f>E384+F385</f>
        <v>94888</v>
      </c>
      <c r="F385" s="8">
        <f>IF($D385="CR01",$C385,0)</f>
        <v>-120</v>
      </c>
      <c r="G385" s="8">
        <f>G384+H385</f>
        <v>0</v>
      </c>
      <c r="H385" s="8">
        <f>IF($D385="VISA",$C385,0)</f>
        <v>0</v>
      </c>
      <c r="I385" s="8">
        <f>I384+J385</f>
        <v>0</v>
      </c>
      <c r="J385" s="8">
        <f>IF($D385="ACC",$C385,0)</f>
        <v>0</v>
      </c>
      <c r="K385" s="8">
        <f>K384+L385</f>
        <v>0</v>
      </c>
      <c r="L385" s="8">
        <f>IF($D385="CBB",$C385,0)</f>
        <v>0</v>
      </c>
    </row>
    <row r="386" spans="1:12" x14ac:dyDescent="0.25">
      <c r="A386" s="6">
        <v>41599</v>
      </c>
      <c r="B386" t="s">
        <v>44</v>
      </c>
      <c r="C386" s="7">
        <v>-400</v>
      </c>
      <c r="D386" t="s">
        <v>6</v>
      </c>
      <c r="E386" s="8">
        <f>E385+F386</f>
        <v>94488</v>
      </c>
      <c r="F386" s="8">
        <f>IF($D386="CR01",$C386,0)</f>
        <v>-400</v>
      </c>
      <c r="G386" s="8">
        <f>G385+H386</f>
        <v>0</v>
      </c>
      <c r="H386" s="8">
        <f>IF($D386="VISA",$C386,0)</f>
        <v>0</v>
      </c>
      <c r="I386" s="8">
        <f>I385+J386</f>
        <v>0</v>
      </c>
      <c r="J386" s="8">
        <f>IF($D386="ACC",$C386,0)</f>
        <v>0</v>
      </c>
      <c r="K386" s="8">
        <f>K385+L386</f>
        <v>0</v>
      </c>
      <c r="L386" s="8">
        <f>IF($D386="CBB",$C386,0)</f>
        <v>0</v>
      </c>
    </row>
    <row r="387" spans="1:12" x14ac:dyDescent="0.25">
      <c r="A387" s="6">
        <v>41599</v>
      </c>
      <c r="B387" t="s">
        <v>45</v>
      </c>
      <c r="C387" s="7">
        <v>-180</v>
      </c>
      <c r="D387" t="s">
        <v>6</v>
      </c>
      <c r="E387" s="8">
        <f>E386+F387</f>
        <v>94308</v>
      </c>
      <c r="F387" s="8">
        <f>IF($D387="CR01",$C387,0)</f>
        <v>-180</v>
      </c>
      <c r="G387" s="8">
        <f>G386+H387</f>
        <v>0</v>
      </c>
      <c r="H387" s="8">
        <f>IF($D387="VISA",$C387,0)</f>
        <v>0</v>
      </c>
      <c r="I387" s="8">
        <f>I386+J387</f>
        <v>0</v>
      </c>
      <c r="J387" s="8">
        <f>IF($D387="ACC",$C387,0)</f>
        <v>0</v>
      </c>
      <c r="K387" s="8">
        <f>K386+L387</f>
        <v>0</v>
      </c>
      <c r="L387" s="8">
        <f>IF($D387="CBB",$C387,0)</f>
        <v>0</v>
      </c>
    </row>
    <row r="388" spans="1:12" x14ac:dyDescent="0.25">
      <c r="A388" s="6">
        <v>41599</v>
      </c>
      <c r="B388" t="s">
        <v>46</v>
      </c>
      <c r="C388" s="7">
        <v>-300</v>
      </c>
      <c r="D388" t="s">
        <v>6</v>
      </c>
      <c r="E388" s="8">
        <f>E387+F388</f>
        <v>94008</v>
      </c>
      <c r="F388" s="8">
        <f>IF($D388="CR01",$C388,0)</f>
        <v>-300</v>
      </c>
      <c r="G388" s="8">
        <f>G387+H388</f>
        <v>0</v>
      </c>
      <c r="H388" s="8">
        <f>IF($D388="VISA",$C388,0)</f>
        <v>0</v>
      </c>
      <c r="I388" s="8">
        <f>I387+J388</f>
        <v>0</v>
      </c>
      <c r="J388" s="8">
        <f>IF($D388="ACC",$C388,0)</f>
        <v>0</v>
      </c>
      <c r="K388" s="8">
        <f>K387+L388</f>
        <v>0</v>
      </c>
      <c r="L388" s="8">
        <f>IF($D388="CBB",$C388,0)</f>
        <v>0</v>
      </c>
    </row>
    <row r="389" spans="1:12" x14ac:dyDescent="0.25">
      <c r="A389" s="6">
        <v>41600</v>
      </c>
      <c r="B389" t="s">
        <v>43</v>
      </c>
      <c r="C389" s="7">
        <v>3226</v>
      </c>
      <c r="D389" t="s">
        <v>6</v>
      </c>
      <c r="E389" s="8">
        <f>E388+F389</f>
        <v>97234</v>
      </c>
      <c r="F389" s="8">
        <f>IF($D389="CR01",$C389,0)</f>
        <v>3226</v>
      </c>
      <c r="G389" s="8">
        <f>G388+H389</f>
        <v>0</v>
      </c>
      <c r="H389" s="8">
        <f>IF($D389="VISA",$C389,0)</f>
        <v>0</v>
      </c>
      <c r="I389" s="8">
        <f>I388+J389</f>
        <v>0</v>
      </c>
      <c r="J389" s="8">
        <f>IF($D389="ACC",$C389,0)</f>
        <v>0</v>
      </c>
      <c r="K389" s="8">
        <f>K388+L389</f>
        <v>0</v>
      </c>
      <c r="L389" s="8">
        <f>IF($D389="CBB",$C389,0)</f>
        <v>0</v>
      </c>
    </row>
    <row r="390" spans="1:12" x14ac:dyDescent="0.25">
      <c r="A390" s="6">
        <v>41604</v>
      </c>
      <c r="B390" t="s">
        <v>48</v>
      </c>
      <c r="C390" s="7">
        <v>-100</v>
      </c>
      <c r="D390" t="s">
        <v>6</v>
      </c>
      <c r="E390" s="8">
        <f>E389+F390</f>
        <v>97134</v>
      </c>
      <c r="F390" s="8">
        <f>IF($D390="CR01",$C390,0)</f>
        <v>-100</v>
      </c>
      <c r="G390" s="8">
        <f>G389+H390</f>
        <v>0</v>
      </c>
      <c r="H390" s="8">
        <f>IF($D390="VISA",$C390,0)</f>
        <v>0</v>
      </c>
      <c r="I390" s="8">
        <f>I389+J390</f>
        <v>0</v>
      </c>
      <c r="J390" s="8">
        <f>IF($D390="ACC",$C390,0)</f>
        <v>0</v>
      </c>
      <c r="K390" s="8">
        <f>K389+L390</f>
        <v>0</v>
      </c>
      <c r="L390" s="8">
        <f>IF($D390="CBB",$C390,0)</f>
        <v>0</v>
      </c>
    </row>
    <row r="391" spans="1:12" x14ac:dyDescent="0.25">
      <c r="A391" s="6">
        <v>41605</v>
      </c>
      <c r="B391" t="s">
        <v>47</v>
      </c>
      <c r="C391" s="7">
        <v>-120</v>
      </c>
      <c r="D391" t="s">
        <v>6</v>
      </c>
      <c r="E391" s="8">
        <f>E390+F391</f>
        <v>97014</v>
      </c>
      <c r="F391" s="8">
        <f>IF($D391="CR01",$C391,0)</f>
        <v>-120</v>
      </c>
      <c r="G391" s="8">
        <f>G390+H391</f>
        <v>0</v>
      </c>
      <c r="H391" s="8">
        <f>IF($D391="VISA",$C391,0)</f>
        <v>0</v>
      </c>
      <c r="I391" s="8">
        <f>I390+J391</f>
        <v>0</v>
      </c>
      <c r="J391" s="8">
        <f>IF($D391="ACC",$C391,0)</f>
        <v>0</v>
      </c>
      <c r="K391" s="8">
        <f>K390+L391</f>
        <v>0</v>
      </c>
      <c r="L391" s="8">
        <f>IF($D391="CBB",$C391,0)</f>
        <v>0</v>
      </c>
    </row>
    <row r="392" spans="1:12" x14ac:dyDescent="0.25">
      <c r="A392" s="6">
        <v>41606</v>
      </c>
      <c r="B392" t="s">
        <v>44</v>
      </c>
      <c r="C392" s="7">
        <v>-400</v>
      </c>
      <c r="D392" t="s">
        <v>6</v>
      </c>
      <c r="E392" s="8">
        <f>E391+F392</f>
        <v>96614</v>
      </c>
      <c r="F392" s="8">
        <f>IF($D392="CR01",$C392,0)</f>
        <v>-400</v>
      </c>
      <c r="G392" s="8">
        <f>G391+H392</f>
        <v>0</v>
      </c>
      <c r="H392" s="8">
        <f>IF($D392="VISA",$C392,0)</f>
        <v>0</v>
      </c>
      <c r="I392" s="8">
        <f>I391+J392</f>
        <v>0</v>
      </c>
      <c r="J392" s="8">
        <f>IF($D392="ACC",$C392,0)</f>
        <v>0</v>
      </c>
      <c r="K392" s="8">
        <f>K391+L392</f>
        <v>0</v>
      </c>
      <c r="L392" s="8">
        <f>IF($D392="CBB",$C392,0)</f>
        <v>0</v>
      </c>
    </row>
    <row r="393" spans="1:12" x14ac:dyDescent="0.25">
      <c r="A393" s="6">
        <v>41606</v>
      </c>
      <c r="B393" t="s">
        <v>45</v>
      </c>
      <c r="C393" s="7">
        <v>-180</v>
      </c>
      <c r="D393" t="s">
        <v>6</v>
      </c>
      <c r="E393" s="8">
        <f>E392+F393</f>
        <v>96434</v>
      </c>
      <c r="F393" s="8">
        <f>IF($D393="CR01",$C393,0)</f>
        <v>-180</v>
      </c>
      <c r="G393" s="8">
        <f>G392+H393</f>
        <v>0</v>
      </c>
      <c r="H393" s="8">
        <f>IF($D393="VISA",$C393,0)</f>
        <v>0</v>
      </c>
      <c r="I393" s="8">
        <f>I392+J393</f>
        <v>0</v>
      </c>
      <c r="J393" s="8">
        <f>IF($D393="ACC",$C393,0)</f>
        <v>0</v>
      </c>
      <c r="K393" s="8">
        <f>K392+L393</f>
        <v>0</v>
      </c>
      <c r="L393" s="8">
        <f>IF($D393="CBB",$C393,0)</f>
        <v>0</v>
      </c>
    </row>
    <row r="394" spans="1:12" x14ac:dyDescent="0.25">
      <c r="A394" s="6">
        <v>41606</v>
      </c>
      <c r="B394" t="s">
        <v>46</v>
      </c>
      <c r="C394" s="7">
        <v>-300</v>
      </c>
      <c r="D394" t="s">
        <v>6</v>
      </c>
      <c r="E394" s="8">
        <f>E393+F394</f>
        <v>96134</v>
      </c>
      <c r="F394" s="8">
        <f>IF($D394="CR01",$C394,0)</f>
        <v>-300</v>
      </c>
      <c r="G394" s="8">
        <f>G393+H394</f>
        <v>0</v>
      </c>
      <c r="H394" s="8">
        <f>IF($D394="VISA",$C394,0)</f>
        <v>0</v>
      </c>
      <c r="I394" s="8">
        <f>I393+J394</f>
        <v>0</v>
      </c>
      <c r="J394" s="8">
        <f>IF($D394="ACC",$C394,0)</f>
        <v>0</v>
      </c>
      <c r="K394" s="8">
        <f>K393+L394</f>
        <v>0</v>
      </c>
      <c r="L394" s="8">
        <f>IF($D394="CBB",$C394,0)</f>
        <v>0</v>
      </c>
    </row>
    <row r="395" spans="1:12" x14ac:dyDescent="0.25">
      <c r="A395" s="6">
        <v>41608</v>
      </c>
      <c r="B395" t="s">
        <v>67</v>
      </c>
      <c r="C395" s="7">
        <v>6800</v>
      </c>
      <c r="D395" t="s">
        <v>6</v>
      </c>
      <c r="E395" s="8">
        <f>E394+F395</f>
        <v>102934</v>
      </c>
      <c r="F395" s="8">
        <f>IF($D395="CR01",$C395,0)</f>
        <v>6800</v>
      </c>
      <c r="G395" s="8">
        <f>G394+H395</f>
        <v>0</v>
      </c>
      <c r="H395" s="8">
        <f>IF($D395="VISA",$C395,0)</f>
        <v>0</v>
      </c>
      <c r="I395" s="8">
        <f>I394+J395</f>
        <v>0</v>
      </c>
      <c r="J395" s="8">
        <f>IF($D395="ACC",$C395,0)</f>
        <v>0</v>
      </c>
      <c r="K395" s="8">
        <f>K394+L395</f>
        <v>0</v>
      </c>
      <c r="L395" s="8">
        <f>IF($D395="CBB",$C395,0)</f>
        <v>0</v>
      </c>
    </row>
    <row r="396" spans="1:12" x14ac:dyDescent="0.25">
      <c r="A396" s="6">
        <v>41609</v>
      </c>
      <c r="B396" t="s">
        <v>58</v>
      </c>
      <c r="C396" s="7">
        <v>-200</v>
      </c>
      <c r="D396" t="s">
        <v>6</v>
      </c>
      <c r="E396" s="8">
        <f>E395+F396</f>
        <v>102734</v>
      </c>
      <c r="F396" s="8">
        <f>IF($D396="CR01",$C396,0)</f>
        <v>-200</v>
      </c>
      <c r="G396" s="8">
        <f>G395+H396</f>
        <v>0</v>
      </c>
      <c r="H396" s="8">
        <f>IF($D396="VISA",$C396,0)</f>
        <v>0</v>
      </c>
      <c r="I396" s="8">
        <f>I395+J396</f>
        <v>0</v>
      </c>
      <c r="J396" s="8">
        <f>IF($D396="ACC",$C396,0)</f>
        <v>0</v>
      </c>
      <c r="K396" s="8">
        <f>K395+L396</f>
        <v>0</v>
      </c>
      <c r="L396" s="8">
        <f>IF($D396="CBB",$C396,0)</f>
        <v>0</v>
      </c>
    </row>
    <row r="397" spans="1:12" x14ac:dyDescent="0.25">
      <c r="A397" s="6">
        <v>41609</v>
      </c>
      <c r="B397" t="s">
        <v>60</v>
      </c>
      <c r="C397" s="7">
        <v>-400</v>
      </c>
      <c r="D397" t="s">
        <v>6</v>
      </c>
      <c r="E397" s="8">
        <f>E396+F397</f>
        <v>102334</v>
      </c>
      <c r="F397" s="8">
        <f>IF($D397="CR01",$C397,0)</f>
        <v>-400</v>
      </c>
      <c r="G397" s="8">
        <f>G396+H397</f>
        <v>0</v>
      </c>
      <c r="H397" s="8">
        <f>IF($D397="VISA",$C397,0)</f>
        <v>0</v>
      </c>
      <c r="I397" s="8">
        <f>I396+J397</f>
        <v>0</v>
      </c>
      <c r="J397" s="8">
        <f>IF($D397="ACC",$C397,0)</f>
        <v>0</v>
      </c>
      <c r="K397" s="8">
        <f>K396+L397</f>
        <v>0</v>
      </c>
      <c r="L397" s="8">
        <f>IF($D397="CBB",$C397,0)</f>
        <v>0</v>
      </c>
    </row>
    <row r="398" spans="1:12" x14ac:dyDescent="0.25">
      <c r="A398" s="6">
        <v>41609</v>
      </c>
      <c r="B398" t="s">
        <v>64</v>
      </c>
      <c r="C398" s="7">
        <v>-26</v>
      </c>
      <c r="D398" t="s">
        <v>6</v>
      </c>
      <c r="E398" s="8">
        <f>E397+F398</f>
        <v>102308</v>
      </c>
      <c r="F398" s="8">
        <f>IF($D398="CR01",$C398,0)</f>
        <v>-26</v>
      </c>
      <c r="G398" s="8">
        <f>G397+H398</f>
        <v>0</v>
      </c>
      <c r="H398" s="8">
        <f>IF($D398="VISA",$C398,0)</f>
        <v>0</v>
      </c>
      <c r="I398" s="8">
        <f>I397+J398</f>
        <v>0</v>
      </c>
      <c r="J398" s="8">
        <f>IF($D398="ACC",$C398,0)</f>
        <v>0</v>
      </c>
      <c r="K398" s="8">
        <f>K397+L398</f>
        <v>0</v>
      </c>
      <c r="L398" s="8">
        <f>IF($D398="CBB",$C398,0)</f>
        <v>0</v>
      </c>
    </row>
    <row r="399" spans="1:12" x14ac:dyDescent="0.25">
      <c r="A399" s="6">
        <v>41609</v>
      </c>
      <c r="B399" t="s">
        <v>65</v>
      </c>
      <c r="C399" s="7">
        <v>-240</v>
      </c>
      <c r="D399" t="s">
        <v>6</v>
      </c>
      <c r="E399" s="8">
        <f>E398+F399</f>
        <v>102068</v>
      </c>
      <c r="F399" s="8">
        <f>IF($D399="CR01",$C399,0)</f>
        <v>-240</v>
      </c>
      <c r="G399" s="8">
        <f>G398+H399</f>
        <v>0</v>
      </c>
      <c r="H399" s="8">
        <f>IF($D399="VISA",$C399,0)</f>
        <v>0</v>
      </c>
      <c r="I399" s="8">
        <f>I398+J399</f>
        <v>0</v>
      </c>
      <c r="J399" s="8">
        <f>IF($D399="ACC",$C399,0)</f>
        <v>0</v>
      </c>
      <c r="K399" s="8">
        <f>K398+L399</f>
        <v>0</v>
      </c>
      <c r="L399" s="8">
        <f>IF($D399="CBB",$C399,0)</f>
        <v>0</v>
      </c>
    </row>
    <row r="400" spans="1:12" x14ac:dyDescent="0.25">
      <c r="A400" s="6">
        <v>41609</v>
      </c>
      <c r="B400" t="s">
        <v>66</v>
      </c>
      <c r="C400" s="7">
        <v>-120</v>
      </c>
      <c r="D400" t="s">
        <v>6</v>
      </c>
      <c r="E400" s="8">
        <f>E399+F400</f>
        <v>101948</v>
      </c>
      <c r="F400" s="8">
        <f>IF($D400="CR01",$C400,0)</f>
        <v>-120</v>
      </c>
      <c r="G400" s="8">
        <f>G399+H400</f>
        <v>0</v>
      </c>
      <c r="H400" s="8">
        <f>IF($D400="VISA",$C400,0)</f>
        <v>0</v>
      </c>
      <c r="I400" s="8">
        <f>I399+J400</f>
        <v>0</v>
      </c>
      <c r="J400" s="8">
        <f>IF($D400="ACC",$C400,0)</f>
        <v>0</v>
      </c>
      <c r="K400" s="8">
        <f>K399+L400</f>
        <v>0</v>
      </c>
      <c r="L400" s="8">
        <f>IF($D400="CBB",$C400,0)</f>
        <v>0</v>
      </c>
    </row>
    <row r="401" spans="1:12" x14ac:dyDescent="0.25">
      <c r="A401" s="6">
        <v>41610</v>
      </c>
      <c r="B401" t="s">
        <v>59</v>
      </c>
      <c r="C401" s="7">
        <v>-900</v>
      </c>
      <c r="D401" t="s">
        <v>6</v>
      </c>
      <c r="E401" s="8">
        <f>E400+F401</f>
        <v>101048</v>
      </c>
      <c r="F401" s="8">
        <f>IF($D401="CR01",$C401,0)</f>
        <v>-900</v>
      </c>
      <c r="G401" s="8">
        <f>G400+H401</f>
        <v>0</v>
      </c>
      <c r="H401" s="8">
        <f>IF($D401="VISA",$C401,0)</f>
        <v>0</v>
      </c>
      <c r="I401" s="8">
        <f>I400+J401</f>
        <v>0</v>
      </c>
      <c r="J401" s="8">
        <f>IF($D401="ACC",$C401,0)</f>
        <v>0</v>
      </c>
      <c r="K401" s="8">
        <f>K400+L401</f>
        <v>0</v>
      </c>
      <c r="L401" s="8">
        <f>IF($D401="CBB",$C401,0)</f>
        <v>0</v>
      </c>
    </row>
    <row r="402" spans="1:12" x14ac:dyDescent="0.25">
      <c r="A402" s="6">
        <v>41611</v>
      </c>
      <c r="B402" t="s">
        <v>42</v>
      </c>
      <c r="C402" s="7">
        <v>-2806</v>
      </c>
      <c r="D402" t="s">
        <v>6</v>
      </c>
      <c r="E402" s="8">
        <f>E401+F402</f>
        <v>98242</v>
      </c>
      <c r="F402" s="8">
        <f>IF($D402="CR01",$C402,0)</f>
        <v>-2806</v>
      </c>
      <c r="G402" s="8">
        <f>G401+H402</f>
        <v>0</v>
      </c>
      <c r="H402" s="8">
        <f>IF($D402="VISA",$C402,0)</f>
        <v>0</v>
      </c>
      <c r="I402" s="8">
        <f>I401+J402</f>
        <v>0</v>
      </c>
      <c r="J402" s="8">
        <f>IF($D402="ACC",$C402,0)</f>
        <v>0</v>
      </c>
      <c r="K402" s="8">
        <f>K401+L402</f>
        <v>0</v>
      </c>
      <c r="L402" s="8">
        <f>IF($D402="CBB",$C402,0)</f>
        <v>0</v>
      </c>
    </row>
    <row r="403" spans="1:12" x14ac:dyDescent="0.25">
      <c r="A403" s="6">
        <v>41611</v>
      </c>
      <c r="B403" t="s">
        <v>48</v>
      </c>
      <c r="C403" s="7">
        <v>-100</v>
      </c>
      <c r="D403" t="s">
        <v>6</v>
      </c>
      <c r="E403" s="8">
        <f>E402+F403</f>
        <v>98142</v>
      </c>
      <c r="F403" s="8">
        <f>IF($D403="CR01",$C403,0)</f>
        <v>-100</v>
      </c>
      <c r="G403" s="8">
        <f>G402+H403</f>
        <v>0</v>
      </c>
      <c r="H403" s="8">
        <f>IF($D403="VISA",$C403,0)</f>
        <v>0</v>
      </c>
      <c r="I403" s="8">
        <f>I402+J403</f>
        <v>0</v>
      </c>
      <c r="J403" s="8">
        <f>IF($D403="ACC",$C403,0)</f>
        <v>0</v>
      </c>
      <c r="K403" s="8">
        <f>K402+L403</f>
        <v>0</v>
      </c>
      <c r="L403" s="8">
        <f>IF($D403="CBB",$C403,0)</f>
        <v>0</v>
      </c>
    </row>
    <row r="404" spans="1:12" x14ac:dyDescent="0.25">
      <c r="A404" s="6">
        <v>41612</v>
      </c>
      <c r="B404" t="s">
        <v>47</v>
      </c>
      <c r="C404" s="7">
        <v>-120</v>
      </c>
      <c r="D404" t="s">
        <v>6</v>
      </c>
      <c r="E404" s="8">
        <f>E403+F404</f>
        <v>98022</v>
      </c>
      <c r="F404" s="8">
        <f>IF($D404="CR01",$C404,0)</f>
        <v>-120</v>
      </c>
      <c r="G404" s="8">
        <f>G403+H404</f>
        <v>0</v>
      </c>
      <c r="H404" s="8">
        <f>IF($D404="VISA",$C404,0)</f>
        <v>0</v>
      </c>
      <c r="I404" s="8">
        <f>I403+J404</f>
        <v>0</v>
      </c>
      <c r="J404" s="8">
        <f>IF($D404="ACC",$C404,0)</f>
        <v>0</v>
      </c>
      <c r="K404" s="8">
        <f>K403+L404</f>
        <v>0</v>
      </c>
      <c r="L404" s="8">
        <f>IF($D404="CBB",$C404,0)</f>
        <v>0</v>
      </c>
    </row>
    <row r="405" spans="1:12" x14ac:dyDescent="0.25">
      <c r="A405" s="6">
        <v>41613</v>
      </c>
      <c r="B405" t="s">
        <v>44</v>
      </c>
      <c r="C405" s="7">
        <v>-400</v>
      </c>
      <c r="D405" t="s">
        <v>6</v>
      </c>
      <c r="E405" s="8">
        <f>E404+F405</f>
        <v>97622</v>
      </c>
      <c r="F405" s="8">
        <f>IF($D405="CR01",$C405,0)</f>
        <v>-400</v>
      </c>
      <c r="G405" s="8">
        <f>G404+H405</f>
        <v>0</v>
      </c>
      <c r="H405" s="8">
        <f>IF($D405="VISA",$C405,0)</f>
        <v>0</v>
      </c>
      <c r="I405" s="8">
        <f>I404+J405</f>
        <v>0</v>
      </c>
      <c r="J405" s="8">
        <f>IF($D405="ACC",$C405,0)</f>
        <v>0</v>
      </c>
      <c r="K405" s="8">
        <f>K404+L405</f>
        <v>0</v>
      </c>
      <c r="L405" s="8">
        <f>IF($D405="CBB",$C405,0)</f>
        <v>0</v>
      </c>
    </row>
    <row r="406" spans="1:12" x14ac:dyDescent="0.25">
      <c r="A406" s="6">
        <v>41613</v>
      </c>
      <c r="B406" t="s">
        <v>45</v>
      </c>
      <c r="C406" s="7">
        <v>-180</v>
      </c>
      <c r="D406" t="s">
        <v>6</v>
      </c>
      <c r="E406" s="8">
        <f>E405+F406</f>
        <v>97442</v>
      </c>
      <c r="F406" s="8">
        <f>IF($D406="CR01",$C406,0)</f>
        <v>-180</v>
      </c>
      <c r="G406" s="8">
        <f>G405+H406</f>
        <v>0</v>
      </c>
      <c r="H406" s="8">
        <f>IF($D406="VISA",$C406,0)</f>
        <v>0</v>
      </c>
      <c r="I406" s="8">
        <f>I405+J406</f>
        <v>0</v>
      </c>
      <c r="J406" s="8">
        <f>IF($D406="ACC",$C406,0)</f>
        <v>0</v>
      </c>
      <c r="K406" s="8">
        <f>K405+L406</f>
        <v>0</v>
      </c>
      <c r="L406" s="8">
        <f>IF($D406="CBB",$C406,0)</f>
        <v>0</v>
      </c>
    </row>
    <row r="407" spans="1:12" x14ac:dyDescent="0.25">
      <c r="A407" s="6">
        <v>41613</v>
      </c>
      <c r="B407" t="s">
        <v>46</v>
      </c>
      <c r="C407" s="7">
        <v>-300</v>
      </c>
      <c r="D407" t="s">
        <v>6</v>
      </c>
      <c r="E407" s="8">
        <f>E406+F407</f>
        <v>97142</v>
      </c>
      <c r="F407" s="8">
        <f>IF($D407="CR01",$C407,0)</f>
        <v>-300</v>
      </c>
      <c r="G407" s="8">
        <f>G406+H407</f>
        <v>0</v>
      </c>
      <c r="H407" s="8">
        <f>IF($D407="VISA",$C407,0)</f>
        <v>0</v>
      </c>
      <c r="I407" s="8">
        <f>I406+J407</f>
        <v>0</v>
      </c>
      <c r="J407" s="8">
        <f>IF($D407="ACC",$C407,0)</f>
        <v>0</v>
      </c>
      <c r="K407" s="8">
        <f>K406+L407</f>
        <v>0</v>
      </c>
      <c r="L407" s="8">
        <f>IF($D407="CBB",$C407,0)</f>
        <v>0</v>
      </c>
    </row>
    <row r="408" spans="1:12" x14ac:dyDescent="0.25">
      <c r="A408" s="6">
        <v>41614</v>
      </c>
      <c r="B408" t="s">
        <v>43</v>
      </c>
      <c r="C408" s="7">
        <v>3226</v>
      </c>
      <c r="D408" t="s">
        <v>6</v>
      </c>
      <c r="E408" s="8">
        <f>E407+F408</f>
        <v>100368</v>
      </c>
      <c r="F408" s="8">
        <f>IF($D408="CR01",$C408,0)</f>
        <v>3226</v>
      </c>
      <c r="G408" s="8">
        <f>G407+H408</f>
        <v>0</v>
      </c>
      <c r="H408" s="8">
        <f>IF($D408="VISA",$C408,0)</f>
        <v>0</v>
      </c>
      <c r="I408" s="8">
        <f>I407+J408</f>
        <v>0</v>
      </c>
      <c r="J408" s="8">
        <f>IF($D408="ACC",$C408,0)</f>
        <v>0</v>
      </c>
      <c r="K408" s="8">
        <f>K407+L408</f>
        <v>0</v>
      </c>
      <c r="L408" s="8">
        <f>IF($D408="CBB",$C408,0)</f>
        <v>0</v>
      </c>
    </row>
    <row r="409" spans="1:12" x14ac:dyDescent="0.25">
      <c r="A409" s="6">
        <v>41618</v>
      </c>
      <c r="B409" t="s">
        <v>48</v>
      </c>
      <c r="C409" s="7">
        <v>-100</v>
      </c>
      <c r="D409" t="s">
        <v>6</v>
      </c>
      <c r="E409" s="8">
        <f>E408+F409</f>
        <v>100268</v>
      </c>
      <c r="F409" s="8">
        <f>IF($D409="CR01",$C409,0)</f>
        <v>-100</v>
      </c>
      <c r="G409" s="8">
        <f>G408+H409</f>
        <v>0</v>
      </c>
      <c r="H409" s="8">
        <f>IF($D409="VISA",$C409,0)</f>
        <v>0</v>
      </c>
      <c r="I409" s="8">
        <f>I408+J409</f>
        <v>0</v>
      </c>
      <c r="J409" s="8">
        <f>IF($D409="ACC",$C409,0)</f>
        <v>0</v>
      </c>
      <c r="K409" s="8">
        <f>K408+L409</f>
        <v>0</v>
      </c>
      <c r="L409" s="8">
        <f>IF($D409="CBB",$C409,0)</f>
        <v>0</v>
      </c>
    </row>
    <row r="410" spans="1:12" x14ac:dyDescent="0.25">
      <c r="A410" s="6">
        <v>41619</v>
      </c>
      <c r="B410" t="s">
        <v>47</v>
      </c>
      <c r="C410" s="7">
        <v>-120</v>
      </c>
      <c r="D410" t="s">
        <v>6</v>
      </c>
      <c r="E410" s="8">
        <f>E409+F410</f>
        <v>100148</v>
      </c>
      <c r="F410" s="8">
        <f>IF($D410="CR01",$C410,0)</f>
        <v>-120</v>
      </c>
      <c r="G410" s="8">
        <f>G409+H410</f>
        <v>0</v>
      </c>
      <c r="H410" s="8">
        <f>IF($D410="VISA",$C410,0)</f>
        <v>0</v>
      </c>
      <c r="I410" s="8">
        <f>I409+J410</f>
        <v>0</v>
      </c>
      <c r="J410" s="8">
        <f>IF($D410="ACC",$C410,0)</f>
        <v>0</v>
      </c>
      <c r="K410" s="8">
        <f>K409+L410</f>
        <v>0</v>
      </c>
      <c r="L410" s="8">
        <f>IF($D410="CBB",$C410,0)</f>
        <v>0</v>
      </c>
    </row>
    <row r="411" spans="1:12" x14ac:dyDescent="0.25">
      <c r="A411" s="6">
        <v>41620</v>
      </c>
      <c r="B411" t="s">
        <v>44</v>
      </c>
      <c r="C411" s="7">
        <v>-400</v>
      </c>
      <c r="D411" t="s">
        <v>6</v>
      </c>
      <c r="E411" s="8">
        <f>E410+F411</f>
        <v>99748</v>
      </c>
      <c r="F411" s="8">
        <f>IF($D411="CR01",$C411,0)</f>
        <v>-400</v>
      </c>
      <c r="G411" s="8">
        <f>G410+H411</f>
        <v>0</v>
      </c>
      <c r="H411" s="8">
        <f>IF($D411="VISA",$C411,0)</f>
        <v>0</v>
      </c>
      <c r="I411" s="8">
        <f>I410+J411</f>
        <v>0</v>
      </c>
      <c r="J411" s="8">
        <f>IF($D411="ACC",$C411,0)</f>
        <v>0</v>
      </c>
      <c r="K411" s="8">
        <f>K410+L411</f>
        <v>0</v>
      </c>
      <c r="L411" s="8">
        <f>IF($D411="CBB",$C411,0)</f>
        <v>0</v>
      </c>
    </row>
    <row r="412" spans="1:12" x14ac:dyDescent="0.25">
      <c r="A412" s="6">
        <v>41620</v>
      </c>
      <c r="B412" t="s">
        <v>45</v>
      </c>
      <c r="C412" s="7">
        <v>-180</v>
      </c>
      <c r="D412" t="s">
        <v>6</v>
      </c>
      <c r="E412" s="8">
        <f>E411+F412</f>
        <v>99568</v>
      </c>
      <c r="F412" s="8">
        <f>IF($D412="CR01",$C412,0)</f>
        <v>-180</v>
      </c>
      <c r="G412" s="8">
        <f>G411+H412</f>
        <v>0</v>
      </c>
      <c r="H412" s="8">
        <f>IF($D412="VISA",$C412,0)</f>
        <v>0</v>
      </c>
      <c r="I412" s="8">
        <f>I411+J412</f>
        <v>0</v>
      </c>
      <c r="J412" s="8">
        <f>IF($D412="ACC",$C412,0)</f>
        <v>0</v>
      </c>
      <c r="K412" s="8">
        <f>K411+L412</f>
        <v>0</v>
      </c>
      <c r="L412" s="8">
        <f>IF($D412="CBB",$C412,0)</f>
        <v>0</v>
      </c>
    </row>
    <row r="413" spans="1:12" x14ac:dyDescent="0.25">
      <c r="A413" s="6">
        <v>41620</v>
      </c>
      <c r="B413" t="s">
        <v>46</v>
      </c>
      <c r="C413" s="7">
        <v>-300</v>
      </c>
      <c r="D413" t="s">
        <v>6</v>
      </c>
      <c r="E413" s="8">
        <f>E412+F413</f>
        <v>99268</v>
      </c>
      <c r="F413" s="8">
        <f>IF($D413="CR01",$C413,0)</f>
        <v>-300</v>
      </c>
      <c r="G413" s="8">
        <f>G412+H413</f>
        <v>0</v>
      </c>
      <c r="H413" s="8">
        <f>IF($D413="VISA",$C413,0)</f>
        <v>0</v>
      </c>
      <c r="I413" s="8">
        <f>I412+J413</f>
        <v>0</v>
      </c>
      <c r="J413" s="8">
        <f>IF($D413="ACC",$C413,0)</f>
        <v>0</v>
      </c>
      <c r="K413" s="8">
        <f>K412+L413</f>
        <v>0</v>
      </c>
      <c r="L413" s="8">
        <f>IF($D413="CBB",$C413,0)</f>
        <v>0</v>
      </c>
    </row>
    <row r="414" spans="1:12" x14ac:dyDescent="0.25">
      <c r="A414" s="6">
        <v>41622</v>
      </c>
      <c r="B414" t="s">
        <v>67</v>
      </c>
      <c r="C414" s="7">
        <v>6800</v>
      </c>
      <c r="D414" t="s">
        <v>6</v>
      </c>
      <c r="E414" s="8">
        <f>E413+F414</f>
        <v>106068</v>
      </c>
      <c r="F414" s="8">
        <f>IF($D414="CR01",$C414,0)</f>
        <v>6800</v>
      </c>
      <c r="G414" s="8">
        <f>G413+H414</f>
        <v>0</v>
      </c>
      <c r="H414" s="8">
        <f>IF($D414="VISA",$C414,0)</f>
        <v>0</v>
      </c>
      <c r="I414" s="8">
        <f>I413+J414</f>
        <v>0</v>
      </c>
      <c r="J414" s="8">
        <f>IF($D414="ACC",$C414,0)</f>
        <v>0</v>
      </c>
      <c r="K414" s="8">
        <f>K413+L414</f>
        <v>0</v>
      </c>
      <c r="L414" s="8">
        <f>IF($D414="CBB",$C414,0)</f>
        <v>0</v>
      </c>
    </row>
    <row r="415" spans="1:12" x14ac:dyDescent="0.25">
      <c r="A415" s="6">
        <v>41625</v>
      </c>
      <c r="B415" t="s">
        <v>42</v>
      </c>
      <c r="C415" s="7">
        <v>-2806</v>
      </c>
      <c r="D415" t="s">
        <v>6</v>
      </c>
      <c r="E415" s="8">
        <f>E414+F415</f>
        <v>103262</v>
      </c>
      <c r="F415" s="8">
        <f>IF($D415="CR01",$C415,0)</f>
        <v>-2806</v>
      </c>
      <c r="G415" s="8">
        <f>G414+H415</f>
        <v>0</v>
      </c>
      <c r="H415" s="8">
        <f>IF($D415="VISA",$C415,0)</f>
        <v>0</v>
      </c>
      <c r="I415" s="8">
        <f>I414+J415</f>
        <v>0</v>
      </c>
      <c r="J415" s="8">
        <f>IF($D415="ACC",$C415,0)</f>
        <v>0</v>
      </c>
      <c r="K415" s="8">
        <f>K414+L415</f>
        <v>0</v>
      </c>
      <c r="L415" s="8">
        <f>IF($D415="CBB",$C415,0)</f>
        <v>0</v>
      </c>
    </row>
    <row r="416" spans="1:12" x14ac:dyDescent="0.25">
      <c r="A416" s="6">
        <v>41625</v>
      </c>
      <c r="B416" t="s">
        <v>48</v>
      </c>
      <c r="C416" s="7">
        <v>-100</v>
      </c>
      <c r="D416" t="s">
        <v>6</v>
      </c>
      <c r="E416" s="8">
        <f>E415+F416</f>
        <v>103162</v>
      </c>
      <c r="F416" s="8">
        <f>IF($D416="CR01",$C416,0)</f>
        <v>-100</v>
      </c>
      <c r="G416" s="8">
        <f>G415+H416</f>
        <v>0</v>
      </c>
      <c r="H416" s="8">
        <f>IF($D416="VISA",$C416,0)</f>
        <v>0</v>
      </c>
      <c r="I416" s="8">
        <f>I415+J416</f>
        <v>0</v>
      </c>
      <c r="J416" s="8">
        <f>IF($D416="ACC",$C416,0)</f>
        <v>0</v>
      </c>
      <c r="K416" s="8">
        <f>K415+L416</f>
        <v>0</v>
      </c>
      <c r="L416" s="8">
        <f>IF($D416="CBB",$C416,0)</f>
        <v>0</v>
      </c>
    </row>
    <row r="417" spans="1:12" x14ac:dyDescent="0.25">
      <c r="A417" s="6">
        <v>41626</v>
      </c>
      <c r="B417" t="s">
        <v>47</v>
      </c>
      <c r="C417" s="7">
        <v>-120</v>
      </c>
      <c r="D417" t="s">
        <v>6</v>
      </c>
      <c r="E417" s="8">
        <f>E416+F417</f>
        <v>103042</v>
      </c>
      <c r="F417" s="8">
        <f>IF($D417="CR01",$C417,0)</f>
        <v>-120</v>
      </c>
      <c r="G417" s="8">
        <f>G416+H417</f>
        <v>0</v>
      </c>
      <c r="H417" s="8">
        <f>IF($D417="VISA",$C417,0)</f>
        <v>0</v>
      </c>
      <c r="I417" s="8">
        <f>I416+J417</f>
        <v>0</v>
      </c>
      <c r="J417" s="8">
        <f>IF($D417="ACC",$C417,0)</f>
        <v>0</v>
      </c>
      <c r="K417" s="8">
        <f>K416+L417</f>
        <v>0</v>
      </c>
      <c r="L417" s="8">
        <f>IF($D417="CBB",$C417,0)</f>
        <v>0</v>
      </c>
    </row>
    <row r="418" spans="1:12" x14ac:dyDescent="0.25">
      <c r="A418" s="6">
        <v>41627</v>
      </c>
      <c r="B418" t="s">
        <v>44</v>
      </c>
      <c r="C418" s="7">
        <v>-400</v>
      </c>
      <c r="D418" t="s">
        <v>6</v>
      </c>
      <c r="E418" s="8">
        <f>E417+F418</f>
        <v>102642</v>
      </c>
      <c r="F418" s="8">
        <f>IF($D418="CR01",$C418,0)</f>
        <v>-400</v>
      </c>
      <c r="G418" s="8">
        <f>G417+H418</f>
        <v>0</v>
      </c>
      <c r="H418" s="8">
        <f>IF($D418="VISA",$C418,0)</f>
        <v>0</v>
      </c>
      <c r="I418" s="8">
        <f>I417+J418</f>
        <v>0</v>
      </c>
      <c r="J418" s="8">
        <f>IF($D418="ACC",$C418,0)</f>
        <v>0</v>
      </c>
      <c r="K418" s="8">
        <f>K417+L418</f>
        <v>0</v>
      </c>
      <c r="L418" s="8">
        <f>IF($D418="CBB",$C418,0)</f>
        <v>0</v>
      </c>
    </row>
    <row r="419" spans="1:12" x14ac:dyDescent="0.25">
      <c r="A419" s="6">
        <v>41627</v>
      </c>
      <c r="B419" t="s">
        <v>45</v>
      </c>
      <c r="C419" s="7">
        <v>-180</v>
      </c>
      <c r="D419" t="s">
        <v>6</v>
      </c>
      <c r="E419" s="8">
        <f>E418+F419</f>
        <v>102462</v>
      </c>
      <c r="F419" s="8">
        <f>IF($D419="CR01",$C419,0)</f>
        <v>-180</v>
      </c>
      <c r="G419" s="8">
        <f>G418+H419</f>
        <v>0</v>
      </c>
      <c r="H419" s="8">
        <f>IF($D419="VISA",$C419,0)</f>
        <v>0</v>
      </c>
      <c r="I419" s="8">
        <f>I418+J419</f>
        <v>0</v>
      </c>
      <c r="J419" s="8">
        <f>IF($D419="ACC",$C419,0)</f>
        <v>0</v>
      </c>
      <c r="K419" s="8">
        <f>K418+L419</f>
        <v>0</v>
      </c>
      <c r="L419" s="8">
        <f>IF($D419="CBB",$C419,0)</f>
        <v>0</v>
      </c>
    </row>
    <row r="420" spans="1:12" x14ac:dyDescent="0.25">
      <c r="A420" s="6">
        <v>41627</v>
      </c>
      <c r="B420" t="s">
        <v>46</v>
      </c>
      <c r="C420" s="7">
        <v>-300</v>
      </c>
      <c r="D420" t="s">
        <v>6</v>
      </c>
      <c r="E420" s="8">
        <f>E419+F420</f>
        <v>102162</v>
      </c>
      <c r="F420" s="8">
        <f>IF($D420="CR01",$C420,0)</f>
        <v>-300</v>
      </c>
      <c r="G420" s="8">
        <f>G419+H420</f>
        <v>0</v>
      </c>
      <c r="H420" s="8">
        <f>IF($D420="VISA",$C420,0)</f>
        <v>0</v>
      </c>
      <c r="I420" s="8">
        <f>I419+J420</f>
        <v>0</v>
      </c>
      <c r="J420" s="8">
        <f>IF($D420="ACC",$C420,0)</f>
        <v>0</v>
      </c>
      <c r="K420" s="8">
        <f>K419+L420</f>
        <v>0</v>
      </c>
      <c r="L420" s="8">
        <f>IF($D420="CBB",$C420,0)</f>
        <v>0</v>
      </c>
    </row>
    <row r="421" spans="1:12" x14ac:dyDescent="0.25">
      <c r="A421" s="6">
        <v>41628</v>
      </c>
      <c r="B421" t="s">
        <v>43</v>
      </c>
      <c r="C421" s="7">
        <v>3226</v>
      </c>
      <c r="D421" t="s">
        <v>6</v>
      </c>
      <c r="E421" s="8">
        <f>E420+F421</f>
        <v>105388</v>
      </c>
      <c r="F421" s="8">
        <f>IF($D421="CR01",$C421,0)</f>
        <v>3226</v>
      </c>
      <c r="G421" s="8">
        <f>G420+H421</f>
        <v>0</v>
      </c>
      <c r="H421" s="8">
        <f>IF($D421="VISA",$C421,0)</f>
        <v>0</v>
      </c>
      <c r="I421" s="8">
        <f>I420+J421</f>
        <v>0</v>
      </c>
      <c r="J421" s="8">
        <f>IF($D421="ACC",$C421,0)</f>
        <v>0</v>
      </c>
      <c r="K421" s="8">
        <f>K420+L421</f>
        <v>0</v>
      </c>
      <c r="L421" s="8">
        <f>IF($D421="CBB",$C421,0)</f>
        <v>0</v>
      </c>
    </row>
    <row r="422" spans="1:12" x14ac:dyDescent="0.25">
      <c r="A422" s="6">
        <v>41632</v>
      </c>
      <c r="B422" t="s">
        <v>48</v>
      </c>
      <c r="C422" s="7">
        <v>-100</v>
      </c>
      <c r="D422" t="s">
        <v>6</v>
      </c>
      <c r="E422" s="8">
        <f>E421+F422</f>
        <v>105288</v>
      </c>
      <c r="F422" s="8">
        <f>IF($D422="CR01",$C422,0)</f>
        <v>-100</v>
      </c>
      <c r="G422" s="8">
        <f>G421+H422</f>
        <v>0</v>
      </c>
      <c r="H422" s="8">
        <f>IF($D422="VISA",$C422,0)</f>
        <v>0</v>
      </c>
      <c r="I422" s="8">
        <f>I421+J422</f>
        <v>0</v>
      </c>
      <c r="J422" s="8">
        <f>IF($D422="ACC",$C422,0)</f>
        <v>0</v>
      </c>
      <c r="K422" s="8">
        <f>K421+L422</f>
        <v>0</v>
      </c>
      <c r="L422" s="8">
        <f>IF($D422="CBB",$C422,0)</f>
        <v>0</v>
      </c>
    </row>
    <row r="423" spans="1:12" x14ac:dyDescent="0.25">
      <c r="A423" s="6">
        <v>41633</v>
      </c>
      <c r="B423" t="s">
        <v>47</v>
      </c>
      <c r="C423" s="7">
        <v>-120</v>
      </c>
      <c r="D423" t="s">
        <v>6</v>
      </c>
      <c r="E423" s="8">
        <f>E422+F423</f>
        <v>105168</v>
      </c>
      <c r="F423" s="8">
        <f>IF($D423="CR01",$C423,0)</f>
        <v>-120</v>
      </c>
      <c r="G423" s="8">
        <f>G422+H423</f>
        <v>0</v>
      </c>
      <c r="H423" s="8">
        <f>IF($D423="VISA",$C423,0)</f>
        <v>0</v>
      </c>
      <c r="I423" s="8">
        <f>I422+J423</f>
        <v>0</v>
      </c>
      <c r="J423" s="8">
        <f>IF($D423="ACC",$C423,0)</f>
        <v>0</v>
      </c>
      <c r="K423" s="8">
        <f>K422+L423</f>
        <v>0</v>
      </c>
      <c r="L423" s="8">
        <f>IF($D423="CBB",$C423,0)</f>
        <v>0</v>
      </c>
    </row>
    <row r="424" spans="1:12" x14ac:dyDescent="0.25">
      <c r="A424" s="6">
        <v>41634</v>
      </c>
      <c r="B424" t="s">
        <v>44</v>
      </c>
      <c r="C424" s="7">
        <v>-400</v>
      </c>
      <c r="D424" t="s">
        <v>6</v>
      </c>
      <c r="E424" s="8">
        <f>E423+F424</f>
        <v>104768</v>
      </c>
      <c r="F424" s="8">
        <f>IF($D424="CR01",$C424,0)</f>
        <v>-400</v>
      </c>
      <c r="G424" s="8">
        <f>G423+H424</f>
        <v>0</v>
      </c>
      <c r="H424" s="8">
        <f>IF($D424="VISA",$C424,0)</f>
        <v>0</v>
      </c>
      <c r="I424" s="8">
        <f>I423+J424</f>
        <v>0</v>
      </c>
      <c r="J424" s="8">
        <f>IF($D424="ACC",$C424,0)</f>
        <v>0</v>
      </c>
      <c r="K424" s="8">
        <f>K423+L424</f>
        <v>0</v>
      </c>
      <c r="L424" s="8">
        <f>IF($D424="CBB",$C424,0)</f>
        <v>0</v>
      </c>
    </row>
    <row r="425" spans="1:12" x14ac:dyDescent="0.25">
      <c r="A425" s="6">
        <v>41634</v>
      </c>
      <c r="B425" t="s">
        <v>45</v>
      </c>
      <c r="C425" s="7">
        <v>-180</v>
      </c>
      <c r="D425" t="s">
        <v>6</v>
      </c>
      <c r="E425" s="8">
        <f>E424+F425</f>
        <v>104588</v>
      </c>
      <c r="F425" s="8">
        <f>IF($D425="CR01",$C425,0)</f>
        <v>-180</v>
      </c>
      <c r="G425" s="8">
        <f>G424+H425</f>
        <v>0</v>
      </c>
      <c r="H425" s="8">
        <f>IF($D425="VISA",$C425,0)</f>
        <v>0</v>
      </c>
      <c r="I425" s="8">
        <f>I424+J425</f>
        <v>0</v>
      </c>
      <c r="J425" s="8">
        <f>IF($D425="ACC",$C425,0)</f>
        <v>0</v>
      </c>
      <c r="K425" s="8">
        <f>K424+L425</f>
        <v>0</v>
      </c>
      <c r="L425" s="8">
        <f>IF($D425="CBB",$C425,0)</f>
        <v>0</v>
      </c>
    </row>
    <row r="426" spans="1:12" x14ac:dyDescent="0.25">
      <c r="A426" s="6">
        <v>41634</v>
      </c>
      <c r="B426" t="s">
        <v>46</v>
      </c>
      <c r="C426" s="7">
        <v>-300</v>
      </c>
      <c r="D426" t="s">
        <v>6</v>
      </c>
      <c r="E426" s="8">
        <f>E425+F426</f>
        <v>104288</v>
      </c>
      <c r="F426" s="8">
        <f>IF($D426="CR01",$C426,0)</f>
        <v>-300</v>
      </c>
      <c r="G426" s="8">
        <f>G425+H426</f>
        <v>0</v>
      </c>
      <c r="H426" s="8">
        <f>IF($D426="VISA",$C426,0)</f>
        <v>0</v>
      </c>
      <c r="I426" s="8">
        <f>I425+J426</f>
        <v>0</v>
      </c>
      <c r="J426" s="8">
        <f>IF($D426="ACC",$C426,0)</f>
        <v>0</v>
      </c>
      <c r="K426" s="8">
        <f>K425+L426</f>
        <v>0</v>
      </c>
      <c r="L426" s="8">
        <f>IF($D426="CBB",$C426,0)</f>
        <v>0</v>
      </c>
    </row>
    <row r="427" spans="1:12" x14ac:dyDescent="0.25">
      <c r="A427" s="6">
        <v>41636</v>
      </c>
      <c r="B427" t="s">
        <v>67</v>
      </c>
      <c r="C427" s="7">
        <v>6800</v>
      </c>
      <c r="D427" t="s">
        <v>6</v>
      </c>
      <c r="E427" s="8">
        <f>E426+F427</f>
        <v>111088</v>
      </c>
      <c r="F427" s="8">
        <f>IF($D427="CR01",$C427,0)</f>
        <v>6800</v>
      </c>
      <c r="G427" s="8">
        <f>G426+H427</f>
        <v>0</v>
      </c>
      <c r="H427" s="8">
        <f>IF($D427="VISA",$C427,0)</f>
        <v>0</v>
      </c>
      <c r="I427" s="8">
        <f>I426+J427</f>
        <v>0</v>
      </c>
      <c r="J427" s="8">
        <f>IF($D427="ACC",$C427,0)</f>
        <v>0</v>
      </c>
      <c r="K427" s="8">
        <f>K426+L427</f>
        <v>0</v>
      </c>
      <c r="L427" s="8">
        <f>IF($D427="CBB",$C427,0)</f>
        <v>0</v>
      </c>
    </row>
    <row r="428" spans="1:12" x14ac:dyDescent="0.25">
      <c r="A428" s="6">
        <v>41639</v>
      </c>
      <c r="B428" t="s">
        <v>42</v>
      </c>
      <c r="C428" s="7">
        <v>-2806</v>
      </c>
      <c r="D428" t="s">
        <v>6</v>
      </c>
      <c r="E428" s="8">
        <f>E427+F428</f>
        <v>108282</v>
      </c>
      <c r="F428" s="8">
        <f>IF($D428="CR01",$C428,0)</f>
        <v>-2806</v>
      </c>
      <c r="G428" s="8">
        <f>G427+H428</f>
        <v>0</v>
      </c>
      <c r="H428" s="8">
        <f>IF($D428="VISA",$C428,0)</f>
        <v>0</v>
      </c>
      <c r="I428" s="8">
        <f>I427+J428</f>
        <v>0</v>
      </c>
      <c r="J428" s="8">
        <f>IF($D428="ACC",$C428,0)</f>
        <v>0</v>
      </c>
      <c r="K428" s="8">
        <f>K427+L428</f>
        <v>0</v>
      </c>
      <c r="L428" s="8">
        <f>IF($D428="CBB",$C428,0)</f>
        <v>0</v>
      </c>
    </row>
    <row r="429" spans="1:12" x14ac:dyDescent="0.25">
      <c r="A429" s="6">
        <v>41639</v>
      </c>
      <c r="B429" t="s">
        <v>48</v>
      </c>
      <c r="C429" s="7">
        <v>-100</v>
      </c>
      <c r="D429" t="s">
        <v>6</v>
      </c>
      <c r="E429" s="8">
        <f>E428+F429</f>
        <v>108182</v>
      </c>
      <c r="F429" s="8">
        <f>IF($D429="CR01",$C429,0)</f>
        <v>-100</v>
      </c>
      <c r="G429" s="8">
        <f>G428+H429</f>
        <v>0</v>
      </c>
      <c r="H429" s="8">
        <f>IF($D429="VISA",$C429,0)</f>
        <v>0</v>
      </c>
      <c r="I429" s="8">
        <f>I428+J429</f>
        <v>0</v>
      </c>
      <c r="J429" s="8">
        <f>IF($D429="ACC",$C429,0)</f>
        <v>0</v>
      </c>
      <c r="K429" s="8">
        <f>K428+L429</f>
        <v>0</v>
      </c>
      <c r="L429" s="8">
        <f>IF($D429="CBB",$C429,0)</f>
        <v>0</v>
      </c>
    </row>
    <row r="430" spans="1:12" x14ac:dyDescent="0.25">
      <c r="A430" s="6">
        <v>41640</v>
      </c>
      <c r="B430" t="s">
        <v>47</v>
      </c>
      <c r="C430" s="7">
        <v>-120</v>
      </c>
      <c r="D430" t="s">
        <v>6</v>
      </c>
      <c r="E430" s="8">
        <f>E429+F430</f>
        <v>108062</v>
      </c>
      <c r="F430" s="8">
        <f>IF($D430="CR01",$C430,0)</f>
        <v>-120</v>
      </c>
      <c r="G430" s="8">
        <f>G429+H430</f>
        <v>0</v>
      </c>
      <c r="H430" s="8">
        <f>IF($D430="VISA",$C430,0)</f>
        <v>0</v>
      </c>
      <c r="I430" s="8">
        <f>I429+J430</f>
        <v>0</v>
      </c>
      <c r="J430" s="8">
        <f>IF($D430="ACC",$C430,0)</f>
        <v>0</v>
      </c>
      <c r="K430" s="8">
        <f>K429+L430</f>
        <v>0</v>
      </c>
      <c r="L430" s="8">
        <f>IF($D430="CBB",$C430,0)</f>
        <v>0</v>
      </c>
    </row>
    <row r="431" spans="1:12" x14ac:dyDescent="0.25">
      <c r="A431" s="6">
        <v>41640</v>
      </c>
      <c r="B431" t="s">
        <v>58</v>
      </c>
      <c r="C431" s="7">
        <v>-200</v>
      </c>
      <c r="D431" t="s">
        <v>6</v>
      </c>
      <c r="E431" s="8">
        <f>E430+F431</f>
        <v>107862</v>
      </c>
      <c r="F431" s="8">
        <f>IF($D431="CR01",$C431,0)</f>
        <v>-200</v>
      </c>
      <c r="G431" s="8">
        <f>G430+H431</f>
        <v>0</v>
      </c>
      <c r="H431" s="8">
        <f>IF($D431="VISA",$C431,0)</f>
        <v>0</v>
      </c>
      <c r="I431" s="8">
        <f>I430+J431</f>
        <v>0</v>
      </c>
      <c r="J431" s="8">
        <f>IF($D431="ACC",$C431,0)</f>
        <v>0</v>
      </c>
      <c r="K431" s="8">
        <f>K430+L431</f>
        <v>0</v>
      </c>
      <c r="L431" s="8">
        <f>IF($D431="CBB",$C431,0)</f>
        <v>0</v>
      </c>
    </row>
    <row r="432" spans="1:12" x14ac:dyDescent="0.25">
      <c r="A432" s="6">
        <v>41640</v>
      </c>
      <c r="B432" t="s">
        <v>60</v>
      </c>
      <c r="C432" s="7">
        <v>-400</v>
      </c>
      <c r="D432" t="s">
        <v>6</v>
      </c>
      <c r="E432" s="8">
        <f>E431+F432</f>
        <v>107462</v>
      </c>
      <c r="F432" s="8">
        <f>IF($D432="CR01",$C432,0)</f>
        <v>-400</v>
      </c>
      <c r="G432" s="8">
        <f>G431+H432</f>
        <v>0</v>
      </c>
      <c r="H432" s="8">
        <f>IF($D432="VISA",$C432,0)</f>
        <v>0</v>
      </c>
      <c r="I432" s="8">
        <f>I431+J432</f>
        <v>0</v>
      </c>
      <c r="J432" s="8">
        <f>IF($D432="ACC",$C432,0)</f>
        <v>0</v>
      </c>
      <c r="K432" s="8">
        <f>K431+L432</f>
        <v>0</v>
      </c>
      <c r="L432" s="8">
        <f>IF($D432="CBB",$C432,0)</f>
        <v>0</v>
      </c>
    </row>
    <row r="433" spans="1:12" x14ac:dyDescent="0.25">
      <c r="A433" s="6">
        <v>41640</v>
      </c>
      <c r="B433" t="s">
        <v>61</v>
      </c>
      <c r="C433" s="7">
        <v>-300</v>
      </c>
      <c r="D433" t="s">
        <v>6</v>
      </c>
      <c r="E433" s="8">
        <f>E432+F433</f>
        <v>107162</v>
      </c>
      <c r="F433" s="8">
        <f>IF($D433="CR01",$C433,0)</f>
        <v>-300</v>
      </c>
      <c r="G433" s="8">
        <f>G432+H433</f>
        <v>0</v>
      </c>
      <c r="H433" s="8">
        <f>IF($D433="VISA",$C433,0)</f>
        <v>0</v>
      </c>
      <c r="I433" s="8">
        <f>I432+J433</f>
        <v>0</v>
      </c>
      <c r="J433" s="8">
        <f>IF($D433="ACC",$C433,0)</f>
        <v>0</v>
      </c>
      <c r="K433" s="8">
        <f>K432+L433</f>
        <v>0</v>
      </c>
      <c r="L433" s="8">
        <f>IF($D433="CBB",$C433,0)</f>
        <v>0</v>
      </c>
    </row>
    <row r="434" spans="1:12" x14ac:dyDescent="0.25">
      <c r="A434" s="6">
        <v>41640</v>
      </c>
      <c r="B434" t="s">
        <v>64</v>
      </c>
      <c r="C434" s="7">
        <v>-26</v>
      </c>
      <c r="D434" t="s">
        <v>6</v>
      </c>
      <c r="E434" s="8">
        <f>E433+F434</f>
        <v>107136</v>
      </c>
      <c r="F434" s="8">
        <f>IF($D434="CR01",$C434,0)</f>
        <v>-26</v>
      </c>
      <c r="G434" s="8">
        <f>G433+H434</f>
        <v>0</v>
      </c>
      <c r="H434" s="8">
        <f>IF($D434="VISA",$C434,0)</f>
        <v>0</v>
      </c>
      <c r="I434" s="8">
        <f>I433+J434</f>
        <v>0</v>
      </c>
      <c r="J434" s="8">
        <f>IF($D434="ACC",$C434,0)</f>
        <v>0</v>
      </c>
      <c r="K434" s="8">
        <f>K433+L434</f>
        <v>0</v>
      </c>
      <c r="L434" s="8">
        <f>IF($D434="CBB",$C434,0)</f>
        <v>0</v>
      </c>
    </row>
    <row r="435" spans="1:12" x14ac:dyDescent="0.25">
      <c r="A435" s="6">
        <v>41640</v>
      </c>
      <c r="B435" t="s">
        <v>65</v>
      </c>
      <c r="C435" s="7">
        <v>-240</v>
      </c>
      <c r="D435" t="s">
        <v>6</v>
      </c>
      <c r="E435" s="8">
        <f>E434+F435</f>
        <v>106896</v>
      </c>
      <c r="F435" s="8">
        <f>IF($D435="CR01",$C435,0)</f>
        <v>-240</v>
      </c>
      <c r="G435" s="8">
        <f>G434+H435</f>
        <v>0</v>
      </c>
      <c r="H435" s="8">
        <f>IF($D435="VISA",$C435,0)</f>
        <v>0</v>
      </c>
      <c r="I435" s="8">
        <f>I434+J435</f>
        <v>0</v>
      </c>
      <c r="J435" s="8">
        <f>IF($D435="ACC",$C435,0)</f>
        <v>0</v>
      </c>
      <c r="K435" s="8">
        <f>K434+L435</f>
        <v>0</v>
      </c>
      <c r="L435" s="8">
        <f>IF($D435="CBB",$C435,0)</f>
        <v>0</v>
      </c>
    </row>
    <row r="436" spans="1:12" x14ac:dyDescent="0.25">
      <c r="A436" s="6">
        <v>41640</v>
      </c>
      <c r="B436" t="s">
        <v>66</v>
      </c>
      <c r="C436" s="7">
        <v>-120</v>
      </c>
      <c r="D436" t="s">
        <v>6</v>
      </c>
      <c r="E436" s="8">
        <f>E435+F436</f>
        <v>106776</v>
      </c>
      <c r="F436" s="8">
        <f>IF($D436="CR01",$C436,0)</f>
        <v>-120</v>
      </c>
      <c r="G436" s="8">
        <f>G435+H436</f>
        <v>0</v>
      </c>
      <c r="H436" s="8">
        <f>IF($D436="VISA",$C436,0)</f>
        <v>0</v>
      </c>
      <c r="I436" s="8">
        <f>I435+J436</f>
        <v>0</v>
      </c>
      <c r="J436" s="8">
        <f>IF($D436="ACC",$C436,0)</f>
        <v>0</v>
      </c>
      <c r="K436" s="8">
        <f>K435+L436</f>
        <v>0</v>
      </c>
      <c r="L436" s="8">
        <f>IF($D436="CBB",$C436,0)</f>
        <v>0</v>
      </c>
    </row>
    <row r="437" spans="1:12" x14ac:dyDescent="0.25">
      <c r="A437" s="6">
        <v>41641</v>
      </c>
      <c r="B437" t="s">
        <v>44</v>
      </c>
      <c r="C437" s="7">
        <v>-400</v>
      </c>
      <c r="D437" t="s">
        <v>6</v>
      </c>
      <c r="E437" s="8">
        <f>E436+F437</f>
        <v>106376</v>
      </c>
      <c r="F437" s="8">
        <f>IF($D437="CR01",$C437,0)</f>
        <v>-400</v>
      </c>
      <c r="G437" s="8">
        <f>G436+H437</f>
        <v>0</v>
      </c>
      <c r="H437" s="8">
        <f>IF($D437="VISA",$C437,0)</f>
        <v>0</v>
      </c>
      <c r="I437" s="8">
        <f>I436+J437</f>
        <v>0</v>
      </c>
      <c r="J437" s="8">
        <f>IF($D437="ACC",$C437,0)</f>
        <v>0</v>
      </c>
      <c r="K437" s="8">
        <f>K436+L437</f>
        <v>0</v>
      </c>
      <c r="L437" s="8">
        <f>IF($D437="CBB",$C437,0)</f>
        <v>0</v>
      </c>
    </row>
    <row r="438" spans="1:12" x14ac:dyDescent="0.25">
      <c r="A438" s="6">
        <v>41641</v>
      </c>
      <c r="B438" t="s">
        <v>45</v>
      </c>
      <c r="C438" s="7">
        <v>-180</v>
      </c>
      <c r="D438" t="s">
        <v>6</v>
      </c>
      <c r="E438" s="8">
        <f>E437+F438</f>
        <v>106196</v>
      </c>
      <c r="F438" s="8">
        <f>IF($D438="CR01",$C438,0)</f>
        <v>-180</v>
      </c>
      <c r="G438" s="8">
        <f>G437+H438</f>
        <v>0</v>
      </c>
      <c r="H438" s="8">
        <f>IF($D438="VISA",$C438,0)</f>
        <v>0</v>
      </c>
      <c r="I438" s="8">
        <f>I437+J438</f>
        <v>0</v>
      </c>
      <c r="J438" s="8">
        <f>IF($D438="ACC",$C438,0)</f>
        <v>0</v>
      </c>
      <c r="K438" s="8">
        <f>K437+L438</f>
        <v>0</v>
      </c>
      <c r="L438" s="8">
        <f>IF($D438="CBB",$C438,0)</f>
        <v>0</v>
      </c>
    </row>
    <row r="439" spans="1:12" x14ac:dyDescent="0.25">
      <c r="A439" s="6">
        <v>41641</v>
      </c>
      <c r="B439" t="s">
        <v>46</v>
      </c>
      <c r="C439" s="7">
        <v>-300</v>
      </c>
      <c r="D439" t="s">
        <v>6</v>
      </c>
      <c r="E439" s="8">
        <f>E438+F439</f>
        <v>105896</v>
      </c>
      <c r="F439" s="8">
        <f>IF($D439="CR01",$C439,0)</f>
        <v>-300</v>
      </c>
      <c r="G439" s="8">
        <f>G438+H439</f>
        <v>0</v>
      </c>
      <c r="H439" s="8">
        <f>IF($D439="VISA",$C439,0)</f>
        <v>0</v>
      </c>
      <c r="I439" s="8">
        <f>I438+J439</f>
        <v>0</v>
      </c>
      <c r="J439" s="8">
        <f>IF($D439="ACC",$C439,0)</f>
        <v>0</v>
      </c>
      <c r="K439" s="8">
        <f>K438+L439</f>
        <v>0</v>
      </c>
      <c r="L439" s="8">
        <f>IF($D439="CBB",$C439,0)</f>
        <v>0</v>
      </c>
    </row>
    <row r="440" spans="1:12" x14ac:dyDescent="0.25">
      <c r="A440" s="6">
        <v>41641</v>
      </c>
      <c r="B440" t="s">
        <v>59</v>
      </c>
      <c r="C440" s="7">
        <v>-900</v>
      </c>
      <c r="D440" t="s">
        <v>6</v>
      </c>
      <c r="E440" s="8">
        <f>E439+F440</f>
        <v>104996</v>
      </c>
      <c r="F440" s="8">
        <f>IF($D440="CR01",$C440,0)</f>
        <v>-900</v>
      </c>
      <c r="G440" s="8">
        <f>G439+H440</f>
        <v>0</v>
      </c>
      <c r="H440" s="8">
        <f>IF($D440="VISA",$C440,0)</f>
        <v>0</v>
      </c>
      <c r="I440" s="8">
        <f>I439+J440</f>
        <v>0</v>
      </c>
      <c r="J440" s="8">
        <f>IF($D440="ACC",$C440,0)</f>
        <v>0</v>
      </c>
      <c r="K440" s="8">
        <f>K439+L440</f>
        <v>0</v>
      </c>
      <c r="L440" s="8">
        <f>IF($D440="CBB",$C440,0)</f>
        <v>0</v>
      </c>
    </row>
    <row r="441" spans="1:12" x14ac:dyDescent="0.25">
      <c r="A441" s="6">
        <v>41642</v>
      </c>
      <c r="B441" t="s">
        <v>43</v>
      </c>
      <c r="C441" s="7">
        <v>3226</v>
      </c>
      <c r="D441" t="s">
        <v>6</v>
      </c>
      <c r="E441" s="8">
        <f>E440+F441</f>
        <v>108222</v>
      </c>
      <c r="F441" s="8">
        <f>IF($D441="CR01",$C441,0)</f>
        <v>3226</v>
      </c>
      <c r="G441" s="8">
        <f>G440+H441</f>
        <v>0</v>
      </c>
      <c r="H441" s="8">
        <f>IF($D441="VISA",$C441,0)</f>
        <v>0</v>
      </c>
      <c r="I441" s="8">
        <f>I440+J441</f>
        <v>0</v>
      </c>
      <c r="J441" s="8">
        <f>IF($D441="ACC",$C441,0)</f>
        <v>0</v>
      </c>
      <c r="K441" s="8">
        <f>K440+L441</f>
        <v>0</v>
      </c>
      <c r="L441" s="8">
        <f>IF($D441="CBB",$C441,0)</f>
        <v>0</v>
      </c>
    </row>
    <row r="442" spans="1:12" x14ac:dyDescent="0.25">
      <c r="A442" s="6">
        <v>41646</v>
      </c>
      <c r="B442" t="s">
        <v>48</v>
      </c>
      <c r="C442" s="7">
        <v>-100</v>
      </c>
      <c r="D442" t="s">
        <v>6</v>
      </c>
      <c r="E442" s="8">
        <f>E441+F442</f>
        <v>108122</v>
      </c>
      <c r="F442" s="8">
        <f>IF($D442="CR01",$C442,0)</f>
        <v>-100</v>
      </c>
      <c r="G442" s="8">
        <f>G441+H442</f>
        <v>0</v>
      </c>
      <c r="H442" s="8">
        <f>IF($D442="VISA",$C442,0)</f>
        <v>0</v>
      </c>
      <c r="I442" s="8">
        <f>I441+J442</f>
        <v>0</v>
      </c>
      <c r="J442" s="8">
        <f>IF($D442="ACC",$C442,0)</f>
        <v>0</v>
      </c>
      <c r="K442" s="8">
        <f>K441+L442</f>
        <v>0</v>
      </c>
      <c r="L442" s="8">
        <f>IF($D442="CBB",$C442,0)</f>
        <v>0</v>
      </c>
    </row>
    <row r="443" spans="1:12" x14ac:dyDescent="0.25">
      <c r="A443" s="6">
        <v>41647</v>
      </c>
      <c r="B443" t="s">
        <v>47</v>
      </c>
      <c r="C443" s="7">
        <v>-120</v>
      </c>
      <c r="D443" t="s">
        <v>6</v>
      </c>
      <c r="E443" s="8">
        <f>E442+F443</f>
        <v>108002</v>
      </c>
      <c r="F443" s="8">
        <f>IF($D443="CR01",$C443,0)</f>
        <v>-120</v>
      </c>
      <c r="G443" s="8">
        <f>G442+H443</f>
        <v>0</v>
      </c>
      <c r="H443" s="8">
        <f>IF($D443="VISA",$C443,0)</f>
        <v>0</v>
      </c>
      <c r="I443" s="8">
        <f>I442+J443</f>
        <v>0</v>
      </c>
      <c r="J443" s="8">
        <f>IF($D443="ACC",$C443,0)</f>
        <v>0</v>
      </c>
      <c r="K443" s="8">
        <f>K442+L443</f>
        <v>0</v>
      </c>
      <c r="L443" s="8">
        <f>IF($D443="CBB",$C443,0)</f>
        <v>0</v>
      </c>
    </row>
    <row r="444" spans="1:12" x14ac:dyDescent="0.25">
      <c r="A444" s="6">
        <v>41648</v>
      </c>
      <c r="B444" t="s">
        <v>44</v>
      </c>
      <c r="C444" s="7">
        <v>-400</v>
      </c>
      <c r="D444" t="s">
        <v>6</v>
      </c>
      <c r="E444" s="8">
        <f>E443+F444</f>
        <v>107602</v>
      </c>
      <c r="F444" s="8">
        <f>IF($D444="CR01",$C444,0)</f>
        <v>-400</v>
      </c>
      <c r="G444" s="8">
        <f>G443+H444</f>
        <v>0</v>
      </c>
      <c r="H444" s="8">
        <f>IF($D444="VISA",$C444,0)</f>
        <v>0</v>
      </c>
      <c r="I444" s="8">
        <f>I443+J444</f>
        <v>0</v>
      </c>
      <c r="J444" s="8">
        <f>IF($D444="ACC",$C444,0)</f>
        <v>0</v>
      </c>
      <c r="K444" s="8">
        <f>K443+L444</f>
        <v>0</v>
      </c>
      <c r="L444" s="8">
        <f>IF($D444="CBB",$C444,0)</f>
        <v>0</v>
      </c>
    </row>
    <row r="445" spans="1:12" x14ac:dyDescent="0.25">
      <c r="A445" s="6">
        <v>41648</v>
      </c>
      <c r="B445" t="s">
        <v>45</v>
      </c>
      <c r="C445" s="7">
        <v>-180</v>
      </c>
      <c r="D445" t="s">
        <v>6</v>
      </c>
      <c r="E445" s="8">
        <f>E444+F445</f>
        <v>107422</v>
      </c>
      <c r="F445" s="8">
        <f>IF($D445="CR01",$C445,0)</f>
        <v>-180</v>
      </c>
      <c r="G445" s="8">
        <f>G444+H445</f>
        <v>0</v>
      </c>
      <c r="H445" s="8">
        <f>IF($D445="VISA",$C445,0)</f>
        <v>0</v>
      </c>
      <c r="I445" s="8">
        <f>I444+J445</f>
        <v>0</v>
      </c>
      <c r="J445" s="8">
        <f>IF($D445="ACC",$C445,0)</f>
        <v>0</v>
      </c>
      <c r="K445" s="8">
        <f>K444+L445</f>
        <v>0</v>
      </c>
      <c r="L445" s="8">
        <f>IF($D445="CBB",$C445,0)</f>
        <v>0</v>
      </c>
    </row>
    <row r="446" spans="1:12" x14ac:dyDescent="0.25">
      <c r="A446" s="6">
        <v>41648</v>
      </c>
      <c r="B446" t="s">
        <v>46</v>
      </c>
      <c r="C446" s="7">
        <v>-300</v>
      </c>
      <c r="D446" t="s">
        <v>6</v>
      </c>
      <c r="E446" s="8">
        <f>E445+F446</f>
        <v>107122</v>
      </c>
      <c r="F446" s="8">
        <f>IF($D446="CR01",$C446,0)</f>
        <v>-300</v>
      </c>
      <c r="G446" s="8">
        <f>G445+H446</f>
        <v>0</v>
      </c>
      <c r="H446" s="8">
        <f>IF($D446="VISA",$C446,0)</f>
        <v>0</v>
      </c>
      <c r="I446" s="8">
        <f>I445+J446</f>
        <v>0</v>
      </c>
      <c r="J446" s="8">
        <f>IF($D446="ACC",$C446,0)</f>
        <v>0</v>
      </c>
      <c r="K446" s="8">
        <f>K445+L446</f>
        <v>0</v>
      </c>
      <c r="L446" s="8">
        <f>IF($D446="CBB",$C446,0)</f>
        <v>0</v>
      </c>
    </row>
    <row r="447" spans="1:12" x14ac:dyDescent="0.25">
      <c r="A447" s="6">
        <v>41650</v>
      </c>
      <c r="B447" t="s">
        <v>67</v>
      </c>
      <c r="C447" s="7">
        <v>6800</v>
      </c>
      <c r="D447" t="s">
        <v>6</v>
      </c>
      <c r="E447" s="8">
        <f>E446+F447</f>
        <v>113922</v>
      </c>
      <c r="F447" s="8">
        <f>IF($D447="CR01",$C447,0)</f>
        <v>6800</v>
      </c>
      <c r="G447" s="8">
        <f>G446+H447</f>
        <v>0</v>
      </c>
      <c r="H447" s="8">
        <f>IF($D447="VISA",$C447,0)</f>
        <v>0</v>
      </c>
      <c r="I447" s="8">
        <f>I446+J447</f>
        <v>0</v>
      </c>
      <c r="J447" s="8">
        <f>IF($D447="ACC",$C447,0)</f>
        <v>0</v>
      </c>
      <c r="K447" s="8">
        <f>K446+L447</f>
        <v>0</v>
      </c>
      <c r="L447" s="8">
        <f>IF($D447="CBB",$C447,0)</f>
        <v>0</v>
      </c>
    </row>
    <row r="448" spans="1:12" x14ac:dyDescent="0.25">
      <c r="A448" s="6">
        <v>41653</v>
      </c>
      <c r="B448" t="s">
        <v>42</v>
      </c>
      <c r="C448" s="7">
        <v>-2806</v>
      </c>
      <c r="D448" t="s">
        <v>6</v>
      </c>
      <c r="E448" s="8">
        <f>E447+F448</f>
        <v>111116</v>
      </c>
      <c r="F448" s="8">
        <f>IF($D448="CR01",$C448,0)</f>
        <v>-2806</v>
      </c>
      <c r="G448" s="8">
        <f>G447+H448</f>
        <v>0</v>
      </c>
      <c r="H448" s="8">
        <f>IF($D448="VISA",$C448,0)</f>
        <v>0</v>
      </c>
      <c r="I448" s="8">
        <f>I447+J448</f>
        <v>0</v>
      </c>
      <c r="J448" s="8">
        <f>IF($D448="ACC",$C448,0)</f>
        <v>0</v>
      </c>
      <c r="K448" s="8">
        <f>K447+L448</f>
        <v>0</v>
      </c>
      <c r="L448" s="8">
        <f>IF($D448="CBB",$C448,0)</f>
        <v>0</v>
      </c>
    </row>
    <row r="449" spans="1:12" x14ac:dyDescent="0.25">
      <c r="A449" s="6">
        <v>41653</v>
      </c>
      <c r="B449" t="s">
        <v>48</v>
      </c>
      <c r="C449" s="7">
        <v>-100</v>
      </c>
      <c r="D449" t="s">
        <v>6</v>
      </c>
      <c r="E449" s="8">
        <f>E448+F449</f>
        <v>111016</v>
      </c>
      <c r="F449" s="8">
        <f>IF($D449="CR01",$C449,0)</f>
        <v>-100</v>
      </c>
      <c r="G449" s="8">
        <f>G448+H449</f>
        <v>0</v>
      </c>
      <c r="H449" s="8">
        <f>IF($D449="VISA",$C449,0)</f>
        <v>0</v>
      </c>
      <c r="I449" s="8">
        <f>I448+J449</f>
        <v>0</v>
      </c>
      <c r="J449" s="8">
        <f>IF($D449="ACC",$C449,0)</f>
        <v>0</v>
      </c>
      <c r="K449" s="8">
        <f>K448+L449</f>
        <v>0</v>
      </c>
      <c r="L449" s="8">
        <f>IF($D449="CBB",$C449,0)</f>
        <v>0</v>
      </c>
    </row>
    <row r="450" spans="1:12" x14ac:dyDescent="0.25">
      <c r="A450" s="6">
        <v>41654</v>
      </c>
      <c r="B450" t="s">
        <v>47</v>
      </c>
      <c r="C450" s="7">
        <v>-120</v>
      </c>
      <c r="D450" t="s">
        <v>6</v>
      </c>
      <c r="E450" s="8">
        <f>E449+F450</f>
        <v>110896</v>
      </c>
      <c r="F450" s="8">
        <f>IF($D450="CR01",$C450,0)</f>
        <v>-120</v>
      </c>
      <c r="G450" s="8">
        <f>G449+H450</f>
        <v>0</v>
      </c>
      <c r="H450" s="8">
        <f>IF($D450="VISA",$C450,0)</f>
        <v>0</v>
      </c>
      <c r="I450" s="8">
        <f>I449+J450</f>
        <v>0</v>
      </c>
      <c r="J450" s="8">
        <f>IF($D450="ACC",$C450,0)</f>
        <v>0</v>
      </c>
      <c r="K450" s="8">
        <f>K449+L450</f>
        <v>0</v>
      </c>
      <c r="L450" s="8">
        <f>IF($D450="CBB",$C450,0)</f>
        <v>0</v>
      </c>
    </row>
    <row r="451" spans="1:12" x14ac:dyDescent="0.25">
      <c r="A451" s="6">
        <v>41655</v>
      </c>
      <c r="B451" t="s">
        <v>44</v>
      </c>
      <c r="C451" s="7">
        <v>-400</v>
      </c>
      <c r="D451" t="s">
        <v>6</v>
      </c>
      <c r="E451" s="8">
        <f>E450+F451</f>
        <v>110496</v>
      </c>
      <c r="F451" s="8">
        <f>IF($D451="CR01",$C451,0)</f>
        <v>-400</v>
      </c>
      <c r="G451" s="8">
        <f>G450+H451</f>
        <v>0</v>
      </c>
      <c r="H451" s="8">
        <f>IF($D451="VISA",$C451,0)</f>
        <v>0</v>
      </c>
      <c r="I451" s="8">
        <f>I450+J451</f>
        <v>0</v>
      </c>
      <c r="J451" s="8">
        <f>IF($D451="ACC",$C451,0)</f>
        <v>0</v>
      </c>
      <c r="K451" s="8">
        <f>K450+L451</f>
        <v>0</v>
      </c>
      <c r="L451" s="8">
        <f>IF($D451="CBB",$C451,0)</f>
        <v>0</v>
      </c>
    </row>
    <row r="452" spans="1:12" x14ac:dyDescent="0.25">
      <c r="A452" s="6">
        <v>41655</v>
      </c>
      <c r="B452" t="s">
        <v>45</v>
      </c>
      <c r="C452" s="7">
        <v>-180</v>
      </c>
      <c r="D452" t="s">
        <v>6</v>
      </c>
      <c r="E452" s="8">
        <f>E451+F452</f>
        <v>110316</v>
      </c>
      <c r="F452" s="8">
        <f>IF($D452="CR01",$C452,0)</f>
        <v>-180</v>
      </c>
      <c r="G452" s="8">
        <f>G451+H452</f>
        <v>0</v>
      </c>
      <c r="H452" s="8">
        <f>IF($D452="VISA",$C452,0)</f>
        <v>0</v>
      </c>
      <c r="I452" s="8">
        <f>I451+J452</f>
        <v>0</v>
      </c>
      <c r="J452" s="8">
        <f>IF($D452="ACC",$C452,0)</f>
        <v>0</v>
      </c>
      <c r="K452" s="8">
        <f>K451+L452</f>
        <v>0</v>
      </c>
      <c r="L452" s="8">
        <f>IF($D452="CBB",$C452,0)</f>
        <v>0</v>
      </c>
    </row>
    <row r="453" spans="1:12" x14ac:dyDescent="0.25">
      <c r="A453" s="6">
        <v>41655</v>
      </c>
      <c r="B453" t="s">
        <v>46</v>
      </c>
      <c r="C453" s="7">
        <v>-300</v>
      </c>
      <c r="D453" t="s">
        <v>6</v>
      </c>
      <c r="E453" s="8">
        <f>E452+F453</f>
        <v>110016</v>
      </c>
      <c r="F453" s="8">
        <f>IF($D453="CR01",$C453,0)</f>
        <v>-300</v>
      </c>
      <c r="G453" s="8">
        <f>G452+H453</f>
        <v>0</v>
      </c>
      <c r="H453" s="8">
        <f>IF($D453="VISA",$C453,0)</f>
        <v>0</v>
      </c>
      <c r="I453" s="8">
        <f>I452+J453</f>
        <v>0</v>
      </c>
      <c r="J453" s="8">
        <f>IF($D453="ACC",$C453,0)</f>
        <v>0</v>
      </c>
      <c r="K453" s="8">
        <f>K452+L453</f>
        <v>0</v>
      </c>
      <c r="L453" s="8">
        <f>IF($D453="CBB",$C453,0)</f>
        <v>0</v>
      </c>
    </row>
    <row r="454" spans="1:12" x14ac:dyDescent="0.25">
      <c r="A454" s="6">
        <v>41656</v>
      </c>
      <c r="B454" t="s">
        <v>43</v>
      </c>
      <c r="C454" s="7">
        <v>3226</v>
      </c>
      <c r="D454" t="s">
        <v>6</v>
      </c>
      <c r="E454" s="8">
        <f>E453+F454</f>
        <v>113242</v>
      </c>
      <c r="F454" s="8">
        <f>IF($D454="CR01",$C454,0)</f>
        <v>3226</v>
      </c>
      <c r="G454" s="8">
        <f>G453+H454</f>
        <v>0</v>
      </c>
      <c r="H454" s="8">
        <f>IF($D454="VISA",$C454,0)</f>
        <v>0</v>
      </c>
      <c r="I454" s="8">
        <f>I453+J454</f>
        <v>0</v>
      </c>
      <c r="J454" s="8">
        <f>IF($D454="ACC",$C454,0)</f>
        <v>0</v>
      </c>
      <c r="K454" s="8">
        <f>K453+L454</f>
        <v>0</v>
      </c>
      <c r="L454" s="8">
        <f>IF($D454="CBB",$C454,0)</f>
        <v>0</v>
      </c>
    </row>
    <row r="455" spans="1:12" x14ac:dyDescent="0.25">
      <c r="A455" s="6">
        <v>41660</v>
      </c>
      <c r="B455" t="s">
        <v>48</v>
      </c>
      <c r="C455" s="7">
        <v>-100</v>
      </c>
      <c r="D455" t="s">
        <v>6</v>
      </c>
      <c r="E455" s="8">
        <f>E454+F455</f>
        <v>113142</v>
      </c>
      <c r="F455" s="8">
        <f>IF($D455="CR01",$C455,0)</f>
        <v>-100</v>
      </c>
      <c r="G455" s="8">
        <f>G454+H455</f>
        <v>0</v>
      </c>
      <c r="H455" s="8">
        <f>IF($D455="VISA",$C455,0)</f>
        <v>0</v>
      </c>
      <c r="I455" s="8">
        <f>I454+J455</f>
        <v>0</v>
      </c>
      <c r="J455" s="8">
        <f>IF($D455="ACC",$C455,0)</f>
        <v>0</v>
      </c>
      <c r="K455" s="8">
        <f>K454+L455</f>
        <v>0</v>
      </c>
      <c r="L455" s="8">
        <f>IF($D455="CBB",$C455,0)</f>
        <v>0</v>
      </c>
    </row>
    <row r="456" spans="1:12" x14ac:dyDescent="0.25">
      <c r="A456" s="6">
        <v>41661</v>
      </c>
      <c r="B456" t="s">
        <v>47</v>
      </c>
      <c r="C456" s="7">
        <v>-120</v>
      </c>
      <c r="D456" t="s">
        <v>6</v>
      </c>
      <c r="E456" s="8">
        <f>E455+F456</f>
        <v>113022</v>
      </c>
      <c r="F456" s="8">
        <f>IF($D456="CR01",$C456,0)</f>
        <v>-120</v>
      </c>
      <c r="G456" s="8">
        <f>G455+H456</f>
        <v>0</v>
      </c>
      <c r="H456" s="8">
        <f>IF($D456="VISA",$C456,0)</f>
        <v>0</v>
      </c>
      <c r="I456" s="8">
        <f>I455+J456</f>
        <v>0</v>
      </c>
      <c r="J456" s="8">
        <f>IF($D456="ACC",$C456,0)</f>
        <v>0</v>
      </c>
      <c r="K456" s="8">
        <f>K455+L456</f>
        <v>0</v>
      </c>
      <c r="L456" s="8">
        <f>IF($D456="CBB",$C456,0)</f>
        <v>0</v>
      </c>
    </row>
    <row r="457" spans="1:12" x14ac:dyDescent="0.25">
      <c r="A457" s="6">
        <v>41662</v>
      </c>
      <c r="B457" t="s">
        <v>44</v>
      </c>
      <c r="C457" s="7">
        <v>-400</v>
      </c>
      <c r="D457" t="s">
        <v>6</v>
      </c>
      <c r="E457" s="8">
        <f>E456+F457</f>
        <v>112622</v>
      </c>
      <c r="F457" s="8">
        <f>IF($D457="CR01",$C457,0)</f>
        <v>-400</v>
      </c>
      <c r="G457" s="8">
        <f>G456+H457</f>
        <v>0</v>
      </c>
      <c r="H457" s="8">
        <f>IF($D457="VISA",$C457,0)</f>
        <v>0</v>
      </c>
      <c r="I457" s="8">
        <f>I456+J457</f>
        <v>0</v>
      </c>
      <c r="J457" s="8">
        <f>IF($D457="ACC",$C457,0)</f>
        <v>0</v>
      </c>
      <c r="K457" s="8">
        <f>K456+L457</f>
        <v>0</v>
      </c>
      <c r="L457" s="8">
        <f>IF($D457="CBB",$C457,0)</f>
        <v>0</v>
      </c>
    </row>
    <row r="458" spans="1:12" x14ac:dyDescent="0.25">
      <c r="A458" s="6">
        <v>41662</v>
      </c>
      <c r="B458" t="s">
        <v>45</v>
      </c>
      <c r="C458" s="7">
        <v>-180</v>
      </c>
      <c r="D458" t="s">
        <v>6</v>
      </c>
      <c r="E458" s="8">
        <f>E457+F458</f>
        <v>112442</v>
      </c>
      <c r="F458" s="8">
        <f>IF($D458="CR01",$C458,0)</f>
        <v>-180</v>
      </c>
      <c r="G458" s="8">
        <f>G457+H458</f>
        <v>0</v>
      </c>
      <c r="H458" s="8">
        <f>IF($D458="VISA",$C458,0)</f>
        <v>0</v>
      </c>
      <c r="I458" s="8">
        <f>I457+J458</f>
        <v>0</v>
      </c>
      <c r="J458" s="8">
        <f>IF($D458="ACC",$C458,0)</f>
        <v>0</v>
      </c>
      <c r="K458" s="8">
        <f>K457+L458</f>
        <v>0</v>
      </c>
      <c r="L458" s="8">
        <f>IF($D458="CBB",$C458,0)</f>
        <v>0</v>
      </c>
    </row>
    <row r="459" spans="1:12" x14ac:dyDescent="0.25">
      <c r="A459" s="6">
        <v>41662</v>
      </c>
      <c r="B459" t="s">
        <v>46</v>
      </c>
      <c r="C459" s="7">
        <v>-300</v>
      </c>
      <c r="D459" t="s">
        <v>6</v>
      </c>
      <c r="E459" s="8">
        <f>E458+F459</f>
        <v>112142</v>
      </c>
      <c r="F459" s="8">
        <f>IF($D459="CR01",$C459,0)</f>
        <v>-300</v>
      </c>
      <c r="G459" s="8">
        <f>G458+H459</f>
        <v>0</v>
      </c>
      <c r="H459" s="8">
        <f>IF($D459="VISA",$C459,0)</f>
        <v>0</v>
      </c>
      <c r="I459" s="8">
        <f>I458+J459</f>
        <v>0</v>
      </c>
      <c r="J459" s="8">
        <f>IF($D459="ACC",$C459,0)</f>
        <v>0</v>
      </c>
      <c r="K459" s="8">
        <f>K458+L459</f>
        <v>0</v>
      </c>
      <c r="L459" s="8">
        <f>IF($D459="CBB",$C459,0)</f>
        <v>0</v>
      </c>
    </row>
    <row r="460" spans="1:12" x14ac:dyDescent="0.25">
      <c r="A460" s="6">
        <v>41664</v>
      </c>
      <c r="B460" t="s">
        <v>67</v>
      </c>
      <c r="C460" s="7">
        <v>6800</v>
      </c>
      <c r="D460" t="s">
        <v>6</v>
      </c>
      <c r="E460" s="8">
        <f>E459+F460</f>
        <v>118942</v>
      </c>
      <c r="F460" s="8">
        <f>IF($D460="CR01",$C460,0)</f>
        <v>6800</v>
      </c>
      <c r="G460" s="8">
        <f>G459+H460</f>
        <v>0</v>
      </c>
      <c r="H460" s="8">
        <f>IF($D460="VISA",$C460,0)</f>
        <v>0</v>
      </c>
      <c r="I460" s="8">
        <f>I459+J460</f>
        <v>0</v>
      </c>
      <c r="J460" s="8">
        <f>IF($D460="ACC",$C460,0)</f>
        <v>0</v>
      </c>
      <c r="K460" s="8">
        <f>K459+L460</f>
        <v>0</v>
      </c>
      <c r="L460" s="8">
        <f>IF($D460="CBB",$C460,0)</f>
        <v>0</v>
      </c>
    </row>
    <row r="461" spans="1:12" x14ac:dyDescent="0.25">
      <c r="A461" s="6">
        <v>41667</v>
      </c>
      <c r="B461" t="s">
        <v>42</v>
      </c>
      <c r="C461" s="7">
        <v>-2806</v>
      </c>
      <c r="D461" t="s">
        <v>6</v>
      </c>
      <c r="E461" s="8">
        <f>E460+F461</f>
        <v>116136</v>
      </c>
      <c r="F461" s="8">
        <f>IF($D461="CR01",$C461,0)</f>
        <v>-2806</v>
      </c>
      <c r="G461" s="8">
        <f>G460+H461</f>
        <v>0</v>
      </c>
      <c r="H461" s="8">
        <f>IF($D461="VISA",$C461,0)</f>
        <v>0</v>
      </c>
      <c r="I461" s="8">
        <f>I460+J461</f>
        <v>0</v>
      </c>
      <c r="J461" s="8">
        <f>IF($D461="ACC",$C461,0)</f>
        <v>0</v>
      </c>
      <c r="K461" s="8">
        <f>K460+L461</f>
        <v>0</v>
      </c>
      <c r="L461" s="8">
        <f>IF($D461="CBB",$C461,0)</f>
        <v>0</v>
      </c>
    </row>
    <row r="462" spans="1:12" x14ac:dyDescent="0.25">
      <c r="A462" s="6">
        <v>41667</v>
      </c>
      <c r="B462" t="s">
        <v>48</v>
      </c>
      <c r="C462" s="7">
        <v>-100</v>
      </c>
      <c r="D462" t="s">
        <v>6</v>
      </c>
      <c r="E462" s="8">
        <f>E461+F462</f>
        <v>116036</v>
      </c>
      <c r="F462" s="8">
        <f>IF($D462="CR01",$C462,0)</f>
        <v>-100</v>
      </c>
      <c r="G462" s="8">
        <f>G461+H462</f>
        <v>0</v>
      </c>
      <c r="H462" s="8">
        <f>IF($D462="VISA",$C462,0)</f>
        <v>0</v>
      </c>
      <c r="I462" s="8">
        <f>I461+J462</f>
        <v>0</v>
      </c>
      <c r="J462" s="8">
        <f>IF($D462="ACC",$C462,0)</f>
        <v>0</v>
      </c>
      <c r="K462" s="8">
        <f>K461+L462</f>
        <v>0</v>
      </c>
      <c r="L462" s="8">
        <f>IF($D462="CBB",$C462,0)</f>
        <v>0</v>
      </c>
    </row>
    <row r="463" spans="1:12" x14ac:dyDescent="0.25">
      <c r="A463" s="6">
        <v>41668</v>
      </c>
      <c r="B463" t="s">
        <v>47</v>
      </c>
      <c r="C463" s="7">
        <v>-120</v>
      </c>
      <c r="D463" t="s">
        <v>6</v>
      </c>
      <c r="E463" s="8">
        <f>E462+F463</f>
        <v>115916</v>
      </c>
      <c r="F463" s="8">
        <f>IF($D463="CR01",$C463,0)</f>
        <v>-120</v>
      </c>
      <c r="G463" s="8">
        <f>G462+H463</f>
        <v>0</v>
      </c>
      <c r="H463" s="8">
        <f>IF($D463="VISA",$C463,0)</f>
        <v>0</v>
      </c>
      <c r="I463" s="8">
        <f>I462+J463</f>
        <v>0</v>
      </c>
      <c r="J463" s="8">
        <f>IF($D463="ACC",$C463,0)</f>
        <v>0</v>
      </c>
      <c r="K463" s="8">
        <f>K462+L463</f>
        <v>0</v>
      </c>
      <c r="L463" s="8">
        <f>IF($D463="CBB",$C463,0)</f>
        <v>0</v>
      </c>
    </row>
    <row r="464" spans="1:12" x14ac:dyDescent="0.25">
      <c r="A464" s="6">
        <v>41669</v>
      </c>
      <c r="B464" t="s">
        <v>44</v>
      </c>
      <c r="C464" s="7">
        <v>-400</v>
      </c>
      <c r="D464" t="s">
        <v>6</v>
      </c>
      <c r="E464" s="8">
        <f>E463+F464</f>
        <v>115516</v>
      </c>
      <c r="F464" s="8">
        <f>IF($D464="CR01",$C464,0)</f>
        <v>-400</v>
      </c>
      <c r="G464" s="8">
        <f>G463+H464</f>
        <v>0</v>
      </c>
      <c r="H464" s="8">
        <f>IF($D464="VISA",$C464,0)</f>
        <v>0</v>
      </c>
      <c r="I464" s="8">
        <f>I463+J464</f>
        <v>0</v>
      </c>
      <c r="J464" s="8">
        <f>IF($D464="ACC",$C464,0)</f>
        <v>0</v>
      </c>
      <c r="K464" s="8">
        <f>K463+L464</f>
        <v>0</v>
      </c>
      <c r="L464" s="8">
        <f>IF($D464="CBB",$C464,0)</f>
        <v>0</v>
      </c>
    </row>
    <row r="465" spans="1:12" x14ac:dyDescent="0.25">
      <c r="A465" s="6">
        <v>41669</v>
      </c>
      <c r="B465" t="s">
        <v>45</v>
      </c>
      <c r="C465" s="7">
        <v>-180</v>
      </c>
      <c r="D465" t="s">
        <v>6</v>
      </c>
      <c r="E465" s="8">
        <f>E464+F465</f>
        <v>115336</v>
      </c>
      <c r="F465" s="8">
        <f>IF($D465="CR01",$C465,0)</f>
        <v>-180</v>
      </c>
      <c r="G465" s="8">
        <f>G464+H465</f>
        <v>0</v>
      </c>
      <c r="H465" s="8">
        <f>IF($D465="VISA",$C465,0)</f>
        <v>0</v>
      </c>
      <c r="I465" s="8">
        <f>I464+J465</f>
        <v>0</v>
      </c>
      <c r="J465" s="8">
        <f>IF($D465="ACC",$C465,0)</f>
        <v>0</v>
      </c>
      <c r="K465" s="8">
        <f>K464+L465</f>
        <v>0</v>
      </c>
      <c r="L465" s="8">
        <f>IF($D465="CBB",$C465,0)</f>
        <v>0</v>
      </c>
    </row>
    <row r="466" spans="1:12" x14ac:dyDescent="0.25">
      <c r="A466" s="6">
        <v>41669</v>
      </c>
      <c r="B466" t="s">
        <v>46</v>
      </c>
      <c r="C466" s="7">
        <v>-300</v>
      </c>
      <c r="D466" t="s">
        <v>6</v>
      </c>
      <c r="E466" s="8">
        <f>E465+F466</f>
        <v>115036</v>
      </c>
      <c r="F466" s="8">
        <f>IF($D466="CR01",$C466,0)</f>
        <v>-300</v>
      </c>
      <c r="G466" s="8">
        <f>G465+H466</f>
        <v>0</v>
      </c>
      <c r="H466" s="8">
        <f>IF($D466="VISA",$C466,0)</f>
        <v>0</v>
      </c>
      <c r="I466" s="8">
        <f>I465+J466</f>
        <v>0</v>
      </c>
      <c r="J466" s="8">
        <f>IF($D466="ACC",$C466,0)</f>
        <v>0</v>
      </c>
      <c r="K466" s="8">
        <f>K465+L466</f>
        <v>0</v>
      </c>
      <c r="L466" s="8">
        <f>IF($D466="CBB",$C466,0)</f>
        <v>0</v>
      </c>
    </row>
    <row r="467" spans="1:12" x14ac:dyDescent="0.25">
      <c r="A467" s="6">
        <v>41670</v>
      </c>
      <c r="B467" t="s">
        <v>43</v>
      </c>
      <c r="C467" s="7">
        <v>3226</v>
      </c>
      <c r="D467" t="s">
        <v>6</v>
      </c>
      <c r="E467" s="8">
        <f>E466+F467</f>
        <v>118262</v>
      </c>
      <c r="F467" s="8">
        <f>IF($D467="CR01",$C467,0)</f>
        <v>3226</v>
      </c>
      <c r="G467" s="8">
        <f>G466+H467</f>
        <v>0</v>
      </c>
      <c r="H467" s="8">
        <f>IF($D467="VISA",$C467,0)</f>
        <v>0</v>
      </c>
      <c r="I467" s="8">
        <f>I466+J467</f>
        <v>0</v>
      </c>
      <c r="J467" s="8">
        <f>IF($D467="ACC",$C467,0)</f>
        <v>0</v>
      </c>
      <c r="K467" s="8">
        <f>K466+L467</f>
        <v>0</v>
      </c>
      <c r="L467" s="8">
        <f>IF($D467="CBB",$C467,0)</f>
        <v>0</v>
      </c>
    </row>
    <row r="468" spans="1:12" x14ac:dyDescent="0.25">
      <c r="A468" s="6">
        <v>41671</v>
      </c>
      <c r="B468" t="s">
        <v>58</v>
      </c>
      <c r="C468" s="7">
        <v>-200</v>
      </c>
      <c r="D468" t="s">
        <v>6</v>
      </c>
      <c r="E468" s="8">
        <f>E467+F468</f>
        <v>118062</v>
      </c>
      <c r="F468" s="8">
        <f>IF($D468="CR01",$C468,0)</f>
        <v>-200</v>
      </c>
      <c r="G468" s="8">
        <f>G467+H468</f>
        <v>0</v>
      </c>
      <c r="H468" s="8">
        <f>IF($D468="VISA",$C468,0)</f>
        <v>0</v>
      </c>
      <c r="I468" s="8">
        <f>I467+J468</f>
        <v>0</v>
      </c>
      <c r="J468" s="8">
        <f>IF($D468="ACC",$C468,0)</f>
        <v>0</v>
      </c>
      <c r="K468" s="8">
        <f>K467+L468</f>
        <v>0</v>
      </c>
      <c r="L468" s="8">
        <f>IF($D468="CBB",$C468,0)</f>
        <v>0</v>
      </c>
    </row>
    <row r="469" spans="1:12" x14ac:dyDescent="0.25">
      <c r="A469" s="6">
        <v>41671</v>
      </c>
      <c r="B469" t="s">
        <v>60</v>
      </c>
      <c r="C469" s="7">
        <v>-400</v>
      </c>
      <c r="D469" t="s">
        <v>6</v>
      </c>
      <c r="E469" s="8">
        <f>E468+F469</f>
        <v>117662</v>
      </c>
      <c r="F469" s="8">
        <f>IF($D469="CR01",$C469,0)</f>
        <v>-400</v>
      </c>
      <c r="G469" s="8">
        <f>G468+H469</f>
        <v>0</v>
      </c>
      <c r="H469" s="8">
        <f>IF($D469="VISA",$C469,0)</f>
        <v>0</v>
      </c>
      <c r="I469" s="8">
        <f>I468+J469</f>
        <v>0</v>
      </c>
      <c r="J469" s="8">
        <f>IF($D469="ACC",$C469,0)</f>
        <v>0</v>
      </c>
      <c r="K469" s="8">
        <f>K468+L469</f>
        <v>0</v>
      </c>
      <c r="L469" s="8">
        <f>IF($D469="CBB",$C469,0)</f>
        <v>0</v>
      </c>
    </row>
    <row r="470" spans="1:12" x14ac:dyDescent="0.25">
      <c r="A470" s="6">
        <v>41671</v>
      </c>
      <c r="B470" t="s">
        <v>62</v>
      </c>
      <c r="C470" s="7">
        <v>-300</v>
      </c>
      <c r="D470" t="s">
        <v>6</v>
      </c>
      <c r="E470" s="8">
        <f>E469+F470</f>
        <v>117362</v>
      </c>
      <c r="F470" s="8">
        <f>IF($D470="CR01",$C470,0)</f>
        <v>-300</v>
      </c>
      <c r="G470" s="8">
        <f>G469+H470</f>
        <v>0</v>
      </c>
      <c r="H470" s="8">
        <f>IF($D470="VISA",$C470,0)</f>
        <v>0</v>
      </c>
      <c r="I470" s="8">
        <f>I469+J470</f>
        <v>0</v>
      </c>
      <c r="J470" s="8">
        <f>IF($D470="ACC",$C470,0)</f>
        <v>0</v>
      </c>
      <c r="K470" s="8">
        <f>K469+L470</f>
        <v>0</v>
      </c>
      <c r="L470" s="8">
        <f>IF($D470="CBB",$C470,0)</f>
        <v>0</v>
      </c>
    </row>
    <row r="471" spans="1:12" x14ac:dyDescent="0.25">
      <c r="A471" s="6">
        <v>41671</v>
      </c>
      <c r="B471" t="s">
        <v>63</v>
      </c>
      <c r="C471" s="7">
        <v>-300</v>
      </c>
      <c r="D471" t="s">
        <v>6</v>
      </c>
      <c r="E471" s="8">
        <f>E470+F471</f>
        <v>117062</v>
      </c>
      <c r="F471" s="8">
        <f>IF($D471="CR01",$C471,0)</f>
        <v>-300</v>
      </c>
      <c r="G471" s="8">
        <f>G470+H471</f>
        <v>0</v>
      </c>
      <c r="H471" s="8">
        <f>IF($D471="VISA",$C471,0)</f>
        <v>0</v>
      </c>
      <c r="I471" s="8">
        <f>I470+J471</f>
        <v>0</v>
      </c>
      <c r="J471" s="8">
        <f>IF($D471="ACC",$C471,0)</f>
        <v>0</v>
      </c>
      <c r="K471" s="8">
        <f>K470+L471</f>
        <v>0</v>
      </c>
      <c r="L471" s="8">
        <f>IF($D471="CBB",$C471,0)</f>
        <v>0</v>
      </c>
    </row>
    <row r="472" spans="1:12" x14ac:dyDescent="0.25">
      <c r="A472" s="6">
        <v>41671</v>
      </c>
      <c r="B472" t="s">
        <v>64</v>
      </c>
      <c r="C472" s="7">
        <v>-26</v>
      </c>
      <c r="D472" t="s">
        <v>6</v>
      </c>
      <c r="E472" s="8">
        <f>E471+F472</f>
        <v>117036</v>
      </c>
      <c r="F472" s="8">
        <f>IF($D472="CR01",$C472,0)</f>
        <v>-26</v>
      </c>
      <c r="G472" s="8">
        <f>G471+H472</f>
        <v>0</v>
      </c>
      <c r="H472" s="8">
        <f>IF($D472="VISA",$C472,0)</f>
        <v>0</v>
      </c>
      <c r="I472" s="8">
        <f>I471+J472</f>
        <v>0</v>
      </c>
      <c r="J472" s="8">
        <f>IF($D472="ACC",$C472,0)</f>
        <v>0</v>
      </c>
      <c r="K472" s="8">
        <f>K471+L472</f>
        <v>0</v>
      </c>
      <c r="L472" s="8">
        <f>IF($D472="CBB",$C472,0)</f>
        <v>0</v>
      </c>
    </row>
    <row r="473" spans="1:12" x14ac:dyDescent="0.25">
      <c r="A473" s="6">
        <v>41671</v>
      </c>
      <c r="B473" t="s">
        <v>65</v>
      </c>
      <c r="C473" s="7">
        <v>-240</v>
      </c>
      <c r="D473" t="s">
        <v>6</v>
      </c>
      <c r="E473" s="8">
        <f>E472+F473</f>
        <v>116796</v>
      </c>
      <c r="F473" s="8">
        <f>IF($D473="CR01",$C473,0)</f>
        <v>-240</v>
      </c>
      <c r="G473" s="8">
        <f>G472+H473</f>
        <v>0</v>
      </c>
      <c r="H473" s="8">
        <f>IF($D473="VISA",$C473,0)</f>
        <v>0</v>
      </c>
      <c r="I473" s="8">
        <f>I472+J473</f>
        <v>0</v>
      </c>
      <c r="J473" s="8">
        <f>IF($D473="ACC",$C473,0)</f>
        <v>0</v>
      </c>
      <c r="K473" s="8">
        <f>K472+L473</f>
        <v>0</v>
      </c>
      <c r="L473" s="8">
        <f>IF($D473="CBB",$C473,0)</f>
        <v>0</v>
      </c>
    </row>
    <row r="474" spans="1:12" x14ac:dyDescent="0.25">
      <c r="A474" s="6">
        <v>41671</v>
      </c>
      <c r="B474" t="s">
        <v>66</v>
      </c>
      <c r="C474" s="7">
        <v>-120</v>
      </c>
      <c r="D474" t="s">
        <v>6</v>
      </c>
      <c r="E474" s="8">
        <f>E473+F474</f>
        <v>116676</v>
      </c>
      <c r="F474" s="8">
        <f>IF($D474="CR01",$C474,0)</f>
        <v>-120</v>
      </c>
      <c r="G474" s="8">
        <f>G473+H474</f>
        <v>0</v>
      </c>
      <c r="H474" s="8">
        <f>IF($D474="VISA",$C474,0)</f>
        <v>0</v>
      </c>
      <c r="I474" s="8">
        <f>I473+J474</f>
        <v>0</v>
      </c>
      <c r="J474" s="8">
        <f>IF($D474="ACC",$C474,0)</f>
        <v>0</v>
      </c>
      <c r="K474" s="8">
        <f>K473+L474</f>
        <v>0</v>
      </c>
      <c r="L474" s="8">
        <f>IF($D474="CBB",$C474,0)</f>
        <v>0</v>
      </c>
    </row>
    <row r="475" spans="1:12" x14ac:dyDescent="0.25">
      <c r="A475" s="6">
        <v>41672</v>
      </c>
      <c r="B475" t="s">
        <v>59</v>
      </c>
      <c r="C475" s="7">
        <v>-900</v>
      </c>
      <c r="D475" t="s">
        <v>6</v>
      </c>
      <c r="E475" s="8">
        <f>E474+F475</f>
        <v>115776</v>
      </c>
      <c r="F475" s="8">
        <f>IF($D475="CR01",$C475,0)</f>
        <v>-900</v>
      </c>
      <c r="G475" s="8">
        <f>G474+H475</f>
        <v>0</v>
      </c>
      <c r="H475" s="8">
        <f>IF($D475="VISA",$C475,0)</f>
        <v>0</v>
      </c>
      <c r="I475" s="8">
        <f>I474+J475</f>
        <v>0</v>
      </c>
      <c r="J475" s="8">
        <f>IF($D475="ACC",$C475,0)</f>
        <v>0</v>
      </c>
      <c r="K475" s="8">
        <f>K474+L475</f>
        <v>0</v>
      </c>
      <c r="L475" s="8">
        <f>IF($D475="CBB",$C475,0)</f>
        <v>0</v>
      </c>
    </row>
    <row r="476" spans="1:12" x14ac:dyDescent="0.25">
      <c r="A476" s="6">
        <v>41674</v>
      </c>
      <c r="B476" t="s">
        <v>48</v>
      </c>
      <c r="C476" s="7">
        <v>-100</v>
      </c>
      <c r="D476" t="s">
        <v>6</v>
      </c>
      <c r="E476" s="8">
        <f>E475+F476</f>
        <v>115676</v>
      </c>
      <c r="F476" s="8">
        <f>IF($D476="CR01",$C476,0)</f>
        <v>-100</v>
      </c>
      <c r="G476" s="8">
        <f>G475+H476</f>
        <v>0</v>
      </c>
      <c r="H476" s="8">
        <f>IF($D476="VISA",$C476,0)</f>
        <v>0</v>
      </c>
      <c r="I476" s="8">
        <f>I475+J476</f>
        <v>0</v>
      </c>
      <c r="J476" s="8">
        <f>IF($D476="ACC",$C476,0)</f>
        <v>0</v>
      </c>
      <c r="K476" s="8">
        <f>K475+L476</f>
        <v>0</v>
      </c>
      <c r="L476" s="8">
        <f>IF($D476="CBB",$C476,0)</f>
        <v>0</v>
      </c>
    </row>
    <row r="477" spans="1:12" x14ac:dyDescent="0.25">
      <c r="A477" s="6">
        <v>41675</v>
      </c>
      <c r="B477" t="s">
        <v>47</v>
      </c>
      <c r="C477" s="7">
        <v>-120</v>
      </c>
      <c r="D477" t="s">
        <v>6</v>
      </c>
      <c r="E477" s="8">
        <f>E476+F477</f>
        <v>115556</v>
      </c>
      <c r="F477" s="8">
        <f>IF($D477="CR01",$C477,0)</f>
        <v>-120</v>
      </c>
      <c r="G477" s="8">
        <f>G476+H477</f>
        <v>0</v>
      </c>
      <c r="H477" s="8">
        <f>IF($D477="VISA",$C477,0)</f>
        <v>0</v>
      </c>
      <c r="I477" s="8">
        <f>I476+J477</f>
        <v>0</v>
      </c>
      <c r="J477" s="8">
        <f>IF($D477="ACC",$C477,0)</f>
        <v>0</v>
      </c>
      <c r="K477" s="8">
        <f>K476+L477</f>
        <v>0</v>
      </c>
      <c r="L477" s="8">
        <f>IF($D477="CBB",$C477,0)</f>
        <v>0</v>
      </c>
    </row>
    <row r="478" spans="1:12" x14ac:dyDescent="0.25">
      <c r="A478" s="6">
        <v>41676</v>
      </c>
      <c r="B478" t="s">
        <v>44</v>
      </c>
      <c r="C478" s="7">
        <v>-400</v>
      </c>
      <c r="D478" t="s">
        <v>6</v>
      </c>
      <c r="E478" s="8">
        <f>E477+F478</f>
        <v>115156</v>
      </c>
      <c r="F478" s="8">
        <f>IF($D478="CR01",$C478,0)</f>
        <v>-400</v>
      </c>
      <c r="G478" s="8">
        <f>G477+H478</f>
        <v>0</v>
      </c>
      <c r="H478" s="8">
        <f>IF($D478="VISA",$C478,0)</f>
        <v>0</v>
      </c>
      <c r="I478" s="8">
        <f>I477+J478</f>
        <v>0</v>
      </c>
      <c r="J478" s="8">
        <f>IF($D478="ACC",$C478,0)</f>
        <v>0</v>
      </c>
      <c r="K478" s="8">
        <f>K477+L478</f>
        <v>0</v>
      </c>
      <c r="L478" s="8">
        <f>IF($D478="CBB",$C478,0)</f>
        <v>0</v>
      </c>
    </row>
    <row r="479" spans="1:12" x14ac:dyDescent="0.25">
      <c r="A479" s="6">
        <v>41676</v>
      </c>
      <c r="B479" t="s">
        <v>45</v>
      </c>
      <c r="C479" s="7">
        <v>-180</v>
      </c>
      <c r="D479" t="s">
        <v>6</v>
      </c>
      <c r="E479" s="8">
        <f>E478+F479</f>
        <v>114976</v>
      </c>
      <c r="F479" s="8">
        <f>IF($D479="CR01",$C479,0)</f>
        <v>-180</v>
      </c>
      <c r="G479" s="8">
        <f>G478+H479</f>
        <v>0</v>
      </c>
      <c r="H479" s="8">
        <f>IF($D479="VISA",$C479,0)</f>
        <v>0</v>
      </c>
      <c r="I479" s="8">
        <f>I478+J479</f>
        <v>0</v>
      </c>
      <c r="J479" s="8">
        <f>IF($D479="ACC",$C479,0)</f>
        <v>0</v>
      </c>
      <c r="K479" s="8">
        <f>K478+L479</f>
        <v>0</v>
      </c>
      <c r="L479" s="8">
        <f>IF($D479="CBB",$C479,0)</f>
        <v>0</v>
      </c>
    </row>
    <row r="480" spans="1:12" x14ac:dyDescent="0.25">
      <c r="A480" s="6">
        <v>41676</v>
      </c>
      <c r="B480" t="s">
        <v>46</v>
      </c>
      <c r="C480" s="7">
        <v>-300</v>
      </c>
      <c r="D480" t="s">
        <v>6</v>
      </c>
      <c r="E480" s="8">
        <f>E479+F480</f>
        <v>114676</v>
      </c>
      <c r="F480" s="8">
        <f>IF($D480="CR01",$C480,0)</f>
        <v>-300</v>
      </c>
      <c r="G480" s="8">
        <f>G479+H480</f>
        <v>0</v>
      </c>
      <c r="H480" s="8">
        <f>IF($D480="VISA",$C480,0)</f>
        <v>0</v>
      </c>
      <c r="I480" s="8">
        <f>I479+J480</f>
        <v>0</v>
      </c>
      <c r="J480" s="8">
        <f>IF($D480="ACC",$C480,0)</f>
        <v>0</v>
      </c>
      <c r="K480" s="8">
        <f>K479+L480</f>
        <v>0</v>
      </c>
      <c r="L480" s="8">
        <f>IF($D480="CBB",$C480,0)</f>
        <v>0</v>
      </c>
    </row>
    <row r="481" spans="1:12" x14ac:dyDescent="0.25">
      <c r="A481" s="6">
        <v>41678</v>
      </c>
      <c r="B481" t="s">
        <v>67</v>
      </c>
      <c r="C481" s="7">
        <v>6800</v>
      </c>
      <c r="D481" t="s">
        <v>6</v>
      </c>
      <c r="E481" s="8">
        <f>E480+F481</f>
        <v>121476</v>
      </c>
      <c r="F481" s="8">
        <f>IF($D481="CR01",$C481,0)</f>
        <v>6800</v>
      </c>
      <c r="G481" s="8">
        <f>G480+H481</f>
        <v>0</v>
      </c>
      <c r="H481" s="8">
        <f>IF($D481="VISA",$C481,0)</f>
        <v>0</v>
      </c>
      <c r="I481" s="8">
        <f>I480+J481</f>
        <v>0</v>
      </c>
      <c r="J481" s="8">
        <f>IF($D481="ACC",$C481,0)</f>
        <v>0</v>
      </c>
      <c r="K481" s="8">
        <f>K480+L481</f>
        <v>0</v>
      </c>
      <c r="L481" s="8">
        <f>IF($D481="CBB",$C481,0)</f>
        <v>0</v>
      </c>
    </row>
    <row r="482" spans="1:12" x14ac:dyDescent="0.25">
      <c r="A482" s="6">
        <v>41681</v>
      </c>
      <c r="B482" t="s">
        <v>42</v>
      </c>
      <c r="C482" s="7">
        <v>-2806</v>
      </c>
      <c r="D482" t="s">
        <v>6</v>
      </c>
      <c r="E482" s="8">
        <f>E481+F482</f>
        <v>118670</v>
      </c>
      <c r="F482" s="8">
        <f>IF($D482="CR01",$C482,0)</f>
        <v>-2806</v>
      </c>
      <c r="G482" s="8">
        <f>G481+H482</f>
        <v>0</v>
      </c>
      <c r="H482" s="8">
        <f>IF($D482="VISA",$C482,0)</f>
        <v>0</v>
      </c>
      <c r="I482" s="8">
        <f>I481+J482</f>
        <v>0</v>
      </c>
      <c r="J482" s="8">
        <f>IF($D482="ACC",$C482,0)</f>
        <v>0</v>
      </c>
      <c r="K482" s="8">
        <f>K481+L482</f>
        <v>0</v>
      </c>
      <c r="L482" s="8">
        <f>IF($D482="CBB",$C482,0)</f>
        <v>0</v>
      </c>
    </row>
    <row r="483" spans="1:12" x14ac:dyDescent="0.25">
      <c r="A483" s="6">
        <v>41681</v>
      </c>
      <c r="B483" t="s">
        <v>48</v>
      </c>
      <c r="C483" s="7">
        <v>-100</v>
      </c>
      <c r="D483" t="s">
        <v>6</v>
      </c>
      <c r="E483" s="8">
        <f>E482+F483</f>
        <v>118570</v>
      </c>
      <c r="F483" s="8">
        <f>IF($D483="CR01",$C483,0)</f>
        <v>-100</v>
      </c>
      <c r="G483" s="8">
        <f>G482+H483</f>
        <v>0</v>
      </c>
      <c r="H483" s="8">
        <f>IF($D483="VISA",$C483,0)</f>
        <v>0</v>
      </c>
      <c r="I483" s="8">
        <f>I482+J483</f>
        <v>0</v>
      </c>
      <c r="J483" s="8">
        <f>IF($D483="ACC",$C483,0)</f>
        <v>0</v>
      </c>
      <c r="K483" s="8">
        <f>K482+L483</f>
        <v>0</v>
      </c>
      <c r="L483" s="8">
        <f>IF($D483="CBB",$C483,0)</f>
        <v>0</v>
      </c>
    </row>
    <row r="484" spans="1:12" x14ac:dyDescent="0.25">
      <c r="A484" s="6">
        <v>41682</v>
      </c>
      <c r="B484" t="s">
        <v>47</v>
      </c>
      <c r="C484" s="7">
        <v>-120</v>
      </c>
      <c r="D484" t="s">
        <v>6</v>
      </c>
      <c r="E484" s="8">
        <f>E483+F484</f>
        <v>118450</v>
      </c>
      <c r="F484" s="8">
        <f>IF($D484="CR01",$C484,0)</f>
        <v>-120</v>
      </c>
      <c r="G484" s="8">
        <f>G483+H484</f>
        <v>0</v>
      </c>
      <c r="H484" s="8">
        <f>IF($D484="VISA",$C484,0)</f>
        <v>0</v>
      </c>
      <c r="I484" s="8">
        <f>I483+J484</f>
        <v>0</v>
      </c>
      <c r="J484" s="8">
        <f>IF($D484="ACC",$C484,0)</f>
        <v>0</v>
      </c>
      <c r="K484" s="8">
        <f>K483+L484</f>
        <v>0</v>
      </c>
      <c r="L484" s="8">
        <f>IF($D484="CBB",$C484,0)</f>
        <v>0</v>
      </c>
    </row>
    <row r="485" spans="1:12" x14ac:dyDescent="0.25">
      <c r="A485" s="6">
        <v>41683</v>
      </c>
      <c r="B485" t="s">
        <v>44</v>
      </c>
      <c r="C485" s="7">
        <v>-400</v>
      </c>
      <c r="D485" t="s">
        <v>6</v>
      </c>
      <c r="E485" s="8">
        <f>E484+F485</f>
        <v>118050</v>
      </c>
      <c r="F485" s="8">
        <f>IF($D485="CR01",$C485,0)</f>
        <v>-400</v>
      </c>
      <c r="G485" s="8">
        <f>G484+H485</f>
        <v>0</v>
      </c>
      <c r="H485" s="8">
        <f>IF($D485="VISA",$C485,0)</f>
        <v>0</v>
      </c>
      <c r="I485" s="8">
        <f>I484+J485</f>
        <v>0</v>
      </c>
      <c r="J485" s="8">
        <f>IF($D485="ACC",$C485,0)</f>
        <v>0</v>
      </c>
      <c r="K485" s="8">
        <f>K484+L485</f>
        <v>0</v>
      </c>
      <c r="L485" s="8">
        <f>IF($D485="CBB",$C485,0)</f>
        <v>0</v>
      </c>
    </row>
    <row r="486" spans="1:12" x14ac:dyDescent="0.25">
      <c r="A486" s="6">
        <v>41683</v>
      </c>
      <c r="B486" t="s">
        <v>45</v>
      </c>
      <c r="C486" s="7">
        <v>-180</v>
      </c>
      <c r="D486" t="s">
        <v>6</v>
      </c>
      <c r="E486" s="8">
        <f>E485+F486</f>
        <v>117870</v>
      </c>
      <c r="F486" s="8">
        <f>IF($D486="CR01",$C486,0)</f>
        <v>-180</v>
      </c>
      <c r="G486" s="8">
        <f>G485+H486</f>
        <v>0</v>
      </c>
      <c r="H486" s="8">
        <f>IF($D486="VISA",$C486,0)</f>
        <v>0</v>
      </c>
      <c r="I486" s="8">
        <f>I485+J486</f>
        <v>0</v>
      </c>
      <c r="J486" s="8">
        <f>IF($D486="ACC",$C486,0)</f>
        <v>0</v>
      </c>
      <c r="K486" s="8">
        <f>K485+L486</f>
        <v>0</v>
      </c>
      <c r="L486" s="8">
        <f>IF($D486="CBB",$C486,0)</f>
        <v>0</v>
      </c>
    </row>
    <row r="487" spans="1:12" x14ac:dyDescent="0.25">
      <c r="A487" s="6">
        <v>41683</v>
      </c>
      <c r="B487" t="s">
        <v>46</v>
      </c>
      <c r="C487" s="7">
        <v>-300</v>
      </c>
      <c r="D487" t="s">
        <v>6</v>
      </c>
      <c r="E487" s="8">
        <f>E486+F487</f>
        <v>117570</v>
      </c>
      <c r="F487" s="8">
        <f>IF($D487="CR01",$C487,0)</f>
        <v>-300</v>
      </c>
      <c r="G487" s="8">
        <f>G486+H487</f>
        <v>0</v>
      </c>
      <c r="H487" s="8">
        <f>IF($D487="VISA",$C487,0)</f>
        <v>0</v>
      </c>
      <c r="I487" s="8">
        <f>I486+J487</f>
        <v>0</v>
      </c>
      <c r="J487" s="8">
        <f>IF($D487="ACC",$C487,0)</f>
        <v>0</v>
      </c>
      <c r="K487" s="8">
        <f>K486+L487</f>
        <v>0</v>
      </c>
      <c r="L487" s="8">
        <f>IF($D487="CBB",$C487,0)</f>
        <v>0</v>
      </c>
    </row>
    <row r="488" spans="1:12" x14ac:dyDescent="0.25">
      <c r="A488" s="6">
        <v>41684</v>
      </c>
      <c r="B488" t="s">
        <v>43</v>
      </c>
      <c r="C488" s="7">
        <v>3226</v>
      </c>
      <c r="D488" t="s">
        <v>6</v>
      </c>
      <c r="E488" s="8">
        <f>E487+F488</f>
        <v>120796</v>
      </c>
      <c r="F488" s="8">
        <f>IF($D488="CR01",$C488,0)</f>
        <v>3226</v>
      </c>
      <c r="G488" s="8">
        <f>G487+H488</f>
        <v>0</v>
      </c>
      <c r="H488" s="8">
        <f>IF($D488="VISA",$C488,0)</f>
        <v>0</v>
      </c>
      <c r="I488" s="8">
        <f>I487+J488</f>
        <v>0</v>
      </c>
      <c r="J488" s="8">
        <f>IF($D488="ACC",$C488,0)</f>
        <v>0</v>
      </c>
      <c r="K488" s="8">
        <f>K487+L488</f>
        <v>0</v>
      </c>
      <c r="L488" s="8">
        <f>IF($D488="CBB",$C488,0)</f>
        <v>0</v>
      </c>
    </row>
    <row r="489" spans="1:12" x14ac:dyDescent="0.25">
      <c r="A489" s="6">
        <v>41688</v>
      </c>
      <c r="B489" t="s">
        <v>48</v>
      </c>
      <c r="C489" s="7">
        <v>-100</v>
      </c>
      <c r="D489" t="s">
        <v>6</v>
      </c>
      <c r="E489" s="8">
        <f>E488+F489</f>
        <v>120696</v>
      </c>
      <c r="F489" s="8">
        <f>IF($D489="CR01",$C489,0)</f>
        <v>-100</v>
      </c>
      <c r="G489" s="8">
        <f>G488+H489</f>
        <v>0</v>
      </c>
      <c r="H489" s="8">
        <f>IF($D489="VISA",$C489,0)</f>
        <v>0</v>
      </c>
      <c r="I489" s="8">
        <f>I488+J489</f>
        <v>0</v>
      </c>
      <c r="J489" s="8">
        <f>IF($D489="ACC",$C489,0)</f>
        <v>0</v>
      </c>
      <c r="K489" s="8">
        <f>K488+L489</f>
        <v>0</v>
      </c>
      <c r="L489" s="8">
        <f>IF($D489="CBB",$C489,0)</f>
        <v>0</v>
      </c>
    </row>
    <row r="490" spans="1:12" x14ac:dyDescent="0.25">
      <c r="A490" s="6">
        <v>41689</v>
      </c>
      <c r="B490" t="s">
        <v>47</v>
      </c>
      <c r="C490" s="7">
        <v>-120</v>
      </c>
      <c r="D490" t="s">
        <v>6</v>
      </c>
      <c r="E490" s="8">
        <f>E489+F490</f>
        <v>120576</v>
      </c>
      <c r="F490" s="8">
        <f>IF($D490="CR01",$C490,0)</f>
        <v>-120</v>
      </c>
      <c r="G490" s="8">
        <f>G489+H490</f>
        <v>0</v>
      </c>
      <c r="H490" s="8">
        <f>IF($D490="VISA",$C490,0)</f>
        <v>0</v>
      </c>
      <c r="I490" s="8">
        <f>I489+J490</f>
        <v>0</v>
      </c>
      <c r="J490" s="8">
        <f>IF($D490="ACC",$C490,0)</f>
        <v>0</v>
      </c>
      <c r="K490" s="8">
        <f>K489+L490</f>
        <v>0</v>
      </c>
      <c r="L490" s="8">
        <f>IF($D490="CBB",$C490,0)</f>
        <v>0</v>
      </c>
    </row>
    <row r="491" spans="1:12" x14ac:dyDescent="0.25">
      <c r="A491" s="6">
        <v>41690</v>
      </c>
      <c r="B491" t="s">
        <v>44</v>
      </c>
      <c r="C491" s="7">
        <v>-400</v>
      </c>
      <c r="D491" t="s">
        <v>6</v>
      </c>
      <c r="E491" s="8">
        <f>E490+F491</f>
        <v>120176</v>
      </c>
      <c r="F491" s="8">
        <f>IF($D491="CR01",$C491,0)</f>
        <v>-400</v>
      </c>
      <c r="G491" s="8">
        <f>G490+H491</f>
        <v>0</v>
      </c>
      <c r="H491" s="8">
        <f>IF($D491="VISA",$C491,0)</f>
        <v>0</v>
      </c>
      <c r="I491" s="8">
        <f>I490+J491</f>
        <v>0</v>
      </c>
      <c r="J491" s="8">
        <f>IF($D491="ACC",$C491,0)</f>
        <v>0</v>
      </c>
      <c r="K491" s="8">
        <f>K490+L491</f>
        <v>0</v>
      </c>
      <c r="L491" s="8">
        <f>IF($D491="CBB",$C491,0)</f>
        <v>0</v>
      </c>
    </row>
    <row r="492" spans="1:12" x14ac:dyDescent="0.25">
      <c r="A492" s="6">
        <v>41690</v>
      </c>
      <c r="B492" t="s">
        <v>45</v>
      </c>
      <c r="C492" s="7">
        <v>-180</v>
      </c>
      <c r="D492" t="s">
        <v>6</v>
      </c>
      <c r="E492" s="8">
        <f>E491+F492</f>
        <v>119996</v>
      </c>
      <c r="F492" s="8">
        <f>IF($D492="CR01",$C492,0)</f>
        <v>-180</v>
      </c>
      <c r="G492" s="8">
        <f>G491+H492</f>
        <v>0</v>
      </c>
      <c r="H492" s="8">
        <f>IF($D492="VISA",$C492,0)</f>
        <v>0</v>
      </c>
      <c r="I492" s="8">
        <f>I491+J492</f>
        <v>0</v>
      </c>
      <c r="J492" s="8">
        <f>IF($D492="ACC",$C492,0)</f>
        <v>0</v>
      </c>
      <c r="K492" s="8">
        <f>K491+L492</f>
        <v>0</v>
      </c>
      <c r="L492" s="8">
        <f>IF($D492="CBB",$C492,0)</f>
        <v>0</v>
      </c>
    </row>
    <row r="493" spans="1:12" x14ac:dyDescent="0.25">
      <c r="A493" s="6">
        <v>41690</v>
      </c>
      <c r="B493" t="s">
        <v>46</v>
      </c>
      <c r="C493" s="7">
        <v>-300</v>
      </c>
      <c r="D493" t="s">
        <v>6</v>
      </c>
      <c r="E493" s="8">
        <f>E492+F493</f>
        <v>119696</v>
      </c>
      <c r="F493" s="8">
        <f>IF($D493="CR01",$C493,0)</f>
        <v>-300</v>
      </c>
      <c r="G493" s="8">
        <f>G492+H493</f>
        <v>0</v>
      </c>
      <c r="H493" s="8">
        <f>IF($D493="VISA",$C493,0)</f>
        <v>0</v>
      </c>
      <c r="I493" s="8">
        <f>I492+J493</f>
        <v>0</v>
      </c>
      <c r="J493" s="8">
        <f>IF($D493="ACC",$C493,0)</f>
        <v>0</v>
      </c>
      <c r="K493" s="8">
        <f>K492+L493</f>
        <v>0</v>
      </c>
      <c r="L493" s="8">
        <f>IF($D493="CBB",$C493,0)</f>
        <v>0</v>
      </c>
    </row>
    <row r="494" spans="1:12" x14ac:dyDescent="0.25">
      <c r="A494" s="6">
        <v>41692</v>
      </c>
      <c r="B494" t="s">
        <v>67</v>
      </c>
      <c r="C494" s="7">
        <v>6800</v>
      </c>
      <c r="D494" t="s">
        <v>6</v>
      </c>
      <c r="E494" s="8">
        <f>E493+F494</f>
        <v>126496</v>
      </c>
      <c r="F494" s="8">
        <f>IF($D494="CR01",$C494,0)</f>
        <v>6800</v>
      </c>
      <c r="G494" s="8">
        <f>G493+H494</f>
        <v>0</v>
      </c>
      <c r="H494" s="8">
        <f>IF($D494="VISA",$C494,0)</f>
        <v>0</v>
      </c>
      <c r="I494" s="8">
        <f>I493+J494</f>
        <v>0</v>
      </c>
      <c r="J494" s="8">
        <f>IF($D494="ACC",$C494,0)</f>
        <v>0</v>
      </c>
      <c r="K494" s="8">
        <f>K493+L494</f>
        <v>0</v>
      </c>
      <c r="L494" s="8">
        <f>IF($D494="CBB",$C494,0)</f>
        <v>0</v>
      </c>
    </row>
    <row r="495" spans="1:12" x14ac:dyDescent="0.25">
      <c r="A495" s="6">
        <v>41695</v>
      </c>
      <c r="B495" t="s">
        <v>42</v>
      </c>
      <c r="C495" s="7">
        <v>-2806</v>
      </c>
      <c r="D495" t="s">
        <v>6</v>
      </c>
      <c r="E495" s="8">
        <f>E494+F495</f>
        <v>123690</v>
      </c>
      <c r="F495" s="8">
        <f>IF($D495="CR01",$C495,0)</f>
        <v>-2806</v>
      </c>
      <c r="G495" s="8">
        <f>G494+H495</f>
        <v>0</v>
      </c>
      <c r="H495" s="8">
        <f>IF($D495="VISA",$C495,0)</f>
        <v>0</v>
      </c>
      <c r="I495" s="8">
        <f>I494+J495</f>
        <v>0</v>
      </c>
      <c r="J495" s="8">
        <f>IF($D495="ACC",$C495,0)</f>
        <v>0</v>
      </c>
      <c r="K495" s="8">
        <f>K494+L495</f>
        <v>0</v>
      </c>
      <c r="L495" s="8">
        <f>IF($D495="CBB",$C495,0)</f>
        <v>0</v>
      </c>
    </row>
    <row r="496" spans="1:12" x14ac:dyDescent="0.25">
      <c r="A496" s="6">
        <v>41695</v>
      </c>
      <c r="B496" t="s">
        <v>48</v>
      </c>
      <c r="C496" s="7">
        <v>-100</v>
      </c>
      <c r="D496" t="s">
        <v>6</v>
      </c>
      <c r="E496" s="8">
        <f>E495+F496</f>
        <v>123590</v>
      </c>
      <c r="F496" s="8">
        <f>IF($D496="CR01",$C496,0)</f>
        <v>-100</v>
      </c>
      <c r="G496" s="8">
        <f>G495+H496</f>
        <v>0</v>
      </c>
      <c r="H496" s="8">
        <f>IF($D496="VISA",$C496,0)</f>
        <v>0</v>
      </c>
      <c r="I496" s="8">
        <f>I495+J496</f>
        <v>0</v>
      </c>
      <c r="J496" s="8">
        <f>IF($D496="ACC",$C496,0)</f>
        <v>0</v>
      </c>
      <c r="K496" s="8">
        <f>K495+L496</f>
        <v>0</v>
      </c>
      <c r="L496" s="8">
        <f>IF($D496="CBB",$C496,0)</f>
        <v>0</v>
      </c>
    </row>
    <row r="497" spans="1:12" x14ac:dyDescent="0.25">
      <c r="A497" s="6">
        <v>41696</v>
      </c>
      <c r="B497" t="s">
        <v>47</v>
      </c>
      <c r="C497" s="7">
        <v>-120</v>
      </c>
      <c r="D497" t="s">
        <v>6</v>
      </c>
      <c r="E497" s="8">
        <f>E496+F497</f>
        <v>123470</v>
      </c>
      <c r="F497" s="8">
        <f>IF($D497="CR01",$C497,0)</f>
        <v>-120</v>
      </c>
      <c r="G497" s="8">
        <f>G496+H497</f>
        <v>0</v>
      </c>
      <c r="H497" s="8">
        <f>IF($D497="VISA",$C497,0)</f>
        <v>0</v>
      </c>
      <c r="I497" s="8">
        <f>I496+J497</f>
        <v>0</v>
      </c>
      <c r="J497" s="8">
        <f>IF($D497="ACC",$C497,0)</f>
        <v>0</v>
      </c>
      <c r="K497" s="8">
        <f>K496+L497</f>
        <v>0</v>
      </c>
      <c r="L497" s="8">
        <f>IF($D497="CBB",$C497,0)</f>
        <v>0</v>
      </c>
    </row>
    <row r="498" spans="1:12" x14ac:dyDescent="0.25">
      <c r="A498" s="6">
        <v>41697</v>
      </c>
      <c r="B498" t="s">
        <v>44</v>
      </c>
      <c r="C498" s="7">
        <v>-400</v>
      </c>
      <c r="D498" t="s">
        <v>6</v>
      </c>
      <c r="E498" s="8">
        <f>E497+F498</f>
        <v>123070</v>
      </c>
      <c r="F498" s="8">
        <f>IF($D498="CR01",$C498,0)</f>
        <v>-400</v>
      </c>
      <c r="G498" s="8">
        <f>G497+H498</f>
        <v>0</v>
      </c>
      <c r="H498" s="8">
        <f>IF($D498="VISA",$C498,0)</f>
        <v>0</v>
      </c>
      <c r="I498" s="8">
        <f>I497+J498</f>
        <v>0</v>
      </c>
      <c r="J498" s="8">
        <f>IF($D498="ACC",$C498,0)</f>
        <v>0</v>
      </c>
      <c r="K498" s="8">
        <f>K497+L498</f>
        <v>0</v>
      </c>
      <c r="L498" s="8">
        <f>IF($D498="CBB",$C498,0)</f>
        <v>0</v>
      </c>
    </row>
    <row r="499" spans="1:12" x14ac:dyDescent="0.25">
      <c r="A499" s="6">
        <v>41697</v>
      </c>
      <c r="B499" t="s">
        <v>45</v>
      </c>
      <c r="C499" s="7">
        <v>-180</v>
      </c>
      <c r="D499" t="s">
        <v>6</v>
      </c>
      <c r="E499" s="8">
        <f>E498+F499</f>
        <v>122890</v>
      </c>
      <c r="F499" s="8">
        <f>IF($D499="CR01",$C499,0)</f>
        <v>-180</v>
      </c>
      <c r="G499" s="8">
        <f>G498+H499</f>
        <v>0</v>
      </c>
      <c r="H499" s="8">
        <f>IF($D499="VISA",$C499,0)</f>
        <v>0</v>
      </c>
      <c r="I499" s="8">
        <f>I498+J499</f>
        <v>0</v>
      </c>
      <c r="J499" s="8">
        <f>IF($D499="ACC",$C499,0)</f>
        <v>0</v>
      </c>
      <c r="K499" s="8">
        <f>K498+L499</f>
        <v>0</v>
      </c>
      <c r="L499" s="8">
        <f>IF($D499="CBB",$C499,0)</f>
        <v>0</v>
      </c>
    </row>
    <row r="500" spans="1:12" x14ac:dyDescent="0.25">
      <c r="A500" s="6">
        <v>41697</v>
      </c>
      <c r="B500" t="s">
        <v>46</v>
      </c>
      <c r="C500" s="7">
        <v>-300</v>
      </c>
      <c r="D500" t="s">
        <v>6</v>
      </c>
      <c r="E500" s="8">
        <f>E499+F500</f>
        <v>122590</v>
      </c>
      <c r="F500" s="8">
        <f>IF($D500="CR01",$C500,0)</f>
        <v>-300</v>
      </c>
      <c r="G500" s="8">
        <f>G499+H500</f>
        <v>0</v>
      </c>
      <c r="H500" s="8">
        <f>IF($D500="VISA",$C500,0)</f>
        <v>0</v>
      </c>
      <c r="I500" s="8">
        <f>I499+J500</f>
        <v>0</v>
      </c>
      <c r="J500" s="8">
        <f>IF($D500="ACC",$C500,0)</f>
        <v>0</v>
      </c>
      <c r="K500" s="8">
        <f>K499+L500</f>
        <v>0</v>
      </c>
      <c r="L500" s="8">
        <f>IF($D500="CBB",$C500,0)</f>
        <v>0</v>
      </c>
    </row>
    <row r="501" spans="1:12" x14ac:dyDescent="0.25">
      <c r="A501" s="6">
        <v>41698</v>
      </c>
      <c r="B501" t="s">
        <v>43</v>
      </c>
      <c r="C501" s="7">
        <v>3226</v>
      </c>
      <c r="D501" t="s">
        <v>6</v>
      </c>
      <c r="E501" s="8">
        <f>E500+F501</f>
        <v>125816</v>
      </c>
      <c r="F501" s="8">
        <f>IF($D501="CR01",$C501,0)</f>
        <v>3226</v>
      </c>
      <c r="G501" s="8">
        <f>G500+H501</f>
        <v>0</v>
      </c>
      <c r="H501" s="8">
        <f>IF($D501="VISA",$C501,0)</f>
        <v>0</v>
      </c>
      <c r="I501" s="8">
        <f>I500+J501</f>
        <v>0</v>
      </c>
      <c r="J501" s="8">
        <f>IF($D501="ACC",$C501,0)</f>
        <v>0</v>
      </c>
      <c r="K501" s="8">
        <f>K500+L501</f>
        <v>0</v>
      </c>
      <c r="L501" s="8">
        <f>IF($D501="CBB",$C501,0)</f>
        <v>0</v>
      </c>
    </row>
    <row r="502" spans="1:12" x14ac:dyDescent="0.25">
      <c r="A502" s="6">
        <v>41699</v>
      </c>
      <c r="B502" t="s">
        <v>58</v>
      </c>
      <c r="C502" s="7">
        <v>-200</v>
      </c>
      <c r="D502" t="s">
        <v>6</v>
      </c>
      <c r="E502" s="8">
        <f>E501+F502</f>
        <v>125616</v>
      </c>
      <c r="F502" s="8">
        <f>IF($D502="CR01",$C502,0)</f>
        <v>-200</v>
      </c>
      <c r="G502" s="8">
        <f>G501+H502</f>
        <v>0</v>
      </c>
      <c r="H502" s="8">
        <f>IF($D502="VISA",$C502,0)</f>
        <v>0</v>
      </c>
      <c r="I502" s="8">
        <f>I501+J502</f>
        <v>0</v>
      </c>
      <c r="J502" s="8">
        <f>IF($D502="ACC",$C502,0)</f>
        <v>0</v>
      </c>
      <c r="K502" s="8">
        <f>K501+L502</f>
        <v>0</v>
      </c>
      <c r="L502" s="8">
        <f>IF($D502="CBB",$C502,0)</f>
        <v>0</v>
      </c>
    </row>
    <row r="503" spans="1:12" x14ac:dyDescent="0.25">
      <c r="A503" s="6">
        <v>41699</v>
      </c>
      <c r="B503" t="s">
        <v>60</v>
      </c>
      <c r="C503" s="7">
        <v>-400</v>
      </c>
      <c r="D503" t="s">
        <v>6</v>
      </c>
      <c r="E503" s="8">
        <f>E502+F503</f>
        <v>125216</v>
      </c>
      <c r="F503" s="8">
        <f>IF($D503="CR01",$C503,0)</f>
        <v>-400</v>
      </c>
      <c r="G503" s="8">
        <f>G502+H503</f>
        <v>0</v>
      </c>
      <c r="H503" s="8">
        <f>IF($D503="VISA",$C503,0)</f>
        <v>0</v>
      </c>
      <c r="I503" s="8">
        <f>I502+J503</f>
        <v>0</v>
      </c>
      <c r="J503" s="8">
        <f>IF($D503="ACC",$C503,0)</f>
        <v>0</v>
      </c>
      <c r="K503" s="8">
        <f>K502+L503</f>
        <v>0</v>
      </c>
      <c r="L503" s="8">
        <f>IF($D503="CBB",$C503,0)</f>
        <v>0</v>
      </c>
    </row>
    <row r="504" spans="1:12" x14ac:dyDescent="0.25">
      <c r="A504" s="6">
        <v>41699</v>
      </c>
      <c r="B504" t="s">
        <v>64</v>
      </c>
      <c r="C504" s="7">
        <v>-26</v>
      </c>
      <c r="D504" t="s">
        <v>6</v>
      </c>
      <c r="E504" s="8">
        <f>E503+F504</f>
        <v>125190</v>
      </c>
      <c r="F504" s="8">
        <f>IF($D504="CR01",$C504,0)</f>
        <v>-26</v>
      </c>
      <c r="G504" s="8">
        <f>G503+H504</f>
        <v>0</v>
      </c>
      <c r="H504" s="8">
        <f>IF($D504="VISA",$C504,0)</f>
        <v>0</v>
      </c>
      <c r="I504" s="8">
        <f>I503+J504</f>
        <v>0</v>
      </c>
      <c r="J504" s="8">
        <f>IF($D504="ACC",$C504,0)</f>
        <v>0</v>
      </c>
      <c r="K504" s="8">
        <f>K503+L504</f>
        <v>0</v>
      </c>
      <c r="L504" s="8">
        <f>IF($D504="CBB",$C504,0)</f>
        <v>0</v>
      </c>
    </row>
    <row r="505" spans="1:12" x14ac:dyDescent="0.25">
      <c r="A505" s="6">
        <v>41699</v>
      </c>
      <c r="B505" t="s">
        <v>65</v>
      </c>
      <c r="C505" s="7">
        <v>-240</v>
      </c>
      <c r="D505" t="s">
        <v>6</v>
      </c>
      <c r="E505" s="8">
        <f>E504+F505</f>
        <v>124950</v>
      </c>
      <c r="F505" s="8">
        <f>IF($D505="CR01",$C505,0)</f>
        <v>-240</v>
      </c>
      <c r="G505" s="8">
        <f>G504+H505</f>
        <v>0</v>
      </c>
      <c r="H505" s="8">
        <f>IF($D505="VISA",$C505,0)</f>
        <v>0</v>
      </c>
      <c r="I505" s="8">
        <f>I504+J505</f>
        <v>0</v>
      </c>
      <c r="J505" s="8">
        <f>IF($D505="ACC",$C505,0)</f>
        <v>0</v>
      </c>
      <c r="K505" s="8">
        <f>K504+L505</f>
        <v>0</v>
      </c>
      <c r="L505" s="8">
        <f>IF($D505="CBB",$C505,0)</f>
        <v>0</v>
      </c>
    </row>
    <row r="506" spans="1:12" x14ac:dyDescent="0.25">
      <c r="A506" s="6">
        <v>41699</v>
      </c>
      <c r="B506" t="s">
        <v>66</v>
      </c>
      <c r="C506" s="7">
        <v>-120</v>
      </c>
      <c r="D506" t="s">
        <v>6</v>
      </c>
      <c r="E506" s="8">
        <f>E505+F506</f>
        <v>124830</v>
      </c>
      <c r="F506" s="8">
        <f>IF($D506="CR01",$C506,0)</f>
        <v>-120</v>
      </c>
      <c r="G506" s="8">
        <f>G505+H506</f>
        <v>0</v>
      </c>
      <c r="H506" s="8">
        <f>IF($D506="VISA",$C506,0)</f>
        <v>0</v>
      </c>
      <c r="I506" s="8">
        <f>I505+J506</f>
        <v>0</v>
      </c>
      <c r="J506" s="8">
        <f>IF($D506="ACC",$C506,0)</f>
        <v>0</v>
      </c>
      <c r="K506" s="8">
        <f>K505+L506</f>
        <v>0</v>
      </c>
      <c r="L506" s="8">
        <f>IF($D506="CBB",$C506,0)</f>
        <v>0</v>
      </c>
    </row>
    <row r="507" spans="1:12" x14ac:dyDescent="0.25">
      <c r="A507" s="6">
        <v>41700</v>
      </c>
      <c r="B507" t="s">
        <v>59</v>
      </c>
      <c r="C507" s="7">
        <v>-900</v>
      </c>
      <c r="D507" t="s">
        <v>6</v>
      </c>
      <c r="E507" s="8">
        <f>E506+F507</f>
        <v>123930</v>
      </c>
      <c r="F507" s="8">
        <f>IF($D507="CR01",$C507,0)</f>
        <v>-900</v>
      </c>
      <c r="G507" s="8">
        <f>G506+H507</f>
        <v>0</v>
      </c>
      <c r="H507" s="8">
        <f>IF($D507="VISA",$C507,0)</f>
        <v>0</v>
      </c>
      <c r="I507" s="8">
        <f>I506+J507</f>
        <v>0</v>
      </c>
      <c r="J507" s="8">
        <f>IF($D507="ACC",$C507,0)</f>
        <v>0</v>
      </c>
      <c r="K507" s="8">
        <f>K506+L507</f>
        <v>0</v>
      </c>
      <c r="L507" s="8">
        <f>IF($D507="CBB",$C507,0)</f>
        <v>0</v>
      </c>
    </row>
    <row r="508" spans="1:12" x14ac:dyDescent="0.25">
      <c r="A508" s="6">
        <v>41702</v>
      </c>
      <c r="B508" t="s">
        <v>48</v>
      </c>
      <c r="C508" s="7">
        <v>-100</v>
      </c>
      <c r="D508" t="s">
        <v>6</v>
      </c>
      <c r="E508" s="8">
        <f>E507+F508</f>
        <v>123830</v>
      </c>
      <c r="F508" s="8">
        <f>IF($D508="CR01",$C508,0)</f>
        <v>-100</v>
      </c>
      <c r="G508" s="8">
        <f>G507+H508</f>
        <v>0</v>
      </c>
      <c r="H508" s="8">
        <f>IF($D508="VISA",$C508,0)</f>
        <v>0</v>
      </c>
      <c r="I508" s="8">
        <f>I507+J508</f>
        <v>0</v>
      </c>
      <c r="J508" s="8">
        <f>IF($D508="ACC",$C508,0)</f>
        <v>0</v>
      </c>
      <c r="K508" s="8">
        <f>K507+L508</f>
        <v>0</v>
      </c>
      <c r="L508" s="8">
        <f>IF($D508="CBB",$C508,0)</f>
        <v>0</v>
      </c>
    </row>
    <row r="509" spans="1:12" x14ac:dyDescent="0.25">
      <c r="A509" s="6">
        <v>41703</v>
      </c>
      <c r="B509" t="s">
        <v>47</v>
      </c>
      <c r="C509" s="7">
        <v>-120</v>
      </c>
      <c r="D509" t="s">
        <v>6</v>
      </c>
      <c r="E509" s="8">
        <f>E508+F509</f>
        <v>123710</v>
      </c>
      <c r="F509" s="8">
        <f>IF($D509="CR01",$C509,0)</f>
        <v>-120</v>
      </c>
      <c r="G509" s="8">
        <f>G508+H509</f>
        <v>0</v>
      </c>
      <c r="H509" s="8">
        <f>IF($D509="VISA",$C509,0)</f>
        <v>0</v>
      </c>
      <c r="I509" s="8">
        <f>I508+J509</f>
        <v>0</v>
      </c>
      <c r="J509" s="8">
        <f>IF($D509="ACC",$C509,0)</f>
        <v>0</v>
      </c>
      <c r="K509" s="8">
        <f>K508+L509</f>
        <v>0</v>
      </c>
      <c r="L509" s="8">
        <f>IF($D509="CBB",$C509,0)</f>
        <v>0</v>
      </c>
    </row>
    <row r="510" spans="1:12" x14ac:dyDescent="0.25">
      <c r="A510" s="6">
        <v>41704</v>
      </c>
      <c r="B510" t="s">
        <v>44</v>
      </c>
      <c r="C510" s="7">
        <v>-400</v>
      </c>
      <c r="D510" t="s">
        <v>6</v>
      </c>
      <c r="E510" s="8">
        <f>E509+F510</f>
        <v>123310</v>
      </c>
      <c r="F510" s="8">
        <f>IF($D510="CR01",$C510,0)</f>
        <v>-400</v>
      </c>
      <c r="G510" s="8">
        <f>G509+H510</f>
        <v>0</v>
      </c>
      <c r="H510" s="8">
        <f>IF($D510="VISA",$C510,0)</f>
        <v>0</v>
      </c>
      <c r="I510" s="8">
        <f>I509+J510</f>
        <v>0</v>
      </c>
      <c r="J510" s="8">
        <f>IF($D510="ACC",$C510,0)</f>
        <v>0</v>
      </c>
      <c r="K510" s="8">
        <f>K509+L510</f>
        <v>0</v>
      </c>
      <c r="L510" s="8">
        <f>IF($D510="CBB",$C510,0)</f>
        <v>0</v>
      </c>
    </row>
    <row r="511" spans="1:12" x14ac:dyDescent="0.25">
      <c r="A511" s="6">
        <v>41704</v>
      </c>
      <c r="B511" t="s">
        <v>45</v>
      </c>
      <c r="C511" s="7">
        <v>-180</v>
      </c>
      <c r="D511" t="s">
        <v>6</v>
      </c>
      <c r="E511" s="8">
        <f>E510+F511</f>
        <v>123130</v>
      </c>
      <c r="F511" s="8">
        <f>IF($D511="CR01",$C511,0)</f>
        <v>-180</v>
      </c>
      <c r="G511" s="8">
        <f>G510+H511</f>
        <v>0</v>
      </c>
      <c r="H511" s="8">
        <f>IF($D511="VISA",$C511,0)</f>
        <v>0</v>
      </c>
      <c r="I511" s="8">
        <f>I510+J511</f>
        <v>0</v>
      </c>
      <c r="J511" s="8">
        <f>IF($D511="ACC",$C511,0)</f>
        <v>0</v>
      </c>
      <c r="K511" s="8">
        <f>K510+L511</f>
        <v>0</v>
      </c>
      <c r="L511" s="8">
        <f>IF($D511="CBB",$C511,0)</f>
        <v>0</v>
      </c>
    </row>
    <row r="512" spans="1:12" x14ac:dyDescent="0.25">
      <c r="A512" s="6">
        <v>41704</v>
      </c>
      <c r="B512" t="s">
        <v>46</v>
      </c>
      <c r="C512" s="7">
        <v>-300</v>
      </c>
      <c r="D512" t="s">
        <v>6</v>
      </c>
      <c r="E512" s="8">
        <f>E511+F512</f>
        <v>122830</v>
      </c>
      <c r="F512" s="8">
        <f>IF($D512="CR01",$C512,0)</f>
        <v>-300</v>
      </c>
      <c r="G512" s="8">
        <f>G511+H512</f>
        <v>0</v>
      </c>
      <c r="H512" s="8">
        <f>IF($D512="VISA",$C512,0)</f>
        <v>0</v>
      </c>
      <c r="I512" s="8">
        <f>I511+J512</f>
        <v>0</v>
      </c>
      <c r="J512" s="8">
        <f>IF($D512="ACC",$C512,0)</f>
        <v>0</v>
      </c>
      <c r="K512" s="8">
        <f>K511+L512</f>
        <v>0</v>
      </c>
      <c r="L512" s="8">
        <f>IF($D512="CBB",$C512,0)</f>
        <v>0</v>
      </c>
    </row>
    <row r="513" spans="1:12" x14ac:dyDescent="0.25">
      <c r="A513" s="6">
        <v>41706</v>
      </c>
      <c r="B513" t="s">
        <v>67</v>
      </c>
      <c r="C513" s="7">
        <v>6800</v>
      </c>
      <c r="D513" t="s">
        <v>6</v>
      </c>
      <c r="E513" s="8">
        <f>E512+F513</f>
        <v>129630</v>
      </c>
      <c r="F513" s="8">
        <f>IF($D513="CR01",$C513,0)</f>
        <v>6800</v>
      </c>
      <c r="G513" s="8">
        <f>G512+H513</f>
        <v>0</v>
      </c>
      <c r="H513" s="8">
        <f>IF($D513="VISA",$C513,0)</f>
        <v>0</v>
      </c>
      <c r="I513" s="8">
        <f>I512+J513</f>
        <v>0</v>
      </c>
      <c r="J513" s="8">
        <f>IF($D513="ACC",$C513,0)</f>
        <v>0</v>
      </c>
      <c r="K513" s="8">
        <f>K512+L513</f>
        <v>0</v>
      </c>
      <c r="L513" s="8">
        <f>IF($D513="CBB",$C513,0)</f>
        <v>0</v>
      </c>
    </row>
    <row r="514" spans="1:12" x14ac:dyDescent="0.25">
      <c r="A514" s="6">
        <v>41709</v>
      </c>
      <c r="B514" t="s">
        <v>42</v>
      </c>
      <c r="C514" s="7">
        <v>-2806</v>
      </c>
      <c r="D514" t="s">
        <v>6</v>
      </c>
      <c r="E514" s="8">
        <f>E513+F514</f>
        <v>126824</v>
      </c>
      <c r="F514" s="8">
        <f>IF($D514="CR01",$C514,0)</f>
        <v>-2806</v>
      </c>
      <c r="G514" s="8">
        <f>G513+H514</f>
        <v>0</v>
      </c>
      <c r="H514" s="8">
        <f>IF($D514="VISA",$C514,0)</f>
        <v>0</v>
      </c>
      <c r="I514" s="8">
        <f>I513+J514</f>
        <v>0</v>
      </c>
      <c r="J514" s="8">
        <f>IF($D514="ACC",$C514,0)</f>
        <v>0</v>
      </c>
      <c r="K514" s="8">
        <f>K513+L514</f>
        <v>0</v>
      </c>
      <c r="L514" s="8">
        <f>IF($D514="CBB",$C514,0)</f>
        <v>0</v>
      </c>
    </row>
    <row r="515" spans="1:12" x14ac:dyDescent="0.25">
      <c r="A515" s="6">
        <v>41709</v>
      </c>
      <c r="B515" t="s">
        <v>48</v>
      </c>
      <c r="C515" s="7">
        <v>-100</v>
      </c>
      <c r="D515" t="s">
        <v>6</v>
      </c>
      <c r="E515" s="8">
        <f>E514+F515</f>
        <v>126724</v>
      </c>
      <c r="F515" s="8">
        <f>IF($D515="CR01",$C515,0)</f>
        <v>-100</v>
      </c>
      <c r="G515" s="8">
        <f>G514+H515</f>
        <v>0</v>
      </c>
      <c r="H515" s="8">
        <f>IF($D515="VISA",$C515,0)</f>
        <v>0</v>
      </c>
      <c r="I515" s="8">
        <f>I514+J515</f>
        <v>0</v>
      </c>
      <c r="J515" s="8">
        <f>IF($D515="ACC",$C515,0)</f>
        <v>0</v>
      </c>
      <c r="K515" s="8">
        <f>K514+L515</f>
        <v>0</v>
      </c>
      <c r="L515" s="8">
        <f>IF($D515="CBB",$C515,0)</f>
        <v>0</v>
      </c>
    </row>
    <row r="516" spans="1:12" x14ac:dyDescent="0.25">
      <c r="A516" s="6">
        <v>41710</v>
      </c>
      <c r="B516" t="s">
        <v>47</v>
      </c>
      <c r="C516" s="7">
        <v>-120</v>
      </c>
      <c r="D516" t="s">
        <v>6</v>
      </c>
      <c r="E516" s="8">
        <f>E515+F516</f>
        <v>126604</v>
      </c>
      <c r="F516" s="8">
        <f>IF($D516="CR01",$C516,0)</f>
        <v>-120</v>
      </c>
      <c r="G516" s="8">
        <f>G515+H516</f>
        <v>0</v>
      </c>
      <c r="H516" s="8">
        <f>IF($D516="VISA",$C516,0)</f>
        <v>0</v>
      </c>
      <c r="I516" s="8">
        <f>I515+J516</f>
        <v>0</v>
      </c>
      <c r="J516" s="8">
        <f>IF($D516="ACC",$C516,0)</f>
        <v>0</v>
      </c>
      <c r="K516" s="8">
        <f>K515+L516</f>
        <v>0</v>
      </c>
      <c r="L516" s="8">
        <f>IF($D516="CBB",$C516,0)</f>
        <v>0</v>
      </c>
    </row>
    <row r="517" spans="1:12" x14ac:dyDescent="0.25">
      <c r="A517" s="6">
        <v>41711</v>
      </c>
      <c r="B517" t="s">
        <v>44</v>
      </c>
      <c r="C517" s="7">
        <v>-400</v>
      </c>
      <c r="D517" t="s">
        <v>6</v>
      </c>
      <c r="E517" s="8">
        <f>E516+F517</f>
        <v>126204</v>
      </c>
      <c r="F517" s="8">
        <f>IF($D517="CR01",$C517,0)</f>
        <v>-400</v>
      </c>
      <c r="G517" s="8">
        <f>G516+H517</f>
        <v>0</v>
      </c>
      <c r="H517" s="8">
        <f>IF($D517="VISA",$C517,0)</f>
        <v>0</v>
      </c>
      <c r="I517" s="8">
        <f>I516+J517</f>
        <v>0</v>
      </c>
      <c r="J517" s="8">
        <f>IF($D517="ACC",$C517,0)</f>
        <v>0</v>
      </c>
      <c r="K517" s="8">
        <f>K516+L517</f>
        <v>0</v>
      </c>
      <c r="L517" s="8">
        <f>IF($D517="CBB",$C517,0)</f>
        <v>0</v>
      </c>
    </row>
    <row r="518" spans="1:12" x14ac:dyDescent="0.25">
      <c r="A518" s="6">
        <v>41711</v>
      </c>
      <c r="B518" t="s">
        <v>45</v>
      </c>
      <c r="C518" s="7">
        <v>-180</v>
      </c>
      <c r="D518" t="s">
        <v>6</v>
      </c>
      <c r="E518" s="8">
        <f>E517+F518</f>
        <v>126024</v>
      </c>
      <c r="F518" s="8">
        <f>IF($D518="CR01",$C518,0)</f>
        <v>-180</v>
      </c>
      <c r="G518" s="8">
        <f>G517+H518</f>
        <v>0</v>
      </c>
      <c r="H518" s="8">
        <f>IF($D518="VISA",$C518,0)</f>
        <v>0</v>
      </c>
      <c r="I518" s="8">
        <f>I517+J518</f>
        <v>0</v>
      </c>
      <c r="J518" s="8">
        <f>IF($D518="ACC",$C518,0)</f>
        <v>0</v>
      </c>
      <c r="K518" s="8">
        <f>K517+L518</f>
        <v>0</v>
      </c>
      <c r="L518" s="8">
        <f>IF($D518="CBB",$C518,0)</f>
        <v>0</v>
      </c>
    </row>
    <row r="519" spans="1:12" x14ac:dyDescent="0.25">
      <c r="A519" s="6">
        <v>41711</v>
      </c>
      <c r="B519" t="s">
        <v>46</v>
      </c>
      <c r="C519" s="7">
        <v>-300</v>
      </c>
      <c r="D519" t="s">
        <v>6</v>
      </c>
      <c r="E519" s="8">
        <f>E518+F519</f>
        <v>125724</v>
      </c>
      <c r="F519" s="8">
        <f>IF($D519="CR01",$C519,0)</f>
        <v>-300</v>
      </c>
      <c r="G519" s="8">
        <f>G518+H519</f>
        <v>0</v>
      </c>
      <c r="H519" s="8">
        <f>IF($D519="VISA",$C519,0)</f>
        <v>0</v>
      </c>
      <c r="I519" s="8">
        <f>I518+J519</f>
        <v>0</v>
      </c>
      <c r="J519" s="8">
        <f>IF($D519="ACC",$C519,0)</f>
        <v>0</v>
      </c>
      <c r="K519" s="8">
        <f>K518+L519</f>
        <v>0</v>
      </c>
      <c r="L519" s="8">
        <f>IF($D519="CBB",$C519,0)</f>
        <v>0</v>
      </c>
    </row>
    <row r="520" spans="1:12" x14ac:dyDescent="0.25">
      <c r="A520" s="6">
        <v>41712</v>
      </c>
      <c r="B520" t="s">
        <v>43</v>
      </c>
      <c r="C520" s="7">
        <v>3226</v>
      </c>
      <c r="D520" t="s">
        <v>6</v>
      </c>
      <c r="E520" s="8">
        <f>E519+F520</f>
        <v>128950</v>
      </c>
      <c r="F520" s="8">
        <f>IF($D520="CR01",$C520,0)</f>
        <v>3226</v>
      </c>
      <c r="G520" s="8">
        <f>G519+H520</f>
        <v>0</v>
      </c>
      <c r="H520" s="8">
        <f>IF($D520="VISA",$C520,0)</f>
        <v>0</v>
      </c>
      <c r="I520" s="8">
        <f>I519+J520</f>
        <v>0</v>
      </c>
      <c r="J520" s="8">
        <f>IF($D520="ACC",$C520,0)</f>
        <v>0</v>
      </c>
      <c r="K520" s="8">
        <f>K519+L520</f>
        <v>0</v>
      </c>
      <c r="L520" s="8">
        <f>IF($D520="CBB",$C520,0)</f>
        <v>0</v>
      </c>
    </row>
    <row r="521" spans="1:12" x14ac:dyDescent="0.25">
      <c r="A521" s="6">
        <v>41716</v>
      </c>
      <c r="B521" t="s">
        <v>48</v>
      </c>
      <c r="C521" s="7">
        <v>-100</v>
      </c>
      <c r="D521" t="s">
        <v>6</v>
      </c>
      <c r="E521" s="8">
        <f>E520+F521</f>
        <v>128850</v>
      </c>
      <c r="F521" s="8">
        <f>IF($D521="CR01",$C521,0)</f>
        <v>-100</v>
      </c>
      <c r="G521" s="8">
        <f>G520+H521</f>
        <v>0</v>
      </c>
      <c r="H521" s="8">
        <f>IF($D521="VISA",$C521,0)</f>
        <v>0</v>
      </c>
      <c r="I521" s="8">
        <f>I520+J521</f>
        <v>0</v>
      </c>
      <c r="J521" s="8">
        <f>IF($D521="ACC",$C521,0)</f>
        <v>0</v>
      </c>
      <c r="K521" s="8">
        <f>K520+L521</f>
        <v>0</v>
      </c>
      <c r="L521" s="8">
        <f>IF($D521="CBB",$C521,0)</f>
        <v>0</v>
      </c>
    </row>
    <row r="522" spans="1:12" x14ac:dyDescent="0.25">
      <c r="A522" s="6">
        <v>41717</v>
      </c>
      <c r="B522" t="s">
        <v>47</v>
      </c>
      <c r="C522" s="7">
        <v>-120</v>
      </c>
      <c r="D522" t="s">
        <v>6</v>
      </c>
      <c r="E522" s="8">
        <f>E521+F522</f>
        <v>128730</v>
      </c>
      <c r="F522" s="8">
        <f>IF($D522="CR01",$C522,0)</f>
        <v>-120</v>
      </c>
      <c r="G522" s="8">
        <f>G521+H522</f>
        <v>0</v>
      </c>
      <c r="H522" s="8">
        <f>IF($D522="VISA",$C522,0)</f>
        <v>0</v>
      </c>
      <c r="I522" s="8">
        <f>I521+J522</f>
        <v>0</v>
      </c>
      <c r="J522" s="8">
        <f>IF($D522="ACC",$C522,0)</f>
        <v>0</v>
      </c>
      <c r="K522" s="8">
        <f>K521+L522</f>
        <v>0</v>
      </c>
      <c r="L522" s="8">
        <f>IF($D522="CBB",$C522,0)</f>
        <v>0</v>
      </c>
    </row>
    <row r="523" spans="1:12" x14ac:dyDescent="0.25">
      <c r="A523" s="6">
        <v>41718</v>
      </c>
      <c r="B523" t="s">
        <v>44</v>
      </c>
      <c r="C523" s="7">
        <v>-400</v>
      </c>
      <c r="D523" t="s">
        <v>6</v>
      </c>
      <c r="E523" s="8">
        <f>E522+F523</f>
        <v>128330</v>
      </c>
      <c r="F523" s="8">
        <f>IF($D523="CR01",$C523,0)</f>
        <v>-400</v>
      </c>
      <c r="G523" s="8">
        <f>G522+H523</f>
        <v>0</v>
      </c>
      <c r="H523" s="8">
        <f>IF($D523="VISA",$C523,0)</f>
        <v>0</v>
      </c>
      <c r="I523" s="8">
        <f>I522+J523</f>
        <v>0</v>
      </c>
      <c r="J523" s="8">
        <f>IF($D523="ACC",$C523,0)</f>
        <v>0</v>
      </c>
      <c r="K523" s="8">
        <f>K522+L523</f>
        <v>0</v>
      </c>
      <c r="L523" s="8">
        <f>IF($D523="CBB",$C523,0)</f>
        <v>0</v>
      </c>
    </row>
    <row r="524" spans="1:12" x14ac:dyDescent="0.25">
      <c r="A524" s="6">
        <v>41718</v>
      </c>
      <c r="B524" t="s">
        <v>45</v>
      </c>
      <c r="C524" s="7">
        <v>-180</v>
      </c>
      <c r="D524" t="s">
        <v>6</v>
      </c>
      <c r="E524" s="8">
        <f>E523+F524</f>
        <v>128150</v>
      </c>
      <c r="F524" s="8">
        <f>IF($D524="CR01",$C524,0)</f>
        <v>-180</v>
      </c>
      <c r="G524" s="8">
        <f>G523+H524</f>
        <v>0</v>
      </c>
      <c r="H524" s="8">
        <f>IF($D524="VISA",$C524,0)</f>
        <v>0</v>
      </c>
      <c r="I524" s="8">
        <f>I523+J524</f>
        <v>0</v>
      </c>
      <c r="J524" s="8">
        <f>IF($D524="ACC",$C524,0)</f>
        <v>0</v>
      </c>
      <c r="K524" s="8">
        <f>K523+L524</f>
        <v>0</v>
      </c>
      <c r="L524" s="8">
        <f>IF($D524="CBB",$C524,0)</f>
        <v>0</v>
      </c>
    </row>
    <row r="525" spans="1:12" x14ac:dyDescent="0.25">
      <c r="A525" s="6">
        <v>41718</v>
      </c>
      <c r="B525" t="s">
        <v>46</v>
      </c>
      <c r="C525" s="7">
        <v>-300</v>
      </c>
      <c r="D525" t="s">
        <v>6</v>
      </c>
      <c r="E525" s="8">
        <f>E524+F525</f>
        <v>127850</v>
      </c>
      <c r="F525" s="8">
        <f>IF($D525="CR01",$C525,0)</f>
        <v>-300</v>
      </c>
      <c r="G525" s="8">
        <f>G524+H525</f>
        <v>0</v>
      </c>
      <c r="H525" s="8">
        <f>IF($D525="VISA",$C525,0)</f>
        <v>0</v>
      </c>
      <c r="I525" s="8">
        <f>I524+J525</f>
        <v>0</v>
      </c>
      <c r="J525" s="8">
        <f>IF($D525="ACC",$C525,0)</f>
        <v>0</v>
      </c>
      <c r="K525" s="8">
        <f>K524+L525</f>
        <v>0</v>
      </c>
      <c r="L525" s="8">
        <f>IF($D525="CBB",$C525,0)</f>
        <v>0</v>
      </c>
    </row>
    <row r="526" spans="1:12" x14ac:dyDescent="0.25">
      <c r="A526" s="6">
        <v>41720</v>
      </c>
      <c r="B526" t="s">
        <v>67</v>
      </c>
      <c r="C526" s="7">
        <v>6800</v>
      </c>
      <c r="D526" t="s">
        <v>6</v>
      </c>
      <c r="E526" s="8">
        <f>E525+F526</f>
        <v>134650</v>
      </c>
      <c r="F526" s="8">
        <f>IF($D526="CR01",$C526,0)</f>
        <v>6800</v>
      </c>
      <c r="G526" s="8">
        <f>G525+H526</f>
        <v>0</v>
      </c>
      <c r="H526" s="8">
        <f>IF($D526="VISA",$C526,0)</f>
        <v>0</v>
      </c>
      <c r="I526" s="8">
        <f>I525+J526</f>
        <v>0</v>
      </c>
      <c r="J526" s="8">
        <f>IF($D526="ACC",$C526,0)</f>
        <v>0</v>
      </c>
      <c r="K526" s="8">
        <f>K525+L526</f>
        <v>0</v>
      </c>
      <c r="L526" s="8">
        <f>IF($D526="CBB",$C526,0)</f>
        <v>0</v>
      </c>
    </row>
    <row r="527" spans="1:12" x14ac:dyDescent="0.25">
      <c r="A527" s="6">
        <v>41723</v>
      </c>
      <c r="B527" t="s">
        <v>42</v>
      </c>
      <c r="C527" s="7">
        <v>-2806</v>
      </c>
      <c r="D527" t="s">
        <v>6</v>
      </c>
      <c r="E527" s="8">
        <f>E526+F527</f>
        <v>131844</v>
      </c>
      <c r="F527" s="8">
        <f>IF($D527="CR01",$C527,0)</f>
        <v>-2806</v>
      </c>
      <c r="G527" s="8">
        <f>G526+H527</f>
        <v>0</v>
      </c>
      <c r="H527" s="8">
        <f>IF($D527="VISA",$C527,0)</f>
        <v>0</v>
      </c>
      <c r="I527" s="8">
        <f>I526+J527</f>
        <v>0</v>
      </c>
      <c r="J527" s="8">
        <f>IF($D527="ACC",$C527,0)</f>
        <v>0</v>
      </c>
      <c r="K527" s="8">
        <f>K526+L527</f>
        <v>0</v>
      </c>
      <c r="L527" s="8">
        <f>IF($D527="CBB",$C527,0)</f>
        <v>0</v>
      </c>
    </row>
    <row r="528" spans="1:12" x14ac:dyDescent="0.25">
      <c r="A528" s="6">
        <v>41723</v>
      </c>
      <c r="B528" t="s">
        <v>48</v>
      </c>
      <c r="C528" s="7">
        <v>-100</v>
      </c>
      <c r="D528" t="s">
        <v>6</v>
      </c>
      <c r="E528" s="8">
        <f>E527+F528</f>
        <v>131744</v>
      </c>
      <c r="F528" s="8">
        <f>IF($D528="CR01",$C528,0)</f>
        <v>-100</v>
      </c>
      <c r="G528" s="8">
        <f>G527+H528</f>
        <v>0</v>
      </c>
      <c r="H528" s="8">
        <f>IF($D528="VISA",$C528,0)</f>
        <v>0</v>
      </c>
      <c r="I528" s="8">
        <f>I527+J528</f>
        <v>0</v>
      </c>
      <c r="J528" s="8">
        <f>IF($D528="ACC",$C528,0)</f>
        <v>0</v>
      </c>
      <c r="K528" s="8">
        <f>K527+L528</f>
        <v>0</v>
      </c>
      <c r="L528" s="8">
        <f>IF($D528="CBB",$C528,0)</f>
        <v>0</v>
      </c>
    </row>
    <row r="529" spans="1:12" x14ac:dyDescent="0.25">
      <c r="A529" s="6">
        <v>41724</v>
      </c>
      <c r="B529" t="s">
        <v>47</v>
      </c>
      <c r="C529" s="7">
        <v>-120</v>
      </c>
      <c r="D529" t="s">
        <v>6</v>
      </c>
      <c r="E529" s="8">
        <f>E528+F529</f>
        <v>131624</v>
      </c>
      <c r="F529" s="8">
        <f>IF($D529="CR01",$C529,0)</f>
        <v>-120</v>
      </c>
      <c r="G529" s="8">
        <f>G528+H529</f>
        <v>0</v>
      </c>
      <c r="H529" s="8">
        <f>IF($D529="VISA",$C529,0)</f>
        <v>0</v>
      </c>
      <c r="I529" s="8">
        <f>I528+J529</f>
        <v>0</v>
      </c>
      <c r="J529" s="8">
        <f>IF($D529="ACC",$C529,0)</f>
        <v>0</v>
      </c>
      <c r="K529" s="8">
        <f>K528+L529</f>
        <v>0</v>
      </c>
      <c r="L529" s="8">
        <f>IF($D529="CBB",$C529,0)</f>
        <v>0</v>
      </c>
    </row>
    <row r="530" spans="1:12" x14ac:dyDescent="0.25">
      <c r="A530" s="6">
        <v>41725</v>
      </c>
      <c r="B530" t="s">
        <v>44</v>
      </c>
      <c r="C530" s="7">
        <v>-400</v>
      </c>
      <c r="D530" t="s">
        <v>6</v>
      </c>
      <c r="E530" s="8">
        <f>E529+F530</f>
        <v>131224</v>
      </c>
      <c r="F530" s="8">
        <f>IF($D530="CR01",$C530,0)</f>
        <v>-400</v>
      </c>
      <c r="G530" s="8">
        <f>G529+H530</f>
        <v>0</v>
      </c>
      <c r="H530" s="8">
        <f>IF($D530="VISA",$C530,0)</f>
        <v>0</v>
      </c>
      <c r="I530" s="8">
        <f>I529+J530</f>
        <v>0</v>
      </c>
      <c r="J530" s="8">
        <f>IF($D530="ACC",$C530,0)</f>
        <v>0</v>
      </c>
      <c r="K530" s="8">
        <f>K529+L530</f>
        <v>0</v>
      </c>
      <c r="L530" s="8">
        <f>IF($D530="CBB",$C530,0)</f>
        <v>0</v>
      </c>
    </row>
    <row r="531" spans="1:12" x14ac:dyDescent="0.25">
      <c r="A531" s="6">
        <v>41725</v>
      </c>
      <c r="B531" t="s">
        <v>45</v>
      </c>
      <c r="C531" s="7">
        <v>-180</v>
      </c>
      <c r="D531" t="s">
        <v>6</v>
      </c>
      <c r="E531" s="8">
        <f>E530+F531</f>
        <v>131044</v>
      </c>
      <c r="F531" s="8">
        <f>IF($D531="CR01",$C531,0)</f>
        <v>-180</v>
      </c>
      <c r="G531" s="8">
        <f>G530+H531</f>
        <v>0</v>
      </c>
      <c r="H531" s="8">
        <f>IF($D531="VISA",$C531,0)</f>
        <v>0</v>
      </c>
      <c r="I531" s="8">
        <f>I530+J531</f>
        <v>0</v>
      </c>
      <c r="J531" s="8">
        <f>IF($D531="ACC",$C531,0)</f>
        <v>0</v>
      </c>
      <c r="K531" s="8">
        <f>K530+L531</f>
        <v>0</v>
      </c>
      <c r="L531" s="8">
        <f>IF($D531="CBB",$C531,0)</f>
        <v>0</v>
      </c>
    </row>
    <row r="532" spans="1:12" x14ac:dyDescent="0.25">
      <c r="A532" s="6">
        <v>41725</v>
      </c>
      <c r="B532" t="s">
        <v>46</v>
      </c>
      <c r="C532" s="7">
        <v>-300</v>
      </c>
      <c r="D532" t="s">
        <v>6</v>
      </c>
      <c r="E532" s="8">
        <f>E531+F532</f>
        <v>130744</v>
      </c>
      <c r="F532" s="8">
        <f>IF($D532="CR01",$C532,0)</f>
        <v>-300</v>
      </c>
      <c r="G532" s="8">
        <f>G531+H532</f>
        <v>0</v>
      </c>
      <c r="H532" s="8">
        <f>IF($D532="VISA",$C532,0)</f>
        <v>0</v>
      </c>
      <c r="I532" s="8">
        <f>I531+J532</f>
        <v>0</v>
      </c>
      <c r="J532" s="8">
        <f>IF($D532="ACC",$C532,0)</f>
        <v>0</v>
      </c>
      <c r="K532" s="8">
        <f>K531+L532</f>
        <v>0</v>
      </c>
      <c r="L532" s="8">
        <f>IF($D532="CBB",$C532,0)</f>
        <v>0</v>
      </c>
    </row>
    <row r="533" spans="1:12" x14ac:dyDescent="0.25">
      <c r="A533" s="6">
        <v>41726</v>
      </c>
      <c r="B533" t="s">
        <v>43</v>
      </c>
      <c r="C533" s="7">
        <v>3226</v>
      </c>
      <c r="D533" t="s">
        <v>6</v>
      </c>
      <c r="E533" s="8">
        <f>E532+F533</f>
        <v>133970</v>
      </c>
      <c r="F533" s="8">
        <f>IF($D533="CR01",$C533,0)</f>
        <v>3226</v>
      </c>
      <c r="G533" s="8">
        <f>G532+H533</f>
        <v>0</v>
      </c>
      <c r="H533" s="8">
        <f>IF($D533="VISA",$C533,0)</f>
        <v>0</v>
      </c>
      <c r="I533" s="8">
        <f>I532+J533</f>
        <v>0</v>
      </c>
      <c r="J533" s="8">
        <f>IF($D533="ACC",$C533,0)</f>
        <v>0</v>
      </c>
      <c r="K533" s="8">
        <f>K532+L533</f>
        <v>0</v>
      </c>
      <c r="L533" s="8">
        <f>IF($D533="CBB",$C533,0)</f>
        <v>0</v>
      </c>
    </row>
    <row r="534" spans="1:12" x14ac:dyDescent="0.25">
      <c r="A534" s="6">
        <v>41730</v>
      </c>
      <c r="B534" t="s">
        <v>48</v>
      </c>
      <c r="C534" s="7">
        <v>-100</v>
      </c>
      <c r="D534" t="s">
        <v>6</v>
      </c>
      <c r="E534" s="8">
        <f>E533+F534</f>
        <v>133870</v>
      </c>
      <c r="F534" s="8">
        <f>IF($D534="CR01",$C534,0)</f>
        <v>-100</v>
      </c>
      <c r="G534" s="8">
        <f>G533+H534</f>
        <v>0</v>
      </c>
      <c r="H534" s="8">
        <f>IF($D534="VISA",$C534,0)</f>
        <v>0</v>
      </c>
      <c r="I534" s="8">
        <f>I533+J534</f>
        <v>0</v>
      </c>
      <c r="J534" s="8">
        <f>IF($D534="ACC",$C534,0)</f>
        <v>0</v>
      </c>
      <c r="K534" s="8">
        <f>K533+L534</f>
        <v>0</v>
      </c>
      <c r="L534" s="8">
        <f>IF($D534="CBB",$C534,0)</f>
        <v>0</v>
      </c>
    </row>
    <row r="535" spans="1:12" x14ac:dyDescent="0.25">
      <c r="A535" s="6">
        <v>41730</v>
      </c>
      <c r="B535" t="s">
        <v>58</v>
      </c>
      <c r="C535" s="7">
        <v>-200</v>
      </c>
      <c r="D535" t="s">
        <v>6</v>
      </c>
      <c r="E535" s="8">
        <f>E534+F535</f>
        <v>133670</v>
      </c>
      <c r="F535" s="8">
        <f>IF($D535="CR01",$C535,0)</f>
        <v>-200</v>
      </c>
      <c r="G535" s="8">
        <f>G534+H535</f>
        <v>0</v>
      </c>
      <c r="H535" s="8">
        <f>IF($D535="VISA",$C535,0)</f>
        <v>0</v>
      </c>
      <c r="I535" s="8">
        <f>I534+J535</f>
        <v>0</v>
      </c>
      <c r="J535" s="8">
        <f>IF($D535="ACC",$C535,0)</f>
        <v>0</v>
      </c>
      <c r="K535" s="8">
        <f>K534+L535</f>
        <v>0</v>
      </c>
      <c r="L535" s="8">
        <f>IF($D535="CBB",$C535,0)</f>
        <v>0</v>
      </c>
    </row>
    <row r="536" spans="1:12" x14ac:dyDescent="0.25">
      <c r="A536" s="6">
        <v>41730</v>
      </c>
      <c r="B536" t="s">
        <v>60</v>
      </c>
      <c r="C536" s="7">
        <v>-400</v>
      </c>
      <c r="D536" t="s">
        <v>6</v>
      </c>
      <c r="E536" s="8">
        <f>E535+F536</f>
        <v>133270</v>
      </c>
      <c r="F536" s="8">
        <f>IF($D536="CR01",$C536,0)</f>
        <v>-400</v>
      </c>
      <c r="G536" s="8">
        <f>G535+H536</f>
        <v>0</v>
      </c>
      <c r="H536" s="8">
        <f>IF($D536="VISA",$C536,0)</f>
        <v>0</v>
      </c>
      <c r="I536" s="8">
        <f>I535+J536</f>
        <v>0</v>
      </c>
      <c r="J536" s="8">
        <f>IF($D536="ACC",$C536,0)</f>
        <v>0</v>
      </c>
      <c r="K536" s="8">
        <f>K535+L536</f>
        <v>0</v>
      </c>
      <c r="L536" s="8">
        <f>IF($D536="CBB",$C536,0)</f>
        <v>0</v>
      </c>
    </row>
    <row r="537" spans="1:12" x14ac:dyDescent="0.25">
      <c r="A537" s="6">
        <v>41730</v>
      </c>
      <c r="B537" t="s">
        <v>61</v>
      </c>
      <c r="C537" s="7">
        <v>-300</v>
      </c>
      <c r="D537" t="s">
        <v>6</v>
      </c>
      <c r="E537" s="8">
        <f>E536+F537</f>
        <v>132970</v>
      </c>
      <c r="F537" s="8">
        <f>IF($D537="CR01",$C537,0)</f>
        <v>-300</v>
      </c>
      <c r="G537" s="8">
        <f>G536+H537</f>
        <v>0</v>
      </c>
      <c r="H537" s="8">
        <f>IF($D537="VISA",$C537,0)</f>
        <v>0</v>
      </c>
      <c r="I537" s="8">
        <f>I536+J537</f>
        <v>0</v>
      </c>
      <c r="J537" s="8">
        <f>IF($D537="ACC",$C537,0)</f>
        <v>0</v>
      </c>
      <c r="K537" s="8">
        <f>K536+L537</f>
        <v>0</v>
      </c>
      <c r="L537" s="8">
        <f>IF($D537="CBB",$C537,0)</f>
        <v>0</v>
      </c>
    </row>
    <row r="538" spans="1:12" x14ac:dyDescent="0.25">
      <c r="A538" s="6">
        <v>41730</v>
      </c>
      <c r="B538" t="s">
        <v>64</v>
      </c>
      <c r="C538" s="7">
        <v>-26</v>
      </c>
      <c r="D538" t="s">
        <v>6</v>
      </c>
      <c r="E538" s="8">
        <f>E537+F538</f>
        <v>132944</v>
      </c>
      <c r="F538" s="8">
        <f>IF($D538="CR01",$C538,0)</f>
        <v>-26</v>
      </c>
      <c r="G538" s="8">
        <f>G537+H538</f>
        <v>0</v>
      </c>
      <c r="H538" s="8">
        <f>IF($D538="VISA",$C538,0)</f>
        <v>0</v>
      </c>
      <c r="I538" s="8">
        <f>I537+J538</f>
        <v>0</v>
      </c>
      <c r="J538" s="8">
        <f>IF($D538="ACC",$C538,0)</f>
        <v>0</v>
      </c>
      <c r="K538" s="8">
        <f>K537+L538</f>
        <v>0</v>
      </c>
      <c r="L538" s="8">
        <f>IF($D538="CBB",$C538,0)</f>
        <v>0</v>
      </c>
    </row>
    <row r="539" spans="1:12" x14ac:dyDescent="0.25">
      <c r="A539" s="6">
        <v>41730</v>
      </c>
      <c r="B539" t="s">
        <v>65</v>
      </c>
      <c r="C539" s="7">
        <v>-240</v>
      </c>
      <c r="D539" t="s">
        <v>6</v>
      </c>
      <c r="E539" s="8">
        <f>E538+F539</f>
        <v>132704</v>
      </c>
      <c r="F539" s="8">
        <f>IF($D539="CR01",$C539,0)</f>
        <v>-240</v>
      </c>
      <c r="G539" s="8">
        <f>G538+H539</f>
        <v>0</v>
      </c>
      <c r="H539" s="8">
        <f>IF($D539="VISA",$C539,0)</f>
        <v>0</v>
      </c>
      <c r="I539" s="8">
        <f>I538+J539</f>
        <v>0</v>
      </c>
      <c r="J539" s="8">
        <f>IF($D539="ACC",$C539,0)</f>
        <v>0</v>
      </c>
      <c r="K539" s="8">
        <f>K538+L539</f>
        <v>0</v>
      </c>
      <c r="L539" s="8">
        <f>IF($D539="CBB",$C539,0)</f>
        <v>0</v>
      </c>
    </row>
    <row r="540" spans="1:12" x14ac:dyDescent="0.25">
      <c r="A540" s="6">
        <v>41730</v>
      </c>
      <c r="B540" t="s">
        <v>66</v>
      </c>
      <c r="C540" s="7">
        <v>-120</v>
      </c>
      <c r="D540" t="s">
        <v>6</v>
      </c>
      <c r="E540" s="8">
        <f>E539+F540</f>
        <v>132584</v>
      </c>
      <c r="F540" s="8">
        <f>IF($D540="CR01",$C540,0)</f>
        <v>-120</v>
      </c>
      <c r="G540" s="8">
        <f>G539+H540</f>
        <v>0</v>
      </c>
      <c r="H540" s="8">
        <f>IF($D540="VISA",$C540,0)</f>
        <v>0</v>
      </c>
      <c r="I540" s="8">
        <f>I539+J540</f>
        <v>0</v>
      </c>
      <c r="J540" s="8">
        <f>IF($D540="ACC",$C540,0)</f>
        <v>0</v>
      </c>
      <c r="K540" s="8">
        <f>K539+L540</f>
        <v>0</v>
      </c>
      <c r="L540" s="8">
        <f>IF($D540="CBB",$C540,0)</f>
        <v>0</v>
      </c>
    </row>
    <row r="541" spans="1:12" x14ac:dyDescent="0.25">
      <c r="A541" s="6">
        <v>41731</v>
      </c>
      <c r="B541" t="s">
        <v>47</v>
      </c>
      <c r="C541" s="7">
        <v>-120</v>
      </c>
      <c r="D541" t="s">
        <v>6</v>
      </c>
      <c r="E541" s="8">
        <f>E540+F541</f>
        <v>132464</v>
      </c>
      <c r="F541" s="8">
        <f>IF($D541="CR01",$C541,0)</f>
        <v>-120</v>
      </c>
      <c r="G541" s="8">
        <f>G540+H541</f>
        <v>0</v>
      </c>
      <c r="H541" s="8">
        <f>IF($D541="VISA",$C541,0)</f>
        <v>0</v>
      </c>
      <c r="I541" s="8">
        <f>I540+J541</f>
        <v>0</v>
      </c>
      <c r="J541" s="8">
        <f>IF($D541="ACC",$C541,0)</f>
        <v>0</v>
      </c>
      <c r="K541" s="8">
        <f>K540+L541</f>
        <v>0</v>
      </c>
      <c r="L541" s="8">
        <f>IF($D541="CBB",$C541,0)</f>
        <v>0</v>
      </c>
    </row>
    <row r="542" spans="1:12" x14ac:dyDescent="0.25">
      <c r="A542" s="6">
        <v>41731</v>
      </c>
      <c r="B542" t="s">
        <v>59</v>
      </c>
      <c r="C542" s="7">
        <v>-900</v>
      </c>
      <c r="D542" t="s">
        <v>6</v>
      </c>
      <c r="E542" s="8">
        <f>E541+F542</f>
        <v>131564</v>
      </c>
      <c r="F542" s="8">
        <f>IF($D542="CR01",$C542,0)</f>
        <v>-900</v>
      </c>
      <c r="G542" s="8">
        <f>G541+H542</f>
        <v>0</v>
      </c>
      <c r="H542" s="8">
        <f>IF($D542="VISA",$C542,0)</f>
        <v>0</v>
      </c>
      <c r="I542" s="8">
        <f>I541+J542</f>
        <v>0</v>
      </c>
      <c r="J542" s="8">
        <f>IF($D542="ACC",$C542,0)</f>
        <v>0</v>
      </c>
      <c r="K542" s="8">
        <f>K541+L542</f>
        <v>0</v>
      </c>
      <c r="L542" s="8">
        <f>IF($D542="CBB",$C542,0)</f>
        <v>0</v>
      </c>
    </row>
    <row r="543" spans="1:12" x14ac:dyDescent="0.25">
      <c r="A543" s="6">
        <v>41732</v>
      </c>
      <c r="B543" t="s">
        <v>44</v>
      </c>
      <c r="C543" s="7">
        <v>-400</v>
      </c>
      <c r="D543" t="s">
        <v>6</v>
      </c>
      <c r="E543" s="8">
        <f>E542+F543</f>
        <v>131164</v>
      </c>
      <c r="F543" s="8">
        <f>IF($D543="CR01",$C543,0)</f>
        <v>-400</v>
      </c>
      <c r="G543" s="8">
        <f>G542+H543</f>
        <v>0</v>
      </c>
      <c r="H543" s="8">
        <f>IF($D543="VISA",$C543,0)</f>
        <v>0</v>
      </c>
      <c r="I543" s="8">
        <f>I542+J543</f>
        <v>0</v>
      </c>
      <c r="J543" s="8">
        <f>IF($D543="ACC",$C543,0)</f>
        <v>0</v>
      </c>
      <c r="K543" s="8">
        <f>K542+L543</f>
        <v>0</v>
      </c>
      <c r="L543" s="8">
        <f>IF($D543="CBB",$C543,0)</f>
        <v>0</v>
      </c>
    </row>
    <row r="544" spans="1:12" x14ac:dyDescent="0.25">
      <c r="A544" s="6">
        <v>41732</v>
      </c>
      <c r="B544" t="s">
        <v>45</v>
      </c>
      <c r="C544" s="7">
        <v>-180</v>
      </c>
      <c r="D544" t="s">
        <v>6</v>
      </c>
      <c r="E544" s="8">
        <f>E543+F544</f>
        <v>130984</v>
      </c>
      <c r="F544" s="8">
        <f>IF($D544="CR01",$C544,0)</f>
        <v>-180</v>
      </c>
      <c r="G544" s="8">
        <f>G543+H544</f>
        <v>0</v>
      </c>
      <c r="H544" s="8">
        <f>IF($D544="VISA",$C544,0)</f>
        <v>0</v>
      </c>
      <c r="I544" s="8">
        <f>I543+J544</f>
        <v>0</v>
      </c>
      <c r="J544" s="8">
        <f>IF($D544="ACC",$C544,0)</f>
        <v>0</v>
      </c>
      <c r="K544" s="8">
        <f>K543+L544</f>
        <v>0</v>
      </c>
      <c r="L544" s="8">
        <f>IF($D544="CBB",$C544,0)</f>
        <v>0</v>
      </c>
    </row>
    <row r="545" spans="1:12" x14ac:dyDescent="0.25">
      <c r="A545" s="6">
        <v>41732</v>
      </c>
      <c r="B545" t="s">
        <v>46</v>
      </c>
      <c r="C545" s="7">
        <v>-300</v>
      </c>
      <c r="D545" t="s">
        <v>6</v>
      </c>
      <c r="E545" s="8">
        <f>E544+F545</f>
        <v>130684</v>
      </c>
      <c r="F545" s="8">
        <f>IF($D545="CR01",$C545,0)</f>
        <v>-300</v>
      </c>
      <c r="G545" s="8">
        <f>G544+H545</f>
        <v>0</v>
      </c>
      <c r="H545" s="8">
        <f>IF($D545="VISA",$C545,0)</f>
        <v>0</v>
      </c>
      <c r="I545" s="8">
        <f>I544+J545</f>
        <v>0</v>
      </c>
      <c r="J545" s="8">
        <f>IF($D545="ACC",$C545,0)</f>
        <v>0</v>
      </c>
      <c r="K545" s="8">
        <f>K544+L545</f>
        <v>0</v>
      </c>
      <c r="L545" s="8">
        <f>IF($D545="CBB",$C545,0)</f>
        <v>0</v>
      </c>
    </row>
    <row r="546" spans="1:12" x14ac:dyDescent="0.25">
      <c r="A546" s="6">
        <v>41734</v>
      </c>
      <c r="B546" t="s">
        <v>67</v>
      </c>
      <c r="C546" s="7">
        <v>6800</v>
      </c>
      <c r="D546" t="s">
        <v>6</v>
      </c>
      <c r="E546" s="8">
        <f>E545+F546</f>
        <v>137484</v>
      </c>
      <c r="F546" s="8">
        <f>IF($D546="CR01",$C546,0)</f>
        <v>6800</v>
      </c>
      <c r="G546" s="8">
        <f>G545+H546</f>
        <v>0</v>
      </c>
      <c r="H546" s="8">
        <f>IF($D546="VISA",$C546,0)</f>
        <v>0</v>
      </c>
      <c r="I546" s="8">
        <f>I545+J546</f>
        <v>0</v>
      </c>
      <c r="J546" s="8">
        <f>IF($D546="ACC",$C546,0)</f>
        <v>0</v>
      </c>
      <c r="K546" s="8">
        <f>K545+L546</f>
        <v>0</v>
      </c>
      <c r="L546" s="8">
        <f>IF($D546="CBB",$C546,0)</f>
        <v>0</v>
      </c>
    </row>
    <row r="547" spans="1:12" x14ac:dyDescent="0.25">
      <c r="A547" s="6">
        <v>41737</v>
      </c>
      <c r="B547" t="s">
        <v>42</v>
      </c>
      <c r="C547" s="7">
        <v>-2806</v>
      </c>
      <c r="D547" t="s">
        <v>6</v>
      </c>
      <c r="E547" s="8">
        <f>E546+F547</f>
        <v>134678</v>
      </c>
      <c r="F547" s="8">
        <f>IF($D547="CR01",$C547,0)</f>
        <v>-2806</v>
      </c>
      <c r="G547" s="8">
        <f>G546+H547</f>
        <v>0</v>
      </c>
      <c r="H547" s="8">
        <f>IF($D547="VISA",$C547,0)</f>
        <v>0</v>
      </c>
      <c r="I547" s="8">
        <f>I546+J547</f>
        <v>0</v>
      </c>
      <c r="J547" s="8">
        <f>IF($D547="ACC",$C547,0)</f>
        <v>0</v>
      </c>
      <c r="K547" s="8">
        <f>K546+L547</f>
        <v>0</v>
      </c>
      <c r="L547" s="8">
        <f>IF($D547="CBB",$C547,0)</f>
        <v>0</v>
      </c>
    </row>
    <row r="548" spans="1:12" x14ac:dyDescent="0.25">
      <c r="A548" s="6">
        <v>41737</v>
      </c>
      <c r="B548" t="s">
        <v>48</v>
      </c>
      <c r="C548" s="7">
        <v>-100</v>
      </c>
      <c r="D548" t="s">
        <v>6</v>
      </c>
      <c r="E548" s="8">
        <f>E547+F548</f>
        <v>134578</v>
      </c>
      <c r="F548" s="8">
        <f>IF($D548="CR01",$C548,0)</f>
        <v>-100</v>
      </c>
      <c r="G548" s="8">
        <f>G547+H548</f>
        <v>0</v>
      </c>
      <c r="H548" s="8">
        <f>IF($D548="VISA",$C548,0)</f>
        <v>0</v>
      </c>
      <c r="I548" s="8">
        <f>I547+J548</f>
        <v>0</v>
      </c>
      <c r="J548" s="8">
        <f>IF($D548="ACC",$C548,0)</f>
        <v>0</v>
      </c>
      <c r="K548" s="8">
        <f>K547+L548</f>
        <v>0</v>
      </c>
      <c r="L548" s="8">
        <f>IF($D548="CBB",$C548,0)</f>
        <v>0</v>
      </c>
    </row>
    <row r="549" spans="1:12" x14ac:dyDescent="0.25">
      <c r="A549" s="6">
        <v>41738</v>
      </c>
      <c r="B549" t="s">
        <v>47</v>
      </c>
      <c r="C549" s="7">
        <v>-120</v>
      </c>
      <c r="D549" t="s">
        <v>6</v>
      </c>
      <c r="E549" s="8">
        <f>E548+F549</f>
        <v>134458</v>
      </c>
      <c r="F549" s="8">
        <f>IF($D549="CR01",$C549,0)</f>
        <v>-120</v>
      </c>
      <c r="G549" s="8">
        <f>G548+H549</f>
        <v>0</v>
      </c>
      <c r="H549" s="8">
        <f>IF($D549="VISA",$C549,0)</f>
        <v>0</v>
      </c>
      <c r="I549" s="8">
        <f>I548+J549</f>
        <v>0</v>
      </c>
      <c r="J549" s="8">
        <f>IF($D549="ACC",$C549,0)</f>
        <v>0</v>
      </c>
      <c r="K549" s="8">
        <f>K548+L549</f>
        <v>0</v>
      </c>
      <c r="L549" s="8">
        <f>IF($D549="CBB",$C549,0)</f>
        <v>0</v>
      </c>
    </row>
    <row r="550" spans="1:12" x14ac:dyDescent="0.25">
      <c r="A550" s="6">
        <v>41739</v>
      </c>
      <c r="B550" t="s">
        <v>44</v>
      </c>
      <c r="C550" s="7">
        <v>-400</v>
      </c>
      <c r="D550" t="s">
        <v>6</v>
      </c>
      <c r="E550" s="8">
        <f>E549+F550</f>
        <v>134058</v>
      </c>
      <c r="F550" s="8">
        <f>IF($D550="CR01",$C550,0)</f>
        <v>-400</v>
      </c>
      <c r="G550" s="8">
        <f>G549+H550</f>
        <v>0</v>
      </c>
      <c r="H550" s="8">
        <f>IF($D550="VISA",$C550,0)</f>
        <v>0</v>
      </c>
      <c r="I550" s="8">
        <f>I549+J550</f>
        <v>0</v>
      </c>
      <c r="J550" s="8">
        <f>IF($D550="ACC",$C550,0)</f>
        <v>0</v>
      </c>
      <c r="K550" s="8">
        <f>K549+L550</f>
        <v>0</v>
      </c>
      <c r="L550" s="8">
        <f>IF($D550="CBB",$C550,0)</f>
        <v>0</v>
      </c>
    </row>
    <row r="551" spans="1:12" x14ac:dyDescent="0.25">
      <c r="A551" s="6">
        <v>41739</v>
      </c>
      <c r="B551" t="s">
        <v>45</v>
      </c>
      <c r="C551" s="7">
        <v>-180</v>
      </c>
      <c r="D551" t="s">
        <v>6</v>
      </c>
      <c r="E551" s="8">
        <f>E550+F551</f>
        <v>133878</v>
      </c>
      <c r="F551" s="8">
        <f>IF($D551="CR01",$C551,0)</f>
        <v>-180</v>
      </c>
      <c r="G551" s="8">
        <f>G550+H551</f>
        <v>0</v>
      </c>
      <c r="H551" s="8">
        <f>IF($D551="VISA",$C551,0)</f>
        <v>0</v>
      </c>
      <c r="I551" s="8">
        <f>I550+J551</f>
        <v>0</v>
      </c>
      <c r="J551" s="8">
        <f>IF($D551="ACC",$C551,0)</f>
        <v>0</v>
      </c>
      <c r="K551" s="8">
        <f>K550+L551</f>
        <v>0</v>
      </c>
      <c r="L551" s="8">
        <f>IF($D551="CBB",$C551,0)</f>
        <v>0</v>
      </c>
    </row>
    <row r="552" spans="1:12" x14ac:dyDescent="0.25">
      <c r="A552" s="6">
        <v>41739</v>
      </c>
      <c r="B552" t="s">
        <v>46</v>
      </c>
      <c r="C552" s="7">
        <v>-300</v>
      </c>
      <c r="D552" t="s">
        <v>6</v>
      </c>
      <c r="E552" s="8">
        <f>E551+F552</f>
        <v>133578</v>
      </c>
      <c r="F552" s="8">
        <f>IF($D552="CR01",$C552,0)</f>
        <v>-300</v>
      </c>
      <c r="G552" s="8">
        <f>G551+H552</f>
        <v>0</v>
      </c>
      <c r="H552" s="8">
        <f>IF($D552="VISA",$C552,0)</f>
        <v>0</v>
      </c>
      <c r="I552" s="8">
        <f>I551+J552</f>
        <v>0</v>
      </c>
      <c r="J552" s="8">
        <f>IF($D552="ACC",$C552,0)</f>
        <v>0</v>
      </c>
      <c r="K552" s="8">
        <f>K551+L552</f>
        <v>0</v>
      </c>
      <c r="L552" s="8">
        <f>IF($D552="CBB",$C552,0)</f>
        <v>0</v>
      </c>
    </row>
    <row r="553" spans="1:12" x14ac:dyDescent="0.25">
      <c r="A553" s="6">
        <v>41740</v>
      </c>
      <c r="B553" t="s">
        <v>43</v>
      </c>
      <c r="C553" s="7">
        <v>3226</v>
      </c>
      <c r="D553" t="s">
        <v>6</v>
      </c>
      <c r="E553" s="8">
        <f>E552+F553</f>
        <v>136804</v>
      </c>
      <c r="F553" s="8">
        <f>IF($D553="CR01",$C553,0)</f>
        <v>3226</v>
      </c>
      <c r="G553" s="8">
        <f>G552+H553</f>
        <v>0</v>
      </c>
      <c r="H553" s="8">
        <f>IF($D553="VISA",$C553,0)</f>
        <v>0</v>
      </c>
      <c r="I553" s="8">
        <f>I552+J553</f>
        <v>0</v>
      </c>
      <c r="J553" s="8">
        <f>IF($D553="ACC",$C553,0)</f>
        <v>0</v>
      </c>
      <c r="K553" s="8">
        <f>K552+L553</f>
        <v>0</v>
      </c>
      <c r="L553" s="8">
        <f>IF($D553="CBB",$C553,0)</f>
        <v>0</v>
      </c>
    </row>
    <row r="554" spans="1:12" x14ac:dyDescent="0.25">
      <c r="A554" s="6">
        <v>41744</v>
      </c>
      <c r="B554" t="s">
        <v>48</v>
      </c>
      <c r="C554" s="7">
        <v>-100</v>
      </c>
      <c r="D554" t="s">
        <v>6</v>
      </c>
      <c r="E554" s="8">
        <f>E553+F554</f>
        <v>136704</v>
      </c>
      <c r="F554" s="8">
        <f>IF($D554="CR01",$C554,0)</f>
        <v>-100</v>
      </c>
      <c r="G554" s="8">
        <f>G553+H554</f>
        <v>0</v>
      </c>
      <c r="H554" s="8">
        <f>IF($D554="VISA",$C554,0)</f>
        <v>0</v>
      </c>
      <c r="I554" s="8">
        <f>I553+J554</f>
        <v>0</v>
      </c>
      <c r="J554" s="8">
        <f>IF($D554="ACC",$C554,0)</f>
        <v>0</v>
      </c>
      <c r="K554" s="8">
        <f>K553+L554</f>
        <v>0</v>
      </c>
      <c r="L554" s="8">
        <f>IF($D554="CBB",$C554,0)</f>
        <v>0</v>
      </c>
    </row>
    <row r="555" spans="1:12" x14ac:dyDescent="0.25">
      <c r="A555" s="6">
        <v>41745</v>
      </c>
      <c r="B555" t="s">
        <v>47</v>
      </c>
      <c r="C555" s="7">
        <v>-120</v>
      </c>
      <c r="D555" t="s">
        <v>6</v>
      </c>
      <c r="E555" s="8">
        <f>E554+F555</f>
        <v>136584</v>
      </c>
      <c r="F555" s="8">
        <f>IF($D555="CR01",$C555,0)</f>
        <v>-120</v>
      </c>
      <c r="G555" s="8">
        <f>G554+H555</f>
        <v>0</v>
      </c>
      <c r="H555" s="8">
        <f>IF($D555="VISA",$C555,0)</f>
        <v>0</v>
      </c>
      <c r="I555" s="8">
        <f>I554+J555</f>
        <v>0</v>
      </c>
      <c r="J555" s="8">
        <f>IF($D555="ACC",$C555,0)</f>
        <v>0</v>
      </c>
      <c r="K555" s="8">
        <f>K554+L555</f>
        <v>0</v>
      </c>
      <c r="L555" s="8">
        <f>IF($D555="CBB",$C555,0)</f>
        <v>0</v>
      </c>
    </row>
    <row r="556" spans="1:12" x14ac:dyDescent="0.25">
      <c r="A556" s="6">
        <v>41746</v>
      </c>
      <c r="B556" t="s">
        <v>44</v>
      </c>
      <c r="C556" s="7">
        <v>-400</v>
      </c>
      <c r="D556" t="s">
        <v>6</v>
      </c>
      <c r="E556" s="8">
        <f>E555+F556</f>
        <v>136184</v>
      </c>
      <c r="F556" s="8">
        <f>IF($D556="CR01",$C556,0)</f>
        <v>-400</v>
      </c>
      <c r="G556" s="8">
        <f>G555+H556</f>
        <v>0</v>
      </c>
      <c r="H556" s="8">
        <f>IF($D556="VISA",$C556,0)</f>
        <v>0</v>
      </c>
      <c r="I556" s="8">
        <f>I555+J556</f>
        <v>0</v>
      </c>
      <c r="J556" s="8">
        <f>IF($D556="ACC",$C556,0)</f>
        <v>0</v>
      </c>
      <c r="K556" s="8">
        <f>K555+L556</f>
        <v>0</v>
      </c>
      <c r="L556" s="8">
        <f>IF($D556="CBB",$C556,0)</f>
        <v>0</v>
      </c>
    </row>
    <row r="557" spans="1:12" x14ac:dyDescent="0.25">
      <c r="A557" s="6">
        <v>41746</v>
      </c>
      <c r="B557" t="s">
        <v>45</v>
      </c>
      <c r="C557" s="7">
        <v>-180</v>
      </c>
      <c r="D557" t="s">
        <v>6</v>
      </c>
      <c r="E557" s="8">
        <f>E556+F557</f>
        <v>136004</v>
      </c>
      <c r="F557" s="8">
        <f>IF($D557="CR01",$C557,0)</f>
        <v>-180</v>
      </c>
      <c r="G557" s="8">
        <f>G556+H557</f>
        <v>0</v>
      </c>
      <c r="H557" s="8">
        <f>IF($D557="VISA",$C557,0)</f>
        <v>0</v>
      </c>
      <c r="I557" s="8">
        <f>I556+J557</f>
        <v>0</v>
      </c>
      <c r="J557" s="8">
        <f>IF($D557="ACC",$C557,0)</f>
        <v>0</v>
      </c>
      <c r="K557" s="8">
        <f>K556+L557</f>
        <v>0</v>
      </c>
      <c r="L557" s="8">
        <f>IF($D557="CBB",$C557,0)</f>
        <v>0</v>
      </c>
    </row>
    <row r="558" spans="1:12" x14ac:dyDescent="0.25">
      <c r="A558" s="6">
        <v>41746</v>
      </c>
      <c r="B558" t="s">
        <v>46</v>
      </c>
      <c r="C558" s="7">
        <v>-300</v>
      </c>
      <c r="D558" t="s">
        <v>6</v>
      </c>
      <c r="E558" s="8">
        <f>E557+F558</f>
        <v>135704</v>
      </c>
      <c r="F558" s="8">
        <f>IF($D558="CR01",$C558,0)</f>
        <v>-300</v>
      </c>
      <c r="G558" s="8">
        <f>G557+H558</f>
        <v>0</v>
      </c>
      <c r="H558" s="8">
        <f>IF($D558="VISA",$C558,0)</f>
        <v>0</v>
      </c>
      <c r="I558" s="8">
        <f>I557+J558</f>
        <v>0</v>
      </c>
      <c r="J558" s="8">
        <f>IF($D558="ACC",$C558,0)</f>
        <v>0</v>
      </c>
      <c r="K558" s="8">
        <f>K557+L558</f>
        <v>0</v>
      </c>
      <c r="L558" s="8">
        <f>IF($D558="CBB",$C558,0)</f>
        <v>0</v>
      </c>
    </row>
    <row r="559" spans="1:12" x14ac:dyDescent="0.25">
      <c r="A559" s="6">
        <v>41748</v>
      </c>
      <c r="B559" t="s">
        <v>67</v>
      </c>
      <c r="C559" s="7">
        <v>6800</v>
      </c>
      <c r="D559" t="s">
        <v>6</v>
      </c>
      <c r="E559" s="8">
        <f>E558+F559</f>
        <v>142504</v>
      </c>
      <c r="F559" s="8">
        <f>IF($D559="CR01",$C559,0)</f>
        <v>6800</v>
      </c>
      <c r="G559" s="8">
        <f>G558+H559</f>
        <v>0</v>
      </c>
      <c r="H559" s="8">
        <f>IF($D559="VISA",$C559,0)</f>
        <v>0</v>
      </c>
      <c r="I559" s="8">
        <f>I558+J559</f>
        <v>0</v>
      </c>
      <c r="J559" s="8">
        <f>IF($D559="ACC",$C559,0)</f>
        <v>0</v>
      </c>
      <c r="K559" s="8">
        <f>K558+L559</f>
        <v>0</v>
      </c>
      <c r="L559" s="8">
        <f>IF($D559="CBB",$C559,0)</f>
        <v>0</v>
      </c>
    </row>
    <row r="560" spans="1:12" x14ac:dyDescent="0.25">
      <c r="A560" s="6">
        <v>41751</v>
      </c>
      <c r="B560" t="s">
        <v>42</v>
      </c>
      <c r="C560" s="7">
        <v>-2806</v>
      </c>
      <c r="D560" t="s">
        <v>6</v>
      </c>
      <c r="E560" s="8">
        <f>E559+F560</f>
        <v>139698</v>
      </c>
      <c r="F560" s="8">
        <f>IF($D560="CR01",$C560,0)</f>
        <v>-2806</v>
      </c>
      <c r="G560" s="8">
        <f>G559+H560</f>
        <v>0</v>
      </c>
      <c r="H560" s="8">
        <f>IF($D560="VISA",$C560,0)</f>
        <v>0</v>
      </c>
      <c r="I560" s="8">
        <f>I559+J560</f>
        <v>0</v>
      </c>
      <c r="J560" s="8">
        <f>IF($D560="ACC",$C560,0)</f>
        <v>0</v>
      </c>
      <c r="K560" s="8">
        <f>K559+L560</f>
        <v>0</v>
      </c>
      <c r="L560" s="8">
        <f>IF($D560="CBB",$C560,0)</f>
        <v>0</v>
      </c>
    </row>
    <row r="561" spans="1:12" x14ac:dyDescent="0.25">
      <c r="A561" s="6">
        <v>41751</v>
      </c>
      <c r="B561" t="s">
        <v>48</v>
      </c>
      <c r="C561" s="7">
        <v>-100</v>
      </c>
      <c r="D561" t="s">
        <v>6</v>
      </c>
      <c r="E561" s="8">
        <f>E560+F561</f>
        <v>139598</v>
      </c>
      <c r="F561" s="8">
        <f>IF($D561="CR01",$C561,0)</f>
        <v>-100</v>
      </c>
      <c r="G561" s="8">
        <f>G560+H561</f>
        <v>0</v>
      </c>
      <c r="H561" s="8">
        <f>IF($D561="VISA",$C561,0)</f>
        <v>0</v>
      </c>
      <c r="I561" s="8">
        <f>I560+J561</f>
        <v>0</v>
      </c>
      <c r="J561" s="8">
        <f>IF($D561="ACC",$C561,0)</f>
        <v>0</v>
      </c>
      <c r="K561" s="8">
        <f>K560+L561</f>
        <v>0</v>
      </c>
      <c r="L561" s="8">
        <f>IF($D561="CBB",$C561,0)</f>
        <v>0</v>
      </c>
    </row>
    <row r="562" spans="1:12" x14ac:dyDescent="0.25">
      <c r="A562" s="6">
        <v>41752</v>
      </c>
      <c r="B562" t="s">
        <v>47</v>
      </c>
      <c r="C562" s="7">
        <v>-120</v>
      </c>
      <c r="D562" t="s">
        <v>6</v>
      </c>
      <c r="E562" s="8">
        <f>E561+F562</f>
        <v>139478</v>
      </c>
      <c r="F562" s="8">
        <f>IF($D562="CR01",$C562,0)</f>
        <v>-120</v>
      </c>
      <c r="G562" s="8">
        <f>G561+H562</f>
        <v>0</v>
      </c>
      <c r="H562" s="8">
        <f>IF($D562="VISA",$C562,0)</f>
        <v>0</v>
      </c>
      <c r="I562" s="8">
        <f>I561+J562</f>
        <v>0</v>
      </c>
      <c r="J562" s="8">
        <f>IF($D562="ACC",$C562,0)</f>
        <v>0</v>
      </c>
      <c r="K562" s="8">
        <f>K561+L562</f>
        <v>0</v>
      </c>
      <c r="L562" s="8">
        <f>IF($D562="CBB",$C562,0)</f>
        <v>0</v>
      </c>
    </row>
    <row r="563" spans="1:12" x14ac:dyDescent="0.25">
      <c r="A563" s="6">
        <v>41753</v>
      </c>
      <c r="B563" t="s">
        <v>44</v>
      </c>
      <c r="C563" s="7">
        <v>-400</v>
      </c>
      <c r="D563" t="s">
        <v>6</v>
      </c>
      <c r="E563" s="8">
        <f>E562+F563</f>
        <v>139078</v>
      </c>
      <c r="F563" s="8">
        <f>IF($D563="CR01",$C563,0)</f>
        <v>-400</v>
      </c>
      <c r="G563" s="8">
        <f>G562+H563</f>
        <v>0</v>
      </c>
      <c r="H563" s="8">
        <f>IF($D563="VISA",$C563,0)</f>
        <v>0</v>
      </c>
      <c r="I563" s="8">
        <f>I562+J563</f>
        <v>0</v>
      </c>
      <c r="J563" s="8">
        <f>IF($D563="ACC",$C563,0)</f>
        <v>0</v>
      </c>
      <c r="K563" s="8">
        <f>K562+L563</f>
        <v>0</v>
      </c>
      <c r="L563" s="8">
        <f>IF($D563="CBB",$C563,0)</f>
        <v>0</v>
      </c>
    </row>
    <row r="564" spans="1:12" x14ac:dyDescent="0.25">
      <c r="A564" s="6">
        <v>41753</v>
      </c>
      <c r="B564" t="s">
        <v>45</v>
      </c>
      <c r="C564" s="7">
        <v>-180</v>
      </c>
      <c r="D564" t="s">
        <v>6</v>
      </c>
      <c r="E564" s="8">
        <f>E563+F564</f>
        <v>138898</v>
      </c>
      <c r="F564" s="8">
        <f>IF($D564="CR01",$C564,0)</f>
        <v>-180</v>
      </c>
      <c r="G564" s="8">
        <f>G563+H564</f>
        <v>0</v>
      </c>
      <c r="H564" s="8">
        <f>IF($D564="VISA",$C564,0)</f>
        <v>0</v>
      </c>
      <c r="I564" s="8">
        <f>I563+J564</f>
        <v>0</v>
      </c>
      <c r="J564" s="8">
        <f>IF($D564="ACC",$C564,0)</f>
        <v>0</v>
      </c>
      <c r="K564" s="8">
        <f>K563+L564</f>
        <v>0</v>
      </c>
      <c r="L564" s="8">
        <f>IF($D564="CBB",$C564,0)</f>
        <v>0</v>
      </c>
    </row>
    <row r="565" spans="1:12" x14ac:dyDescent="0.25">
      <c r="A565" s="6">
        <v>41753</v>
      </c>
      <c r="B565" t="s">
        <v>46</v>
      </c>
      <c r="C565" s="7">
        <v>-300</v>
      </c>
      <c r="D565" t="s">
        <v>6</v>
      </c>
      <c r="E565" s="8">
        <f>E564+F565</f>
        <v>138598</v>
      </c>
      <c r="F565" s="8">
        <f>IF($D565="CR01",$C565,0)</f>
        <v>-300</v>
      </c>
      <c r="G565" s="8">
        <f>G564+H565</f>
        <v>0</v>
      </c>
      <c r="H565" s="8">
        <f>IF($D565="VISA",$C565,0)</f>
        <v>0</v>
      </c>
      <c r="I565" s="8">
        <f>I564+J565</f>
        <v>0</v>
      </c>
      <c r="J565" s="8">
        <f>IF($D565="ACC",$C565,0)</f>
        <v>0</v>
      </c>
      <c r="K565" s="8">
        <f>K564+L565</f>
        <v>0</v>
      </c>
      <c r="L565" s="8">
        <f>IF($D565="CBB",$C565,0)</f>
        <v>0</v>
      </c>
    </row>
    <row r="566" spans="1:12" x14ac:dyDescent="0.25">
      <c r="A566" s="6">
        <v>41754</v>
      </c>
      <c r="B566" t="s">
        <v>43</v>
      </c>
      <c r="C566" s="7">
        <v>3226</v>
      </c>
      <c r="D566" t="s">
        <v>6</v>
      </c>
      <c r="E566" s="8">
        <f>E565+F566</f>
        <v>141824</v>
      </c>
      <c r="F566" s="8">
        <f>IF($D566="CR01",$C566,0)</f>
        <v>3226</v>
      </c>
      <c r="G566" s="8">
        <f>G565+H566</f>
        <v>0</v>
      </c>
      <c r="H566" s="8">
        <f>IF($D566="VISA",$C566,0)</f>
        <v>0</v>
      </c>
      <c r="I566" s="8">
        <f>I565+J566</f>
        <v>0</v>
      </c>
      <c r="J566" s="8">
        <f>IF($D566="ACC",$C566,0)</f>
        <v>0</v>
      </c>
      <c r="K566" s="8">
        <f>K565+L566</f>
        <v>0</v>
      </c>
      <c r="L566" s="8">
        <f>IF($D566="CBB",$C566,0)</f>
        <v>0</v>
      </c>
    </row>
    <row r="567" spans="1:12" x14ac:dyDescent="0.25">
      <c r="A567" s="6">
        <v>41758</v>
      </c>
      <c r="B567" t="s">
        <v>48</v>
      </c>
      <c r="C567" s="7">
        <v>-100</v>
      </c>
      <c r="D567" t="s">
        <v>6</v>
      </c>
      <c r="E567" s="8">
        <f>E566+F567</f>
        <v>141724</v>
      </c>
      <c r="F567" s="8">
        <f>IF($D567="CR01",$C567,0)</f>
        <v>-100</v>
      </c>
      <c r="G567" s="8">
        <f>G566+H567</f>
        <v>0</v>
      </c>
      <c r="H567" s="8">
        <f>IF($D567="VISA",$C567,0)</f>
        <v>0</v>
      </c>
      <c r="I567" s="8">
        <f>I566+J567</f>
        <v>0</v>
      </c>
      <c r="J567" s="8">
        <f>IF($D567="ACC",$C567,0)</f>
        <v>0</v>
      </c>
      <c r="K567" s="8">
        <f>K566+L567</f>
        <v>0</v>
      </c>
      <c r="L567" s="8">
        <f>IF($D567="CBB",$C567,0)</f>
        <v>0</v>
      </c>
    </row>
    <row r="568" spans="1:12" x14ac:dyDescent="0.25">
      <c r="A568" s="6">
        <v>41759</v>
      </c>
      <c r="B568" t="s">
        <v>47</v>
      </c>
      <c r="C568" s="7">
        <v>-120</v>
      </c>
      <c r="D568" t="s">
        <v>6</v>
      </c>
      <c r="E568" s="8">
        <f>E567+F568</f>
        <v>141604</v>
      </c>
      <c r="F568" s="8">
        <f>IF($D568="CR01",$C568,0)</f>
        <v>-120</v>
      </c>
      <c r="G568" s="8">
        <f>G567+H568</f>
        <v>0</v>
      </c>
      <c r="H568" s="8">
        <f>IF($D568="VISA",$C568,0)</f>
        <v>0</v>
      </c>
      <c r="I568" s="8">
        <f>I567+J568</f>
        <v>0</v>
      </c>
      <c r="J568" s="8">
        <f>IF($D568="ACC",$C568,0)</f>
        <v>0</v>
      </c>
      <c r="K568" s="8">
        <f>K567+L568</f>
        <v>0</v>
      </c>
      <c r="L568" s="8">
        <f>IF($D568="CBB",$C568,0)</f>
        <v>0</v>
      </c>
    </row>
    <row r="569" spans="1:12" x14ac:dyDescent="0.25">
      <c r="A569" s="6">
        <v>41760</v>
      </c>
      <c r="B569" t="s">
        <v>44</v>
      </c>
      <c r="C569" s="7">
        <v>-400</v>
      </c>
      <c r="D569" t="s">
        <v>6</v>
      </c>
      <c r="E569" s="8">
        <f>E568+F569</f>
        <v>141204</v>
      </c>
      <c r="F569" s="8">
        <f>IF($D569="CR01",$C569,0)</f>
        <v>-400</v>
      </c>
      <c r="G569" s="8">
        <f>G568+H569</f>
        <v>0</v>
      </c>
      <c r="H569" s="8">
        <f>IF($D569="VISA",$C569,0)</f>
        <v>0</v>
      </c>
      <c r="I569" s="8">
        <f>I568+J569</f>
        <v>0</v>
      </c>
      <c r="J569" s="8">
        <f>IF($D569="ACC",$C569,0)</f>
        <v>0</v>
      </c>
      <c r="K569" s="8">
        <f>K568+L569</f>
        <v>0</v>
      </c>
      <c r="L569" s="8">
        <f>IF($D569="CBB",$C569,0)</f>
        <v>0</v>
      </c>
    </row>
    <row r="570" spans="1:12" x14ac:dyDescent="0.25">
      <c r="A570" s="6">
        <v>41760</v>
      </c>
      <c r="B570" t="s">
        <v>45</v>
      </c>
      <c r="C570" s="7">
        <v>-180</v>
      </c>
      <c r="D570" t="s">
        <v>6</v>
      </c>
      <c r="E570" s="8">
        <f>E569+F570</f>
        <v>141024</v>
      </c>
      <c r="F570" s="8">
        <f>IF($D570="CR01",$C570,0)</f>
        <v>-180</v>
      </c>
      <c r="G570" s="8">
        <f>G569+H570</f>
        <v>0</v>
      </c>
      <c r="H570" s="8">
        <f>IF($D570="VISA",$C570,0)</f>
        <v>0</v>
      </c>
      <c r="I570" s="8">
        <f>I569+J570</f>
        <v>0</v>
      </c>
      <c r="J570" s="8">
        <f>IF($D570="ACC",$C570,0)</f>
        <v>0</v>
      </c>
      <c r="K570" s="8">
        <f>K569+L570</f>
        <v>0</v>
      </c>
      <c r="L570" s="8">
        <f>IF($D570="CBB",$C570,0)</f>
        <v>0</v>
      </c>
    </row>
    <row r="571" spans="1:12" x14ac:dyDescent="0.25">
      <c r="A571" s="6">
        <v>41760</v>
      </c>
      <c r="B571" t="s">
        <v>46</v>
      </c>
      <c r="C571" s="7">
        <v>-300</v>
      </c>
      <c r="D571" t="s">
        <v>6</v>
      </c>
      <c r="E571" s="8">
        <f>E570+F571</f>
        <v>140724</v>
      </c>
      <c r="F571" s="8">
        <f>IF($D571="CR01",$C571,0)</f>
        <v>-300</v>
      </c>
      <c r="G571" s="8">
        <f>G570+H571</f>
        <v>0</v>
      </c>
      <c r="H571" s="8">
        <f>IF($D571="VISA",$C571,0)</f>
        <v>0</v>
      </c>
      <c r="I571" s="8">
        <f>I570+J571</f>
        <v>0</v>
      </c>
      <c r="J571" s="8">
        <f>IF($D571="ACC",$C571,0)</f>
        <v>0</v>
      </c>
      <c r="K571" s="8">
        <f>K570+L571</f>
        <v>0</v>
      </c>
      <c r="L571" s="8">
        <f>IF($D571="CBB",$C571,0)</f>
        <v>0</v>
      </c>
    </row>
    <row r="572" spans="1:12" x14ac:dyDescent="0.25">
      <c r="A572" s="6">
        <v>41760</v>
      </c>
      <c r="B572" t="s">
        <v>58</v>
      </c>
      <c r="C572" s="7">
        <v>-200</v>
      </c>
      <c r="D572" t="s">
        <v>6</v>
      </c>
      <c r="E572" s="8">
        <f>E571+F572</f>
        <v>140524</v>
      </c>
      <c r="F572" s="8">
        <f>IF($D572="CR01",$C572,0)</f>
        <v>-200</v>
      </c>
      <c r="G572" s="8">
        <f>G571+H572</f>
        <v>0</v>
      </c>
      <c r="H572" s="8">
        <f>IF($D572="VISA",$C572,0)</f>
        <v>0</v>
      </c>
      <c r="I572" s="8">
        <f>I571+J572</f>
        <v>0</v>
      </c>
      <c r="J572" s="8">
        <f>IF($D572="ACC",$C572,0)</f>
        <v>0</v>
      </c>
      <c r="K572" s="8">
        <f>K571+L572</f>
        <v>0</v>
      </c>
      <c r="L572" s="8">
        <f>IF($D572="CBB",$C572,0)</f>
        <v>0</v>
      </c>
    </row>
    <row r="573" spans="1:12" x14ac:dyDescent="0.25">
      <c r="A573" s="6">
        <v>41760</v>
      </c>
      <c r="B573" t="s">
        <v>60</v>
      </c>
      <c r="C573" s="7">
        <v>-400</v>
      </c>
      <c r="D573" t="s">
        <v>6</v>
      </c>
      <c r="E573" s="8">
        <f>E572+F573</f>
        <v>140124</v>
      </c>
      <c r="F573" s="8">
        <f>IF($D573="CR01",$C573,0)</f>
        <v>-400</v>
      </c>
      <c r="G573" s="8">
        <f>G572+H573</f>
        <v>0</v>
      </c>
      <c r="H573" s="8">
        <f>IF($D573="VISA",$C573,0)</f>
        <v>0</v>
      </c>
      <c r="I573" s="8">
        <f>I572+J573</f>
        <v>0</v>
      </c>
      <c r="J573" s="8">
        <f>IF($D573="ACC",$C573,0)</f>
        <v>0</v>
      </c>
      <c r="K573" s="8">
        <f>K572+L573</f>
        <v>0</v>
      </c>
      <c r="L573" s="8">
        <f>IF($D573="CBB",$C573,0)</f>
        <v>0</v>
      </c>
    </row>
    <row r="574" spans="1:12" x14ac:dyDescent="0.25">
      <c r="A574" s="6">
        <v>41760</v>
      </c>
      <c r="B574" t="s">
        <v>62</v>
      </c>
      <c r="C574" s="7">
        <v>-300</v>
      </c>
      <c r="D574" t="s">
        <v>6</v>
      </c>
      <c r="E574" s="8">
        <f>E573+F574</f>
        <v>139824</v>
      </c>
      <c r="F574" s="8">
        <f>IF($D574="CR01",$C574,0)</f>
        <v>-300</v>
      </c>
      <c r="G574" s="8">
        <f>G573+H574</f>
        <v>0</v>
      </c>
      <c r="H574" s="8">
        <f>IF($D574="VISA",$C574,0)</f>
        <v>0</v>
      </c>
      <c r="I574" s="8">
        <f>I573+J574</f>
        <v>0</v>
      </c>
      <c r="J574" s="8">
        <f>IF($D574="ACC",$C574,0)</f>
        <v>0</v>
      </c>
      <c r="K574" s="8">
        <f>K573+L574</f>
        <v>0</v>
      </c>
      <c r="L574" s="8">
        <f>IF($D574="CBB",$C574,0)</f>
        <v>0</v>
      </c>
    </row>
    <row r="575" spans="1:12" x14ac:dyDescent="0.25">
      <c r="A575" s="6">
        <v>41760</v>
      </c>
      <c r="B575" t="s">
        <v>63</v>
      </c>
      <c r="C575" s="7">
        <v>-300</v>
      </c>
      <c r="D575" t="s">
        <v>6</v>
      </c>
      <c r="E575" s="8">
        <f>E574+F575</f>
        <v>139524</v>
      </c>
      <c r="F575" s="8">
        <f>IF($D575="CR01",$C575,0)</f>
        <v>-300</v>
      </c>
      <c r="G575" s="8">
        <f>G574+H575</f>
        <v>0</v>
      </c>
      <c r="H575" s="8">
        <f>IF($D575="VISA",$C575,0)</f>
        <v>0</v>
      </c>
      <c r="I575" s="8">
        <f>I574+J575</f>
        <v>0</v>
      </c>
      <c r="J575" s="8">
        <f>IF($D575="ACC",$C575,0)</f>
        <v>0</v>
      </c>
      <c r="K575" s="8">
        <f>K574+L575</f>
        <v>0</v>
      </c>
      <c r="L575" s="8">
        <f>IF($D575="CBB",$C575,0)</f>
        <v>0</v>
      </c>
    </row>
    <row r="576" spans="1:12" x14ac:dyDescent="0.25">
      <c r="A576" s="6">
        <v>41760</v>
      </c>
      <c r="B576" t="s">
        <v>64</v>
      </c>
      <c r="C576" s="7">
        <v>-26</v>
      </c>
      <c r="D576" t="s">
        <v>6</v>
      </c>
      <c r="E576" s="8">
        <f>E575+F576</f>
        <v>139498</v>
      </c>
      <c r="F576" s="8">
        <f>IF($D576="CR01",$C576,0)</f>
        <v>-26</v>
      </c>
      <c r="G576" s="8">
        <f>G575+H576</f>
        <v>0</v>
      </c>
      <c r="H576" s="8">
        <f>IF($D576="VISA",$C576,0)</f>
        <v>0</v>
      </c>
      <c r="I576" s="8">
        <f>I575+J576</f>
        <v>0</v>
      </c>
      <c r="J576" s="8">
        <f>IF($D576="ACC",$C576,0)</f>
        <v>0</v>
      </c>
      <c r="K576" s="8">
        <f>K575+L576</f>
        <v>0</v>
      </c>
      <c r="L576" s="8">
        <f>IF($D576="CBB",$C576,0)</f>
        <v>0</v>
      </c>
    </row>
    <row r="577" spans="1:12" x14ac:dyDescent="0.25">
      <c r="A577" s="6">
        <v>41760</v>
      </c>
      <c r="B577" t="s">
        <v>65</v>
      </c>
      <c r="C577" s="7">
        <v>-240</v>
      </c>
      <c r="D577" t="s">
        <v>6</v>
      </c>
      <c r="E577" s="8">
        <f>E576+F577</f>
        <v>139258</v>
      </c>
      <c r="F577" s="8">
        <f>IF($D577="CR01",$C577,0)</f>
        <v>-240</v>
      </c>
      <c r="G577" s="8">
        <f>G576+H577</f>
        <v>0</v>
      </c>
      <c r="H577" s="8">
        <f>IF($D577="VISA",$C577,0)</f>
        <v>0</v>
      </c>
      <c r="I577" s="8">
        <f>I576+J577</f>
        <v>0</v>
      </c>
      <c r="J577" s="8">
        <f>IF($D577="ACC",$C577,0)</f>
        <v>0</v>
      </c>
      <c r="K577" s="8">
        <f>K576+L577</f>
        <v>0</v>
      </c>
      <c r="L577" s="8">
        <f>IF($D577="CBB",$C577,0)</f>
        <v>0</v>
      </c>
    </row>
    <row r="578" spans="1:12" x14ac:dyDescent="0.25">
      <c r="A578" s="6">
        <v>41760</v>
      </c>
      <c r="B578" t="s">
        <v>66</v>
      </c>
      <c r="C578" s="7">
        <v>-120</v>
      </c>
      <c r="D578" t="s">
        <v>6</v>
      </c>
      <c r="E578" s="8">
        <f>E577+F578</f>
        <v>139138</v>
      </c>
      <c r="F578" s="8">
        <f>IF($D578="CR01",$C578,0)</f>
        <v>-120</v>
      </c>
      <c r="G578" s="8">
        <f>G577+H578</f>
        <v>0</v>
      </c>
      <c r="H578" s="8">
        <f>IF($D578="VISA",$C578,0)</f>
        <v>0</v>
      </c>
      <c r="I578" s="8">
        <f>I577+J578</f>
        <v>0</v>
      </c>
      <c r="J578" s="8">
        <f>IF($D578="ACC",$C578,0)</f>
        <v>0</v>
      </c>
      <c r="K578" s="8">
        <f>K577+L578</f>
        <v>0</v>
      </c>
      <c r="L578" s="8">
        <f>IF($D578="CBB",$C578,0)</f>
        <v>0</v>
      </c>
    </row>
    <row r="579" spans="1:12" x14ac:dyDescent="0.25">
      <c r="A579" s="6">
        <v>41761</v>
      </c>
      <c r="B579" t="s">
        <v>59</v>
      </c>
      <c r="C579" s="7">
        <v>-900</v>
      </c>
      <c r="D579" t="s">
        <v>6</v>
      </c>
      <c r="E579" s="8">
        <f>E578+F579</f>
        <v>138238</v>
      </c>
      <c r="F579" s="8">
        <f>IF($D579="CR01",$C579,0)</f>
        <v>-900</v>
      </c>
      <c r="G579" s="8">
        <f>G578+H579</f>
        <v>0</v>
      </c>
      <c r="H579" s="8">
        <f>IF($D579="VISA",$C579,0)</f>
        <v>0</v>
      </c>
      <c r="I579" s="8">
        <f>I578+J579</f>
        <v>0</v>
      </c>
      <c r="J579" s="8">
        <f>IF($D579="ACC",$C579,0)</f>
        <v>0</v>
      </c>
      <c r="K579" s="8">
        <f>K578+L579</f>
        <v>0</v>
      </c>
      <c r="L579" s="8">
        <f>IF($D579="CBB",$C579,0)</f>
        <v>0</v>
      </c>
    </row>
    <row r="580" spans="1:12" x14ac:dyDescent="0.25">
      <c r="A580" s="6">
        <v>41762</v>
      </c>
      <c r="B580" t="s">
        <v>67</v>
      </c>
      <c r="C580" s="7">
        <v>6800</v>
      </c>
      <c r="D580" t="s">
        <v>6</v>
      </c>
      <c r="E580" s="8">
        <f>E579+F580</f>
        <v>145038</v>
      </c>
      <c r="F580" s="8">
        <f>IF($D580="CR01",$C580,0)</f>
        <v>6800</v>
      </c>
      <c r="G580" s="8">
        <f>G579+H580</f>
        <v>0</v>
      </c>
      <c r="H580" s="8">
        <f>IF($D580="VISA",$C580,0)</f>
        <v>0</v>
      </c>
      <c r="I580" s="8">
        <f>I579+J580</f>
        <v>0</v>
      </c>
      <c r="J580" s="8">
        <f>IF($D580="ACC",$C580,0)</f>
        <v>0</v>
      </c>
      <c r="K580" s="8">
        <f>K579+L580</f>
        <v>0</v>
      </c>
      <c r="L580" s="8">
        <f>IF($D580="CBB",$C580,0)</f>
        <v>0</v>
      </c>
    </row>
    <row r="581" spans="1:12" x14ac:dyDescent="0.25">
      <c r="A581" s="6">
        <v>41765</v>
      </c>
      <c r="B581" t="s">
        <v>42</v>
      </c>
      <c r="C581" s="7">
        <v>-2806</v>
      </c>
      <c r="D581" t="s">
        <v>6</v>
      </c>
      <c r="E581" s="8">
        <f>E580+F581</f>
        <v>142232</v>
      </c>
      <c r="F581" s="8">
        <f>IF($D581="CR01",$C581,0)</f>
        <v>-2806</v>
      </c>
      <c r="G581" s="8">
        <f>G580+H581</f>
        <v>0</v>
      </c>
      <c r="H581" s="8">
        <f>IF($D581="VISA",$C581,0)</f>
        <v>0</v>
      </c>
      <c r="I581" s="8">
        <f>I580+J581</f>
        <v>0</v>
      </c>
      <c r="J581" s="8">
        <f>IF($D581="ACC",$C581,0)</f>
        <v>0</v>
      </c>
      <c r="K581" s="8">
        <f>K580+L581</f>
        <v>0</v>
      </c>
      <c r="L581" s="8">
        <f>IF($D581="CBB",$C581,0)</f>
        <v>0</v>
      </c>
    </row>
    <row r="582" spans="1:12" x14ac:dyDescent="0.25">
      <c r="A582" s="6">
        <v>41765</v>
      </c>
      <c r="B582" t="s">
        <v>48</v>
      </c>
      <c r="C582" s="7">
        <v>-100</v>
      </c>
      <c r="D582" t="s">
        <v>6</v>
      </c>
      <c r="E582" s="8">
        <f>E581+F582</f>
        <v>142132</v>
      </c>
      <c r="F582" s="8">
        <f>IF($D582="CR01",$C582,0)</f>
        <v>-100</v>
      </c>
      <c r="G582" s="8">
        <f>G581+H582</f>
        <v>0</v>
      </c>
      <c r="H582" s="8">
        <f>IF($D582="VISA",$C582,0)</f>
        <v>0</v>
      </c>
      <c r="I582" s="8">
        <f>I581+J582</f>
        <v>0</v>
      </c>
      <c r="J582" s="8">
        <f>IF($D582="ACC",$C582,0)</f>
        <v>0</v>
      </c>
      <c r="K582" s="8">
        <f>K581+L582</f>
        <v>0</v>
      </c>
      <c r="L582" s="8">
        <f>IF($D582="CBB",$C582,0)</f>
        <v>0</v>
      </c>
    </row>
    <row r="583" spans="1:12" x14ac:dyDescent="0.25">
      <c r="A583" s="6">
        <v>41766</v>
      </c>
      <c r="B583" t="s">
        <v>47</v>
      </c>
      <c r="C583" s="7">
        <v>-120</v>
      </c>
      <c r="D583" t="s">
        <v>6</v>
      </c>
      <c r="E583" s="8">
        <f>E582+F583</f>
        <v>142012</v>
      </c>
      <c r="F583" s="8">
        <f>IF($D583="CR01",$C583,0)</f>
        <v>-120</v>
      </c>
      <c r="G583" s="8">
        <f>G582+H583</f>
        <v>0</v>
      </c>
      <c r="H583" s="8">
        <f>IF($D583="VISA",$C583,0)</f>
        <v>0</v>
      </c>
      <c r="I583" s="8">
        <f>I582+J583</f>
        <v>0</v>
      </c>
      <c r="J583" s="8">
        <f>IF($D583="ACC",$C583,0)</f>
        <v>0</v>
      </c>
      <c r="K583" s="8">
        <f>K582+L583</f>
        <v>0</v>
      </c>
      <c r="L583" s="8">
        <f>IF($D583="CBB",$C583,0)</f>
        <v>0</v>
      </c>
    </row>
    <row r="584" spans="1:12" x14ac:dyDescent="0.25">
      <c r="A584" s="6">
        <v>41767</v>
      </c>
      <c r="B584" t="s">
        <v>44</v>
      </c>
      <c r="C584" s="7">
        <v>-400</v>
      </c>
      <c r="D584" t="s">
        <v>6</v>
      </c>
      <c r="E584" s="8">
        <f>E583+F584</f>
        <v>141612</v>
      </c>
      <c r="F584" s="8">
        <f>IF($D584="CR01",$C584,0)</f>
        <v>-400</v>
      </c>
      <c r="G584" s="8">
        <f>G583+H584</f>
        <v>0</v>
      </c>
      <c r="H584" s="8">
        <f>IF($D584="VISA",$C584,0)</f>
        <v>0</v>
      </c>
      <c r="I584" s="8">
        <f>I583+J584</f>
        <v>0</v>
      </c>
      <c r="J584" s="8">
        <f>IF($D584="ACC",$C584,0)</f>
        <v>0</v>
      </c>
      <c r="K584" s="8">
        <f>K583+L584</f>
        <v>0</v>
      </c>
      <c r="L584" s="8">
        <f>IF($D584="CBB",$C584,0)</f>
        <v>0</v>
      </c>
    </row>
    <row r="585" spans="1:12" x14ac:dyDescent="0.25">
      <c r="A585" s="6">
        <v>41767</v>
      </c>
      <c r="B585" t="s">
        <v>45</v>
      </c>
      <c r="C585" s="7">
        <v>-180</v>
      </c>
      <c r="D585" t="s">
        <v>6</v>
      </c>
      <c r="E585" s="8">
        <f>E584+F585</f>
        <v>141432</v>
      </c>
      <c r="F585" s="8">
        <f>IF($D585="CR01",$C585,0)</f>
        <v>-180</v>
      </c>
      <c r="G585" s="8">
        <f>G584+H585</f>
        <v>0</v>
      </c>
      <c r="H585" s="8">
        <f>IF($D585="VISA",$C585,0)</f>
        <v>0</v>
      </c>
      <c r="I585" s="8">
        <f>I584+J585</f>
        <v>0</v>
      </c>
      <c r="J585" s="8">
        <f>IF($D585="ACC",$C585,0)</f>
        <v>0</v>
      </c>
      <c r="K585" s="8">
        <f>K584+L585</f>
        <v>0</v>
      </c>
      <c r="L585" s="8">
        <f>IF($D585="CBB",$C585,0)</f>
        <v>0</v>
      </c>
    </row>
    <row r="586" spans="1:12" x14ac:dyDescent="0.25">
      <c r="A586" s="6">
        <v>41767</v>
      </c>
      <c r="B586" t="s">
        <v>46</v>
      </c>
      <c r="C586" s="7">
        <v>-300</v>
      </c>
      <c r="D586" t="s">
        <v>6</v>
      </c>
      <c r="E586" s="8">
        <f>E585+F586</f>
        <v>141132</v>
      </c>
      <c r="F586" s="8">
        <f>IF($D586="CR01",$C586,0)</f>
        <v>-300</v>
      </c>
      <c r="G586" s="8">
        <f>G585+H586</f>
        <v>0</v>
      </c>
      <c r="H586" s="8">
        <f>IF($D586="VISA",$C586,0)</f>
        <v>0</v>
      </c>
      <c r="I586" s="8">
        <f>I585+J586</f>
        <v>0</v>
      </c>
      <c r="J586" s="8">
        <f>IF($D586="ACC",$C586,0)</f>
        <v>0</v>
      </c>
      <c r="K586" s="8">
        <f>K585+L586</f>
        <v>0</v>
      </c>
      <c r="L586" s="8">
        <f>IF($D586="CBB",$C586,0)</f>
        <v>0</v>
      </c>
    </row>
    <row r="587" spans="1:12" x14ac:dyDescent="0.25">
      <c r="A587" s="6">
        <v>41768</v>
      </c>
      <c r="B587" t="s">
        <v>43</v>
      </c>
      <c r="C587" s="7">
        <v>3226</v>
      </c>
      <c r="D587" t="s">
        <v>6</v>
      </c>
      <c r="E587" s="8">
        <f>E586+F587</f>
        <v>144358</v>
      </c>
      <c r="F587" s="8">
        <f>IF($D587="CR01",$C587,0)</f>
        <v>3226</v>
      </c>
      <c r="G587" s="8">
        <f>G586+H587</f>
        <v>0</v>
      </c>
      <c r="H587" s="8">
        <f>IF($D587="VISA",$C587,0)</f>
        <v>0</v>
      </c>
      <c r="I587" s="8">
        <f>I586+J587</f>
        <v>0</v>
      </c>
      <c r="J587" s="8">
        <f>IF($D587="ACC",$C587,0)</f>
        <v>0</v>
      </c>
      <c r="K587" s="8">
        <f>K586+L587</f>
        <v>0</v>
      </c>
      <c r="L587" s="8">
        <f>IF($D587="CBB",$C587,0)</f>
        <v>0</v>
      </c>
    </row>
    <row r="588" spans="1:12" x14ac:dyDescent="0.25">
      <c r="A588" s="6">
        <v>41772</v>
      </c>
      <c r="B588" t="s">
        <v>48</v>
      </c>
      <c r="C588" s="7">
        <v>-100</v>
      </c>
      <c r="D588" t="s">
        <v>6</v>
      </c>
      <c r="E588" s="8">
        <f>E587+F588</f>
        <v>144258</v>
      </c>
      <c r="F588" s="8">
        <f>IF($D588="CR01",$C588,0)</f>
        <v>-100</v>
      </c>
      <c r="G588" s="8">
        <f>G587+H588</f>
        <v>0</v>
      </c>
      <c r="H588" s="8">
        <f>IF($D588="VISA",$C588,0)</f>
        <v>0</v>
      </c>
      <c r="I588" s="8">
        <f>I587+J588</f>
        <v>0</v>
      </c>
      <c r="J588" s="8">
        <f>IF($D588="ACC",$C588,0)</f>
        <v>0</v>
      </c>
      <c r="K588" s="8">
        <f>K587+L588</f>
        <v>0</v>
      </c>
      <c r="L588" s="8">
        <f>IF($D588="CBB",$C588,0)</f>
        <v>0</v>
      </c>
    </row>
    <row r="589" spans="1:12" x14ac:dyDescent="0.25">
      <c r="A589" s="6">
        <v>41773</v>
      </c>
      <c r="B589" t="s">
        <v>47</v>
      </c>
      <c r="C589" s="7">
        <v>-120</v>
      </c>
      <c r="D589" t="s">
        <v>6</v>
      </c>
      <c r="E589" s="8">
        <f>E588+F589</f>
        <v>144138</v>
      </c>
      <c r="F589" s="8">
        <f>IF($D589="CR01",$C589,0)</f>
        <v>-120</v>
      </c>
      <c r="G589" s="8">
        <f>G588+H589</f>
        <v>0</v>
      </c>
      <c r="H589" s="8">
        <f>IF($D589="VISA",$C589,0)</f>
        <v>0</v>
      </c>
      <c r="I589" s="8">
        <f>I588+J589</f>
        <v>0</v>
      </c>
      <c r="J589" s="8">
        <f>IF($D589="ACC",$C589,0)</f>
        <v>0</v>
      </c>
      <c r="K589" s="8">
        <f>K588+L589</f>
        <v>0</v>
      </c>
      <c r="L589" s="8">
        <f>IF($D589="CBB",$C589,0)</f>
        <v>0</v>
      </c>
    </row>
    <row r="590" spans="1:12" x14ac:dyDescent="0.25">
      <c r="A590" s="6">
        <v>41774</v>
      </c>
      <c r="B590" t="s">
        <v>44</v>
      </c>
      <c r="C590" s="7">
        <v>-400</v>
      </c>
      <c r="D590" t="s">
        <v>6</v>
      </c>
      <c r="E590" s="8">
        <f>E589+F590</f>
        <v>143738</v>
      </c>
      <c r="F590" s="8">
        <f>IF($D590="CR01",$C590,0)</f>
        <v>-400</v>
      </c>
      <c r="G590" s="8">
        <f>G589+H590</f>
        <v>0</v>
      </c>
      <c r="H590" s="8">
        <f>IF($D590="VISA",$C590,0)</f>
        <v>0</v>
      </c>
      <c r="I590" s="8">
        <f>I589+J590</f>
        <v>0</v>
      </c>
      <c r="J590" s="8">
        <f>IF($D590="ACC",$C590,0)</f>
        <v>0</v>
      </c>
      <c r="K590" s="8">
        <f>K589+L590</f>
        <v>0</v>
      </c>
      <c r="L590" s="8">
        <f>IF($D590="CBB",$C590,0)</f>
        <v>0</v>
      </c>
    </row>
    <row r="591" spans="1:12" x14ac:dyDescent="0.25">
      <c r="A591" s="6">
        <v>41774</v>
      </c>
      <c r="B591" t="s">
        <v>45</v>
      </c>
      <c r="C591" s="7">
        <v>-180</v>
      </c>
      <c r="D591" t="s">
        <v>6</v>
      </c>
      <c r="E591" s="8">
        <f>E590+F591</f>
        <v>143558</v>
      </c>
      <c r="F591" s="8">
        <f>IF($D591="CR01",$C591,0)</f>
        <v>-180</v>
      </c>
      <c r="G591" s="8">
        <f>G590+H591</f>
        <v>0</v>
      </c>
      <c r="H591" s="8">
        <f>IF($D591="VISA",$C591,0)</f>
        <v>0</v>
      </c>
      <c r="I591" s="8">
        <f>I590+J591</f>
        <v>0</v>
      </c>
      <c r="J591" s="8">
        <f>IF($D591="ACC",$C591,0)</f>
        <v>0</v>
      </c>
      <c r="K591" s="8">
        <f>K590+L591</f>
        <v>0</v>
      </c>
      <c r="L591" s="8">
        <f>IF($D591="CBB",$C591,0)</f>
        <v>0</v>
      </c>
    </row>
    <row r="592" spans="1:12" x14ac:dyDescent="0.25">
      <c r="A592" s="6">
        <v>41774</v>
      </c>
      <c r="B592" t="s">
        <v>46</v>
      </c>
      <c r="C592" s="7">
        <v>-300</v>
      </c>
      <c r="D592" t="s">
        <v>6</v>
      </c>
      <c r="E592" s="8">
        <f>E591+F592</f>
        <v>143258</v>
      </c>
      <c r="F592" s="8">
        <f>IF($D592="CR01",$C592,0)</f>
        <v>-300</v>
      </c>
      <c r="G592" s="8">
        <f>G591+H592</f>
        <v>0</v>
      </c>
      <c r="H592" s="8">
        <f>IF($D592="VISA",$C592,0)</f>
        <v>0</v>
      </c>
      <c r="I592" s="8">
        <f>I591+J592</f>
        <v>0</v>
      </c>
      <c r="J592" s="8">
        <f>IF($D592="ACC",$C592,0)</f>
        <v>0</v>
      </c>
      <c r="K592" s="8">
        <f>K591+L592</f>
        <v>0</v>
      </c>
      <c r="L592" s="8">
        <f>IF($D592="CBB",$C592,0)</f>
        <v>0</v>
      </c>
    </row>
    <row r="593" spans="1:12" x14ac:dyDescent="0.25">
      <c r="A593" s="6">
        <v>41776</v>
      </c>
      <c r="B593" t="s">
        <v>67</v>
      </c>
      <c r="C593" s="7">
        <v>6800</v>
      </c>
      <c r="D593" t="s">
        <v>6</v>
      </c>
      <c r="E593" s="8">
        <f>E592+F593</f>
        <v>150058</v>
      </c>
      <c r="F593" s="8">
        <f>IF($D593="CR01",$C593,0)</f>
        <v>6800</v>
      </c>
      <c r="G593" s="8">
        <f>G592+H593</f>
        <v>0</v>
      </c>
      <c r="H593" s="8">
        <f>IF($D593="VISA",$C593,0)</f>
        <v>0</v>
      </c>
      <c r="I593" s="8">
        <f>I592+J593</f>
        <v>0</v>
      </c>
      <c r="J593" s="8">
        <f>IF($D593="ACC",$C593,0)</f>
        <v>0</v>
      </c>
      <c r="K593" s="8">
        <f>K592+L593</f>
        <v>0</v>
      </c>
      <c r="L593" s="8">
        <f>IF($D593="CBB",$C593,0)</f>
        <v>0</v>
      </c>
    </row>
    <row r="594" spans="1:12" x14ac:dyDescent="0.25">
      <c r="A594" s="6">
        <v>41779</v>
      </c>
      <c r="B594" t="s">
        <v>42</v>
      </c>
      <c r="C594" s="7">
        <v>-2806</v>
      </c>
      <c r="D594" t="s">
        <v>6</v>
      </c>
      <c r="E594" s="8">
        <f>E593+F594</f>
        <v>147252</v>
      </c>
      <c r="F594" s="8">
        <f>IF($D594="CR01",$C594,0)</f>
        <v>-2806</v>
      </c>
      <c r="G594" s="8">
        <f>G593+H594</f>
        <v>0</v>
      </c>
      <c r="H594" s="8">
        <f>IF($D594="VISA",$C594,0)</f>
        <v>0</v>
      </c>
      <c r="I594" s="8">
        <f>I593+J594</f>
        <v>0</v>
      </c>
      <c r="J594" s="8">
        <f>IF($D594="ACC",$C594,0)</f>
        <v>0</v>
      </c>
      <c r="K594" s="8">
        <f>K593+L594</f>
        <v>0</v>
      </c>
      <c r="L594" s="8">
        <f>IF($D594="CBB",$C594,0)</f>
        <v>0</v>
      </c>
    </row>
    <row r="595" spans="1:12" x14ac:dyDescent="0.25">
      <c r="A595" s="6">
        <v>41779</v>
      </c>
      <c r="B595" t="s">
        <v>48</v>
      </c>
      <c r="C595" s="7">
        <v>-100</v>
      </c>
      <c r="D595" t="s">
        <v>6</v>
      </c>
      <c r="E595" s="8">
        <f>E594+F595</f>
        <v>147152</v>
      </c>
      <c r="F595" s="8">
        <f>IF($D595="CR01",$C595,0)</f>
        <v>-100</v>
      </c>
      <c r="G595" s="8">
        <f>G594+H595</f>
        <v>0</v>
      </c>
      <c r="H595" s="8">
        <f>IF($D595="VISA",$C595,0)</f>
        <v>0</v>
      </c>
      <c r="I595" s="8">
        <f>I594+J595</f>
        <v>0</v>
      </c>
      <c r="J595" s="8">
        <f>IF($D595="ACC",$C595,0)</f>
        <v>0</v>
      </c>
      <c r="K595" s="8">
        <f>K594+L595</f>
        <v>0</v>
      </c>
      <c r="L595" s="8">
        <f>IF($D595="CBB",$C595,0)</f>
        <v>0</v>
      </c>
    </row>
    <row r="596" spans="1:12" x14ac:dyDescent="0.25">
      <c r="A596" s="6">
        <v>41780</v>
      </c>
      <c r="B596" t="s">
        <v>47</v>
      </c>
      <c r="C596" s="7">
        <v>-120</v>
      </c>
      <c r="D596" t="s">
        <v>6</v>
      </c>
      <c r="E596" s="8">
        <f>E595+F596</f>
        <v>147032</v>
      </c>
      <c r="F596" s="8">
        <f>IF($D596="CR01",$C596,0)</f>
        <v>-120</v>
      </c>
      <c r="G596" s="8">
        <f>G595+H596</f>
        <v>0</v>
      </c>
      <c r="H596" s="8">
        <f>IF($D596="VISA",$C596,0)</f>
        <v>0</v>
      </c>
      <c r="I596" s="8">
        <f>I595+J596</f>
        <v>0</v>
      </c>
      <c r="J596" s="8">
        <f>IF($D596="ACC",$C596,0)</f>
        <v>0</v>
      </c>
      <c r="K596" s="8">
        <f>K595+L596</f>
        <v>0</v>
      </c>
      <c r="L596" s="8">
        <f>IF($D596="CBB",$C596,0)</f>
        <v>0</v>
      </c>
    </row>
    <row r="597" spans="1:12" x14ac:dyDescent="0.25">
      <c r="A597" s="6">
        <v>41781</v>
      </c>
      <c r="B597" t="s">
        <v>44</v>
      </c>
      <c r="C597" s="7">
        <v>-400</v>
      </c>
      <c r="D597" t="s">
        <v>6</v>
      </c>
      <c r="E597" s="8">
        <f>E596+F597</f>
        <v>146632</v>
      </c>
      <c r="F597" s="8">
        <f>IF($D597="CR01",$C597,0)</f>
        <v>-400</v>
      </c>
      <c r="G597" s="8">
        <f>G596+H597</f>
        <v>0</v>
      </c>
      <c r="H597" s="8">
        <f>IF($D597="VISA",$C597,0)</f>
        <v>0</v>
      </c>
      <c r="I597" s="8">
        <f>I596+J597</f>
        <v>0</v>
      </c>
      <c r="J597" s="8">
        <f>IF($D597="ACC",$C597,0)</f>
        <v>0</v>
      </c>
      <c r="K597" s="8">
        <f>K596+L597</f>
        <v>0</v>
      </c>
      <c r="L597" s="8">
        <f>IF($D597="CBB",$C597,0)</f>
        <v>0</v>
      </c>
    </row>
    <row r="598" spans="1:12" x14ac:dyDescent="0.25">
      <c r="A598" s="6">
        <v>41781</v>
      </c>
      <c r="B598" t="s">
        <v>45</v>
      </c>
      <c r="C598" s="7">
        <v>-180</v>
      </c>
      <c r="D598" t="s">
        <v>6</v>
      </c>
      <c r="E598" s="8">
        <f>E597+F598</f>
        <v>146452</v>
      </c>
      <c r="F598" s="8">
        <f>IF($D598="CR01",$C598,0)</f>
        <v>-180</v>
      </c>
      <c r="G598" s="8">
        <f>G597+H598</f>
        <v>0</v>
      </c>
      <c r="H598" s="8">
        <f>IF($D598="VISA",$C598,0)</f>
        <v>0</v>
      </c>
      <c r="I598" s="8">
        <f>I597+J598</f>
        <v>0</v>
      </c>
      <c r="J598" s="8">
        <f>IF($D598="ACC",$C598,0)</f>
        <v>0</v>
      </c>
      <c r="K598" s="8">
        <f>K597+L598</f>
        <v>0</v>
      </c>
      <c r="L598" s="8">
        <f>IF($D598="CBB",$C598,0)</f>
        <v>0</v>
      </c>
    </row>
    <row r="599" spans="1:12" x14ac:dyDescent="0.25">
      <c r="A599" s="6">
        <v>41781</v>
      </c>
      <c r="B599" t="s">
        <v>46</v>
      </c>
      <c r="C599" s="7">
        <v>-300</v>
      </c>
      <c r="D599" t="s">
        <v>6</v>
      </c>
      <c r="E599" s="8">
        <f>E598+F599</f>
        <v>146152</v>
      </c>
      <c r="F599" s="8">
        <f>IF($D599="CR01",$C599,0)</f>
        <v>-300</v>
      </c>
      <c r="G599" s="8">
        <f>G598+H599</f>
        <v>0</v>
      </c>
      <c r="H599" s="8">
        <f>IF($D599="VISA",$C599,0)</f>
        <v>0</v>
      </c>
      <c r="I599" s="8">
        <f>I598+J599</f>
        <v>0</v>
      </c>
      <c r="J599" s="8">
        <f>IF($D599="ACC",$C599,0)</f>
        <v>0</v>
      </c>
      <c r="K599" s="8">
        <f>K598+L599</f>
        <v>0</v>
      </c>
      <c r="L599" s="8">
        <f>IF($D599="CBB",$C599,0)</f>
        <v>0</v>
      </c>
    </row>
    <row r="600" spans="1:12" x14ac:dyDescent="0.25">
      <c r="A600" s="6">
        <v>41782</v>
      </c>
      <c r="B600" t="s">
        <v>43</v>
      </c>
      <c r="C600" s="7">
        <v>3226</v>
      </c>
      <c r="D600" t="s">
        <v>6</v>
      </c>
      <c r="E600" s="8">
        <f>E599+F600</f>
        <v>149378</v>
      </c>
      <c r="F600" s="8">
        <f>IF($D600="CR01",$C600,0)</f>
        <v>3226</v>
      </c>
      <c r="G600" s="8">
        <f>G599+H600</f>
        <v>0</v>
      </c>
      <c r="H600" s="8">
        <f>IF($D600="VISA",$C600,0)</f>
        <v>0</v>
      </c>
      <c r="I600" s="8">
        <f>I599+J600</f>
        <v>0</v>
      </c>
      <c r="J600" s="8">
        <f>IF($D600="ACC",$C600,0)</f>
        <v>0</v>
      </c>
      <c r="K600" s="8">
        <f>K599+L600</f>
        <v>0</v>
      </c>
      <c r="L600" s="8">
        <f>IF($D600="CBB",$C600,0)</f>
        <v>0</v>
      </c>
    </row>
    <row r="601" spans="1:12" x14ac:dyDescent="0.25">
      <c r="A601" s="6">
        <v>41786</v>
      </c>
      <c r="B601" t="s">
        <v>48</v>
      </c>
      <c r="C601" s="7">
        <v>-100</v>
      </c>
      <c r="D601" t="s">
        <v>6</v>
      </c>
      <c r="E601" s="8">
        <f>E600+F601</f>
        <v>149278</v>
      </c>
      <c r="F601" s="8">
        <f>IF($D601="CR01",$C601,0)</f>
        <v>-100</v>
      </c>
      <c r="G601" s="8">
        <f>G600+H601</f>
        <v>0</v>
      </c>
      <c r="H601" s="8">
        <f>IF($D601="VISA",$C601,0)</f>
        <v>0</v>
      </c>
      <c r="I601" s="8">
        <f>I600+J601</f>
        <v>0</v>
      </c>
      <c r="J601" s="8">
        <f>IF($D601="ACC",$C601,0)</f>
        <v>0</v>
      </c>
      <c r="K601" s="8">
        <f>K600+L601</f>
        <v>0</v>
      </c>
      <c r="L601" s="8">
        <f>IF($D601="CBB",$C601,0)</f>
        <v>0</v>
      </c>
    </row>
    <row r="602" spans="1:12" x14ac:dyDescent="0.25">
      <c r="A602" s="6">
        <v>41787</v>
      </c>
      <c r="B602" t="s">
        <v>47</v>
      </c>
      <c r="C602" s="7">
        <v>-120</v>
      </c>
      <c r="D602" t="s">
        <v>6</v>
      </c>
      <c r="E602" s="8">
        <f>E601+F602</f>
        <v>149158</v>
      </c>
      <c r="F602" s="8">
        <f>IF($D602="CR01",$C602,0)</f>
        <v>-120</v>
      </c>
      <c r="G602" s="8">
        <f>G601+H602</f>
        <v>0</v>
      </c>
      <c r="H602" s="8">
        <f>IF($D602="VISA",$C602,0)</f>
        <v>0</v>
      </c>
      <c r="I602" s="8">
        <f>I601+J602</f>
        <v>0</v>
      </c>
      <c r="J602" s="8">
        <f>IF($D602="ACC",$C602,0)</f>
        <v>0</v>
      </c>
      <c r="K602" s="8">
        <f>K601+L602</f>
        <v>0</v>
      </c>
      <c r="L602" s="8">
        <f>IF($D602="CBB",$C602,0)</f>
        <v>0</v>
      </c>
    </row>
    <row r="603" spans="1:12" x14ac:dyDescent="0.25">
      <c r="A603" s="6">
        <v>41788</v>
      </c>
      <c r="B603" t="s">
        <v>44</v>
      </c>
      <c r="C603" s="7">
        <v>-400</v>
      </c>
      <c r="D603" t="s">
        <v>6</v>
      </c>
      <c r="E603" s="8">
        <f>E602+F603</f>
        <v>148758</v>
      </c>
      <c r="F603" s="8">
        <f>IF($D603="CR01",$C603,0)</f>
        <v>-400</v>
      </c>
      <c r="G603" s="8">
        <f>G602+H603</f>
        <v>0</v>
      </c>
      <c r="H603" s="8">
        <f>IF($D603="VISA",$C603,0)</f>
        <v>0</v>
      </c>
      <c r="I603" s="8">
        <f>I602+J603</f>
        <v>0</v>
      </c>
      <c r="J603" s="8">
        <f>IF($D603="ACC",$C603,0)</f>
        <v>0</v>
      </c>
      <c r="K603" s="8">
        <f>K602+L603</f>
        <v>0</v>
      </c>
      <c r="L603" s="8">
        <f>IF($D603="CBB",$C603,0)</f>
        <v>0</v>
      </c>
    </row>
    <row r="604" spans="1:12" x14ac:dyDescent="0.25">
      <c r="A604" s="6">
        <v>41788</v>
      </c>
      <c r="B604" t="s">
        <v>45</v>
      </c>
      <c r="C604" s="7">
        <v>-180</v>
      </c>
      <c r="D604" t="s">
        <v>6</v>
      </c>
      <c r="E604" s="8">
        <f>E603+F604</f>
        <v>148578</v>
      </c>
      <c r="F604" s="8">
        <f>IF($D604="CR01",$C604,0)</f>
        <v>-180</v>
      </c>
      <c r="G604" s="8">
        <f>G603+H604</f>
        <v>0</v>
      </c>
      <c r="H604" s="8">
        <f>IF($D604="VISA",$C604,0)</f>
        <v>0</v>
      </c>
      <c r="I604" s="8">
        <f>I603+J604</f>
        <v>0</v>
      </c>
      <c r="J604" s="8">
        <f>IF($D604="ACC",$C604,0)</f>
        <v>0</v>
      </c>
      <c r="K604" s="8">
        <f>K603+L604</f>
        <v>0</v>
      </c>
      <c r="L604" s="8">
        <f>IF($D604="CBB",$C604,0)</f>
        <v>0</v>
      </c>
    </row>
    <row r="605" spans="1:12" x14ac:dyDescent="0.25">
      <c r="A605" s="6">
        <v>41788</v>
      </c>
      <c r="B605" t="s">
        <v>46</v>
      </c>
      <c r="C605" s="7">
        <v>-300</v>
      </c>
      <c r="D605" t="s">
        <v>6</v>
      </c>
      <c r="E605" s="8">
        <f>E604+F605</f>
        <v>148278</v>
      </c>
      <c r="F605" s="8">
        <f>IF($D605="CR01",$C605,0)</f>
        <v>-300</v>
      </c>
      <c r="G605" s="8">
        <f>G604+H605</f>
        <v>0</v>
      </c>
      <c r="H605" s="8">
        <f>IF($D605="VISA",$C605,0)</f>
        <v>0</v>
      </c>
      <c r="I605" s="8">
        <f>I604+J605</f>
        <v>0</v>
      </c>
      <c r="J605" s="8">
        <f>IF($D605="ACC",$C605,0)</f>
        <v>0</v>
      </c>
      <c r="K605" s="8">
        <f>K604+L605</f>
        <v>0</v>
      </c>
      <c r="L605" s="8">
        <f>IF($D605="CBB",$C605,0)</f>
        <v>0</v>
      </c>
    </row>
    <row r="606" spans="1:12" x14ac:dyDescent="0.25">
      <c r="A606" s="6">
        <v>41790</v>
      </c>
      <c r="B606" t="s">
        <v>67</v>
      </c>
      <c r="C606" s="7">
        <v>6800</v>
      </c>
      <c r="D606" t="s">
        <v>6</v>
      </c>
      <c r="E606" s="8">
        <f>E605+F606</f>
        <v>155078</v>
      </c>
      <c r="F606" s="8">
        <f>IF($D606="CR01",$C606,0)</f>
        <v>6800</v>
      </c>
      <c r="G606" s="8">
        <f>G605+H606</f>
        <v>0</v>
      </c>
      <c r="H606" s="8">
        <f>IF($D606="VISA",$C606,0)</f>
        <v>0</v>
      </c>
      <c r="I606" s="8">
        <f>I605+J606</f>
        <v>0</v>
      </c>
      <c r="J606" s="8">
        <f>IF($D606="ACC",$C606,0)</f>
        <v>0</v>
      </c>
      <c r="K606" s="8">
        <f>K605+L606</f>
        <v>0</v>
      </c>
      <c r="L606" s="8">
        <f>IF($D606="CBB",$C606,0)</f>
        <v>0</v>
      </c>
    </row>
    <row r="607" spans="1:12" x14ac:dyDescent="0.25">
      <c r="A607" s="6">
        <v>41791</v>
      </c>
      <c r="B607" t="s">
        <v>58</v>
      </c>
      <c r="C607" s="7">
        <v>-200</v>
      </c>
      <c r="D607" t="s">
        <v>6</v>
      </c>
      <c r="E607" s="8">
        <f>E606+F607</f>
        <v>154878</v>
      </c>
      <c r="F607" s="8">
        <f>IF($D607="CR01",$C607,0)</f>
        <v>-200</v>
      </c>
      <c r="G607" s="8">
        <f>G606+H607</f>
        <v>0</v>
      </c>
      <c r="H607" s="8">
        <f>IF($D607="VISA",$C607,0)</f>
        <v>0</v>
      </c>
      <c r="I607" s="8">
        <f>I606+J607</f>
        <v>0</v>
      </c>
      <c r="J607" s="8">
        <f>IF($D607="ACC",$C607,0)</f>
        <v>0</v>
      </c>
      <c r="K607" s="8">
        <f>K606+L607</f>
        <v>0</v>
      </c>
      <c r="L607" s="8">
        <f>IF($D607="CBB",$C607,0)</f>
        <v>0</v>
      </c>
    </row>
    <row r="608" spans="1:12" x14ac:dyDescent="0.25">
      <c r="A608" s="6">
        <v>41791</v>
      </c>
      <c r="B608" t="s">
        <v>60</v>
      </c>
      <c r="C608" s="7">
        <v>-400</v>
      </c>
      <c r="D608" t="s">
        <v>6</v>
      </c>
      <c r="E608" s="8">
        <f>E607+F608</f>
        <v>154478</v>
      </c>
      <c r="F608" s="8">
        <f>IF($D608="CR01",$C608,0)</f>
        <v>-400</v>
      </c>
      <c r="G608" s="8">
        <f>G607+H608</f>
        <v>0</v>
      </c>
      <c r="H608" s="8">
        <f>IF($D608="VISA",$C608,0)</f>
        <v>0</v>
      </c>
      <c r="I608" s="8">
        <f>I607+J608</f>
        <v>0</v>
      </c>
      <c r="J608" s="8">
        <f>IF($D608="ACC",$C608,0)</f>
        <v>0</v>
      </c>
      <c r="K608" s="8">
        <f>K607+L608</f>
        <v>0</v>
      </c>
      <c r="L608" s="8">
        <f>IF($D608="CBB",$C608,0)</f>
        <v>0</v>
      </c>
    </row>
    <row r="609" spans="1:12" x14ac:dyDescent="0.25">
      <c r="A609" s="6">
        <v>41791</v>
      </c>
      <c r="B609" t="s">
        <v>64</v>
      </c>
      <c r="C609" s="7">
        <v>-26</v>
      </c>
      <c r="D609" t="s">
        <v>6</v>
      </c>
      <c r="E609" s="8">
        <f>E608+F609</f>
        <v>154452</v>
      </c>
      <c r="F609" s="8">
        <f>IF($D609="CR01",$C609,0)</f>
        <v>-26</v>
      </c>
      <c r="G609" s="8">
        <f>G608+H609</f>
        <v>0</v>
      </c>
      <c r="H609" s="8">
        <f>IF($D609="VISA",$C609,0)</f>
        <v>0</v>
      </c>
      <c r="I609" s="8">
        <f>I608+J609</f>
        <v>0</v>
      </c>
      <c r="J609" s="8">
        <f>IF($D609="ACC",$C609,0)</f>
        <v>0</v>
      </c>
      <c r="K609" s="8">
        <f>K608+L609</f>
        <v>0</v>
      </c>
      <c r="L609" s="8">
        <f>IF($D609="CBB",$C609,0)</f>
        <v>0</v>
      </c>
    </row>
    <row r="610" spans="1:12" x14ac:dyDescent="0.25">
      <c r="A610" s="6">
        <v>41791</v>
      </c>
      <c r="B610" t="s">
        <v>65</v>
      </c>
      <c r="C610" s="7">
        <v>-240</v>
      </c>
      <c r="D610" t="s">
        <v>6</v>
      </c>
      <c r="E610" s="8">
        <f>E609+F610</f>
        <v>154212</v>
      </c>
      <c r="F610" s="8">
        <f>IF($D610="CR01",$C610,0)</f>
        <v>-240</v>
      </c>
      <c r="G610" s="8">
        <f>G609+H610</f>
        <v>0</v>
      </c>
      <c r="H610" s="8">
        <f>IF($D610="VISA",$C610,0)</f>
        <v>0</v>
      </c>
      <c r="I610" s="8">
        <f>I609+J610</f>
        <v>0</v>
      </c>
      <c r="J610" s="8">
        <f>IF($D610="ACC",$C610,0)</f>
        <v>0</v>
      </c>
      <c r="K610" s="8">
        <f>K609+L610</f>
        <v>0</v>
      </c>
      <c r="L610" s="8">
        <f>IF($D610="CBB",$C610,0)</f>
        <v>0</v>
      </c>
    </row>
    <row r="611" spans="1:12" x14ac:dyDescent="0.25">
      <c r="A611" s="6">
        <v>41791</v>
      </c>
      <c r="B611" t="s">
        <v>66</v>
      </c>
      <c r="C611" s="7">
        <v>-120</v>
      </c>
      <c r="D611" t="s">
        <v>6</v>
      </c>
      <c r="E611" s="8">
        <f>E610+F611</f>
        <v>154092</v>
      </c>
      <c r="F611" s="8">
        <f>IF($D611="CR01",$C611,0)</f>
        <v>-120</v>
      </c>
      <c r="G611" s="8">
        <f>G610+H611</f>
        <v>0</v>
      </c>
      <c r="H611" s="8">
        <f>IF($D611="VISA",$C611,0)</f>
        <v>0</v>
      </c>
      <c r="I611" s="8">
        <f>I610+J611</f>
        <v>0</v>
      </c>
      <c r="J611" s="8">
        <f>IF($D611="ACC",$C611,0)</f>
        <v>0</v>
      </c>
      <c r="K611" s="8">
        <f>K610+L611</f>
        <v>0</v>
      </c>
      <c r="L611" s="8">
        <f>IF($D611="CBB",$C611,0)</f>
        <v>0</v>
      </c>
    </row>
    <row r="612" spans="1:12" x14ac:dyDescent="0.25">
      <c r="A612" s="6">
        <v>41792</v>
      </c>
      <c r="B612" t="s">
        <v>59</v>
      </c>
      <c r="C612" s="7">
        <v>-900</v>
      </c>
      <c r="D612" t="s">
        <v>6</v>
      </c>
      <c r="E612" s="8">
        <f>E611+F612</f>
        <v>153192</v>
      </c>
      <c r="F612" s="8">
        <f>IF($D612="CR01",$C612,0)</f>
        <v>-900</v>
      </c>
      <c r="G612" s="8">
        <f>G611+H612</f>
        <v>0</v>
      </c>
      <c r="H612" s="8">
        <f>IF($D612="VISA",$C612,0)</f>
        <v>0</v>
      </c>
      <c r="I612" s="8">
        <f>I611+J612</f>
        <v>0</v>
      </c>
      <c r="J612" s="8">
        <f>IF($D612="ACC",$C612,0)</f>
        <v>0</v>
      </c>
      <c r="K612" s="8">
        <f>K611+L612</f>
        <v>0</v>
      </c>
      <c r="L612" s="8">
        <f>IF($D612="CBB",$C612,0)</f>
        <v>0</v>
      </c>
    </row>
    <row r="613" spans="1:12" x14ac:dyDescent="0.25">
      <c r="A613" s="6">
        <v>41793</v>
      </c>
      <c r="B613" t="s">
        <v>42</v>
      </c>
      <c r="C613" s="7">
        <v>-2806</v>
      </c>
      <c r="D613" t="s">
        <v>6</v>
      </c>
      <c r="E613" s="8">
        <f>E612+F613</f>
        <v>150386</v>
      </c>
      <c r="F613" s="8">
        <f>IF($D613="CR01",$C613,0)</f>
        <v>-2806</v>
      </c>
      <c r="G613" s="8">
        <f>G612+H613</f>
        <v>0</v>
      </c>
      <c r="H613" s="8">
        <f>IF($D613="VISA",$C613,0)</f>
        <v>0</v>
      </c>
      <c r="I613" s="8">
        <f>I612+J613</f>
        <v>0</v>
      </c>
      <c r="J613" s="8">
        <f>IF($D613="ACC",$C613,0)</f>
        <v>0</v>
      </c>
      <c r="K613" s="8">
        <f>K612+L613</f>
        <v>0</v>
      </c>
      <c r="L613" s="8">
        <f>IF($D613="CBB",$C613,0)</f>
        <v>0</v>
      </c>
    </row>
    <row r="614" spans="1:12" x14ac:dyDescent="0.25">
      <c r="A614" s="6">
        <v>41793</v>
      </c>
      <c r="B614" t="s">
        <v>48</v>
      </c>
      <c r="C614" s="7">
        <v>-100</v>
      </c>
      <c r="D614" t="s">
        <v>6</v>
      </c>
      <c r="E614" s="8">
        <f>E613+F614</f>
        <v>150286</v>
      </c>
      <c r="F614" s="8">
        <f>IF($D614="CR01",$C614,0)</f>
        <v>-100</v>
      </c>
      <c r="G614" s="8">
        <f>G613+H614</f>
        <v>0</v>
      </c>
      <c r="H614" s="8">
        <f>IF($D614="VISA",$C614,0)</f>
        <v>0</v>
      </c>
      <c r="I614" s="8">
        <f>I613+J614</f>
        <v>0</v>
      </c>
      <c r="J614" s="8">
        <f>IF($D614="ACC",$C614,0)</f>
        <v>0</v>
      </c>
      <c r="K614" s="8">
        <f>K613+L614</f>
        <v>0</v>
      </c>
      <c r="L614" s="8">
        <f>IF($D614="CBB",$C614,0)</f>
        <v>0</v>
      </c>
    </row>
    <row r="615" spans="1:12" x14ac:dyDescent="0.25">
      <c r="A615" s="6">
        <v>41794</v>
      </c>
      <c r="B615" t="s">
        <v>47</v>
      </c>
      <c r="C615" s="7">
        <v>-120</v>
      </c>
      <c r="D615" t="s">
        <v>6</v>
      </c>
      <c r="E615" s="8">
        <f>E614+F615</f>
        <v>150166</v>
      </c>
      <c r="F615" s="8">
        <f>IF($D615="CR01",$C615,0)</f>
        <v>-120</v>
      </c>
      <c r="G615" s="8">
        <f>G614+H615</f>
        <v>0</v>
      </c>
      <c r="H615" s="8">
        <f>IF($D615="VISA",$C615,0)</f>
        <v>0</v>
      </c>
      <c r="I615" s="8">
        <f>I614+J615</f>
        <v>0</v>
      </c>
      <c r="J615" s="8">
        <f>IF($D615="ACC",$C615,0)</f>
        <v>0</v>
      </c>
      <c r="K615" s="8">
        <f>K614+L615</f>
        <v>0</v>
      </c>
      <c r="L615" s="8">
        <f>IF($D615="CBB",$C615,0)</f>
        <v>0</v>
      </c>
    </row>
    <row r="616" spans="1:12" x14ac:dyDescent="0.25">
      <c r="A616" s="6">
        <v>41795</v>
      </c>
      <c r="B616" t="s">
        <v>44</v>
      </c>
      <c r="C616" s="7">
        <v>-400</v>
      </c>
      <c r="D616" t="s">
        <v>6</v>
      </c>
      <c r="E616" s="8">
        <f>E615+F616</f>
        <v>149766</v>
      </c>
      <c r="F616" s="8">
        <f>IF($D616="CR01",$C616,0)</f>
        <v>-400</v>
      </c>
      <c r="G616" s="8">
        <f>G615+H616</f>
        <v>0</v>
      </c>
      <c r="H616" s="8">
        <f>IF($D616="VISA",$C616,0)</f>
        <v>0</v>
      </c>
      <c r="I616" s="8">
        <f>I615+J616</f>
        <v>0</v>
      </c>
      <c r="J616" s="8">
        <f>IF($D616="ACC",$C616,0)</f>
        <v>0</v>
      </c>
      <c r="K616" s="8">
        <f>K615+L616</f>
        <v>0</v>
      </c>
      <c r="L616" s="8">
        <f>IF($D616="CBB",$C616,0)</f>
        <v>0</v>
      </c>
    </row>
    <row r="617" spans="1:12" x14ac:dyDescent="0.25">
      <c r="A617" s="6">
        <v>41795</v>
      </c>
      <c r="B617" t="s">
        <v>45</v>
      </c>
      <c r="C617" s="7">
        <v>-180</v>
      </c>
      <c r="D617" t="s">
        <v>6</v>
      </c>
      <c r="E617" s="8">
        <f>E616+F617</f>
        <v>149586</v>
      </c>
      <c r="F617" s="8">
        <f>IF($D617="CR01",$C617,0)</f>
        <v>-180</v>
      </c>
      <c r="G617" s="8">
        <f>G616+H617</f>
        <v>0</v>
      </c>
      <c r="H617" s="8">
        <f>IF($D617="VISA",$C617,0)</f>
        <v>0</v>
      </c>
      <c r="I617" s="8">
        <f>I616+J617</f>
        <v>0</v>
      </c>
      <c r="J617" s="8">
        <f>IF($D617="ACC",$C617,0)</f>
        <v>0</v>
      </c>
      <c r="K617" s="8">
        <f>K616+L617</f>
        <v>0</v>
      </c>
      <c r="L617" s="8">
        <f>IF($D617="CBB",$C617,0)</f>
        <v>0</v>
      </c>
    </row>
    <row r="618" spans="1:12" x14ac:dyDescent="0.25">
      <c r="A618" s="6">
        <v>41795</v>
      </c>
      <c r="B618" t="s">
        <v>46</v>
      </c>
      <c r="C618" s="7">
        <v>-300</v>
      </c>
      <c r="D618" t="s">
        <v>6</v>
      </c>
      <c r="E618" s="8">
        <f>E617+F618</f>
        <v>149286</v>
      </c>
      <c r="F618" s="8">
        <f>IF($D618="CR01",$C618,0)</f>
        <v>-300</v>
      </c>
      <c r="G618" s="8">
        <f>G617+H618</f>
        <v>0</v>
      </c>
      <c r="H618" s="8">
        <f>IF($D618="VISA",$C618,0)</f>
        <v>0</v>
      </c>
      <c r="I618" s="8">
        <f>I617+J618</f>
        <v>0</v>
      </c>
      <c r="J618" s="8">
        <f>IF($D618="ACC",$C618,0)</f>
        <v>0</v>
      </c>
      <c r="K618" s="8">
        <f>K617+L618</f>
        <v>0</v>
      </c>
      <c r="L618" s="8">
        <f>IF($D618="CBB",$C618,0)</f>
        <v>0</v>
      </c>
    </row>
    <row r="619" spans="1:12" x14ac:dyDescent="0.25">
      <c r="A619" s="6">
        <v>41796</v>
      </c>
      <c r="B619" t="s">
        <v>43</v>
      </c>
      <c r="C619" s="7">
        <v>3226</v>
      </c>
      <c r="D619" t="s">
        <v>6</v>
      </c>
      <c r="E619" s="8">
        <f>E618+F619</f>
        <v>152512</v>
      </c>
      <c r="F619" s="8">
        <f>IF($D619="CR01",$C619,0)</f>
        <v>3226</v>
      </c>
      <c r="G619" s="8">
        <f>G618+H619</f>
        <v>0</v>
      </c>
      <c r="H619" s="8">
        <f>IF($D619="VISA",$C619,0)</f>
        <v>0</v>
      </c>
      <c r="I619" s="8">
        <f>I618+J619</f>
        <v>0</v>
      </c>
      <c r="J619" s="8">
        <f>IF($D619="ACC",$C619,0)</f>
        <v>0</v>
      </c>
      <c r="K619" s="8">
        <f>K618+L619</f>
        <v>0</v>
      </c>
      <c r="L619" s="8">
        <f>IF($D619="CBB",$C619,0)</f>
        <v>0</v>
      </c>
    </row>
    <row r="620" spans="1:12" x14ac:dyDescent="0.25">
      <c r="A620" s="6">
        <v>41800</v>
      </c>
      <c r="B620" t="s">
        <v>48</v>
      </c>
      <c r="C620" s="7">
        <v>-100</v>
      </c>
      <c r="D620" t="s">
        <v>6</v>
      </c>
      <c r="E620" s="8">
        <f>E619+F620</f>
        <v>152412</v>
      </c>
      <c r="F620" s="8">
        <f>IF($D620="CR01",$C620,0)</f>
        <v>-100</v>
      </c>
      <c r="G620" s="8">
        <f>G619+H620</f>
        <v>0</v>
      </c>
      <c r="H620" s="8">
        <f>IF($D620="VISA",$C620,0)</f>
        <v>0</v>
      </c>
      <c r="I620" s="8">
        <f>I619+J620</f>
        <v>0</v>
      </c>
      <c r="J620" s="8">
        <f>IF($D620="ACC",$C620,0)</f>
        <v>0</v>
      </c>
      <c r="K620" s="8">
        <f>K619+L620</f>
        <v>0</v>
      </c>
      <c r="L620" s="8">
        <f>IF($D620="CBB",$C620,0)</f>
        <v>0</v>
      </c>
    </row>
    <row r="621" spans="1:12" x14ac:dyDescent="0.25">
      <c r="A621" s="6">
        <v>41801</v>
      </c>
      <c r="B621" t="s">
        <v>47</v>
      </c>
      <c r="C621" s="7">
        <v>-120</v>
      </c>
      <c r="D621" t="s">
        <v>6</v>
      </c>
      <c r="E621" s="8">
        <f>E620+F621</f>
        <v>152292</v>
      </c>
      <c r="F621" s="8">
        <f>IF($D621="CR01",$C621,0)</f>
        <v>-120</v>
      </c>
      <c r="G621" s="8">
        <f>G620+H621</f>
        <v>0</v>
      </c>
      <c r="H621" s="8">
        <f>IF($D621="VISA",$C621,0)</f>
        <v>0</v>
      </c>
      <c r="I621" s="8">
        <f>I620+J621</f>
        <v>0</v>
      </c>
      <c r="J621" s="8">
        <f>IF($D621="ACC",$C621,0)</f>
        <v>0</v>
      </c>
      <c r="K621" s="8">
        <f>K620+L621</f>
        <v>0</v>
      </c>
      <c r="L621" s="8">
        <f>IF($D621="CBB",$C621,0)</f>
        <v>0</v>
      </c>
    </row>
    <row r="622" spans="1:12" x14ac:dyDescent="0.25">
      <c r="A622" s="6">
        <v>41802</v>
      </c>
      <c r="B622" t="s">
        <v>44</v>
      </c>
      <c r="C622" s="7">
        <v>-400</v>
      </c>
      <c r="D622" t="s">
        <v>6</v>
      </c>
      <c r="E622" s="8">
        <f>E621+F622</f>
        <v>151892</v>
      </c>
      <c r="F622" s="8">
        <f>IF($D622="CR01",$C622,0)</f>
        <v>-400</v>
      </c>
      <c r="G622" s="8">
        <f>G621+H622</f>
        <v>0</v>
      </c>
      <c r="H622" s="8">
        <f>IF($D622="VISA",$C622,0)</f>
        <v>0</v>
      </c>
      <c r="I622" s="8">
        <f>I621+J622</f>
        <v>0</v>
      </c>
      <c r="J622" s="8">
        <f>IF($D622="ACC",$C622,0)</f>
        <v>0</v>
      </c>
      <c r="K622" s="8">
        <f>K621+L622</f>
        <v>0</v>
      </c>
      <c r="L622" s="8">
        <f>IF($D622="CBB",$C622,0)</f>
        <v>0</v>
      </c>
    </row>
    <row r="623" spans="1:12" x14ac:dyDescent="0.25">
      <c r="A623" s="6">
        <v>41802</v>
      </c>
      <c r="B623" t="s">
        <v>45</v>
      </c>
      <c r="C623" s="7">
        <v>-180</v>
      </c>
      <c r="D623" t="s">
        <v>6</v>
      </c>
      <c r="E623" s="8">
        <f>E622+F623</f>
        <v>151712</v>
      </c>
      <c r="F623" s="8">
        <f>IF($D623="CR01",$C623,0)</f>
        <v>-180</v>
      </c>
      <c r="G623" s="8">
        <f>G622+H623</f>
        <v>0</v>
      </c>
      <c r="H623" s="8">
        <f>IF($D623="VISA",$C623,0)</f>
        <v>0</v>
      </c>
      <c r="I623" s="8">
        <f>I622+J623</f>
        <v>0</v>
      </c>
      <c r="J623" s="8">
        <f>IF($D623="ACC",$C623,0)</f>
        <v>0</v>
      </c>
      <c r="K623" s="8">
        <f>K622+L623</f>
        <v>0</v>
      </c>
      <c r="L623" s="8">
        <f>IF($D623="CBB",$C623,0)</f>
        <v>0</v>
      </c>
    </row>
    <row r="624" spans="1:12" x14ac:dyDescent="0.25">
      <c r="A624" s="6">
        <v>41802</v>
      </c>
      <c r="B624" t="s">
        <v>46</v>
      </c>
      <c r="C624" s="7">
        <v>-300</v>
      </c>
      <c r="D624" t="s">
        <v>6</v>
      </c>
      <c r="E624" s="8">
        <f>E623+F624</f>
        <v>151412</v>
      </c>
      <c r="F624" s="8">
        <f>IF($D624="CR01",$C624,0)</f>
        <v>-300</v>
      </c>
      <c r="G624" s="8">
        <f>G623+H624</f>
        <v>0</v>
      </c>
      <c r="H624" s="8">
        <f>IF($D624="VISA",$C624,0)</f>
        <v>0</v>
      </c>
      <c r="I624" s="8">
        <f>I623+J624</f>
        <v>0</v>
      </c>
      <c r="J624" s="8">
        <f>IF($D624="ACC",$C624,0)</f>
        <v>0</v>
      </c>
      <c r="K624" s="8">
        <f>K623+L624</f>
        <v>0</v>
      </c>
      <c r="L624" s="8">
        <f>IF($D624="CBB",$C624,0)</f>
        <v>0</v>
      </c>
    </row>
    <row r="625" spans="1:12" x14ac:dyDescent="0.25">
      <c r="A625" s="6">
        <v>41804</v>
      </c>
      <c r="B625" t="s">
        <v>67</v>
      </c>
      <c r="C625" s="7">
        <v>6800</v>
      </c>
      <c r="D625" t="s">
        <v>6</v>
      </c>
      <c r="E625" s="8">
        <f>E624+F625</f>
        <v>158212</v>
      </c>
      <c r="F625" s="8">
        <f>IF($D625="CR01",$C625,0)</f>
        <v>6800</v>
      </c>
      <c r="G625" s="8">
        <f>G624+H625</f>
        <v>0</v>
      </c>
      <c r="H625" s="8">
        <f>IF($D625="VISA",$C625,0)</f>
        <v>0</v>
      </c>
      <c r="I625" s="8">
        <f>I624+J625</f>
        <v>0</v>
      </c>
      <c r="J625" s="8">
        <f>IF($D625="ACC",$C625,0)</f>
        <v>0</v>
      </c>
      <c r="K625" s="8">
        <f>K624+L625</f>
        <v>0</v>
      </c>
      <c r="L625" s="8">
        <f>IF($D625="CBB",$C625,0)</f>
        <v>0</v>
      </c>
    </row>
    <row r="626" spans="1:12" x14ac:dyDescent="0.25">
      <c r="A626" s="6">
        <v>41807</v>
      </c>
      <c r="B626" t="s">
        <v>42</v>
      </c>
      <c r="C626" s="7">
        <v>-2806</v>
      </c>
      <c r="D626" t="s">
        <v>6</v>
      </c>
      <c r="E626" s="8">
        <f>E625+F626</f>
        <v>155406</v>
      </c>
      <c r="F626" s="8">
        <f>IF($D626="CR01",$C626,0)</f>
        <v>-2806</v>
      </c>
      <c r="G626" s="8">
        <f>G625+H626</f>
        <v>0</v>
      </c>
      <c r="H626" s="8">
        <f>IF($D626="VISA",$C626,0)</f>
        <v>0</v>
      </c>
      <c r="I626" s="8">
        <f>I625+J626</f>
        <v>0</v>
      </c>
      <c r="J626" s="8">
        <f>IF($D626="ACC",$C626,0)</f>
        <v>0</v>
      </c>
      <c r="K626" s="8">
        <f>K625+L626</f>
        <v>0</v>
      </c>
      <c r="L626" s="8">
        <f>IF($D626="CBB",$C626,0)</f>
        <v>0</v>
      </c>
    </row>
    <row r="627" spans="1:12" x14ac:dyDescent="0.25">
      <c r="A627" s="6">
        <v>41807</v>
      </c>
      <c r="B627" t="s">
        <v>48</v>
      </c>
      <c r="C627" s="7">
        <v>-100</v>
      </c>
      <c r="D627" t="s">
        <v>6</v>
      </c>
      <c r="E627" s="8">
        <f>E626+F627</f>
        <v>155306</v>
      </c>
      <c r="F627" s="8">
        <f>IF($D627="CR01",$C627,0)</f>
        <v>-100</v>
      </c>
      <c r="G627" s="8">
        <f>G626+H627</f>
        <v>0</v>
      </c>
      <c r="H627" s="8">
        <f>IF($D627="VISA",$C627,0)</f>
        <v>0</v>
      </c>
      <c r="I627" s="8">
        <f>I626+J627</f>
        <v>0</v>
      </c>
      <c r="J627" s="8">
        <f>IF($D627="ACC",$C627,0)</f>
        <v>0</v>
      </c>
      <c r="K627" s="8">
        <f>K626+L627</f>
        <v>0</v>
      </c>
      <c r="L627" s="8">
        <f>IF($D627="CBB",$C627,0)</f>
        <v>0</v>
      </c>
    </row>
    <row r="628" spans="1:12" x14ac:dyDescent="0.25">
      <c r="A628" s="6">
        <v>41808</v>
      </c>
      <c r="B628" t="s">
        <v>47</v>
      </c>
      <c r="C628" s="7">
        <v>-120</v>
      </c>
      <c r="D628" t="s">
        <v>6</v>
      </c>
      <c r="E628" s="8">
        <f>E627+F628</f>
        <v>155186</v>
      </c>
      <c r="F628" s="8">
        <f>IF($D628="CR01",$C628,0)</f>
        <v>-120</v>
      </c>
      <c r="G628" s="8">
        <f>G627+H628</f>
        <v>0</v>
      </c>
      <c r="H628" s="8">
        <f>IF($D628="VISA",$C628,0)</f>
        <v>0</v>
      </c>
      <c r="I628" s="8">
        <f>I627+J628</f>
        <v>0</v>
      </c>
      <c r="J628" s="8">
        <f>IF($D628="ACC",$C628,0)</f>
        <v>0</v>
      </c>
      <c r="K628" s="8">
        <f>K627+L628</f>
        <v>0</v>
      </c>
      <c r="L628" s="8">
        <f>IF($D628="CBB",$C628,0)</f>
        <v>0</v>
      </c>
    </row>
    <row r="629" spans="1:12" x14ac:dyDescent="0.25">
      <c r="A629" s="6">
        <v>41809</v>
      </c>
      <c r="B629" t="s">
        <v>44</v>
      </c>
      <c r="C629" s="7">
        <v>-400</v>
      </c>
      <c r="D629" t="s">
        <v>6</v>
      </c>
      <c r="E629" s="8">
        <f>E628+F629</f>
        <v>154786</v>
      </c>
      <c r="F629" s="8">
        <f>IF($D629="CR01",$C629,0)</f>
        <v>-400</v>
      </c>
      <c r="G629" s="8">
        <f>G628+H629</f>
        <v>0</v>
      </c>
      <c r="H629" s="8">
        <f>IF($D629="VISA",$C629,0)</f>
        <v>0</v>
      </c>
      <c r="I629" s="8">
        <f>I628+J629</f>
        <v>0</v>
      </c>
      <c r="J629" s="8">
        <f>IF($D629="ACC",$C629,0)</f>
        <v>0</v>
      </c>
      <c r="K629" s="8">
        <f>K628+L629</f>
        <v>0</v>
      </c>
      <c r="L629" s="8">
        <f>IF($D629="CBB",$C629,0)</f>
        <v>0</v>
      </c>
    </row>
    <row r="630" spans="1:12" x14ac:dyDescent="0.25">
      <c r="A630" s="6">
        <v>41809</v>
      </c>
      <c r="B630" t="s">
        <v>45</v>
      </c>
      <c r="C630" s="7">
        <v>-180</v>
      </c>
      <c r="D630" t="s">
        <v>6</v>
      </c>
      <c r="E630" s="8">
        <f>E629+F630</f>
        <v>154606</v>
      </c>
      <c r="F630" s="8">
        <f>IF($D630="CR01",$C630,0)</f>
        <v>-180</v>
      </c>
      <c r="G630" s="8">
        <f>G629+H630</f>
        <v>0</v>
      </c>
      <c r="H630" s="8">
        <f>IF($D630="VISA",$C630,0)</f>
        <v>0</v>
      </c>
      <c r="I630" s="8">
        <f>I629+J630</f>
        <v>0</v>
      </c>
      <c r="J630" s="8">
        <f>IF($D630="ACC",$C630,0)</f>
        <v>0</v>
      </c>
      <c r="K630" s="8">
        <f>K629+L630</f>
        <v>0</v>
      </c>
      <c r="L630" s="8">
        <f>IF($D630="CBB",$C630,0)</f>
        <v>0</v>
      </c>
    </row>
    <row r="631" spans="1:12" x14ac:dyDescent="0.25">
      <c r="A631" s="6">
        <v>41809</v>
      </c>
      <c r="B631" t="s">
        <v>46</v>
      </c>
      <c r="C631" s="7">
        <v>-300</v>
      </c>
      <c r="D631" t="s">
        <v>6</v>
      </c>
      <c r="E631" s="8">
        <f>E630+F631</f>
        <v>154306</v>
      </c>
      <c r="F631" s="8">
        <f>IF($D631="CR01",$C631,0)</f>
        <v>-300</v>
      </c>
      <c r="G631" s="8">
        <f>G630+H631</f>
        <v>0</v>
      </c>
      <c r="H631" s="8">
        <f>IF($D631="VISA",$C631,0)</f>
        <v>0</v>
      </c>
      <c r="I631" s="8">
        <f>I630+J631</f>
        <v>0</v>
      </c>
      <c r="J631" s="8">
        <f>IF($D631="ACC",$C631,0)</f>
        <v>0</v>
      </c>
      <c r="K631" s="8">
        <f>K630+L631</f>
        <v>0</v>
      </c>
      <c r="L631" s="8">
        <f>IF($D631="CBB",$C631,0)</f>
        <v>0</v>
      </c>
    </row>
    <row r="632" spans="1:12" x14ac:dyDescent="0.25">
      <c r="A632" s="6">
        <v>41810</v>
      </c>
      <c r="B632" t="s">
        <v>43</v>
      </c>
      <c r="C632" s="7">
        <v>3226</v>
      </c>
      <c r="D632" t="s">
        <v>6</v>
      </c>
      <c r="E632" s="8">
        <f>E631+F632</f>
        <v>157532</v>
      </c>
      <c r="F632" s="8">
        <f>IF($D632="CR01",$C632,0)</f>
        <v>3226</v>
      </c>
      <c r="G632" s="8">
        <f>G631+H632</f>
        <v>0</v>
      </c>
      <c r="H632" s="8">
        <f>IF($D632="VISA",$C632,0)</f>
        <v>0</v>
      </c>
      <c r="I632" s="8">
        <f>I631+J632</f>
        <v>0</v>
      </c>
      <c r="J632" s="8">
        <f>IF($D632="ACC",$C632,0)</f>
        <v>0</v>
      </c>
      <c r="K632" s="8">
        <f>K631+L632</f>
        <v>0</v>
      </c>
      <c r="L632" s="8">
        <f>IF($D632="CBB",$C632,0)</f>
        <v>0</v>
      </c>
    </row>
    <row r="633" spans="1:12" x14ac:dyDescent="0.25">
      <c r="A633" s="6">
        <v>41814</v>
      </c>
      <c r="B633" t="s">
        <v>48</v>
      </c>
      <c r="C633" s="7">
        <v>-100</v>
      </c>
      <c r="D633" t="s">
        <v>6</v>
      </c>
      <c r="E633" s="8">
        <f>E632+F633</f>
        <v>157432</v>
      </c>
      <c r="F633" s="8">
        <f>IF($D633="CR01",$C633,0)</f>
        <v>-100</v>
      </c>
      <c r="G633" s="8">
        <f>G632+H633</f>
        <v>0</v>
      </c>
      <c r="H633" s="8">
        <f>IF($D633="VISA",$C633,0)</f>
        <v>0</v>
      </c>
      <c r="I633" s="8">
        <f>I632+J633</f>
        <v>0</v>
      </c>
      <c r="J633" s="8">
        <f>IF($D633="ACC",$C633,0)</f>
        <v>0</v>
      </c>
      <c r="K633" s="8">
        <f>K632+L633</f>
        <v>0</v>
      </c>
      <c r="L633" s="8">
        <f>IF($D633="CBB",$C633,0)</f>
        <v>0</v>
      </c>
    </row>
    <row r="634" spans="1:12" x14ac:dyDescent="0.25">
      <c r="A634" s="6">
        <v>41815</v>
      </c>
      <c r="B634" t="s">
        <v>47</v>
      </c>
      <c r="C634" s="7">
        <v>-120</v>
      </c>
      <c r="D634" t="s">
        <v>6</v>
      </c>
      <c r="E634" s="8">
        <f>E633+F634</f>
        <v>157312</v>
      </c>
      <c r="F634" s="8">
        <f>IF($D634="CR01",$C634,0)</f>
        <v>-120</v>
      </c>
      <c r="G634" s="8">
        <f>G633+H634</f>
        <v>0</v>
      </c>
      <c r="H634" s="8">
        <f>IF($D634="VISA",$C634,0)</f>
        <v>0</v>
      </c>
      <c r="I634" s="8">
        <f>I633+J634</f>
        <v>0</v>
      </c>
      <c r="J634" s="8">
        <f>IF($D634="ACC",$C634,0)</f>
        <v>0</v>
      </c>
      <c r="K634" s="8">
        <f>K633+L634</f>
        <v>0</v>
      </c>
      <c r="L634" s="8">
        <f>IF($D634="CBB",$C634,0)</f>
        <v>0</v>
      </c>
    </row>
    <row r="635" spans="1:12" x14ac:dyDescent="0.25">
      <c r="A635" s="6">
        <v>41816</v>
      </c>
      <c r="B635" t="s">
        <v>44</v>
      </c>
      <c r="C635" s="7">
        <v>-400</v>
      </c>
      <c r="D635" t="s">
        <v>6</v>
      </c>
      <c r="E635" s="8">
        <f>E634+F635</f>
        <v>156912</v>
      </c>
      <c r="F635" s="8">
        <f>IF($D635="CR01",$C635,0)</f>
        <v>-400</v>
      </c>
      <c r="G635" s="8">
        <f>G634+H635</f>
        <v>0</v>
      </c>
      <c r="H635" s="8">
        <f>IF($D635="VISA",$C635,0)</f>
        <v>0</v>
      </c>
      <c r="I635" s="8">
        <f>I634+J635</f>
        <v>0</v>
      </c>
      <c r="J635" s="8">
        <f>IF($D635="ACC",$C635,0)</f>
        <v>0</v>
      </c>
      <c r="K635" s="8">
        <f>K634+L635</f>
        <v>0</v>
      </c>
      <c r="L635" s="8">
        <f>IF($D635="CBB",$C635,0)</f>
        <v>0</v>
      </c>
    </row>
    <row r="636" spans="1:12" x14ac:dyDescent="0.25">
      <c r="A636" s="6">
        <v>41816</v>
      </c>
      <c r="B636" t="s">
        <v>45</v>
      </c>
      <c r="C636" s="7">
        <v>-180</v>
      </c>
      <c r="D636" t="s">
        <v>6</v>
      </c>
      <c r="E636" s="8">
        <f>E635+F636</f>
        <v>156732</v>
      </c>
      <c r="F636" s="8">
        <f>IF($D636="CR01",$C636,0)</f>
        <v>-180</v>
      </c>
      <c r="G636" s="8">
        <f>G635+H636</f>
        <v>0</v>
      </c>
      <c r="H636" s="8">
        <f>IF($D636="VISA",$C636,0)</f>
        <v>0</v>
      </c>
      <c r="I636" s="8">
        <f>I635+J636</f>
        <v>0</v>
      </c>
      <c r="J636" s="8">
        <f>IF($D636="ACC",$C636,0)</f>
        <v>0</v>
      </c>
      <c r="K636" s="8">
        <f>K635+L636</f>
        <v>0</v>
      </c>
      <c r="L636" s="8">
        <f>IF($D636="CBB",$C636,0)</f>
        <v>0</v>
      </c>
    </row>
    <row r="637" spans="1:12" x14ac:dyDescent="0.25">
      <c r="A637" s="6">
        <v>41816</v>
      </c>
      <c r="B637" t="s">
        <v>46</v>
      </c>
      <c r="C637" s="7">
        <v>-300</v>
      </c>
      <c r="D637" t="s">
        <v>6</v>
      </c>
      <c r="E637" s="8">
        <f>E636+F637</f>
        <v>156432</v>
      </c>
      <c r="F637" s="8">
        <f>IF($D637="CR01",$C637,0)</f>
        <v>-300</v>
      </c>
      <c r="G637" s="8">
        <f>G636+H637</f>
        <v>0</v>
      </c>
      <c r="H637" s="8">
        <f>IF($D637="VISA",$C637,0)</f>
        <v>0</v>
      </c>
      <c r="I637" s="8">
        <f>I636+J637</f>
        <v>0</v>
      </c>
      <c r="J637" s="8">
        <f>IF($D637="ACC",$C637,0)</f>
        <v>0</v>
      </c>
      <c r="K637" s="8">
        <f>K636+L637</f>
        <v>0</v>
      </c>
      <c r="L637" s="8">
        <f>IF($D637="CBB",$C637,0)</f>
        <v>0</v>
      </c>
    </row>
    <row r="638" spans="1:12" x14ac:dyDescent="0.25">
      <c r="A638" s="6">
        <v>41818</v>
      </c>
      <c r="B638" t="s">
        <v>67</v>
      </c>
      <c r="C638" s="7">
        <v>6800</v>
      </c>
      <c r="D638" t="s">
        <v>6</v>
      </c>
      <c r="E638" s="8">
        <f>E637+F638</f>
        <v>163232</v>
      </c>
      <c r="F638" s="8">
        <f>IF($D638="CR01",$C638,0)</f>
        <v>6800</v>
      </c>
      <c r="G638" s="8">
        <f>G637+H638</f>
        <v>0</v>
      </c>
      <c r="H638" s="8">
        <f>IF($D638="VISA",$C638,0)</f>
        <v>0</v>
      </c>
      <c r="I638" s="8">
        <f>I637+J638</f>
        <v>0</v>
      </c>
      <c r="J638" s="8">
        <f>IF($D638="ACC",$C638,0)</f>
        <v>0</v>
      </c>
      <c r="K638" s="8">
        <f>K637+L638</f>
        <v>0</v>
      </c>
      <c r="L638" s="8">
        <f>IF($D638="CBB",$C638,0)</f>
        <v>0</v>
      </c>
    </row>
    <row r="639" spans="1:12" x14ac:dyDescent="0.25">
      <c r="A639" s="6">
        <v>41821</v>
      </c>
      <c r="B639" t="s">
        <v>42</v>
      </c>
      <c r="C639" s="7">
        <v>-2806</v>
      </c>
      <c r="D639" t="s">
        <v>6</v>
      </c>
      <c r="E639" s="8">
        <f>E638+F639</f>
        <v>160426</v>
      </c>
      <c r="F639" s="8">
        <f>IF($D639="CR01",$C639,0)</f>
        <v>-2806</v>
      </c>
      <c r="G639" s="8">
        <f>G638+H639</f>
        <v>0</v>
      </c>
      <c r="H639" s="8">
        <f>IF($D639="VISA",$C639,0)</f>
        <v>0</v>
      </c>
      <c r="I639" s="8">
        <f>I638+J639</f>
        <v>0</v>
      </c>
      <c r="J639" s="8">
        <f>IF($D639="ACC",$C639,0)</f>
        <v>0</v>
      </c>
      <c r="K639" s="8">
        <f>K638+L639</f>
        <v>0</v>
      </c>
      <c r="L639" s="8">
        <f>IF($D639="CBB",$C639,0)</f>
        <v>0</v>
      </c>
    </row>
    <row r="640" spans="1:12" x14ac:dyDescent="0.25">
      <c r="A640" s="6">
        <v>41821</v>
      </c>
      <c r="B640" t="s">
        <v>48</v>
      </c>
      <c r="C640" s="7">
        <v>-100</v>
      </c>
      <c r="D640" t="s">
        <v>6</v>
      </c>
      <c r="E640" s="8">
        <f>E639+F640</f>
        <v>160326</v>
      </c>
      <c r="F640" s="8">
        <f>IF($D640="CR01",$C640,0)</f>
        <v>-100</v>
      </c>
      <c r="G640" s="8">
        <f>G639+H640</f>
        <v>0</v>
      </c>
      <c r="H640" s="8">
        <f>IF($D640="VISA",$C640,0)</f>
        <v>0</v>
      </c>
      <c r="I640" s="8">
        <f>I639+J640</f>
        <v>0</v>
      </c>
      <c r="J640" s="8">
        <f>IF($D640="ACC",$C640,0)</f>
        <v>0</v>
      </c>
      <c r="K640" s="8">
        <f>K639+L640</f>
        <v>0</v>
      </c>
      <c r="L640" s="8">
        <f>IF($D640="CBB",$C640,0)</f>
        <v>0</v>
      </c>
    </row>
    <row r="641" spans="1:12" x14ac:dyDescent="0.25">
      <c r="A641" s="6">
        <v>41821</v>
      </c>
      <c r="B641" t="s">
        <v>58</v>
      </c>
      <c r="C641" s="7">
        <v>-200</v>
      </c>
      <c r="D641" t="s">
        <v>6</v>
      </c>
      <c r="E641" s="8">
        <f>E640+F641</f>
        <v>160126</v>
      </c>
      <c r="F641" s="8">
        <f>IF($D641="CR01",$C641,0)</f>
        <v>-200</v>
      </c>
      <c r="G641" s="8">
        <f>G640+H641</f>
        <v>0</v>
      </c>
      <c r="H641" s="8">
        <f>IF($D641="VISA",$C641,0)</f>
        <v>0</v>
      </c>
      <c r="I641" s="8">
        <f>I640+J641</f>
        <v>0</v>
      </c>
      <c r="J641" s="8">
        <f>IF($D641="ACC",$C641,0)</f>
        <v>0</v>
      </c>
      <c r="K641" s="8">
        <f>K640+L641</f>
        <v>0</v>
      </c>
      <c r="L641" s="8">
        <f>IF($D641="CBB",$C641,0)</f>
        <v>0</v>
      </c>
    </row>
    <row r="642" spans="1:12" x14ac:dyDescent="0.25">
      <c r="A642" s="6">
        <v>41821</v>
      </c>
      <c r="B642" t="s">
        <v>60</v>
      </c>
      <c r="C642" s="7">
        <v>-400</v>
      </c>
      <c r="D642" t="s">
        <v>6</v>
      </c>
      <c r="E642" s="8">
        <f>E641+F642</f>
        <v>159726</v>
      </c>
      <c r="F642" s="8">
        <f>IF($D642="CR01",$C642,0)</f>
        <v>-400</v>
      </c>
      <c r="G642" s="8">
        <f>G641+H642</f>
        <v>0</v>
      </c>
      <c r="H642" s="8">
        <f>IF($D642="VISA",$C642,0)</f>
        <v>0</v>
      </c>
      <c r="I642" s="8">
        <f>I641+J642</f>
        <v>0</v>
      </c>
      <c r="J642" s="8">
        <f>IF($D642="ACC",$C642,0)</f>
        <v>0</v>
      </c>
      <c r="K642" s="8">
        <f>K641+L642</f>
        <v>0</v>
      </c>
      <c r="L642" s="8">
        <f>IF($D642="CBB",$C642,0)</f>
        <v>0</v>
      </c>
    </row>
    <row r="643" spans="1:12" x14ac:dyDescent="0.25">
      <c r="A643" s="6">
        <v>41821</v>
      </c>
      <c r="B643" t="s">
        <v>61</v>
      </c>
      <c r="C643" s="7">
        <v>-300</v>
      </c>
      <c r="D643" t="s">
        <v>6</v>
      </c>
      <c r="E643" s="8">
        <f>E642+F643</f>
        <v>159426</v>
      </c>
      <c r="F643" s="8">
        <f>IF($D643="CR01",$C643,0)</f>
        <v>-300</v>
      </c>
      <c r="G643" s="8">
        <f>G642+H643</f>
        <v>0</v>
      </c>
      <c r="H643" s="8">
        <f>IF($D643="VISA",$C643,0)</f>
        <v>0</v>
      </c>
      <c r="I643" s="8">
        <f>I642+J643</f>
        <v>0</v>
      </c>
      <c r="J643" s="8">
        <f>IF($D643="ACC",$C643,0)</f>
        <v>0</v>
      </c>
      <c r="K643" s="8">
        <f>K642+L643</f>
        <v>0</v>
      </c>
      <c r="L643" s="8">
        <f>IF($D643="CBB",$C643,0)</f>
        <v>0</v>
      </c>
    </row>
    <row r="644" spans="1:12" x14ac:dyDescent="0.25">
      <c r="A644" s="6">
        <v>41821</v>
      </c>
      <c r="B644" t="s">
        <v>64</v>
      </c>
      <c r="C644" s="7">
        <v>-26</v>
      </c>
      <c r="D644" t="s">
        <v>6</v>
      </c>
      <c r="E644" s="8">
        <f>E643+F644</f>
        <v>159400</v>
      </c>
      <c r="F644" s="8">
        <f>IF($D644="CR01",$C644,0)</f>
        <v>-26</v>
      </c>
      <c r="G644" s="8">
        <f>G643+H644</f>
        <v>0</v>
      </c>
      <c r="H644" s="8">
        <f>IF($D644="VISA",$C644,0)</f>
        <v>0</v>
      </c>
      <c r="I644" s="8">
        <f>I643+J644</f>
        <v>0</v>
      </c>
      <c r="J644" s="8">
        <f>IF($D644="ACC",$C644,0)</f>
        <v>0</v>
      </c>
      <c r="K644" s="8">
        <f>K643+L644</f>
        <v>0</v>
      </c>
      <c r="L644" s="8">
        <f>IF($D644="CBB",$C644,0)</f>
        <v>0</v>
      </c>
    </row>
    <row r="645" spans="1:12" x14ac:dyDescent="0.25">
      <c r="A645" s="6">
        <v>41821</v>
      </c>
      <c r="B645" t="s">
        <v>65</v>
      </c>
      <c r="C645" s="7">
        <v>-240</v>
      </c>
      <c r="D645" t="s">
        <v>6</v>
      </c>
      <c r="E645" s="8">
        <f>E644+F645</f>
        <v>159160</v>
      </c>
      <c r="F645" s="8">
        <f>IF($D645="CR01",$C645,0)</f>
        <v>-240</v>
      </c>
      <c r="G645" s="8">
        <f>G644+H645</f>
        <v>0</v>
      </c>
      <c r="H645" s="8">
        <f>IF($D645="VISA",$C645,0)</f>
        <v>0</v>
      </c>
      <c r="I645" s="8">
        <f>I644+J645</f>
        <v>0</v>
      </c>
      <c r="J645" s="8">
        <f>IF($D645="ACC",$C645,0)</f>
        <v>0</v>
      </c>
      <c r="K645" s="8">
        <f>K644+L645</f>
        <v>0</v>
      </c>
      <c r="L645" s="8">
        <f>IF($D645="CBB",$C645,0)</f>
        <v>0</v>
      </c>
    </row>
    <row r="646" spans="1:12" x14ac:dyDescent="0.25">
      <c r="A646" s="6">
        <v>41821</v>
      </c>
      <c r="B646" t="s">
        <v>66</v>
      </c>
      <c r="C646" s="7">
        <v>-120</v>
      </c>
      <c r="D646" t="s">
        <v>6</v>
      </c>
      <c r="E646" s="8">
        <f>E645+F646</f>
        <v>159040</v>
      </c>
      <c r="F646" s="8">
        <f>IF($D646="CR01",$C646,0)</f>
        <v>-120</v>
      </c>
      <c r="G646" s="8">
        <f>G645+H646</f>
        <v>0</v>
      </c>
      <c r="H646" s="8">
        <f>IF($D646="VISA",$C646,0)</f>
        <v>0</v>
      </c>
      <c r="I646" s="8">
        <f>I645+J646</f>
        <v>0</v>
      </c>
      <c r="J646" s="8">
        <f>IF($D646="ACC",$C646,0)</f>
        <v>0</v>
      </c>
      <c r="K646" s="8">
        <f>K645+L646</f>
        <v>0</v>
      </c>
      <c r="L646" s="8">
        <f>IF($D646="CBB",$C646,0)</f>
        <v>0</v>
      </c>
    </row>
    <row r="647" spans="1:12" x14ac:dyDescent="0.25">
      <c r="A647" s="6">
        <v>41822</v>
      </c>
      <c r="B647" t="s">
        <v>47</v>
      </c>
      <c r="C647" s="7">
        <v>-120</v>
      </c>
      <c r="D647" t="s">
        <v>6</v>
      </c>
      <c r="E647" s="8">
        <f>E646+F647</f>
        <v>158920</v>
      </c>
      <c r="F647" s="8">
        <f>IF($D647="CR01",$C647,0)</f>
        <v>-120</v>
      </c>
      <c r="G647" s="8">
        <f>G646+H647</f>
        <v>0</v>
      </c>
      <c r="H647" s="8">
        <f>IF($D647="VISA",$C647,0)</f>
        <v>0</v>
      </c>
      <c r="I647" s="8">
        <f>I646+J647</f>
        <v>0</v>
      </c>
      <c r="J647" s="8">
        <f>IF($D647="ACC",$C647,0)</f>
        <v>0</v>
      </c>
      <c r="K647" s="8">
        <f>K646+L647</f>
        <v>0</v>
      </c>
      <c r="L647" s="8">
        <f>IF($D647="CBB",$C647,0)</f>
        <v>0</v>
      </c>
    </row>
    <row r="648" spans="1:12" x14ac:dyDescent="0.25">
      <c r="A648" s="6">
        <v>41822</v>
      </c>
      <c r="B648" t="s">
        <v>59</v>
      </c>
      <c r="C648" s="7">
        <v>-900</v>
      </c>
      <c r="D648" t="s">
        <v>6</v>
      </c>
      <c r="E648" s="8">
        <f>E647+F648</f>
        <v>158020</v>
      </c>
      <c r="F648" s="8">
        <f>IF($D648="CR01",$C648,0)</f>
        <v>-900</v>
      </c>
      <c r="G648" s="8">
        <f>G647+H648</f>
        <v>0</v>
      </c>
      <c r="H648" s="8">
        <f>IF($D648="VISA",$C648,0)</f>
        <v>0</v>
      </c>
      <c r="I648" s="8">
        <f>I647+J648</f>
        <v>0</v>
      </c>
      <c r="J648" s="8">
        <f>IF($D648="ACC",$C648,0)</f>
        <v>0</v>
      </c>
      <c r="K648" s="8">
        <f>K647+L648</f>
        <v>0</v>
      </c>
      <c r="L648" s="8">
        <f>IF($D648="CBB",$C648,0)</f>
        <v>0</v>
      </c>
    </row>
    <row r="649" spans="1:12" x14ac:dyDescent="0.25">
      <c r="A649" s="6">
        <v>41823</v>
      </c>
      <c r="B649" t="s">
        <v>44</v>
      </c>
      <c r="C649" s="7">
        <v>-400</v>
      </c>
      <c r="D649" t="s">
        <v>6</v>
      </c>
      <c r="E649" s="8">
        <f>E648+F649</f>
        <v>157620</v>
      </c>
      <c r="F649" s="8">
        <f>IF($D649="CR01",$C649,0)</f>
        <v>-400</v>
      </c>
      <c r="G649" s="8">
        <f>G648+H649</f>
        <v>0</v>
      </c>
      <c r="H649" s="8">
        <f>IF($D649="VISA",$C649,0)</f>
        <v>0</v>
      </c>
      <c r="I649" s="8">
        <f>I648+J649</f>
        <v>0</v>
      </c>
      <c r="J649" s="8">
        <f>IF($D649="ACC",$C649,0)</f>
        <v>0</v>
      </c>
      <c r="K649" s="8">
        <f>K648+L649</f>
        <v>0</v>
      </c>
      <c r="L649" s="8">
        <f>IF($D649="CBB",$C649,0)</f>
        <v>0</v>
      </c>
    </row>
    <row r="650" spans="1:12" x14ac:dyDescent="0.25">
      <c r="A650" s="6">
        <v>41823</v>
      </c>
      <c r="B650" t="s">
        <v>45</v>
      </c>
      <c r="C650" s="7">
        <v>-180</v>
      </c>
      <c r="D650" t="s">
        <v>6</v>
      </c>
      <c r="E650" s="8">
        <f>E649+F650</f>
        <v>157440</v>
      </c>
      <c r="F650" s="8">
        <f>IF($D650="CR01",$C650,0)</f>
        <v>-180</v>
      </c>
      <c r="G650" s="8">
        <f>G649+H650</f>
        <v>0</v>
      </c>
      <c r="H650" s="8">
        <f>IF($D650="VISA",$C650,0)</f>
        <v>0</v>
      </c>
      <c r="I650" s="8">
        <f>I649+J650</f>
        <v>0</v>
      </c>
      <c r="J650" s="8">
        <f>IF($D650="ACC",$C650,0)</f>
        <v>0</v>
      </c>
      <c r="K650" s="8">
        <f>K649+L650</f>
        <v>0</v>
      </c>
      <c r="L650" s="8">
        <f>IF($D650="CBB",$C650,0)</f>
        <v>0</v>
      </c>
    </row>
    <row r="651" spans="1:12" x14ac:dyDescent="0.25">
      <c r="A651" s="6">
        <v>41823</v>
      </c>
      <c r="B651" t="s">
        <v>46</v>
      </c>
      <c r="C651" s="7">
        <v>-300</v>
      </c>
      <c r="D651" t="s">
        <v>6</v>
      </c>
      <c r="E651" s="8">
        <f>E650+F651</f>
        <v>157140</v>
      </c>
      <c r="F651" s="8">
        <f>IF($D651="CR01",$C651,0)</f>
        <v>-300</v>
      </c>
      <c r="G651" s="8">
        <f>G650+H651</f>
        <v>0</v>
      </c>
      <c r="H651" s="8">
        <f>IF($D651="VISA",$C651,0)</f>
        <v>0</v>
      </c>
      <c r="I651" s="8">
        <f>I650+J651</f>
        <v>0</v>
      </c>
      <c r="J651" s="8">
        <f>IF($D651="ACC",$C651,0)</f>
        <v>0</v>
      </c>
      <c r="K651" s="8">
        <f>K650+L651</f>
        <v>0</v>
      </c>
      <c r="L651" s="8">
        <f>IF($D651="CBB",$C651,0)</f>
        <v>0</v>
      </c>
    </row>
    <row r="652" spans="1:12" x14ac:dyDescent="0.25">
      <c r="A652" s="6">
        <v>41824</v>
      </c>
      <c r="B652" t="s">
        <v>43</v>
      </c>
      <c r="C652" s="7">
        <v>3226</v>
      </c>
      <c r="D652" t="s">
        <v>6</v>
      </c>
      <c r="E652" s="8">
        <f>E651+F652</f>
        <v>160366</v>
      </c>
      <c r="F652" s="8">
        <f>IF($D652="CR01",$C652,0)</f>
        <v>3226</v>
      </c>
      <c r="G652" s="8">
        <f>G651+H652</f>
        <v>0</v>
      </c>
      <c r="H652" s="8">
        <f>IF($D652="VISA",$C652,0)</f>
        <v>0</v>
      </c>
      <c r="I652" s="8">
        <f>I651+J652</f>
        <v>0</v>
      </c>
      <c r="J652" s="8">
        <f>IF($D652="ACC",$C652,0)</f>
        <v>0</v>
      </c>
      <c r="K652" s="8">
        <f>K651+L652</f>
        <v>0</v>
      </c>
      <c r="L652" s="8">
        <f>IF($D652="CBB",$C652,0)</f>
        <v>0</v>
      </c>
    </row>
    <row r="653" spans="1:12" x14ac:dyDescent="0.25">
      <c r="A653" s="6">
        <v>41828</v>
      </c>
      <c r="B653" t="s">
        <v>48</v>
      </c>
      <c r="C653" s="7">
        <v>-100</v>
      </c>
      <c r="D653" t="s">
        <v>6</v>
      </c>
      <c r="E653" s="8">
        <f>E652+F653</f>
        <v>160266</v>
      </c>
      <c r="F653" s="8">
        <f>IF($D653="CR01",$C653,0)</f>
        <v>-100</v>
      </c>
      <c r="G653" s="8">
        <f>G652+H653</f>
        <v>0</v>
      </c>
      <c r="H653" s="8">
        <f>IF($D653="VISA",$C653,0)</f>
        <v>0</v>
      </c>
      <c r="I653" s="8">
        <f>I652+J653</f>
        <v>0</v>
      </c>
      <c r="J653" s="8">
        <f>IF($D653="ACC",$C653,0)</f>
        <v>0</v>
      </c>
      <c r="K653" s="8">
        <f>K652+L653</f>
        <v>0</v>
      </c>
      <c r="L653" s="8">
        <f>IF($D653="CBB",$C653,0)</f>
        <v>0</v>
      </c>
    </row>
    <row r="654" spans="1:12" x14ac:dyDescent="0.25">
      <c r="A654" s="6">
        <v>41829</v>
      </c>
      <c r="B654" t="s">
        <v>47</v>
      </c>
      <c r="C654" s="7">
        <v>-120</v>
      </c>
      <c r="D654" t="s">
        <v>6</v>
      </c>
      <c r="E654" s="8">
        <f>E653+F654</f>
        <v>160146</v>
      </c>
      <c r="F654" s="8">
        <f>IF($D654="CR01",$C654,0)</f>
        <v>-120</v>
      </c>
      <c r="G654" s="8">
        <f>G653+H654</f>
        <v>0</v>
      </c>
      <c r="H654" s="8">
        <f>IF($D654="VISA",$C654,0)</f>
        <v>0</v>
      </c>
      <c r="I654" s="8">
        <f>I653+J654</f>
        <v>0</v>
      </c>
      <c r="J654" s="8">
        <f>IF($D654="ACC",$C654,0)</f>
        <v>0</v>
      </c>
      <c r="K654" s="8">
        <f>K653+L654</f>
        <v>0</v>
      </c>
      <c r="L654" s="8">
        <f>IF($D654="CBB",$C654,0)</f>
        <v>0</v>
      </c>
    </row>
    <row r="655" spans="1:12" x14ac:dyDescent="0.25">
      <c r="A655" s="6">
        <v>41830</v>
      </c>
      <c r="B655" t="s">
        <v>44</v>
      </c>
      <c r="C655" s="7">
        <v>-400</v>
      </c>
      <c r="D655" t="s">
        <v>6</v>
      </c>
      <c r="E655" s="8">
        <f>E654+F655</f>
        <v>159746</v>
      </c>
      <c r="F655" s="8">
        <f>IF($D655="CR01",$C655,0)</f>
        <v>-400</v>
      </c>
      <c r="G655" s="8">
        <f>G654+H655</f>
        <v>0</v>
      </c>
      <c r="H655" s="8">
        <f>IF($D655="VISA",$C655,0)</f>
        <v>0</v>
      </c>
      <c r="I655" s="8">
        <f>I654+J655</f>
        <v>0</v>
      </c>
      <c r="J655" s="8">
        <f>IF($D655="ACC",$C655,0)</f>
        <v>0</v>
      </c>
      <c r="K655" s="8">
        <f>K654+L655</f>
        <v>0</v>
      </c>
      <c r="L655" s="8">
        <f>IF($D655="CBB",$C655,0)</f>
        <v>0</v>
      </c>
    </row>
    <row r="656" spans="1:12" x14ac:dyDescent="0.25">
      <c r="A656" s="6">
        <v>41830</v>
      </c>
      <c r="B656" t="s">
        <v>45</v>
      </c>
      <c r="C656" s="7">
        <v>-180</v>
      </c>
      <c r="D656" t="s">
        <v>6</v>
      </c>
      <c r="E656" s="8">
        <f>E655+F656</f>
        <v>159566</v>
      </c>
      <c r="F656" s="8">
        <f>IF($D656="CR01",$C656,0)</f>
        <v>-180</v>
      </c>
      <c r="G656" s="8">
        <f>G655+H656</f>
        <v>0</v>
      </c>
      <c r="H656" s="8">
        <f>IF($D656="VISA",$C656,0)</f>
        <v>0</v>
      </c>
      <c r="I656" s="8">
        <f>I655+J656</f>
        <v>0</v>
      </c>
      <c r="J656" s="8">
        <f>IF($D656="ACC",$C656,0)</f>
        <v>0</v>
      </c>
      <c r="K656" s="8">
        <f>K655+L656</f>
        <v>0</v>
      </c>
      <c r="L656" s="8">
        <f>IF($D656="CBB",$C656,0)</f>
        <v>0</v>
      </c>
    </row>
    <row r="657" spans="1:12" x14ac:dyDescent="0.25">
      <c r="A657" s="6">
        <v>41830</v>
      </c>
      <c r="B657" t="s">
        <v>46</v>
      </c>
      <c r="C657" s="7">
        <v>-300</v>
      </c>
      <c r="D657" t="s">
        <v>6</v>
      </c>
      <c r="E657" s="8">
        <f>E656+F657</f>
        <v>159266</v>
      </c>
      <c r="F657" s="8">
        <f>IF($D657="CR01",$C657,0)</f>
        <v>-300</v>
      </c>
      <c r="G657" s="8">
        <f>G656+H657</f>
        <v>0</v>
      </c>
      <c r="H657" s="8">
        <f>IF($D657="VISA",$C657,0)</f>
        <v>0</v>
      </c>
      <c r="I657" s="8">
        <f>I656+J657</f>
        <v>0</v>
      </c>
      <c r="J657" s="8">
        <f>IF($D657="ACC",$C657,0)</f>
        <v>0</v>
      </c>
      <c r="K657" s="8">
        <f>K656+L657</f>
        <v>0</v>
      </c>
      <c r="L657" s="8">
        <f>IF($D657="CBB",$C657,0)</f>
        <v>0</v>
      </c>
    </row>
    <row r="658" spans="1:12" x14ac:dyDescent="0.25">
      <c r="A658" s="6">
        <v>41832</v>
      </c>
      <c r="B658" t="s">
        <v>67</v>
      </c>
      <c r="C658" s="7">
        <v>6800</v>
      </c>
      <c r="D658" t="s">
        <v>6</v>
      </c>
      <c r="E658" s="8">
        <f>E657+F658</f>
        <v>166066</v>
      </c>
      <c r="F658" s="8">
        <f>IF($D658="CR01",$C658,0)</f>
        <v>6800</v>
      </c>
      <c r="G658" s="8">
        <f>G657+H658</f>
        <v>0</v>
      </c>
      <c r="H658" s="8">
        <f>IF($D658="VISA",$C658,0)</f>
        <v>0</v>
      </c>
      <c r="I658" s="8">
        <f>I657+J658</f>
        <v>0</v>
      </c>
      <c r="J658" s="8">
        <f>IF($D658="ACC",$C658,0)</f>
        <v>0</v>
      </c>
      <c r="K658" s="8">
        <f>K657+L658</f>
        <v>0</v>
      </c>
      <c r="L658" s="8">
        <f>IF($D658="CBB",$C658,0)</f>
        <v>0</v>
      </c>
    </row>
    <row r="659" spans="1:12" x14ac:dyDescent="0.25">
      <c r="A659" s="6">
        <v>41835</v>
      </c>
      <c r="B659" t="s">
        <v>42</v>
      </c>
      <c r="C659" s="7">
        <v>-2806</v>
      </c>
      <c r="D659" t="s">
        <v>6</v>
      </c>
      <c r="E659" s="8">
        <f>E658+F659</f>
        <v>163260</v>
      </c>
      <c r="F659" s="8">
        <f>IF($D659="CR01",$C659,0)</f>
        <v>-2806</v>
      </c>
      <c r="G659" s="8">
        <f>G658+H659</f>
        <v>0</v>
      </c>
      <c r="H659" s="8">
        <f>IF($D659="VISA",$C659,0)</f>
        <v>0</v>
      </c>
      <c r="I659" s="8">
        <f>I658+J659</f>
        <v>0</v>
      </c>
      <c r="J659" s="8">
        <f>IF($D659="ACC",$C659,0)</f>
        <v>0</v>
      </c>
      <c r="K659" s="8">
        <f>K658+L659</f>
        <v>0</v>
      </c>
      <c r="L659" s="8">
        <f>IF($D659="CBB",$C659,0)</f>
        <v>0</v>
      </c>
    </row>
    <row r="660" spans="1:12" x14ac:dyDescent="0.25">
      <c r="A660" s="6">
        <v>41835</v>
      </c>
      <c r="B660" t="s">
        <v>48</v>
      </c>
      <c r="C660" s="7">
        <v>-100</v>
      </c>
      <c r="D660" t="s">
        <v>6</v>
      </c>
      <c r="E660" s="8">
        <f>E659+F660</f>
        <v>163160</v>
      </c>
      <c r="F660" s="8">
        <f>IF($D660="CR01",$C660,0)</f>
        <v>-100</v>
      </c>
      <c r="G660" s="8">
        <f>G659+H660</f>
        <v>0</v>
      </c>
      <c r="H660" s="8">
        <f>IF($D660="VISA",$C660,0)</f>
        <v>0</v>
      </c>
      <c r="I660" s="8">
        <f>I659+J660</f>
        <v>0</v>
      </c>
      <c r="J660" s="8">
        <f>IF($D660="ACC",$C660,0)</f>
        <v>0</v>
      </c>
      <c r="K660" s="8">
        <f>K659+L660</f>
        <v>0</v>
      </c>
      <c r="L660" s="8">
        <f>IF($D660="CBB",$C660,0)</f>
        <v>0</v>
      </c>
    </row>
    <row r="661" spans="1:12" x14ac:dyDescent="0.25">
      <c r="A661" s="6">
        <v>41836</v>
      </c>
      <c r="B661" t="s">
        <v>47</v>
      </c>
      <c r="C661" s="7">
        <v>-120</v>
      </c>
      <c r="D661" t="s">
        <v>6</v>
      </c>
      <c r="E661" s="8">
        <f>E660+F661</f>
        <v>163040</v>
      </c>
      <c r="F661" s="8">
        <f>IF($D661="CR01",$C661,0)</f>
        <v>-120</v>
      </c>
      <c r="G661" s="8">
        <f>G660+H661</f>
        <v>0</v>
      </c>
      <c r="H661" s="8">
        <f>IF($D661="VISA",$C661,0)</f>
        <v>0</v>
      </c>
      <c r="I661" s="8">
        <f>I660+J661</f>
        <v>0</v>
      </c>
      <c r="J661" s="8">
        <f>IF($D661="ACC",$C661,0)</f>
        <v>0</v>
      </c>
      <c r="K661" s="8">
        <f>K660+L661</f>
        <v>0</v>
      </c>
      <c r="L661" s="8">
        <f>IF($D661="CBB",$C661,0)</f>
        <v>0</v>
      </c>
    </row>
    <row r="662" spans="1:12" x14ac:dyDescent="0.25">
      <c r="A662" s="6">
        <v>41837</v>
      </c>
      <c r="B662" t="s">
        <v>44</v>
      </c>
      <c r="C662" s="7">
        <v>-400</v>
      </c>
      <c r="D662" t="s">
        <v>6</v>
      </c>
      <c r="E662" s="8">
        <f>E661+F662</f>
        <v>162640</v>
      </c>
      <c r="F662" s="8">
        <f>IF($D662="CR01",$C662,0)</f>
        <v>-400</v>
      </c>
      <c r="G662" s="8">
        <f>G661+H662</f>
        <v>0</v>
      </c>
      <c r="H662" s="8">
        <f>IF($D662="VISA",$C662,0)</f>
        <v>0</v>
      </c>
      <c r="I662" s="8">
        <f>I661+J662</f>
        <v>0</v>
      </c>
      <c r="J662" s="8">
        <f>IF($D662="ACC",$C662,0)</f>
        <v>0</v>
      </c>
      <c r="K662" s="8">
        <f>K661+L662</f>
        <v>0</v>
      </c>
      <c r="L662" s="8">
        <f>IF($D662="CBB",$C662,0)</f>
        <v>0</v>
      </c>
    </row>
    <row r="663" spans="1:12" x14ac:dyDescent="0.25">
      <c r="A663" s="6">
        <v>41837</v>
      </c>
      <c r="B663" t="s">
        <v>45</v>
      </c>
      <c r="C663" s="7">
        <v>-180</v>
      </c>
      <c r="D663" t="s">
        <v>6</v>
      </c>
      <c r="E663" s="8">
        <f>E662+F663</f>
        <v>162460</v>
      </c>
      <c r="F663" s="8">
        <f>IF($D663="CR01",$C663,0)</f>
        <v>-180</v>
      </c>
      <c r="G663" s="8">
        <f>G662+H663</f>
        <v>0</v>
      </c>
      <c r="H663" s="8">
        <f>IF($D663="VISA",$C663,0)</f>
        <v>0</v>
      </c>
      <c r="I663" s="8">
        <f>I662+J663</f>
        <v>0</v>
      </c>
      <c r="J663" s="8">
        <f>IF($D663="ACC",$C663,0)</f>
        <v>0</v>
      </c>
      <c r="K663" s="8">
        <f>K662+L663</f>
        <v>0</v>
      </c>
      <c r="L663" s="8">
        <f>IF($D663="CBB",$C663,0)</f>
        <v>0</v>
      </c>
    </row>
    <row r="664" spans="1:12" x14ac:dyDescent="0.25">
      <c r="A664" s="6">
        <v>41837</v>
      </c>
      <c r="B664" t="s">
        <v>46</v>
      </c>
      <c r="C664" s="7">
        <v>-300</v>
      </c>
      <c r="D664" t="s">
        <v>6</v>
      </c>
      <c r="E664" s="8">
        <f>E663+F664</f>
        <v>162160</v>
      </c>
      <c r="F664" s="8">
        <f>IF($D664="CR01",$C664,0)</f>
        <v>-300</v>
      </c>
      <c r="G664" s="8">
        <f>G663+H664</f>
        <v>0</v>
      </c>
      <c r="H664" s="8">
        <f>IF($D664="VISA",$C664,0)</f>
        <v>0</v>
      </c>
      <c r="I664" s="8">
        <f>I663+J664</f>
        <v>0</v>
      </c>
      <c r="J664" s="8">
        <f>IF($D664="ACC",$C664,0)</f>
        <v>0</v>
      </c>
      <c r="K664" s="8">
        <f>K663+L664</f>
        <v>0</v>
      </c>
      <c r="L664" s="8">
        <f>IF($D664="CBB",$C664,0)</f>
        <v>0</v>
      </c>
    </row>
    <row r="665" spans="1:12" x14ac:dyDescent="0.25">
      <c r="A665" s="6">
        <v>41838</v>
      </c>
      <c r="B665" t="s">
        <v>43</v>
      </c>
      <c r="C665" s="7">
        <v>3226</v>
      </c>
      <c r="D665" t="s">
        <v>6</v>
      </c>
      <c r="E665" s="8">
        <f>E664+F665</f>
        <v>165386</v>
      </c>
      <c r="F665" s="8">
        <f>IF($D665="CR01",$C665,0)</f>
        <v>3226</v>
      </c>
      <c r="G665" s="8">
        <f>G664+H665</f>
        <v>0</v>
      </c>
      <c r="H665" s="8">
        <f>IF($D665="VISA",$C665,0)</f>
        <v>0</v>
      </c>
      <c r="I665" s="8">
        <f>I664+J665</f>
        <v>0</v>
      </c>
      <c r="J665" s="8">
        <f>IF($D665="ACC",$C665,0)</f>
        <v>0</v>
      </c>
      <c r="K665" s="8">
        <f>K664+L665</f>
        <v>0</v>
      </c>
      <c r="L665" s="8">
        <f>IF($D665="CBB",$C665,0)</f>
        <v>0</v>
      </c>
    </row>
    <row r="666" spans="1:12" x14ac:dyDescent="0.25">
      <c r="A666" s="6">
        <v>41842</v>
      </c>
      <c r="B666" t="s">
        <v>48</v>
      </c>
      <c r="C666" s="7">
        <v>-100</v>
      </c>
      <c r="D666" t="s">
        <v>6</v>
      </c>
      <c r="E666" s="8">
        <f>E665+F666</f>
        <v>165286</v>
      </c>
      <c r="F666" s="8">
        <f>IF($D666="CR01",$C666,0)</f>
        <v>-100</v>
      </c>
      <c r="G666" s="8">
        <f>G665+H666</f>
        <v>0</v>
      </c>
      <c r="H666" s="8">
        <f>IF($D666="VISA",$C666,0)</f>
        <v>0</v>
      </c>
      <c r="I666" s="8">
        <f>I665+J666</f>
        <v>0</v>
      </c>
      <c r="J666" s="8">
        <f>IF($D666="ACC",$C666,0)</f>
        <v>0</v>
      </c>
      <c r="K666" s="8">
        <f>K665+L666</f>
        <v>0</v>
      </c>
      <c r="L666" s="8">
        <f>IF($D666="CBB",$C666,0)</f>
        <v>0</v>
      </c>
    </row>
    <row r="667" spans="1:12" x14ac:dyDescent="0.25">
      <c r="A667" s="6">
        <v>41843</v>
      </c>
      <c r="B667" t="s">
        <v>47</v>
      </c>
      <c r="C667" s="7">
        <v>-120</v>
      </c>
      <c r="D667" t="s">
        <v>6</v>
      </c>
      <c r="E667" s="8">
        <f>E666+F667</f>
        <v>165166</v>
      </c>
      <c r="F667" s="8">
        <f>IF($D667="CR01",$C667,0)</f>
        <v>-120</v>
      </c>
      <c r="G667" s="8">
        <f>G666+H667</f>
        <v>0</v>
      </c>
      <c r="H667" s="8">
        <f>IF($D667="VISA",$C667,0)</f>
        <v>0</v>
      </c>
      <c r="I667" s="8">
        <f>I666+J667</f>
        <v>0</v>
      </c>
      <c r="J667" s="8">
        <f>IF($D667="ACC",$C667,0)</f>
        <v>0</v>
      </c>
      <c r="K667" s="8">
        <f>K666+L667</f>
        <v>0</v>
      </c>
      <c r="L667" s="8">
        <f>IF($D667="CBB",$C667,0)</f>
        <v>0</v>
      </c>
    </row>
    <row r="668" spans="1:12" x14ac:dyDescent="0.25">
      <c r="A668" s="6">
        <v>41844</v>
      </c>
      <c r="B668" t="s">
        <v>44</v>
      </c>
      <c r="C668" s="7">
        <v>-400</v>
      </c>
      <c r="D668" t="s">
        <v>6</v>
      </c>
      <c r="E668" s="8">
        <f>E667+F668</f>
        <v>164766</v>
      </c>
      <c r="F668" s="8">
        <f>IF($D668="CR01",$C668,0)</f>
        <v>-400</v>
      </c>
      <c r="G668" s="8">
        <f>G667+H668</f>
        <v>0</v>
      </c>
      <c r="H668" s="8">
        <f>IF($D668="VISA",$C668,0)</f>
        <v>0</v>
      </c>
      <c r="I668" s="8">
        <f>I667+J668</f>
        <v>0</v>
      </c>
      <c r="J668" s="8">
        <f>IF($D668="ACC",$C668,0)</f>
        <v>0</v>
      </c>
      <c r="K668" s="8">
        <f>K667+L668</f>
        <v>0</v>
      </c>
      <c r="L668" s="8">
        <f>IF($D668="CBB",$C668,0)</f>
        <v>0</v>
      </c>
    </row>
    <row r="669" spans="1:12" x14ac:dyDescent="0.25">
      <c r="A669" s="6">
        <v>41844</v>
      </c>
      <c r="B669" t="s">
        <v>45</v>
      </c>
      <c r="C669" s="7">
        <v>-180</v>
      </c>
      <c r="D669" t="s">
        <v>6</v>
      </c>
      <c r="E669" s="8">
        <f>E668+F669</f>
        <v>164586</v>
      </c>
      <c r="F669" s="8">
        <f>IF($D669="CR01",$C669,0)</f>
        <v>-180</v>
      </c>
      <c r="G669" s="8">
        <f>G668+H669</f>
        <v>0</v>
      </c>
      <c r="H669" s="8">
        <f>IF($D669="VISA",$C669,0)</f>
        <v>0</v>
      </c>
      <c r="I669" s="8">
        <f>I668+J669</f>
        <v>0</v>
      </c>
      <c r="J669" s="8">
        <f>IF($D669="ACC",$C669,0)</f>
        <v>0</v>
      </c>
      <c r="K669" s="8">
        <f>K668+L669</f>
        <v>0</v>
      </c>
      <c r="L669" s="8">
        <f>IF($D669="CBB",$C669,0)</f>
        <v>0</v>
      </c>
    </row>
    <row r="670" spans="1:12" x14ac:dyDescent="0.25">
      <c r="A670" s="6">
        <v>41844</v>
      </c>
      <c r="B670" t="s">
        <v>46</v>
      </c>
      <c r="C670" s="7">
        <v>-300</v>
      </c>
      <c r="D670" t="s">
        <v>6</v>
      </c>
      <c r="E670" s="8">
        <f>E669+F670</f>
        <v>164286</v>
      </c>
      <c r="F670" s="8">
        <f>IF($D670="CR01",$C670,0)</f>
        <v>-300</v>
      </c>
      <c r="G670" s="8">
        <f>G669+H670</f>
        <v>0</v>
      </c>
      <c r="H670" s="8">
        <f>IF($D670="VISA",$C670,0)</f>
        <v>0</v>
      </c>
      <c r="I670" s="8">
        <f>I669+J670</f>
        <v>0</v>
      </c>
      <c r="J670" s="8">
        <f>IF($D670="ACC",$C670,0)</f>
        <v>0</v>
      </c>
      <c r="K670" s="8">
        <f>K669+L670</f>
        <v>0</v>
      </c>
      <c r="L670" s="8">
        <f>IF($D670="CBB",$C670,0)</f>
        <v>0</v>
      </c>
    </row>
    <row r="671" spans="1:12" x14ac:dyDescent="0.25">
      <c r="A671" s="6">
        <v>41846</v>
      </c>
      <c r="B671" t="s">
        <v>67</v>
      </c>
      <c r="C671" s="7">
        <v>6800</v>
      </c>
      <c r="D671" t="s">
        <v>6</v>
      </c>
      <c r="E671" s="8">
        <f>E670+F671</f>
        <v>171086</v>
      </c>
      <c r="F671" s="8">
        <f>IF($D671="CR01",$C671,0)</f>
        <v>6800</v>
      </c>
      <c r="G671" s="8">
        <f>G670+H671</f>
        <v>0</v>
      </c>
      <c r="H671" s="8">
        <f>IF($D671="VISA",$C671,0)</f>
        <v>0</v>
      </c>
      <c r="I671" s="8">
        <f>I670+J671</f>
        <v>0</v>
      </c>
      <c r="J671" s="8">
        <f>IF($D671="ACC",$C671,0)</f>
        <v>0</v>
      </c>
      <c r="K671" s="8">
        <f>K670+L671</f>
        <v>0</v>
      </c>
      <c r="L671" s="8">
        <f>IF($D671="CBB",$C671,0)</f>
        <v>0</v>
      </c>
    </row>
    <row r="672" spans="1:12" x14ac:dyDescent="0.25">
      <c r="A672" s="6">
        <v>41849</v>
      </c>
      <c r="B672" t="s">
        <v>42</v>
      </c>
      <c r="C672" s="7">
        <v>-2806</v>
      </c>
      <c r="D672" t="s">
        <v>6</v>
      </c>
      <c r="E672" s="8">
        <f>E671+F672</f>
        <v>168280</v>
      </c>
      <c r="F672" s="8">
        <f>IF($D672="CR01",$C672,0)</f>
        <v>-2806</v>
      </c>
      <c r="G672" s="8">
        <f>G671+H672</f>
        <v>0</v>
      </c>
      <c r="H672" s="8">
        <f>IF($D672="VISA",$C672,0)</f>
        <v>0</v>
      </c>
      <c r="I672" s="8">
        <f>I671+J672</f>
        <v>0</v>
      </c>
      <c r="J672" s="8">
        <f>IF($D672="ACC",$C672,0)</f>
        <v>0</v>
      </c>
      <c r="K672" s="8">
        <f>K671+L672</f>
        <v>0</v>
      </c>
      <c r="L672" s="8">
        <f>IF($D672="CBB",$C672,0)</f>
        <v>0</v>
      </c>
    </row>
    <row r="673" spans="1:12" x14ac:dyDescent="0.25">
      <c r="A673" s="6">
        <v>41849</v>
      </c>
      <c r="B673" t="s">
        <v>48</v>
      </c>
      <c r="C673" s="7">
        <v>-100</v>
      </c>
      <c r="D673" t="s">
        <v>6</v>
      </c>
      <c r="E673" s="8">
        <f>E672+F673</f>
        <v>168180</v>
      </c>
      <c r="F673" s="8">
        <f>IF($D673="CR01",$C673,0)</f>
        <v>-100</v>
      </c>
      <c r="G673" s="8">
        <f>G672+H673</f>
        <v>0</v>
      </c>
      <c r="H673" s="8">
        <f>IF($D673="VISA",$C673,0)</f>
        <v>0</v>
      </c>
      <c r="I673" s="8">
        <f>I672+J673</f>
        <v>0</v>
      </c>
      <c r="J673" s="8">
        <f>IF($D673="ACC",$C673,0)</f>
        <v>0</v>
      </c>
      <c r="K673" s="8">
        <f>K672+L673</f>
        <v>0</v>
      </c>
      <c r="L673" s="8">
        <f>IF($D673="CBB",$C673,0)</f>
        <v>0</v>
      </c>
    </row>
    <row r="674" spans="1:12" x14ac:dyDescent="0.25">
      <c r="A674" s="6">
        <v>41850</v>
      </c>
      <c r="B674" t="s">
        <v>47</v>
      </c>
      <c r="C674" s="7">
        <v>-120</v>
      </c>
      <c r="D674" t="s">
        <v>6</v>
      </c>
      <c r="E674" s="8">
        <f>E673+F674</f>
        <v>168060</v>
      </c>
      <c r="F674" s="8">
        <f>IF($D674="CR01",$C674,0)</f>
        <v>-120</v>
      </c>
      <c r="G674" s="8">
        <f>G673+H674</f>
        <v>0</v>
      </c>
      <c r="H674" s="8">
        <f>IF($D674="VISA",$C674,0)</f>
        <v>0</v>
      </c>
      <c r="I674" s="8">
        <f>I673+J674</f>
        <v>0</v>
      </c>
      <c r="J674" s="8">
        <f>IF($D674="ACC",$C674,0)</f>
        <v>0</v>
      </c>
      <c r="K674" s="8">
        <f>K673+L674</f>
        <v>0</v>
      </c>
      <c r="L674" s="8">
        <f>IF($D674="CBB",$C674,0)</f>
        <v>0</v>
      </c>
    </row>
    <row r="675" spans="1:12" x14ac:dyDescent="0.25">
      <c r="A675" s="6">
        <v>41851</v>
      </c>
      <c r="B675" t="s">
        <v>44</v>
      </c>
      <c r="C675" s="7">
        <v>-400</v>
      </c>
      <c r="D675" t="s">
        <v>6</v>
      </c>
      <c r="E675" s="8">
        <f>E674+F675</f>
        <v>167660</v>
      </c>
      <c r="F675" s="8">
        <f>IF($D675="CR01",$C675,0)</f>
        <v>-400</v>
      </c>
      <c r="G675" s="8">
        <f>G674+H675</f>
        <v>0</v>
      </c>
      <c r="H675" s="8">
        <f>IF($D675="VISA",$C675,0)</f>
        <v>0</v>
      </c>
      <c r="I675" s="8">
        <f>I674+J675</f>
        <v>0</v>
      </c>
      <c r="J675" s="8">
        <f>IF($D675="ACC",$C675,0)</f>
        <v>0</v>
      </c>
      <c r="K675" s="8">
        <f>K674+L675</f>
        <v>0</v>
      </c>
      <c r="L675" s="8">
        <f>IF($D675="CBB",$C675,0)</f>
        <v>0</v>
      </c>
    </row>
    <row r="676" spans="1:12" x14ac:dyDescent="0.25">
      <c r="A676" s="6">
        <v>41851</v>
      </c>
      <c r="B676" t="s">
        <v>45</v>
      </c>
      <c r="C676" s="7">
        <v>-180</v>
      </c>
      <c r="D676" t="s">
        <v>6</v>
      </c>
      <c r="E676" s="8">
        <f>E675+F676</f>
        <v>167480</v>
      </c>
      <c r="F676" s="8">
        <f>IF($D676="CR01",$C676,0)</f>
        <v>-180</v>
      </c>
      <c r="G676" s="8">
        <f>G675+H676</f>
        <v>0</v>
      </c>
      <c r="H676" s="8">
        <f>IF($D676="VISA",$C676,0)</f>
        <v>0</v>
      </c>
      <c r="I676" s="8">
        <f>I675+J676</f>
        <v>0</v>
      </c>
      <c r="J676" s="8">
        <f>IF($D676="ACC",$C676,0)</f>
        <v>0</v>
      </c>
      <c r="K676" s="8">
        <f>K675+L676</f>
        <v>0</v>
      </c>
      <c r="L676" s="8">
        <f>IF($D676="CBB",$C676,0)</f>
        <v>0</v>
      </c>
    </row>
    <row r="677" spans="1:12" x14ac:dyDescent="0.25">
      <c r="A677" s="6">
        <v>41851</v>
      </c>
      <c r="B677" t="s">
        <v>46</v>
      </c>
      <c r="C677" s="7">
        <v>-300</v>
      </c>
      <c r="D677" t="s">
        <v>6</v>
      </c>
      <c r="E677" s="8">
        <f>E676+F677</f>
        <v>167180</v>
      </c>
      <c r="F677" s="8">
        <f>IF($D677="CR01",$C677,0)</f>
        <v>-300</v>
      </c>
      <c r="G677" s="8">
        <f>G676+H677</f>
        <v>0</v>
      </c>
      <c r="H677" s="8">
        <f>IF($D677="VISA",$C677,0)</f>
        <v>0</v>
      </c>
      <c r="I677" s="8">
        <f>I676+J677</f>
        <v>0</v>
      </c>
      <c r="J677" s="8">
        <f>IF($D677="ACC",$C677,0)</f>
        <v>0</v>
      </c>
      <c r="K677" s="8">
        <f>K676+L677</f>
        <v>0</v>
      </c>
      <c r="L677" s="8">
        <f>IF($D677="CBB",$C677,0)</f>
        <v>0</v>
      </c>
    </row>
    <row r="678" spans="1:12" x14ac:dyDescent="0.25">
      <c r="A678" s="6">
        <v>41852</v>
      </c>
      <c r="B678" t="s">
        <v>43</v>
      </c>
      <c r="C678" s="7">
        <v>3226</v>
      </c>
      <c r="D678" t="s">
        <v>6</v>
      </c>
      <c r="E678" s="8">
        <f>E677+F678</f>
        <v>170406</v>
      </c>
      <c r="F678" s="8">
        <f>IF($D678="CR01",$C678,0)</f>
        <v>3226</v>
      </c>
      <c r="G678" s="8">
        <f>G677+H678</f>
        <v>0</v>
      </c>
      <c r="H678" s="8">
        <f>IF($D678="VISA",$C678,0)</f>
        <v>0</v>
      </c>
      <c r="I678" s="8">
        <f>I677+J678</f>
        <v>0</v>
      </c>
      <c r="J678" s="8">
        <f>IF($D678="ACC",$C678,0)</f>
        <v>0</v>
      </c>
      <c r="K678" s="8">
        <f>K677+L678</f>
        <v>0</v>
      </c>
      <c r="L678" s="8">
        <f>IF($D678="CBB",$C678,0)</f>
        <v>0</v>
      </c>
    </row>
    <row r="679" spans="1:12" x14ac:dyDescent="0.25">
      <c r="A679" s="6">
        <v>41852</v>
      </c>
      <c r="B679" t="s">
        <v>58</v>
      </c>
      <c r="C679" s="7">
        <v>-200</v>
      </c>
      <c r="D679" t="s">
        <v>6</v>
      </c>
      <c r="E679" s="8">
        <f>E678+F679</f>
        <v>170206</v>
      </c>
      <c r="F679" s="8">
        <f>IF($D679="CR01",$C679,0)</f>
        <v>-200</v>
      </c>
      <c r="G679" s="8">
        <f>G678+H679</f>
        <v>0</v>
      </c>
      <c r="H679" s="8">
        <f>IF($D679="VISA",$C679,0)</f>
        <v>0</v>
      </c>
      <c r="I679" s="8">
        <f>I678+J679</f>
        <v>0</v>
      </c>
      <c r="J679" s="8">
        <f>IF($D679="ACC",$C679,0)</f>
        <v>0</v>
      </c>
      <c r="K679" s="8">
        <f>K678+L679</f>
        <v>0</v>
      </c>
      <c r="L679" s="8">
        <f>IF($D679="CBB",$C679,0)</f>
        <v>0</v>
      </c>
    </row>
    <row r="680" spans="1:12" x14ac:dyDescent="0.25">
      <c r="A680" s="6">
        <v>41852</v>
      </c>
      <c r="B680" t="s">
        <v>60</v>
      </c>
      <c r="C680" s="7">
        <v>-400</v>
      </c>
      <c r="D680" t="s">
        <v>6</v>
      </c>
      <c r="E680" s="8">
        <f>E679+F680</f>
        <v>169806</v>
      </c>
      <c r="F680" s="8">
        <f>IF($D680="CR01",$C680,0)</f>
        <v>-400</v>
      </c>
      <c r="G680" s="8">
        <f>G679+H680</f>
        <v>0</v>
      </c>
      <c r="H680" s="8">
        <f>IF($D680="VISA",$C680,0)</f>
        <v>0</v>
      </c>
      <c r="I680" s="8">
        <f>I679+J680</f>
        <v>0</v>
      </c>
      <c r="J680" s="8">
        <f>IF($D680="ACC",$C680,0)</f>
        <v>0</v>
      </c>
      <c r="K680" s="8">
        <f>K679+L680</f>
        <v>0</v>
      </c>
      <c r="L680" s="8">
        <f>IF($D680="CBB",$C680,0)</f>
        <v>0</v>
      </c>
    </row>
    <row r="681" spans="1:12" x14ac:dyDescent="0.25">
      <c r="A681" s="6">
        <v>41852</v>
      </c>
      <c r="B681" t="s">
        <v>62</v>
      </c>
      <c r="C681" s="7">
        <v>-300</v>
      </c>
      <c r="D681" t="s">
        <v>6</v>
      </c>
      <c r="E681" s="8">
        <f>E680+F681</f>
        <v>169506</v>
      </c>
      <c r="F681" s="8">
        <f>IF($D681="CR01",$C681,0)</f>
        <v>-300</v>
      </c>
      <c r="G681" s="8">
        <f>G680+H681</f>
        <v>0</v>
      </c>
      <c r="H681" s="8">
        <f>IF($D681="VISA",$C681,0)</f>
        <v>0</v>
      </c>
      <c r="I681" s="8">
        <f>I680+J681</f>
        <v>0</v>
      </c>
      <c r="J681" s="8">
        <f>IF($D681="ACC",$C681,0)</f>
        <v>0</v>
      </c>
      <c r="K681" s="8">
        <f>K680+L681</f>
        <v>0</v>
      </c>
      <c r="L681" s="8">
        <f>IF($D681="CBB",$C681,0)</f>
        <v>0</v>
      </c>
    </row>
    <row r="682" spans="1:12" x14ac:dyDescent="0.25">
      <c r="A682" s="6">
        <v>41852</v>
      </c>
      <c r="B682" t="s">
        <v>63</v>
      </c>
      <c r="C682" s="7">
        <v>-300</v>
      </c>
      <c r="D682" t="s">
        <v>6</v>
      </c>
      <c r="E682" s="8">
        <f>E681+F682</f>
        <v>169206</v>
      </c>
      <c r="F682" s="8">
        <f>IF($D682="CR01",$C682,0)</f>
        <v>-300</v>
      </c>
      <c r="G682" s="8">
        <f>G681+H682</f>
        <v>0</v>
      </c>
      <c r="H682" s="8">
        <f>IF($D682="VISA",$C682,0)</f>
        <v>0</v>
      </c>
      <c r="I682" s="8">
        <f>I681+J682</f>
        <v>0</v>
      </c>
      <c r="J682" s="8">
        <f>IF($D682="ACC",$C682,0)</f>
        <v>0</v>
      </c>
      <c r="K682" s="8">
        <f>K681+L682</f>
        <v>0</v>
      </c>
      <c r="L682" s="8">
        <f>IF($D682="CBB",$C682,0)</f>
        <v>0</v>
      </c>
    </row>
    <row r="683" spans="1:12" x14ac:dyDescent="0.25">
      <c r="A683" s="6">
        <v>41852</v>
      </c>
      <c r="B683" t="s">
        <v>64</v>
      </c>
      <c r="C683" s="7">
        <v>-26</v>
      </c>
      <c r="D683" t="s">
        <v>6</v>
      </c>
      <c r="E683" s="8">
        <f>E682+F683</f>
        <v>169180</v>
      </c>
      <c r="F683" s="8">
        <f>IF($D683="CR01",$C683,0)</f>
        <v>-26</v>
      </c>
      <c r="G683" s="8">
        <f>G682+H683</f>
        <v>0</v>
      </c>
      <c r="H683" s="8">
        <f>IF($D683="VISA",$C683,0)</f>
        <v>0</v>
      </c>
      <c r="I683" s="8">
        <f>I682+J683</f>
        <v>0</v>
      </c>
      <c r="J683" s="8">
        <f>IF($D683="ACC",$C683,0)</f>
        <v>0</v>
      </c>
      <c r="K683" s="8">
        <f>K682+L683</f>
        <v>0</v>
      </c>
      <c r="L683" s="8">
        <f>IF($D683="CBB",$C683,0)</f>
        <v>0</v>
      </c>
    </row>
    <row r="684" spans="1:12" x14ac:dyDescent="0.25">
      <c r="A684" s="6">
        <v>41852</v>
      </c>
      <c r="B684" t="s">
        <v>65</v>
      </c>
      <c r="C684" s="7">
        <v>-240</v>
      </c>
      <c r="D684" t="s">
        <v>6</v>
      </c>
      <c r="E684" s="8">
        <f>E683+F684</f>
        <v>168940</v>
      </c>
      <c r="F684" s="8">
        <f>IF($D684="CR01",$C684,0)</f>
        <v>-240</v>
      </c>
      <c r="G684" s="8">
        <f>G683+H684</f>
        <v>0</v>
      </c>
      <c r="H684" s="8">
        <f>IF($D684="VISA",$C684,0)</f>
        <v>0</v>
      </c>
      <c r="I684" s="8">
        <f>I683+J684</f>
        <v>0</v>
      </c>
      <c r="J684" s="8">
        <f>IF($D684="ACC",$C684,0)</f>
        <v>0</v>
      </c>
      <c r="K684" s="8">
        <f>K683+L684</f>
        <v>0</v>
      </c>
      <c r="L684" s="8">
        <f>IF($D684="CBB",$C684,0)</f>
        <v>0</v>
      </c>
    </row>
    <row r="685" spans="1:12" x14ac:dyDescent="0.25">
      <c r="A685" s="6">
        <v>41852</v>
      </c>
      <c r="B685" t="s">
        <v>66</v>
      </c>
      <c r="C685" s="7">
        <v>-120</v>
      </c>
      <c r="D685" t="s">
        <v>6</v>
      </c>
      <c r="E685" s="8">
        <f>E684+F685</f>
        <v>168820</v>
      </c>
      <c r="F685" s="8">
        <f>IF($D685="CR01",$C685,0)</f>
        <v>-120</v>
      </c>
      <c r="G685" s="8">
        <f>G684+H685</f>
        <v>0</v>
      </c>
      <c r="H685" s="8">
        <f>IF($D685="VISA",$C685,0)</f>
        <v>0</v>
      </c>
      <c r="I685" s="8">
        <f>I684+J685</f>
        <v>0</v>
      </c>
      <c r="J685" s="8">
        <f>IF($D685="ACC",$C685,0)</f>
        <v>0</v>
      </c>
      <c r="K685" s="8">
        <f>K684+L685</f>
        <v>0</v>
      </c>
      <c r="L685" s="8">
        <f>IF($D685="CBB",$C685,0)</f>
        <v>0</v>
      </c>
    </row>
    <row r="686" spans="1:12" x14ac:dyDescent="0.25">
      <c r="A686" s="6">
        <v>41853</v>
      </c>
      <c r="B686" t="s">
        <v>59</v>
      </c>
      <c r="C686" s="7">
        <v>-900</v>
      </c>
      <c r="D686" t="s">
        <v>6</v>
      </c>
      <c r="E686" s="8">
        <f>E685+F686</f>
        <v>167920</v>
      </c>
      <c r="F686" s="8">
        <f>IF($D686="CR01",$C686,0)</f>
        <v>-900</v>
      </c>
      <c r="G686" s="8">
        <f>G685+H686</f>
        <v>0</v>
      </c>
      <c r="H686" s="8">
        <f>IF($D686="VISA",$C686,0)</f>
        <v>0</v>
      </c>
      <c r="I686" s="8">
        <f>I685+J686</f>
        <v>0</v>
      </c>
      <c r="J686" s="8">
        <f>IF($D686="ACC",$C686,0)</f>
        <v>0</v>
      </c>
      <c r="K686" s="8">
        <f>K685+L686</f>
        <v>0</v>
      </c>
      <c r="L686" s="8">
        <f>IF($D686="CBB",$C686,0)</f>
        <v>0</v>
      </c>
    </row>
    <row r="687" spans="1:12" x14ac:dyDescent="0.25">
      <c r="A687" s="6">
        <v>41856</v>
      </c>
      <c r="B687" t="s">
        <v>48</v>
      </c>
      <c r="C687" s="7">
        <v>-100</v>
      </c>
      <c r="D687" t="s">
        <v>6</v>
      </c>
      <c r="E687" s="8">
        <f>E686+F687</f>
        <v>167820</v>
      </c>
      <c r="F687" s="8">
        <f>IF($D687="CR01",$C687,0)</f>
        <v>-100</v>
      </c>
      <c r="G687" s="8">
        <f>G686+H687</f>
        <v>0</v>
      </c>
      <c r="H687" s="8">
        <f>IF($D687="VISA",$C687,0)</f>
        <v>0</v>
      </c>
      <c r="I687" s="8">
        <f>I686+J687</f>
        <v>0</v>
      </c>
      <c r="J687" s="8">
        <f>IF($D687="ACC",$C687,0)</f>
        <v>0</v>
      </c>
      <c r="K687" s="8">
        <f>K686+L687</f>
        <v>0</v>
      </c>
      <c r="L687" s="8">
        <f>IF($D687="CBB",$C687,0)</f>
        <v>0</v>
      </c>
    </row>
    <row r="688" spans="1:12" x14ac:dyDescent="0.25">
      <c r="A688" s="6">
        <v>41857</v>
      </c>
      <c r="B688" t="s">
        <v>47</v>
      </c>
      <c r="C688" s="7">
        <v>-120</v>
      </c>
      <c r="D688" t="s">
        <v>6</v>
      </c>
      <c r="E688" s="8">
        <f>E687+F688</f>
        <v>167700</v>
      </c>
      <c r="F688" s="8">
        <f>IF($D688="CR01",$C688,0)</f>
        <v>-120</v>
      </c>
      <c r="G688" s="8">
        <f>G687+H688</f>
        <v>0</v>
      </c>
      <c r="H688" s="8">
        <f>IF($D688="VISA",$C688,0)</f>
        <v>0</v>
      </c>
      <c r="I688" s="8">
        <f>I687+J688</f>
        <v>0</v>
      </c>
      <c r="J688" s="8">
        <f>IF($D688="ACC",$C688,0)</f>
        <v>0</v>
      </c>
      <c r="K688" s="8">
        <f>K687+L688</f>
        <v>0</v>
      </c>
      <c r="L688" s="8">
        <f>IF($D688="CBB",$C688,0)</f>
        <v>0</v>
      </c>
    </row>
    <row r="689" spans="1:12" x14ac:dyDescent="0.25">
      <c r="A689" s="6">
        <v>41858</v>
      </c>
      <c r="B689" t="s">
        <v>44</v>
      </c>
      <c r="C689" s="7">
        <v>-400</v>
      </c>
      <c r="D689" t="s">
        <v>6</v>
      </c>
      <c r="E689" s="8">
        <f>E688+F689</f>
        <v>167300</v>
      </c>
      <c r="F689" s="8">
        <f>IF($D689="CR01",$C689,0)</f>
        <v>-400</v>
      </c>
      <c r="G689" s="8">
        <f>G688+H689</f>
        <v>0</v>
      </c>
      <c r="H689" s="8">
        <f>IF($D689="VISA",$C689,0)</f>
        <v>0</v>
      </c>
      <c r="I689" s="8">
        <f>I688+J689</f>
        <v>0</v>
      </c>
      <c r="J689" s="8">
        <f>IF($D689="ACC",$C689,0)</f>
        <v>0</v>
      </c>
      <c r="K689" s="8">
        <f>K688+L689</f>
        <v>0</v>
      </c>
      <c r="L689" s="8">
        <f>IF($D689="CBB",$C689,0)</f>
        <v>0</v>
      </c>
    </row>
    <row r="690" spans="1:12" x14ac:dyDescent="0.25">
      <c r="A690" s="6">
        <v>41858</v>
      </c>
      <c r="B690" t="s">
        <v>45</v>
      </c>
      <c r="C690" s="7">
        <v>-180</v>
      </c>
      <c r="D690" t="s">
        <v>6</v>
      </c>
      <c r="E690" s="8">
        <f>E689+F690</f>
        <v>167120</v>
      </c>
      <c r="F690" s="8">
        <f>IF($D690="CR01",$C690,0)</f>
        <v>-180</v>
      </c>
      <c r="G690" s="8">
        <f>G689+H690</f>
        <v>0</v>
      </c>
      <c r="H690" s="8">
        <f>IF($D690="VISA",$C690,0)</f>
        <v>0</v>
      </c>
      <c r="I690" s="8">
        <f>I689+J690</f>
        <v>0</v>
      </c>
      <c r="J690" s="8">
        <f>IF($D690="ACC",$C690,0)</f>
        <v>0</v>
      </c>
      <c r="K690" s="8">
        <f>K689+L690</f>
        <v>0</v>
      </c>
      <c r="L690" s="8">
        <f>IF($D690="CBB",$C690,0)</f>
        <v>0</v>
      </c>
    </row>
    <row r="691" spans="1:12" x14ac:dyDescent="0.25">
      <c r="A691" s="6">
        <v>41858</v>
      </c>
      <c r="B691" t="s">
        <v>46</v>
      </c>
      <c r="C691" s="7">
        <v>-300</v>
      </c>
      <c r="D691" t="s">
        <v>6</v>
      </c>
      <c r="E691" s="8">
        <f>E690+F691</f>
        <v>166820</v>
      </c>
      <c r="F691" s="8">
        <f>IF($D691="CR01",$C691,0)</f>
        <v>-300</v>
      </c>
      <c r="G691" s="8">
        <f>G690+H691</f>
        <v>0</v>
      </c>
      <c r="H691" s="8">
        <f>IF($D691="VISA",$C691,0)</f>
        <v>0</v>
      </c>
      <c r="I691" s="8">
        <f>I690+J691</f>
        <v>0</v>
      </c>
      <c r="J691" s="8">
        <f>IF($D691="ACC",$C691,0)</f>
        <v>0</v>
      </c>
      <c r="K691" s="8">
        <f>K690+L691</f>
        <v>0</v>
      </c>
      <c r="L691" s="8">
        <f>IF($D691="CBB",$C691,0)</f>
        <v>0</v>
      </c>
    </row>
    <row r="692" spans="1:12" x14ac:dyDescent="0.25">
      <c r="A692" s="6">
        <v>41860</v>
      </c>
      <c r="B692" t="s">
        <v>67</v>
      </c>
      <c r="C692" s="7">
        <v>6800</v>
      </c>
      <c r="D692" t="s">
        <v>6</v>
      </c>
      <c r="E692" s="8">
        <f>E691+F692</f>
        <v>173620</v>
      </c>
      <c r="F692" s="8">
        <f>IF($D692="CR01",$C692,0)</f>
        <v>6800</v>
      </c>
      <c r="G692" s="8">
        <f>G691+H692</f>
        <v>0</v>
      </c>
      <c r="H692" s="8">
        <f>IF($D692="VISA",$C692,0)</f>
        <v>0</v>
      </c>
      <c r="I692" s="8">
        <f>I691+J692</f>
        <v>0</v>
      </c>
      <c r="J692" s="8">
        <f>IF($D692="ACC",$C692,0)</f>
        <v>0</v>
      </c>
      <c r="K692" s="8">
        <f>K691+L692</f>
        <v>0</v>
      </c>
      <c r="L692" s="8">
        <f>IF($D692="CBB",$C692,0)</f>
        <v>0</v>
      </c>
    </row>
    <row r="693" spans="1:12" x14ac:dyDescent="0.25">
      <c r="A693" s="6">
        <v>41863</v>
      </c>
      <c r="B693" t="s">
        <v>42</v>
      </c>
      <c r="C693" s="7">
        <v>-2806</v>
      </c>
      <c r="D693" t="s">
        <v>6</v>
      </c>
      <c r="E693" s="8">
        <f>E692+F693</f>
        <v>170814</v>
      </c>
      <c r="F693" s="8">
        <f>IF($D693="CR01",$C693,0)</f>
        <v>-2806</v>
      </c>
      <c r="G693" s="8">
        <f>G692+H693</f>
        <v>0</v>
      </c>
      <c r="H693" s="8">
        <f>IF($D693="VISA",$C693,0)</f>
        <v>0</v>
      </c>
      <c r="I693" s="8">
        <f>I692+J693</f>
        <v>0</v>
      </c>
      <c r="J693" s="8">
        <f>IF($D693="ACC",$C693,0)</f>
        <v>0</v>
      </c>
      <c r="K693" s="8">
        <f>K692+L693</f>
        <v>0</v>
      </c>
      <c r="L693" s="8">
        <f>IF($D693="CBB",$C693,0)</f>
        <v>0</v>
      </c>
    </row>
    <row r="694" spans="1:12" x14ac:dyDescent="0.25">
      <c r="A694" s="6">
        <v>41863</v>
      </c>
      <c r="B694" t="s">
        <v>48</v>
      </c>
      <c r="C694" s="7">
        <v>-100</v>
      </c>
      <c r="D694" t="s">
        <v>6</v>
      </c>
      <c r="E694" s="8">
        <f>E693+F694</f>
        <v>170714</v>
      </c>
      <c r="F694" s="8">
        <f>IF($D694="CR01",$C694,0)</f>
        <v>-100</v>
      </c>
      <c r="G694" s="8">
        <f>G693+H694</f>
        <v>0</v>
      </c>
      <c r="H694" s="8">
        <f>IF($D694="VISA",$C694,0)</f>
        <v>0</v>
      </c>
      <c r="I694" s="8">
        <f>I693+J694</f>
        <v>0</v>
      </c>
      <c r="J694" s="8">
        <f>IF($D694="ACC",$C694,0)</f>
        <v>0</v>
      </c>
      <c r="K694" s="8">
        <f>K693+L694</f>
        <v>0</v>
      </c>
      <c r="L694" s="8">
        <f>IF($D694="CBB",$C694,0)</f>
        <v>0</v>
      </c>
    </row>
    <row r="695" spans="1:12" x14ac:dyDescent="0.25">
      <c r="A695" s="6">
        <v>41864</v>
      </c>
      <c r="B695" t="s">
        <v>47</v>
      </c>
      <c r="C695" s="7">
        <v>-120</v>
      </c>
      <c r="D695" t="s">
        <v>6</v>
      </c>
      <c r="E695" s="8">
        <f>E694+F695</f>
        <v>170594</v>
      </c>
      <c r="F695" s="8">
        <f>IF($D695="CR01",$C695,0)</f>
        <v>-120</v>
      </c>
      <c r="G695" s="8">
        <f>G694+H695</f>
        <v>0</v>
      </c>
      <c r="H695" s="8">
        <f>IF($D695="VISA",$C695,0)</f>
        <v>0</v>
      </c>
      <c r="I695" s="8">
        <f>I694+J695</f>
        <v>0</v>
      </c>
      <c r="J695" s="8">
        <f>IF($D695="ACC",$C695,0)</f>
        <v>0</v>
      </c>
      <c r="K695" s="8">
        <f>K694+L695</f>
        <v>0</v>
      </c>
      <c r="L695" s="8">
        <f>IF($D695="CBB",$C695,0)</f>
        <v>0</v>
      </c>
    </row>
    <row r="696" spans="1:12" x14ac:dyDescent="0.25">
      <c r="A696" s="6">
        <v>41865</v>
      </c>
      <c r="B696" t="s">
        <v>44</v>
      </c>
      <c r="C696" s="7">
        <v>-400</v>
      </c>
      <c r="D696" t="s">
        <v>6</v>
      </c>
      <c r="E696" s="8">
        <f>E695+F696</f>
        <v>170194</v>
      </c>
      <c r="F696" s="8">
        <f>IF($D696="CR01",$C696,0)</f>
        <v>-400</v>
      </c>
      <c r="G696" s="8">
        <f>G695+H696</f>
        <v>0</v>
      </c>
      <c r="H696" s="8">
        <f>IF($D696="VISA",$C696,0)</f>
        <v>0</v>
      </c>
      <c r="I696" s="8">
        <f>I695+J696</f>
        <v>0</v>
      </c>
      <c r="J696" s="8">
        <f>IF($D696="ACC",$C696,0)</f>
        <v>0</v>
      </c>
      <c r="K696" s="8">
        <f>K695+L696</f>
        <v>0</v>
      </c>
      <c r="L696" s="8">
        <f>IF($D696="CBB",$C696,0)</f>
        <v>0</v>
      </c>
    </row>
    <row r="697" spans="1:12" x14ac:dyDescent="0.25">
      <c r="A697" s="6">
        <v>41865</v>
      </c>
      <c r="B697" t="s">
        <v>45</v>
      </c>
      <c r="C697" s="7">
        <v>-180</v>
      </c>
      <c r="D697" t="s">
        <v>6</v>
      </c>
      <c r="E697" s="8">
        <f>E696+F697</f>
        <v>170014</v>
      </c>
      <c r="F697" s="8">
        <f>IF($D697="CR01",$C697,0)</f>
        <v>-180</v>
      </c>
      <c r="G697" s="8">
        <f>G696+H697</f>
        <v>0</v>
      </c>
      <c r="H697" s="8">
        <f>IF($D697="VISA",$C697,0)</f>
        <v>0</v>
      </c>
      <c r="I697" s="8">
        <f>I696+J697</f>
        <v>0</v>
      </c>
      <c r="J697" s="8">
        <f>IF($D697="ACC",$C697,0)</f>
        <v>0</v>
      </c>
      <c r="K697" s="8">
        <f>K696+L697</f>
        <v>0</v>
      </c>
      <c r="L697" s="8">
        <f>IF($D697="CBB",$C697,0)</f>
        <v>0</v>
      </c>
    </row>
    <row r="698" spans="1:12" x14ac:dyDescent="0.25">
      <c r="A698" s="6">
        <v>41865</v>
      </c>
      <c r="B698" t="s">
        <v>46</v>
      </c>
      <c r="C698" s="7">
        <v>-300</v>
      </c>
      <c r="D698" t="s">
        <v>6</v>
      </c>
      <c r="E698" s="8">
        <f>E697+F698</f>
        <v>169714</v>
      </c>
      <c r="F698" s="8">
        <f>IF($D698="CR01",$C698,0)</f>
        <v>-300</v>
      </c>
      <c r="G698" s="8">
        <f>G697+H698</f>
        <v>0</v>
      </c>
      <c r="H698" s="8">
        <f>IF($D698="VISA",$C698,0)</f>
        <v>0</v>
      </c>
      <c r="I698" s="8">
        <f>I697+J698</f>
        <v>0</v>
      </c>
      <c r="J698" s="8">
        <f>IF($D698="ACC",$C698,0)</f>
        <v>0</v>
      </c>
      <c r="K698" s="8">
        <f>K697+L698</f>
        <v>0</v>
      </c>
      <c r="L698" s="8">
        <f>IF($D698="CBB",$C698,0)</f>
        <v>0</v>
      </c>
    </row>
    <row r="699" spans="1:12" x14ac:dyDescent="0.25">
      <c r="A699" s="6">
        <v>41866</v>
      </c>
      <c r="B699" t="s">
        <v>43</v>
      </c>
      <c r="C699" s="7">
        <v>3226</v>
      </c>
      <c r="D699" t="s">
        <v>6</v>
      </c>
      <c r="E699" s="8">
        <f>E698+F699</f>
        <v>172940</v>
      </c>
      <c r="F699" s="8">
        <f>IF($D699="CR01",$C699,0)</f>
        <v>3226</v>
      </c>
      <c r="G699" s="8">
        <f>G698+H699</f>
        <v>0</v>
      </c>
      <c r="H699" s="8">
        <f>IF($D699="VISA",$C699,0)</f>
        <v>0</v>
      </c>
      <c r="I699" s="8">
        <f>I698+J699</f>
        <v>0</v>
      </c>
      <c r="J699" s="8">
        <f>IF($D699="ACC",$C699,0)</f>
        <v>0</v>
      </c>
      <c r="K699" s="8">
        <f>K698+L699</f>
        <v>0</v>
      </c>
      <c r="L699" s="8">
        <f>IF($D699="CBB",$C699,0)</f>
        <v>0</v>
      </c>
    </row>
    <row r="700" spans="1:12" x14ac:dyDescent="0.25">
      <c r="A700" s="6">
        <v>41870</v>
      </c>
      <c r="B700" t="s">
        <v>48</v>
      </c>
      <c r="C700" s="7">
        <v>-100</v>
      </c>
      <c r="D700" t="s">
        <v>6</v>
      </c>
      <c r="E700" s="8">
        <f>E699+F700</f>
        <v>172840</v>
      </c>
      <c r="F700" s="8">
        <f>IF($D700="CR01",$C700,0)</f>
        <v>-100</v>
      </c>
      <c r="G700" s="8">
        <f>G699+H700</f>
        <v>0</v>
      </c>
      <c r="H700" s="8">
        <f>IF($D700="VISA",$C700,0)</f>
        <v>0</v>
      </c>
      <c r="I700" s="8">
        <f>I699+J700</f>
        <v>0</v>
      </c>
      <c r="J700" s="8">
        <f>IF($D700="ACC",$C700,0)</f>
        <v>0</v>
      </c>
      <c r="K700" s="8">
        <f>K699+L700</f>
        <v>0</v>
      </c>
      <c r="L700" s="8">
        <f>IF($D700="CBB",$C700,0)</f>
        <v>0</v>
      </c>
    </row>
    <row r="701" spans="1:12" x14ac:dyDescent="0.25">
      <c r="A701" s="6">
        <v>41871</v>
      </c>
      <c r="B701" t="s">
        <v>47</v>
      </c>
      <c r="C701" s="7">
        <v>-120</v>
      </c>
      <c r="D701" t="s">
        <v>6</v>
      </c>
      <c r="E701" s="8">
        <f>E700+F701</f>
        <v>172720</v>
      </c>
      <c r="F701" s="8">
        <f>IF($D701="CR01",$C701,0)</f>
        <v>-120</v>
      </c>
      <c r="G701" s="8">
        <f>G700+H701</f>
        <v>0</v>
      </c>
      <c r="H701" s="8">
        <f>IF($D701="VISA",$C701,0)</f>
        <v>0</v>
      </c>
      <c r="I701" s="8">
        <f>I700+J701</f>
        <v>0</v>
      </c>
      <c r="J701" s="8">
        <f>IF($D701="ACC",$C701,0)</f>
        <v>0</v>
      </c>
      <c r="K701" s="8">
        <f>K700+L701</f>
        <v>0</v>
      </c>
      <c r="L701" s="8">
        <f>IF($D701="CBB",$C701,0)</f>
        <v>0</v>
      </c>
    </row>
    <row r="702" spans="1:12" x14ac:dyDescent="0.25">
      <c r="A702" s="6">
        <v>41872</v>
      </c>
      <c r="B702" t="s">
        <v>44</v>
      </c>
      <c r="C702" s="7">
        <v>-400</v>
      </c>
      <c r="D702" t="s">
        <v>6</v>
      </c>
      <c r="E702" s="8">
        <f>E701+F702</f>
        <v>172320</v>
      </c>
      <c r="F702" s="8">
        <f>IF($D702="CR01",$C702,0)</f>
        <v>-400</v>
      </c>
      <c r="G702" s="8">
        <f>G701+H702</f>
        <v>0</v>
      </c>
      <c r="H702" s="8">
        <f>IF($D702="VISA",$C702,0)</f>
        <v>0</v>
      </c>
      <c r="I702" s="8">
        <f>I701+J702</f>
        <v>0</v>
      </c>
      <c r="J702" s="8">
        <f>IF($D702="ACC",$C702,0)</f>
        <v>0</v>
      </c>
      <c r="K702" s="8">
        <f>K701+L702</f>
        <v>0</v>
      </c>
      <c r="L702" s="8">
        <f>IF($D702="CBB",$C702,0)</f>
        <v>0</v>
      </c>
    </row>
    <row r="703" spans="1:12" x14ac:dyDescent="0.25">
      <c r="A703" s="6">
        <v>41872</v>
      </c>
      <c r="B703" t="s">
        <v>45</v>
      </c>
      <c r="C703" s="7">
        <v>-180</v>
      </c>
      <c r="D703" t="s">
        <v>6</v>
      </c>
      <c r="E703" s="8">
        <f>E702+F703</f>
        <v>172140</v>
      </c>
      <c r="F703" s="8">
        <f>IF($D703="CR01",$C703,0)</f>
        <v>-180</v>
      </c>
      <c r="G703" s="8">
        <f>G702+H703</f>
        <v>0</v>
      </c>
      <c r="H703" s="8">
        <f>IF($D703="VISA",$C703,0)</f>
        <v>0</v>
      </c>
      <c r="I703" s="8">
        <f>I702+J703</f>
        <v>0</v>
      </c>
      <c r="J703" s="8">
        <f>IF($D703="ACC",$C703,0)</f>
        <v>0</v>
      </c>
      <c r="K703" s="8">
        <f>K702+L703</f>
        <v>0</v>
      </c>
      <c r="L703" s="8">
        <f>IF($D703="CBB",$C703,0)</f>
        <v>0</v>
      </c>
    </row>
    <row r="704" spans="1:12" x14ac:dyDescent="0.25">
      <c r="A704" s="6">
        <v>41872</v>
      </c>
      <c r="B704" t="s">
        <v>46</v>
      </c>
      <c r="C704" s="7">
        <v>-300</v>
      </c>
      <c r="D704" t="s">
        <v>6</v>
      </c>
      <c r="E704" s="8">
        <f>E703+F704</f>
        <v>171840</v>
      </c>
      <c r="F704" s="8">
        <f>IF($D704="CR01",$C704,0)</f>
        <v>-300</v>
      </c>
      <c r="G704" s="8">
        <f>G703+H704</f>
        <v>0</v>
      </c>
      <c r="H704" s="8">
        <f>IF($D704="VISA",$C704,0)</f>
        <v>0</v>
      </c>
      <c r="I704" s="8">
        <f>I703+J704</f>
        <v>0</v>
      </c>
      <c r="J704" s="8">
        <f>IF($D704="ACC",$C704,0)</f>
        <v>0</v>
      </c>
      <c r="K704" s="8">
        <f>K703+L704</f>
        <v>0</v>
      </c>
      <c r="L704" s="8">
        <f>IF($D704="CBB",$C704,0)</f>
        <v>0</v>
      </c>
    </row>
    <row r="705" spans="1:12" x14ac:dyDescent="0.25">
      <c r="A705" s="6">
        <v>41874</v>
      </c>
      <c r="B705" t="s">
        <v>67</v>
      </c>
      <c r="C705" s="7">
        <v>6800</v>
      </c>
      <c r="D705" t="s">
        <v>6</v>
      </c>
      <c r="E705" s="8">
        <f>E704+F705</f>
        <v>178640</v>
      </c>
      <c r="F705" s="8">
        <f>IF($D705="CR01",$C705,0)</f>
        <v>6800</v>
      </c>
      <c r="G705" s="8">
        <f>G704+H705</f>
        <v>0</v>
      </c>
      <c r="H705" s="8">
        <f>IF($D705="VISA",$C705,0)</f>
        <v>0</v>
      </c>
      <c r="I705" s="8">
        <f>I704+J705</f>
        <v>0</v>
      </c>
      <c r="J705" s="8">
        <f>IF($D705="ACC",$C705,0)</f>
        <v>0</v>
      </c>
      <c r="K705" s="8">
        <f>K704+L705</f>
        <v>0</v>
      </c>
      <c r="L705" s="8">
        <f>IF($D705="CBB",$C705,0)</f>
        <v>0</v>
      </c>
    </row>
    <row r="706" spans="1:12" x14ac:dyDescent="0.25">
      <c r="A706" s="6">
        <v>41877</v>
      </c>
      <c r="B706" t="s">
        <v>42</v>
      </c>
      <c r="C706" s="7">
        <v>-2806</v>
      </c>
      <c r="D706" t="s">
        <v>6</v>
      </c>
      <c r="E706" s="8">
        <f>E705+F706</f>
        <v>175834</v>
      </c>
      <c r="F706" s="8">
        <f>IF($D706="CR01",$C706,0)</f>
        <v>-2806</v>
      </c>
      <c r="G706" s="8">
        <f>G705+H706</f>
        <v>0</v>
      </c>
      <c r="H706" s="8">
        <f>IF($D706="VISA",$C706,0)</f>
        <v>0</v>
      </c>
      <c r="I706" s="8">
        <f>I705+J706</f>
        <v>0</v>
      </c>
      <c r="J706" s="8">
        <f>IF($D706="ACC",$C706,0)</f>
        <v>0</v>
      </c>
      <c r="K706" s="8">
        <f>K705+L706</f>
        <v>0</v>
      </c>
      <c r="L706" s="8">
        <f>IF($D706="CBB",$C706,0)</f>
        <v>0</v>
      </c>
    </row>
    <row r="707" spans="1:12" x14ac:dyDescent="0.25">
      <c r="A707" s="6">
        <v>41877</v>
      </c>
      <c r="B707" t="s">
        <v>48</v>
      </c>
      <c r="C707" s="7">
        <v>-100</v>
      </c>
      <c r="D707" t="s">
        <v>6</v>
      </c>
      <c r="E707" s="8">
        <f>E706+F707</f>
        <v>175734</v>
      </c>
      <c r="F707" s="8">
        <f>IF($D707="CR01",$C707,0)</f>
        <v>-100</v>
      </c>
      <c r="G707" s="8">
        <f>G706+H707</f>
        <v>0</v>
      </c>
      <c r="H707" s="8">
        <f>IF($D707="VISA",$C707,0)</f>
        <v>0</v>
      </c>
      <c r="I707" s="8">
        <f>I706+J707</f>
        <v>0</v>
      </c>
      <c r="J707" s="8">
        <f>IF($D707="ACC",$C707,0)</f>
        <v>0</v>
      </c>
      <c r="K707" s="8">
        <f>K706+L707</f>
        <v>0</v>
      </c>
      <c r="L707" s="8">
        <f>IF($D707="CBB",$C707,0)</f>
        <v>0</v>
      </c>
    </row>
    <row r="708" spans="1:12" x14ac:dyDescent="0.25">
      <c r="A708" s="6">
        <v>41878</v>
      </c>
      <c r="B708" t="s">
        <v>47</v>
      </c>
      <c r="C708" s="7">
        <v>-120</v>
      </c>
      <c r="D708" t="s">
        <v>6</v>
      </c>
      <c r="E708" s="8">
        <f>E707+F708</f>
        <v>175614</v>
      </c>
      <c r="F708" s="8">
        <f>IF($D708="CR01",$C708,0)</f>
        <v>-120</v>
      </c>
      <c r="G708" s="8">
        <f>G707+H708</f>
        <v>0</v>
      </c>
      <c r="H708" s="8">
        <f>IF($D708="VISA",$C708,0)</f>
        <v>0</v>
      </c>
      <c r="I708" s="8">
        <f>I707+J708</f>
        <v>0</v>
      </c>
      <c r="J708" s="8">
        <f>IF($D708="ACC",$C708,0)</f>
        <v>0</v>
      </c>
      <c r="K708" s="8">
        <f>K707+L708</f>
        <v>0</v>
      </c>
      <c r="L708" s="8">
        <f>IF($D708="CBB",$C708,0)</f>
        <v>0</v>
      </c>
    </row>
    <row r="709" spans="1:12" x14ac:dyDescent="0.25">
      <c r="A709" s="6">
        <v>41879</v>
      </c>
      <c r="B709" t="s">
        <v>44</v>
      </c>
      <c r="C709" s="7">
        <v>-400</v>
      </c>
      <c r="D709" t="s">
        <v>6</v>
      </c>
      <c r="E709" s="8">
        <f>E708+F709</f>
        <v>175214</v>
      </c>
      <c r="F709" s="8">
        <f>IF($D709="CR01",$C709,0)</f>
        <v>-400</v>
      </c>
      <c r="G709" s="8">
        <f>G708+H709</f>
        <v>0</v>
      </c>
      <c r="H709" s="8">
        <f>IF($D709="VISA",$C709,0)</f>
        <v>0</v>
      </c>
      <c r="I709" s="8">
        <f>I708+J709</f>
        <v>0</v>
      </c>
      <c r="J709" s="8">
        <f>IF($D709="ACC",$C709,0)</f>
        <v>0</v>
      </c>
      <c r="K709" s="8">
        <f>K708+L709</f>
        <v>0</v>
      </c>
      <c r="L709" s="8">
        <f>IF($D709="CBB",$C709,0)</f>
        <v>0</v>
      </c>
    </row>
    <row r="710" spans="1:12" x14ac:dyDescent="0.25">
      <c r="A710" s="6">
        <v>41879</v>
      </c>
      <c r="B710" t="s">
        <v>45</v>
      </c>
      <c r="C710" s="7">
        <v>-180</v>
      </c>
      <c r="D710" t="s">
        <v>6</v>
      </c>
      <c r="E710" s="8">
        <f>E709+F710</f>
        <v>175034</v>
      </c>
      <c r="F710" s="8">
        <f>IF($D710="CR01",$C710,0)</f>
        <v>-180</v>
      </c>
      <c r="G710" s="8">
        <f>G709+H710</f>
        <v>0</v>
      </c>
      <c r="H710" s="8">
        <f>IF($D710="VISA",$C710,0)</f>
        <v>0</v>
      </c>
      <c r="I710" s="8">
        <f>I709+J710</f>
        <v>0</v>
      </c>
      <c r="J710" s="8">
        <f>IF($D710="ACC",$C710,0)</f>
        <v>0</v>
      </c>
      <c r="K710" s="8">
        <f>K709+L710</f>
        <v>0</v>
      </c>
      <c r="L710" s="8">
        <f>IF($D710="CBB",$C710,0)</f>
        <v>0</v>
      </c>
    </row>
    <row r="711" spans="1:12" x14ac:dyDescent="0.25">
      <c r="A711" s="6">
        <v>41879</v>
      </c>
      <c r="B711" t="s">
        <v>46</v>
      </c>
      <c r="C711" s="7">
        <v>-300</v>
      </c>
      <c r="D711" t="s">
        <v>6</v>
      </c>
      <c r="E711" s="8">
        <f>E710+F711</f>
        <v>174734</v>
      </c>
      <c r="F711" s="8">
        <f>IF($D711="CR01",$C711,0)</f>
        <v>-300</v>
      </c>
      <c r="G711" s="8">
        <f>G710+H711</f>
        <v>0</v>
      </c>
      <c r="H711" s="8">
        <f>IF($D711="VISA",$C711,0)</f>
        <v>0</v>
      </c>
      <c r="I711" s="8">
        <f>I710+J711</f>
        <v>0</v>
      </c>
      <c r="J711" s="8">
        <f>IF($D711="ACC",$C711,0)</f>
        <v>0</v>
      </c>
      <c r="K711" s="8">
        <f>K710+L711</f>
        <v>0</v>
      </c>
      <c r="L711" s="8">
        <f>IF($D711="CBB",$C711,0)</f>
        <v>0</v>
      </c>
    </row>
    <row r="712" spans="1:12" x14ac:dyDescent="0.25">
      <c r="A712" s="6">
        <v>41880</v>
      </c>
      <c r="B712" t="s">
        <v>43</v>
      </c>
      <c r="C712" s="7">
        <v>3226</v>
      </c>
      <c r="D712" t="s">
        <v>6</v>
      </c>
      <c r="E712" s="8">
        <f>E711+F712</f>
        <v>177960</v>
      </c>
      <c r="F712" s="8">
        <f>IF($D712="CR01",$C712,0)</f>
        <v>3226</v>
      </c>
      <c r="G712" s="8">
        <f>G711+H712</f>
        <v>0</v>
      </c>
      <c r="H712" s="8">
        <f>IF($D712="VISA",$C712,0)</f>
        <v>0</v>
      </c>
      <c r="I712" s="8">
        <f>I711+J712</f>
        <v>0</v>
      </c>
      <c r="J712" s="8">
        <f>IF($D712="ACC",$C712,0)</f>
        <v>0</v>
      </c>
      <c r="K712" s="8">
        <f>K711+L712</f>
        <v>0</v>
      </c>
      <c r="L712" s="8">
        <f>IF($D712="CBB",$C712,0)</f>
        <v>0</v>
      </c>
    </row>
    <row r="713" spans="1:12" x14ac:dyDescent="0.25">
      <c r="A713" s="6">
        <v>41883</v>
      </c>
      <c r="B713" t="s">
        <v>58</v>
      </c>
      <c r="C713" s="7">
        <v>-200</v>
      </c>
      <c r="D713" t="s">
        <v>6</v>
      </c>
      <c r="E713" s="8">
        <f>E712+F713</f>
        <v>177760</v>
      </c>
      <c r="F713" s="8">
        <f>IF($D713="CR01",$C713,0)</f>
        <v>-200</v>
      </c>
      <c r="G713" s="8">
        <f>G712+H713</f>
        <v>0</v>
      </c>
      <c r="H713" s="8">
        <f>IF($D713="VISA",$C713,0)</f>
        <v>0</v>
      </c>
      <c r="I713" s="8">
        <f>I712+J713</f>
        <v>0</v>
      </c>
      <c r="J713" s="8">
        <f>IF($D713="ACC",$C713,0)</f>
        <v>0</v>
      </c>
      <c r="K713" s="8">
        <f>K712+L713</f>
        <v>0</v>
      </c>
      <c r="L713" s="8">
        <f>IF($D713="CBB",$C713,0)</f>
        <v>0</v>
      </c>
    </row>
    <row r="714" spans="1:12" x14ac:dyDescent="0.25">
      <c r="A714" s="6">
        <v>41883</v>
      </c>
      <c r="B714" t="s">
        <v>60</v>
      </c>
      <c r="C714" s="7">
        <v>-400</v>
      </c>
      <c r="D714" t="s">
        <v>6</v>
      </c>
      <c r="E714" s="8">
        <f>E713+F714</f>
        <v>177360</v>
      </c>
      <c r="F714" s="8">
        <f>IF($D714="CR01",$C714,0)</f>
        <v>-400</v>
      </c>
      <c r="G714" s="8">
        <f>G713+H714</f>
        <v>0</v>
      </c>
      <c r="H714" s="8">
        <f>IF($D714="VISA",$C714,0)</f>
        <v>0</v>
      </c>
      <c r="I714" s="8">
        <f>I713+J714</f>
        <v>0</v>
      </c>
      <c r="J714" s="8">
        <f>IF($D714="ACC",$C714,0)</f>
        <v>0</v>
      </c>
      <c r="K714" s="8">
        <f>K713+L714</f>
        <v>0</v>
      </c>
      <c r="L714" s="8">
        <f>IF($D714="CBB",$C714,0)</f>
        <v>0</v>
      </c>
    </row>
    <row r="715" spans="1:12" x14ac:dyDescent="0.25">
      <c r="A715" s="6">
        <v>41883</v>
      </c>
      <c r="B715" t="s">
        <v>64</v>
      </c>
      <c r="C715" s="7">
        <v>-26</v>
      </c>
      <c r="D715" t="s">
        <v>6</v>
      </c>
      <c r="E715" s="8">
        <f>E714+F715</f>
        <v>177334</v>
      </c>
      <c r="F715" s="8">
        <f>IF($D715="CR01",$C715,0)</f>
        <v>-26</v>
      </c>
      <c r="G715" s="8">
        <f>G714+H715</f>
        <v>0</v>
      </c>
      <c r="H715" s="8">
        <f>IF($D715="VISA",$C715,0)</f>
        <v>0</v>
      </c>
      <c r="I715" s="8">
        <f>I714+J715</f>
        <v>0</v>
      </c>
      <c r="J715" s="8">
        <f>IF($D715="ACC",$C715,0)</f>
        <v>0</v>
      </c>
      <c r="K715" s="8">
        <f>K714+L715</f>
        <v>0</v>
      </c>
      <c r="L715" s="8">
        <f>IF($D715="CBB",$C715,0)</f>
        <v>0</v>
      </c>
    </row>
    <row r="716" spans="1:12" x14ac:dyDescent="0.25">
      <c r="A716" s="6">
        <v>41883</v>
      </c>
      <c r="B716" t="s">
        <v>65</v>
      </c>
      <c r="C716" s="7">
        <v>-240</v>
      </c>
      <c r="D716" t="s">
        <v>6</v>
      </c>
      <c r="E716" s="8">
        <f>E715+F716</f>
        <v>177094</v>
      </c>
      <c r="F716" s="8">
        <f>IF($D716="CR01",$C716,0)</f>
        <v>-240</v>
      </c>
      <c r="G716" s="8">
        <f>G715+H716</f>
        <v>0</v>
      </c>
      <c r="H716" s="8">
        <f>IF($D716="VISA",$C716,0)</f>
        <v>0</v>
      </c>
      <c r="I716" s="8">
        <f>I715+J716</f>
        <v>0</v>
      </c>
      <c r="J716" s="8">
        <f>IF($D716="ACC",$C716,0)</f>
        <v>0</v>
      </c>
      <c r="K716" s="8">
        <f>K715+L716</f>
        <v>0</v>
      </c>
      <c r="L716" s="8">
        <f>IF($D716="CBB",$C716,0)</f>
        <v>0</v>
      </c>
    </row>
    <row r="717" spans="1:12" x14ac:dyDescent="0.25">
      <c r="A717" s="6">
        <v>41883</v>
      </c>
      <c r="B717" t="s">
        <v>66</v>
      </c>
      <c r="C717" s="7">
        <v>-120</v>
      </c>
      <c r="D717" t="s">
        <v>6</v>
      </c>
      <c r="E717" s="8">
        <f>E716+F717</f>
        <v>176974</v>
      </c>
      <c r="F717" s="8">
        <f>IF($D717="CR01",$C717,0)</f>
        <v>-120</v>
      </c>
      <c r="G717" s="8">
        <f>G716+H717</f>
        <v>0</v>
      </c>
      <c r="H717" s="8">
        <f>IF($D717="VISA",$C717,0)</f>
        <v>0</v>
      </c>
      <c r="I717" s="8">
        <f>I716+J717</f>
        <v>0</v>
      </c>
      <c r="J717" s="8">
        <f>IF($D717="ACC",$C717,0)</f>
        <v>0</v>
      </c>
      <c r="K717" s="8">
        <f>K716+L717</f>
        <v>0</v>
      </c>
      <c r="L717" s="8">
        <f>IF($D717="CBB",$C717,0)</f>
        <v>0</v>
      </c>
    </row>
    <row r="718" spans="1:12" x14ac:dyDescent="0.25">
      <c r="A718" s="6">
        <v>41884</v>
      </c>
      <c r="B718" t="s">
        <v>48</v>
      </c>
      <c r="C718" s="7">
        <v>-100</v>
      </c>
      <c r="D718" t="s">
        <v>6</v>
      </c>
      <c r="E718" s="8">
        <f>E717+F718</f>
        <v>176874</v>
      </c>
      <c r="F718" s="8">
        <f>IF($D718="CR01",$C718,0)</f>
        <v>-100</v>
      </c>
      <c r="G718" s="8">
        <f>G717+H718</f>
        <v>0</v>
      </c>
      <c r="H718" s="8">
        <f>IF($D718="VISA",$C718,0)</f>
        <v>0</v>
      </c>
      <c r="I718" s="8">
        <f>I717+J718</f>
        <v>0</v>
      </c>
      <c r="J718" s="8">
        <f>IF($D718="ACC",$C718,0)</f>
        <v>0</v>
      </c>
      <c r="K718" s="8">
        <f>K717+L718</f>
        <v>0</v>
      </c>
      <c r="L718" s="8">
        <f>IF($D718="CBB",$C718,0)</f>
        <v>0</v>
      </c>
    </row>
    <row r="719" spans="1:12" x14ac:dyDescent="0.25">
      <c r="A719" s="6">
        <v>41884</v>
      </c>
      <c r="B719" t="s">
        <v>59</v>
      </c>
      <c r="C719" s="7">
        <v>-900</v>
      </c>
      <c r="D719" t="s">
        <v>6</v>
      </c>
      <c r="E719" s="8">
        <f>E718+F719</f>
        <v>175974</v>
      </c>
      <c r="F719" s="8">
        <f>IF($D719="CR01",$C719,0)</f>
        <v>-900</v>
      </c>
      <c r="G719" s="8">
        <f>G718+H719</f>
        <v>0</v>
      </c>
      <c r="H719" s="8">
        <f>IF($D719="VISA",$C719,0)</f>
        <v>0</v>
      </c>
      <c r="I719" s="8">
        <f>I718+J719</f>
        <v>0</v>
      </c>
      <c r="J719" s="8">
        <f>IF($D719="ACC",$C719,0)</f>
        <v>0</v>
      </c>
      <c r="K719" s="8">
        <f>K718+L719</f>
        <v>0</v>
      </c>
      <c r="L719" s="8">
        <f>IF($D719="CBB",$C719,0)</f>
        <v>0</v>
      </c>
    </row>
    <row r="720" spans="1:12" x14ac:dyDescent="0.25">
      <c r="A720" s="6">
        <v>41885</v>
      </c>
      <c r="B720" t="s">
        <v>47</v>
      </c>
      <c r="C720" s="7">
        <v>-120</v>
      </c>
      <c r="D720" t="s">
        <v>6</v>
      </c>
      <c r="E720" s="8">
        <f>E719+F720</f>
        <v>175854</v>
      </c>
      <c r="F720" s="8">
        <f>IF($D720="CR01",$C720,0)</f>
        <v>-120</v>
      </c>
      <c r="G720" s="8">
        <f>G719+H720</f>
        <v>0</v>
      </c>
      <c r="H720" s="8">
        <f>IF($D720="VISA",$C720,0)</f>
        <v>0</v>
      </c>
      <c r="I720" s="8">
        <f>I719+J720</f>
        <v>0</v>
      </c>
      <c r="J720" s="8">
        <f>IF($D720="ACC",$C720,0)</f>
        <v>0</v>
      </c>
      <c r="K720" s="8">
        <f>K719+L720</f>
        <v>0</v>
      </c>
      <c r="L720" s="8">
        <f>IF($D720="CBB",$C720,0)</f>
        <v>0</v>
      </c>
    </row>
    <row r="721" spans="1:12" x14ac:dyDescent="0.25">
      <c r="A721" s="6">
        <v>41886</v>
      </c>
      <c r="B721" t="s">
        <v>44</v>
      </c>
      <c r="C721" s="7">
        <v>-400</v>
      </c>
      <c r="D721" t="s">
        <v>6</v>
      </c>
      <c r="E721" s="8">
        <f>E720+F721</f>
        <v>175454</v>
      </c>
      <c r="F721" s="8">
        <f>IF($D721="CR01",$C721,0)</f>
        <v>-400</v>
      </c>
      <c r="G721" s="8">
        <f>G720+H721</f>
        <v>0</v>
      </c>
      <c r="H721" s="8">
        <f>IF($D721="VISA",$C721,0)</f>
        <v>0</v>
      </c>
      <c r="I721" s="8">
        <f>I720+J721</f>
        <v>0</v>
      </c>
      <c r="J721" s="8">
        <f>IF($D721="ACC",$C721,0)</f>
        <v>0</v>
      </c>
      <c r="K721" s="8">
        <f>K720+L721</f>
        <v>0</v>
      </c>
      <c r="L721" s="8">
        <f>IF($D721="CBB",$C721,0)</f>
        <v>0</v>
      </c>
    </row>
    <row r="722" spans="1:12" x14ac:dyDescent="0.25">
      <c r="A722" s="6">
        <v>41886</v>
      </c>
      <c r="B722" t="s">
        <v>45</v>
      </c>
      <c r="C722" s="7">
        <v>-180</v>
      </c>
      <c r="D722" t="s">
        <v>6</v>
      </c>
      <c r="E722" s="8">
        <f>E721+F722</f>
        <v>175274</v>
      </c>
      <c r="F722" s="8">
        <f>IF($D722="CR01",$C722,0)</f>
        <v>-180</v>
      </c>
      <c r="G722" s="8">
        <f>G721+H722</f>
        <v>0</v>
      </c>
      <c r="H722" s="8">
        <f>IF($D722="VISA",$C722,0)</f>
        <v>0</v>
      </c>
      <c r="I722" s="8">
        <f>I721+J722</f>
        <v>0</v>
      </c>
      <c r="J722" s="8">
        <f>IF($D722="ACC",$C722,0)</f>
        <v>0</v>
      </c>
      <c r="K722" s="8">
        <f>K721+L722</f>
        <v>0</v>
      </c>
      <c r="L722" s="8">
        <f>IF($D722="CBB",$C722,0)</f>
        <v>0</v>
      </c>
    </row>
    <row r="723" spans="1:12" x14ac:dyDescent="0.25">
      <c r="A723" s="6">
        <v>41886</v>
      </c>
      <c r="B723" t="s">
        <v>46</v>
      </c>
      <c r="C723" s="7">
        <v>-300</v>
      </c>
      <c r="D723" t="s">
        <v>6</v>
      </c>
      <c r="E723" s="8">
        <f>E722+F723</f>
        <v>174974</v>
      </c>
      <c r="F723" s="8">
        <f>IF($D723="CR01",$C723,0)</f>
        <v>-300</v>
      </c>
      <c r="G723" s="8">
        <f>G722+H723</f>
        <v>0</v>
      </c>
      <c r="H723" s="8">
        <f>IF($D723="VISA",$C723,0)</f>
        <v>0</v>
      </c>
      <c r="I723" s="8">
        <f>I722+J723</f>
        <v>0</v>
      </c>
      <c r="J723" s="8">
        <f>IF($D723="ACC",$C723,0)</f>
        <v>0</v>
      </c>
      <c r="K723" s="8">
        <f>K722+L723</f>
        <v>0</v>
      </c>
      <c r="L723" s="8">
        <f>IF($D723="CBB",$C723,0)</f>
        <v>0</v>
      </c>
    </row>
    <row r="724" spans="1:12" x14ac:dyDescent="0.25">
      <c r="A724" s="6">
        <v>41888</v>
      </c>
      <c r="B724" t="s">
        <v>67</v>
      </c>
      <c r="C724" s="7">
        <v>6800</v>
      </c>
      <c r="D724" t="s">
        <v>6</v>
      </c>
      <c r="E724" s="8">
        <f>E723+F724</f>
        <v>181774</v>
      </c>
      <c r="F724" s="8">
        <f>IF($D724="CR01",$C724,0)</f>
        <v>6800</v>
      </c>
      <c r="G724" s="8">
        <f>G723+H724</f>
        <v>0</v>
      </c>
      <c r="H724" s="8">
        <f>IF($D724="VISA",$C724,0)</f>
        <v>0</v>
      </c>
      <c r="I724" s="8">
        <f>I723+J724</f>
        <v>0</v>
      </c>
      <c r="J724" s="8">
        <f>IF($D724="ACC",$C724,0)</f>
        <v>0</v>
      </c>
      <c r="K724" s="8">
        <f>K723+L724</f>
        <v>0</v>
      </c>
      <c r="L724" s="8">
        <f>IF($D724="CBB",$C724,0)</f>
        <v>0</v>
      </c>
    </row>
    <row r="725" spans="1:12" x14ac:dyDescent="0.25">
      <c r="A725" s="6">
        <v>41891</v>
      </c>
      <c r="B725" t="s">
        <v>42</v>
      </c>
      <c r="C725" s="7">
        <v>-2806</v>
      </c>
      <c r="D725" t="s">
        <v>6</v>
      </c>
      <c r="E725" s="8">
        <f>E724+F725</f>
        <v>178968</v>
      </c>
      <c r="F725" s="8">
        <f>IF($D725="CR01",$C725,0)</f>
        <v>-2806</v>
      </c>
      <c r="G725" s="8">
        <f>G724+H725</f>
        <v>0</v>
      </c>
      <c r="H725" s="8">
        <f>IF($D725="VISA",$C725,0)</f>
        <v>0</v>
      </c>
      <c r="I725" s="8">
        <f>I724+J725</f>
        <v>0</v>
      </c>
      <c r="J725" s="8">
        <f>IF($D725="ACC",$C725,0)</f>
        <v>0</v>
      </c>
      <c r="K725" s="8">
        <f>K724+L725</f>
        <v>0</v>
      </c>
      <c r="L725" s="8">
        <f>IF($D725="CBB",$C725,0)</f>
        <v>0</v>
      </c>
    </row>
    <row r="726" spans="1:12" x14ac:dyDescent="0.25">
      <c r="A726" s="6">
        <v>41891</v>
      </c>
      <c r="B726" t="s">
        <v>48</v>
      </c>
      <c r="C726" s="7">
        <v>-100</v>
      </c>
      <c r="D726" t="s">
        <v>6</v>
      </c>
      <c r="E726" s="8">
        <f>E725+F726</f>
        <v>178868</v>
      </c>
      <c r="F726" s="8">
        <f>IF($D726="CR01",$C726,0)</f>
        <v>-100</v>
      </c>
      <c r="G726" s="8">
        <f>G725+H726</f>
        <v>0</v>
      </c>
      <c r="H726" s="8">
        <f>IF($D726="VISA",$C726,0)</f>
        <v>0</v>
      </c>
      <c r="I726" s="8">
        <f>I725+J726</f>
        <v>0</v>
      </c>
      <c r="J726" s="8">
        <f>IF($D726="ACC",$C726,0)</f>
        <v>0</v>
      </c>
      <c r="K726" s="8">
        <f>K725+L726</f>
        <v>0</v>
      </c>
      <c r="L726" s="8">
        <f>IF($D726="CBB",$C726,0)</f>
        <v>0</v>
      </c>
    </row>
    <row r="727" spans="1:12" x14ac:dyDescent="0.25">
      <c r="A727" s="6">
        <v>41892</v>
      </c>
      <c r="B727" t="s">
        <v>47</v>
      </c>
      <c r="C727" s="7">
        <v>-120</v>
      </c>
      <c r="D727" t="s">
        <v>6</v>
      </c>
      <c r="E727" s="8">
        <f>E726+F727</f>
        <v>178748</v>
      </c>
      <c r="F727" s="8">
        <f>IF($D727="CR01",$C727,0)</f>
        <v>-120</v>
      </c>
      <c r="G727" s="8">
        <f>G726+H727</f>
        <v>0</v>
      </c>
      <c r="H727" s="8">
        <f>IF($D727="VISA",$C727,0)</f>
        <v>0</v>
      </c>
      <c r="I727" s="8">
        <f>I726+J727</f>
        <v>0</v>
      </c>
      <c r="J727" s="8">
        <f>IF($D727="ACC",$C727,0)</f>
        <v>0</v>
      </c>
      <c r="K727" s="8">
        <f>K726+L727</f>
        <v>0</v>
      </c>
      <c r="L727" s="8">
        <f>IF($D727="CBB",$C727,0)</f>
        <v>0</v>
      </c>
    </row>
    <row r="728" spans="1:12" x14ac:dyDescent="0.25">
      <c r="A728" s="6">
        <v>41893</v>
      </c>
      <c r="B728" t="s">
        <v>44</v>
      </c>
      <c r="C728" s="7">
        <v>-400</v>
      </c>
      <c r="D728" t="s">
        <v>6</v>
      </c>
      <c r="E728" s="8">
        <f>E727+F728</f>
        <v>178348</v>
      </c>
      <c r="F728" s="8">
        <f>IF($D728="CR01",$C728,0)</f>
        <v>-400</v>
      </c>
      <c r="G728" s="8">
        <f>G727+H728</f>
        <v>0</v>
      </c>
      <c r="H728" s="8">
        <f>IF($D728="VISA",$C728,0)</f>
        <v>0</v>
      </c>
      <c r="I728" s="8">
        <f>I727+J728</f>
        <v>0</v>
      </c>
      <c r="J728" s="8">
        <f>IF($D728="ACC",$C728,0)</f>
        <v>0</v>
      </c>
      <c r="K728" s="8">
        <f>K727+L728</f>
        <v>0</v>
      </c>
      <c r="L728" s="8">
        <f>IF($D728="CBB",$C728,0)</f>
        <v>0</v>
      </c>
    </row>
    <row r="729" spans="1:12" x14ac:dyDescent="0.25">
      <c r="A729" s="6">
        <v>41893</v>
      </c>
      <c r="B729" t="s">
        <v>45</v>
      </c>
      <c r="C729" s="7">
        <v>-180</v>
      </c>
      <c r="D729" t="s">
        <v>6</v>
      </c>
      <c r="E729" s="8">
        <f>E728+F729</f>
        <v>178168</v>
      </c>
      <c r="F729" s="8">
        <f>IF($D729="CR01",$C729,0)</f>
        <v>-180</v>
      </c>
      <c r="G729" s="8">
        <f>G728+H729</f>
        <v>0</v>
      </c>
      <c r="H729" s="8">
        <f>IF($D729="VISA",$C729,0)</f>
        <v>0</v>
      </c>
      <c r="I729" s="8">
        <f>I728+J729</f>
        <v>0</v>
      </c>
      <c r="J729" s="8">
        <f>IF($D729="ACC",$C729,0)</f>
        <v>0</v>
      </c>
      <c r="K729" s="8">
        <f>K728+L729</f>
        <v>0</v>
      </c>
      <c r="L729" s="8">
        <f>IF($D729="CBB",$C729,0)</f>
        <v>0</v>
      </c>
    </row>
    <row r="730" spans="1:12" x14ac:dyDescent="0.25">
      <c r="A730" s="6">
        <v>41893</v>
      </c>
      <c r="B730" t="s">
        <v>46</v>
      </c>
      <c r="C730" s="7">
        <v>-300</v>
      </c>
      <c r="D730" t="s">
        <v>6</v>
      </c>
      <c r="E730" s="8">
        <f>E729+F730</f>
        <v>177868</v>
      </c>
      <c r="F730" s="8">
        <f>IF($D730="CR01",$C730,0)</f>
        <v>-300</v>
      </c>
      <c r="G730" s="8">
        <f>G729+H730</f>
        <v>0</v>
      </c>
      <c r="H730" s="8">
        <f>IF($D730="VISA",$C730,0)</f>
        <v>0</v>
      </c>
      <c r="I730" s="8">
        <f>I729+J730</f>
        <v>0</v>
      </c>
      <c r="J730" s="8">
        <f>IF($D730="ACC",$C730,0)</f>
        <v>0</v>
      </c>
      <c r="K730" s="8">
        <f>K729+L730</f>
        <v>0</v>
      </c>
      <c r="L730" s="8">
        <f>IF($D730="CBB",$C730,0)</f>
        <v>0</v>
      </c>
    </row>
    <row r="731" spans="1:12" x14ac:dyDescent="0.25">
      <c r="A731" s="6">
        <v>41894</v>
      </c>
      <c r="B731" t="s">
        <v>43</v>
      </c>
      <c r="C731" s="7">
        <v>3226</v>
      </c>
      <c r="D731" t="s">
        <v>6</v>
      </c>
      <c r="E731" s="8">
        <f>E730+F731</f>
        <v>181094</v>
      </c>
      <c r="F731" s="8">
        <f>IF($D731="CR01",$C731,0)</f>
        <v>3226</v>
      </c>
      <c r="G731" s="8">
        <f>G730+H731</f>
        <v>0</v>
      </c>
      <c r="H731" s="8">
        <f>IF($D731="VISA",$C731,0)</f>
        <v>0</v>
      </c>
      <c r="I731" s="8">
        <f>I730+J731</f>
        <v>0</v>
      </c>
      <c r="J731" s="8">
        <f>IF($D731="ACC",$C731,0)</f>
        <v>0</v>
      </c>
      <c r="K731" s="8">
        <f>K730+L731</f>
        <v>0</v>
      </c>
      <c r="L731" s="8">
        <f>IF($D731="CBB",$C731,0)</f>
        <v>0</v>
      </c>
    </row>
    <row r="732" spans="1:12" x14ac:dyDescent="0.25">
      <c r="A732" s="6">
        <v>41898</v>
      </c>
      <c r="B732" t="s">
        <v>48</v>
      </c>
      <c r="C732" s="7">
        <v>-100</v>
      </c>
      <c r="D732" t="s">
        <v>6</v>
      </c>
      <c r="E732" s="8">
        <f>E731+F732</f>
        <v>180994</v>
      </c>
      <c r="F732" s="8">
        <f>IF($D732="CR01",$C732,0)</f>
        <v>-100</v>
      </c>
      <c r="G732" s="8">
        <f>G731+H732</f>
        <v>0</v>
      </c>
      <c r="H732" s="8">
        <f>IF($D732="VISA",$C732,0)</f>
        <v>0</v>
      </c>
      <c r="I732" s="8">
        <f>I731+J732</f>
        <v>0</v>
      </c>
      <c r="J732" s="8">
        <f>IF($D732="ACC",$C732,0)</f>
        <v>0</v>
      </c>
      <c r="K732" s="8">
        <f>K731+L732</f>
        <v>0</v>
      </c>
      <c r="L732" s="8">
        <f>IF($D732="CBB",$C732,0)</f>
        <v>0</v>
      </c>
    </row>
    <row r="733" spans="1:12" x14ac:dyDescent="0.25">
      <c r="A733" s="6">
        <v>41899</v>
      </c>
      <c r="B733" t="s">
        <v>47</v>
      </c>
      <c r="C733" s="7">
        <v>-120</v>
      </c>
      <c r="D733" t="s">
        <v>6</v>
      </c>
      <c r="E733" s="8">
        <f>E732+F733</f>
        <v>180874</v>
      </c>
      <c r="F733" s="8">
        <f>IF($D733="CR01",$C733,0)</f>
        <v>-120</v>
      </c>
      <c r="G733" s="8">
        <f>G732+H733</f>
        <v>0</v>
      </c>
      <c r="H733" s="8">
        <f>IF($D733="VISA",$C733,0)</f>
        <v>0</v>
      </c>
      <c r="I733" s="8">
        <f>I732+J733</f>
        <v>0</v>
      </c>
      <c r="J733" s="8">
        <f>IF($D733="ACC",$C733,0)</f>
        <v>0</v>
      </c>
      <c r="K733" s="8">
        <f>K732+L733</f>
        <v>0</v>
      </c>
      <c r="L733" s="8">
        <f>IF($D733="CBB",$C733,0)</f>
        <v>0</v>
      </c>
    </row>
    <row r="734" spans="1:12" x14ac:dyDescent="0.25">
      <c r="A734" s="6">
        <v>41900</v>
      </c>
      <c r="B734" t="s">
        <v>44</v>
      </c>
      <c r="C734" s="7">
        <v>-400</v>
      </c>
      <c r="D734" t="s">
        <v>6</v>
      </c>
      <c r="E734" s="8">
        <f>E733+F734</f>
        <v>180474</v>
      </c>
      <c r="F734" s="8">
        <f>IF($D734="CR01",$C734,0)</f>
        <v>-400</v>
      </c>
      <c r="G734" s="8">
        <f>G733+H734</f>
        <v>0</v>
      </c>
      <c r="H734" s="8">
        <f>IF($D734="VISA",$C734,0)</f>
        <v>0</v>
      </c>
      <c r="I734" s="8">
        <f>I733+J734</f>
        <v>0</v>
      </c>
      <c r="J734" s="8">
        <f>IF($D734="ACC",$C734,0)</f>
        <v>0</v>
      </c>
      <c r="K734" s="8">
        <f>K733+L734</f>
        <v>0</v>
      </c>
      <c r="L734" s="8">
        <f>IF($D734="CBB",$C734,0)</f>
        <v>0</v>
      </c>
    </row>
    <row r="735" spans="1:12" x14ac:dyDescent="0.25">
      <c r="A735" s="6">
        <v>41900</v>
      </c>
      <c r="B735" t="s">
        <v>45</v>
      </c>
      <c r="C735" s="7">
        <v>-180</v>
      </c>
      <c r="D735" t="s">
        <v>6</v>
      </c>
      <c r="E735" s="8">
        <f>E734+F735</f>
        <v>180294</v>
      </c>
      <c r="F735" s="8">
        <f>IF($D735="CR01",$C735,0)</f>
        <v>-180</v>
      </c>
      <c r="G735" s="8">
        <f>G734+H735</f>
        <v>0</v>
      </c>
      <c r="H735" s="8">
        <f>IF($D735="VISA",$C735,0)</f>
        <v>0</v>
      </c>
      <c r="I735" s="8">
        <f>I734+J735</f>
        <v>0</v>
      </c>
      <c r="J735" s="8">
        <f>IF($D735="ACC",$C735,0)</f>
        <v>0</v>
      </c>
      <c r="K735" s="8">
        <f>K734+L735</f>
        <v>0</v>
      </c>
      <c r="L735" s="8">
        <f>IF($D735="CBB",$C735,0)</f>
        <v>0</v>
      </c>
    </row>
    <row r="736" spans="1:12" x14ac:dyDescent="0.25">
      <c r="A736" s="6">
        <v>41900</v>
      </c>
      <c r="B736" t="s">
        <v>46</v>
      </c>
      <c r="C736" s="7">
        <v>-300</v>
      </c>
      <c r="D736" t="s">
        <v>6</v>
      </c>
      <c r="E736" s="8">
        <f>E735+F736</f>
        <v>179994</v>
      </c>
      <c r="F736" s="8">
        <f>IF($D736="CR01",$C736,0)</f>
        <v>-300</v>
      </c>
      <c r="G736" s="8">
        <f>G735+H736</f>
        <v>0</v>
      </c>
      <c r="H736" s="8">
        <f>IF($D736="VISA",$C736,0)</f>
        <v>0</v>
      </c>
      <c r="I736" s="8">
        <f>I735+J736</f>
        <v>0</v>
      </c>
      <c r="J736" s="8">
        <f>IF($D736="ACC",$C736,0)</f>
        <v>0</v>
      </c>
      <c r="K736" s="8">
        <f>K735+L736</f>
        <v>0</v>
      </c>
      <c r="L736" s="8">
        <f>IF($D736="CBB",$C736,0)</f>
        <v>0</v>
      </c>
    </row>
    <row r="737" spans="1:12" x14ac:dyDescent="0.25">
      <c r="A737" s="6">
        <v>41902</v>
      </c>
      <c r="B737" t="s">
        <v>67</v>
      </c>
      <c r="C737" s="7">
        <v>6800</v>
      </c>
      <c r="D737" t="s">
        <v>6</v>
      </c>
      <c r="E737" s="8">
        <f>E736+F737</f>
        <v>186794</v>
      </c>
      <c r="F737" s="8">
        <f>IF($D737="CR01",$C737,0)</f>
        <v>6800</v>
      </c>
      <c r="G737" s="8">
        <f>G736+H737</f>
        <v>0</v>
      </c>
      <c r="H737" s="8">
        <f>IF($D737="VISA",$C737,0)</f>
        <v>0</v>
      </c>
      <c r="I737" s="8">
        <f>I736+J737</f>
        <v>0</v>
      </c>
      <c r="J737" s="8">
        <f>IF($D737="ACC",$C737,0)</f>
        <v>0</v>
      </c>
      <c r="K737" s="8">
        <f>K736+L737</f>
        <v>0</v>
      </c>
      <c r="L737" s="8">
        <f>IF($D737="CBB",$C737,0)</f>
        <v>0</v>
      </c>
    </row>
    <row r="738" spans="1:12" x14ac:dyDescent="0.25">
      <c r="A738" s="6">
        <v>41905</v>
      </c>
      <c r="B738" t="s">
        <v>42</v>
      </c>
      <c r="C738" s="7">
        <v>-2806</v>
      </c>
      <c r="D738" t="s">
        <v>6</v>
      </c>
      <c r="E738" s="8">
        <f>E737+F738</f>
        <v>183988</v>
      </c>
      <c r="F738" s="8">
        <f>IF($D738="CR01",$C738,0)</f>
        <v>-2806</v>
      </c>
      <c r="G738" s="8">
        <f>G737+H738</f>
        <v>0</v>
      </c>
      <c r="H738" s="8">
        <f>IF($D738="VISA",$C738,0)</f>
        <v>0</v>
      </c>
      <c r="I738" s="8">
        <f>I737+J738</f>
        <v>0</v>
      </c>
      <c r="J738" s="8">
        <f>IF($D738="ACC",$C738,0)</f>
        <v>0</v>
      </c>
      <c r="K738" s="8">
        <f>K737+L738</f>
        <v>0</v>
      </c>
      <c r="L738" s="8">
        <f>IF($D738="CBB",$C738,0)</f>
        <v>0</v>
      </c>
    </row>
    <row r="739" spans="1:12" x14ac:dyDescent="0.25">
      <c r="A739" s="6">
        <v>41905</v>
      </c>
      <c r="B739" t="s">
        <v>48</v>
      </c>
      <c r="C739" s="7">
        <v>-100</v>
      </c>
      <c r="D739" t="s">
        <v>6</v>
      </c>
      <c r="E739" s="8">
        <f>E738+F739</f>
        <v>183888</v>
      </c>
      <c r="F739" s="8">
        <f>IF($D739="CR01",$C739,0)</f>
        <v>-100</v>
      </c>
      <c r="G739" s="8">
        <f>G738+H739</f>
        <v>0</v>
      </c>
      <c r="H739" s="8">
        <f>IF($D739="VISA",$C739,0)</f>
        <v>0</v>
      </c>
      <c r="I739" s="8">
        <f>I738+J739</f>
        <v>0</v>
      </c>
      <c r="J739" s="8">
        <f>IF($D739="ACC",$C739,0)</f>
        <v>0</v>
      </c>
      <c r="K739" s="8">
        <f>K738+L739</f>
        <v>0</v>
      </c>
      <c r="L739" s="8">
        <f>IF($D739="CBB",$C739,0)</f>
        <v>0</v>
      </c>
    </row>
    <row r="740" spans="1:12" x14ac:dyDescent="0.25">
      <c r="A740" s="6">
        <v>41906</v>
      </c>
      <c r="B740" t="s">
        <v>47</v>
      </c>
      <c r="C740" s="7">
        <v>-120</v>
      </c>
      <c r="D740" t="s">
        <v>6</v>
      </c>
      <c r="E740" s="8">
        <f>E739+F740</f>
        <v>183768</v>
      </c>
      <c r="F740" s="8">
        <f>IF($D740="CR01",$C740,0)</f>
        <v>-120</v>
      </c>
      <c r="G740" s="8">
        <f>G739+H740</f>
        <v>0</v>
      </c>
      <c r="H740" s="8">
        <f>IF($D740="VISA",$C740,0)</f>
        <v>0</v>
      </c>
      <c r="I740" s="8">
        <f>I739+J740</f>
        <v>0</v>
      </c>
      <c r="J740" s="8">
        <f>IF($D740="ACC",$C740,0)</f>
        <v>0</v>
      </c>
      <c r="K740" s="8">
        <f>K739+L740</f>
        <v>0</v>
      </c>
      <c r="L740" s="8">
        <f>IF($D740="CBB",$C740,0)</f>
        <v>0</v>
      </c>
    </row>
    <row r="741" spans="1:12" x14ac:dyDescent="0.25">
      <c r="A741" s="6">
        <v>41907</v>
      </c>
      <c r="B741" t="s">
        <v>44</v>
      </c>
      <c r="C741" s="7">
        <v>-400</v>
      </c>
      <c r="D741" t="s">
        <v>6</v>
      </c>
      <c r="E741" s="8">
        <f>E740+F741</f>
        <v>183368</v>
      </c>
      <c r="F741" s="8">
        <f>IF($D741="CR01",$C741,0)</f>
        <v>-400</v>
      </c>
      <c r="G741" s="8">
        <f>G740+H741</f>
        <v>0</v>
      </c>
      <c r="H741" s="8">
        <f>IF($D741="VISA",$C741,0)</f>
        <v>0</v>
      </c>
      <c r="I741" s="8">
        <f>I740+J741</f>
        <v>0</v>
      </c>
      <c r="J741" s="8">
        <f>IF($D741="ACC",$C741,0)</f>
        <v>0</v>
      </c>
      <c r="K741" s="8">
        <f>K740+L741</f>
        <v>0</v>
      </c>
      <c r="L741" s="8">
        <f>IF($D741="CBB",$C741,0)</f>
        <v>0</v>
      </c>
    </row>
    <row r="742" spans="1:12" x14ac:dyDescent="0.25">
      <c r="A742" s="6">
        <v>41907</v>
      </c>
      <c r="B742" t="s">
        <v>45</v>
      </c>
      <c r="C742" s="7">
        <v>-180</v>
      </c>
      <c r="D742" t="s">
        <v>6</v>
      </c>
      <c r="E742" s="8">
        <f>E741+F742</f>
        <v>183188</v>
      </c>
      <c r="F742" s="8">
        <f>IF($D742="CR01",$C742,0)</f>
        <v>-180</v>
      </c>
      <c r="G742" s="8">
        <f>G741+H742</f>
        <v>0</v>
      </c>
      <c r="H742" s="8">
        <f>IF($D742="VISA",$C742,0)</f>
        <v>0</v>
      </c>
      <c r="I742" s="8">
        <f>I741+J742</f>
        <v>0</v>
      </c>
      <c r="J742" s="8">
        <f>IF($D742="ACC",$C742,0)</f>
        <v>0</v>
      </c>
      <c r="K742" s="8">
        <f>K741+L742</f>
        <v>0</v>
      </c>
      <c r="L742" s="8">
        <f>IF($D742="CBB",$C742,0)</f>
        <v>0</v>
      </c>
    </row>
    <row r="743" spans="1:12" x14ac:dyDescent="0.25">
      <c r="A743" s="6">
        <v>41907</v>
      </c>
      <c r="B743" t="s">
        <v>46</v>
      </c>
      <c r="C743" s="7">
        <v>-300</v>
      </c>
      <c r="D743" t="s">
        <v>6</v>
      </c>
      <c r="E743" s="8">
        <f>E742+F743</f>
        <v>182888</v>
      </c>
      <c r="F743" s="8">
        <f>IF($D743="CR01",$C743,0)</f>
        <v>-300</v>
      </c>
      <c r="G743" s="8">
        <f>G742+H743</f>
        <v>0</v>
      </c>
      <c r="H743" s="8">
        <f>IF($D743="VISA",$C743,0)</f>
        <v>0</v>
      </c>
      <c r="I743" s="8">
        <f>I742+J743</f>
        <v>0</v>
      </c>
      <c r="J743" s="8">
        <f>IF($D743="ACC",$C743,0)</f>
        <v>0</v>
      </c>
      <c r="K743" s="8">
        <f>K742+L743</f>
        <v>0</v>
      </c>
      <c r="L743" s="8">
        <f>IF($D743="CBB",$C743,0)</f>
        <v>0</v>
      </c>
    </row>
    <row r="744" spans="1:12" x14ac:dyDescent="0.25">
      <c r="A744" s="6">
        <v>41908</v>
      </c>
      <c r="B744" t="s">
        <v>43</v>
      </c>
      <c r="C744" s="7">
        <v>3226</v>
      </c>
      <c r="D744" t="s">
        <v>6</v>
      </c>
      <c r="E744" s="8">
        <f>E743+F744</f>
        <v>186114</v>
      </c>
      <c r="F744" s="8">
        <f>IF($D744="CR01",$C744,0)</f>
        <v>3226</v>
      </c>
      <c r="G744" s="8">
        <f>G743+H744</f>
        <v>0</v>
      </c>
      <c r="H744" s="8">
        <f>IF($D744="VISA",$C744,0)</f>
        <v>0</v>
      </c>
      <c r="I744" s="8">
        <f>I743+J744</f>
        <v>0</v>
      </c>
      <c r="J744" s="8">
        <f>IF($D744="ACC",$C744,0)</f>
        <v>0</v>
      </c>
      <c r="K744" s="8">
        <f>K743+L744</f>
        <v>0</v>
      </c>
      <c r="L744" s="8">
        <f>IF($D744="CBB",$C744,0)</f>
        <v>0</v>
      </c>
    </row>
    <row r="745" spans="1:12" x14ac:dyDescent="0.25">
      <c r="A745" s="6">
        <v>41912</v>
      </c>
      <c r="B745" t="s">
        <v>48</v>
      </c>
      <c r="C745" s="7">
        <v>-100</v>
      </c>
      <c r="D745" t="s">
        <v>6</v>
      </c>
      <c r="E745" s="8">
        <f>E744+F745</f>
        <v>186014</v>
      </c>
      <c r="F745" s="8">
        <f>IF($D745="CR01",$C745,0)</f>
        <v>-100</v>
      </c>
      <c r="G745" s="8">
        <f>G744+H745</f>
        <v>0</v>
      </c>
      <c r="H745" s="8">
        <f>IF($D745="VISA",$C745,0)</f>
        <v>0</v>
      </c>
      <c r="I745" s="8">
        <f>I744+J745</f>
        <v>0</v>
      </c>
      <c r="J745" s="8">
        <f>IF($D745="ACC",$C745,0)</f>
        <v>0</v>
      </c>
      <c r="K745" s="8">
        <f>K744+L745</f>
        <v>0</v>
      </c>
      <c r="L745" s="8">
        <f>IF($D745="CBB",$C745,0)</f>
        <v>0</v>
      </c>
    </row>
    <row r="746" spans="1:12" x14ac:dyDescent="0.25">
      <c r="A746" s="6">
        <v>41913</v>
      </c>
      <c r="B746" t="s">
        <v>47</v>
      </c>
      <c r="C746" s="7">
        <v>-120</v>
      </c>
      <c r="D746" t="s">
        <v>6</v>
      </c>
      <c r="E746" s="8">
        <f>E745+F746</f>
        <v>185894</v>
      </c>
      <c r="F746" s="8">
        <f>IF($D746="CR01",$C746,0)</f>
        <v>-120</v>
      </c>
      <c r="G746" s="8">
        <f>G745+H746</f>
        <v>0</v>
      </c>
      <c r="H746" s="8">
        <f>IF($D746="VISA",$C746,0)</f>
        <v>0</v>
      </c>
      <c r="I746" s="8">
        <f>I745+J746</f>
        <v>0</v>
      </c>
      <c r="J746" s="8">
        <f>IF($D746="ACC",$C746,0)</f>
        <v>0</v>
      </c>
      <c r="K746" s="8">
        <f>K745+L746</f>
        <v>0</v>
      </c>
      <c r="L746" s="8">
        <f>IF($D746="CBB",$C746,0)</f>
        <v>0</v>
      </c>
    </row>
    <row r="747" spans="1:12" x14ac:dyDescent="0.25">
      <c r="A747" s="6">
        <v>41913</v>
      </c>
      <c r="B747" t="s">
        <v>58</v>
      </c>
      <c r="C747" s="7">
        <v>-200</v>
      </c>
      <c r="D747" t="s">
        <v>6</v>
      </c>
      <c r="E747" s="8">
        <f>E746+F747</f>
        <v>185694</v>
      </c>
      <c r="F747" s="8">
        <f>IF($D747="CR01",$C747,0)</f>
        <v>-200</v>
      </c>
      <c r="G747" s="8">
        <f>G746+H747</f>
        <v>0</v>
      </c>
      <c r="H747" s="8">
        <f>IF($D747="VISA",$C747,0)</f>
        <v>0</v>
      </c>
      <c r="I747" s="8">
        <f>I746+J747</f>
        <v>0</v>
      </c>
      <c r="J747" s="8">
        <f>IF($D747="ACC",$C747,0)</f>
        <v>0</v>
      </c>
      <c r="K747" s="8">
        <f>K746+L747</f>
        <v>0</v>
      </c>
      <c r="L747" s="8">
        <f>IF($D747="CBB",$C747,0)</f>
        <v>0</v>
      </c>
    </row>
    <row r="748" spans="1:12" x14ac:dyDescent="0.25">
      <c r="A748" s="6">
        <v>41913</v>
      </c>
      <c r="B748" t="s">
        <v>60</v>
      </c>
      <c r="C748" s="7">
        <v>-400</v>
      </c>
      <c r="D748" t="s">
        <v>6</v>
      </c>
      <c r="E748" s="8">
        <f>E747+F748</f>
        <v>185294</v>
      </c>
      <c r="F748" s="8">
        <f>IF($D748="CR01",$C748,0)</f>
        <v>-400</v>
      </c>
      <c r="G748" s="8">
        <f>G747+H748</f>
        <v>0</v>
      </c>
      <c r="H748" s="8">
        <f>IF($D748="VISA",$C748,0)</f>
        <v>0</v>
      </c>
      <c r="I748" s="8">
        <f>I747+J748</f>
        <v>0</v>
      </c>
      <c r="J748" s="8">
        <f>IF($D748="ACC",$C748,0)</f>
        <v>0</v>
      </c>
      <c r="K748" s="8">
        <f>K747+L748</f>
        <v>0</v>
      </c>
      <c r="L748" s="8">
        <f>IF($D748="CBB",$C748,0)</f>
        <v>0</v>
      </c>
    </row>
    <row r="749" spans="1:12" x14ac:dyDescent="0.25">
      <c r="A749" s="6">
        <v>41913</v>
      </c>
      <c r="B749" t="s">
        <v>61</v>
      </c>
      <c r="C749" s="7">
        <v>-300</v>
      </c>
      <c r="D749" t="s">
        <v>6</v>
      </c>
      <c r="E749" s="8">
        <f>E748+F749</f>
        <v>184994</v>
      </c>
      <c r="F749" s="8">
        <f>IF($D749="CR01",$C749,0)</f>
        <v>-300</v>
      </c>
      <c r="G749" s="8">
        <f>G748+H749</f>
        <v>0</v>
      </c>
      <c r="H749" s="8">
        <f>IF($D749="VISA",$C749,0)</f>
        <v>0</v>
      </c>
      <c r="I749" s="8">
        <f>I748+J749</f>
        <v>0</v>
      </c>
      <c r="J749" s="8">
        <f>IF($D749="ACC",$C749,0)</f>
        <v>0</v>
      </c>
      <c r="K749" s="8">
        <f>K748+L749</f>
        <v>0</v>
      </c>
      <c r="L749" s="8">
        <f>IF($D749="CBB",$C749,0)</f>
        <v>0</v>
      </c>
    </row>
    <row r="750" spans="1:12" x14ac:dyDescent="0.25">
      <c r="A750" s="6">
        <v>41913</v>
      </c>
      <c r="B750" t="s">
        <v>64</v>
      </c>
      <c r="C750" s="7">
        <v>-26</v>
      </c>
      <c r="D750" t="s">
        <v>6</v>
      </c>
      <c r="E750" s="8">
        <f>E749+F750</f>
        <v>184968</v>
      </c>
      <c r="F750" s="8">
        <f>IF($D750="CR01",$C750,0)</f>
        <v>-26</v>
      </c>
      <c r="G750" s="8">
        <f>G749+H750</f>
        <v>0</v>
      </c>
      <c r="H750" s="8">
        <f>IF($D750="VISA",$C750,0)</f>
        <v>0</v>
      </c>
      <c r="I750" s="8">
        <f>I749+J750</f>
        <v>0</v>
      </c>
      <c r="J750" s="8">
        <f>IF($D750="ACC",$C750,0)</f>
        <v>0</v>
      </c>
      <c r="K750" s="8">
        <f>K749+L750</f>
        <v>0</v>
      </c>
      <c r="L750" s="8">
        <f>IF($D750="CBB",$C750,0)</f>
        <v>0</v>
      </c>
    </row>
    <row r="751" spans="1:12" x14ac:dyDescent="0.25">
      <c r="A751" s="6">
        <v>41913</v>
      </c>
      <c r="B751" t="s">
        <v>65</v>
      </c>
      <c r="C751" s="7">
        <v>-240</v>
      </c>
      <c r="D751" t="s">
        <v>6</v>
      </c>
      <c r="E751" s="8">
        <f>E750+F751</f>
        <v>184728</v>
      </c>
      <c r="F751" s="8">
        <f>IF($D751="CR01",$C751,0)</f>
        <v>-240</v>
      </c>
      <c r="G751" s="8">
        <f>G750+H751</f>
        <v>0</v>
      </c>
      <c r="H751" s="8">
        <f>IF($D751="VISA",$C751,0)</f>
        <v>0</v>
      </c>
      <c r="I751" s="8">
        <f>I750+J751</f>
        <v>0</v>
      </c>
      <c r="J751" s="8">
        <f>IF($D751="ACC",$C751,0)</f>
        <v>0</v>
      </c>
      <c r="K751" s="8">
        <f>K750+L751</f>
        <v>0</v>
      </c>
      <c r="L751" s="8">
        <f>IF($D751="CBB",$C751,0)</f>
        <v>0</v>
      </c>
    </row>
    <row r="752" spans="1:12" x14ac:dyDescent="0.25">
      <c r="A752" s="6">
        <v>41913</v>
      </c>
      <c r="B752" t="s">
        <v>66</v>
      </c>
      <c r="C752" s="7">
        <v>-120</v>
      </c>
      <c r="D752" t="s">
        <v>6</v>
      </c>
      <c r="E752" s="8">
        <f>E751+F752</f>
        <v>184608</v>
      </c>
      <c r="F752" s="8">
        <f>IF($D752="CR01",$C752,0)</f>
        <v>-120</v>
      </c>
      <c r="G752" s="8">
        <f>G751+H752</f>
        <v>0</v>
      </c>
      <c r="H752" s="8">
        <f>IF($D752="VISA",$C752,0)</f>
        <v>0</v>
      </c>
      <c r="I752" s="8">
        <f>I751+J752</f>
        <v>0</v>
      </c>
      <c r="J752" s="8">
        <f>IF($D752="ACC",$C752,0)</f>
        <v>0</v>
      </c>
      <c r="K752" s="8">
        <f>K751+L752</f>
        <v>0</v>
      </c>
      <c r="L752" s="8">
        <f>IF($D752="CBB",$C752,0)</f>
        <v>0</v>
      </c>
    </row>
    <row r="753" spans="1:12" x14ac:dyDescent="0.25">
      <c r="A753" s="6">
        <v>41914</v>
      </c>
      <c r="B753" t="s">
        <v>44</v>
      </c>
      <c r="C753" s="7">
        <v>-400</v>
      </c>
      <c r="D753" t="s">
        <v>6</v>
      </c>
      <c r="E753" s="8">
        <f>E752+F753</f>
        <v>184208</v>
      </c>
      <c r="F753" s="8">
        <f>IF($D753="CR01",$C753,0)</f>
        <v>-400</v>
      </c>
      <c r="G753" s="8">
        <f>G752+H753</f>
        <v>0</v>
      </c>
      <c r="H753" s="8">
        <f>IF($D753="VISA",$C753,0)</f>
        <v>0</v>
      </c>
      <c r="I753" s="8">
        <f>I752+J753</f>
        <v>0</v>
      </c>
      <c r="J753" s="8">
        <f>IF($D753="ACC",$C753,0)</f>
        <v>0</v>
      </c>
      <c r="K753" s="8">
        <f>K752+L753</f>
        <v>0</v>
      </c>
      <c r="L753" s="8">
        <f>IF($D753="CBB",$C753,0)</f>
        <v>0</v>
      </c>
    </row>
    <row r="754" spans="1:12" x14ac:dyDescent="0.25">
      <c r="A754" s="6">
        <v>41914</v>
      </c>
      <c r="B754" t="s">
        <v>45</v>
      </c>
      <c r="C754" s="7">
        <v>-180</v>
      </c>
      <c r="D754" t="s">
        <v>6</v>
      </c>
      <c r="E754" s="8">
        <f>E753+F754</f>
        <v>184028</v>
      </c>
      <c r="F754" s="8">
        <f>IF($D754="CR01",$C754,0)</f>
        <v>-180</v>
      </c>
      <c r="G754" s="8">
        <f>G753+H754</f>
        <v>0</v>
      </c>
      <c r="H754" s="8">
        <f>IF($D754="VISA",$C754,0)</f>
        <v>0</v>
      </c>
      <c r="I754" s="8">
        <f>I753+J754</f>
        <v>0</v>
      </c>
      <c r="J754" s="8">
        <f>IF($D754="ACC",$C754,0)</f>
        <v>0</v>
      </c>
      <c r="K754" s="8">
        <f>K753+L754</f>
        <v>0</v>
      </c>
      <c r="L754" s="8">
        <f>IF($D754="CBB",$C754,0)</f>
        <v>0</v>
      </c>
    </row>
    <row r="755" spans="1:12" x14ac:dyDescent="0.25">
      <c r="A755" s="6">
        <v>41914</v>
      </c>
      <c r="B755" t="s">
        <v>46</v>
      </c>
      <c r="C755" s="7">
        <v>-300</v>
      </c>
      <c r="D755" t="s">
        <v>6</v>
      </c>
      <c r="E755" s="8">
        <f>E754+F755</f>
        <v>183728</v>
      </c>
      <c r="F755" s="8">
        <f>IF($D755="CR01",$C755,0)</f>
        <v>-300</v>
      </c>
      <c r="G755" s="8">
        <f>G754+H755</f>
        <v>0</v>
      </c>
      <c r="H755" s="8">
        <f>IF($D755="VISA",$C755,0)</f>
        <v>0</v>
      </c>
      <c r="I755" s="8">
        <f>I754+J755</f>
        <v>0</v>
      </c>
      <c r="J755" s="8">
        <f>IF($D755="ACC",$C755,0)</f>
        <v>0</v>
      </c>
      <c r="K755" s="8">
        <f>K754+L755</f>
        <v>0</v>
      </c>
      <c r="L755" s="8">
        <f>IF($D755="CBB",$C755,0)</f>
        <v>0</v>
      </c>
    </row>
    <row r="756" spans="1:12" x14ac:dyDescent="0.25">
      <c r="A756" s="6">
        <v>41914</v>
      </c>
      <c r="B756" t="s">
        <v>59</v>
      </c>
      <c r="C756" s="7">
        <v>-900</v>
      </c>
      <c r="D756" t="s">
        <v>6</v>
      </c>
      <c r="E756" s="8">
        <f>E755+F756</f>
        <v>182828</v>
      </c>
      <c r="F756" s="8">
        <f>IF($D756="CR01",$C756,0)</f>
        <v>-900</v>
      </c>
      <c r="G756" s="8">
        <f>G755+H756</f>
        <v>0</v>
      </c>
      <c r="H756" s="8">
        <f>IF($D756="VISA",$C756,0)</f>
        <v>0</v>
      </c>
      <c r="I756" s="8">
        <f>I755+J756</f>
        <v>0</v>
      </c>
      <c r="J756" s="8">
        <f>IF($D756="ACC",$C756,0)</f>
        <v>0</v>
      </c>
      <c r="K756" s="8">
        <f>K755+L756</f>
        <v>0</v>
      </c>
      <c r="L756" s="8">
        <f>IF($D756="CBB",$C756,0)</f>
        <v>0</v>
      </c>
    </row>
    <row r="757" spans="1:12" x14ac:dyDescent="0.25">
      <c r="A757" s="6">
        <v>41916</v>
      </c>
      <c r="B757" t="s">
        <v>67</v>
      </c>
      <c r="C757" s="7">
        <v>6800</v>
      </c>
      <c r="D757" t="s">
        <v>6</v>
      </c>
      <c r="E757" s="8">
        <f>E756+F757</f>
        <v>189628</v>
      </c>
      <c r="F757" s="8">
        <f>IF($D757="CR01",$C757,0)</f>
        <v>6800</v>
      </c>
      <c r="G757" s="8">
        <f>G756+H757</f>
        <v>0</v>
      </c>
      <c r="H757" s="8">
        <f>IF($D757="VISA",$C757,0)</f>
        <v>0</v>
      </c>
      <c r="I757" s="8">
        <f>I756+J757</f>
        <v>0</v>
      </c>
      <c r="J757" s="8">
        <f>IF($D757="ACC",$C757,0)</f>
        <v>0</v>
      </c>
      <c r="K757" s="8">
        <f>K756+L757</f>
        <v>0</v>
      </c>
      <c r="L757" s="8">
        <f>IF($D757="CBB",$C757,0)</f>
        <v>0</v>
      </c>
    </row>
    <row r="758" spans="1:12" x14ac:dyDescent="0.25">
      <c r="A758" s="6">
        <v>41919</v>
      </c>
      <c r="B758" t="s">
        <v>42</v>
      </c>
      <c r="C758" s="7">
        <v>-2806</v>
      </c>
      <c r="D758" t="s">
        <v>6</v>
      </c>
      <c r="E758" s="8">
        <f>E757+F758</f>
        <v>186822</v>
      </c>
      <c r="F758" s="8">
        <f>IF($D758="CR01",$C758,0)</f>
        <v>-2806</v>
      </c>
      <c r="G758" s="8">
        <f>G757+H758</f>
        <v>0</v>
      </c>
      <c r="H758" s="8">
        <f>IF($D758="VISA",$C758,0)</f>
        <v>0</v>
      </c>
      <c r="I758" s="8">
        <f>I757+J758</f>
        <v>0</v>
      </c>
      <c r="J758" s="8">
        <f>IF($D758="ACC",$C758,0)</f>
        <v>0</v>
      </c>
      <c r="K758" s="8">
        <f>K757+L758</f>
        <v>0</v>
      </c>
      <c r="L758" s="8">
        <f>IF($D758="CBB",$C758,0)</f>
        <v>0</v>
      </c>
    </row>
    <row r="759" spans="1:12" x14ac:dyDescent="0.25">
      <c r="A759" s="6">
        <v>41919</v>
      </c>
      <c r="B759" t="s">
        <v>48</v>
      </c>
      <c r="C759" s="7">
        <v>-100</v>
      </c>
      <c r="D759" t="s">
        <v>6</v>
      </c>
      <c r="E759" s="8">
        <f>E758+F759</f>
        <v>186722</v>
      </c>
      <c r="F759" s="8">
        <f>IF($D759="CR01",$C759,0)</f>
        <v>-100</v>
      </c>
      <c r="G759" s="8">
        <f>G758+H759</f>
        <v>0</v>
      </c>
      <c r="H759" s="8">
        <f>IF($D759="VISA",$C759,0)</f>
        <v>0</v>
      </c>
      <c r="I759" s="8">
        <f>I758+J759</f>
        <v>0</v>
      </c>
      <c r="J759" s="8">
        <f>IF($D759="ACC",$C759,0)</f>
        <v>0</v>
      </c>
      <c r="K759" s="8">
        <f>K758+L759</f>
        <v>0</v>
      </c>
      <c r="L759" s="8">
        <f>IF($D759="CBB",$C759,0)</f>
        <v>0</v>
      </c>
    </row>
    <row r="760" spans="1:12" x14ac:dyDescent="0.25">
      <c r="A760" s="6">
        <v>41920</v>
      </c>
      <c r="B760" t="s">
        <v>47</v>
      </c>
      <c r="C760" s="7">
        <v>-120</v>
      </c>
      <c r="D760" t="s">
        <v>6</v>
      </c>
      <c r="E760" s="8">
        <f>E759+F760</f>
        <v>186602</v>
      </c>
      <c r="F760" s="8">
        <f>IF($D760="CR01",$C760,0)</f>
        <v>-120</v>
      </c>
      <c r="G760" s="8">
        <f>G759+H760</f>
        <v>0</v>
      </c>
      <c r="H760" s="8">
        <f>IF($D760="VISA",$C760,0)</f>
        <v>0</v>
      </c>
      <c r="I760" s="8">
        <f>I759+J760</f>
        <v>0</v>
      </c>
      <c r="J760" s="8">
        <f>IF($D760="ACC",$C760,0)</f>
        <v>0</v>
      </c>
      <c r="K760" s="8">
        <f>K759+L760</f>
        <v>0</v>
      </c>
      <c r="L760" s="8">
        <f>IF($D760="CBB",$C760,0)</f>
        <v>0</v>
      </c>
    </row>
    <row r="761" spans="1:12" x14ac:dyDescent="0.25">
      <c r="A761" s="6">
        <v>41921</v>
      </c>
      <c r="B761" t="s">
        <v>44</v>
      </c>
      <c r="C761" s="7">
        <v>-400</v>
      </c>
      <c r="D761" t="s">
        <v>6</v>
      </c>
      <c r="E761" s="8">
        <f>E760+F761</f>
        <v>186202</v>
      </c>
      <c r="F761" s="8">
        <f>IF($D761="CR01",$C761,0)</f>
        <v>-400</v>
      </c>
      <c r="G761" s="8">
        <f>G760+H761</f>
        <v>0</v>
      </c>
      <c r="H761" s="8">
        <f>IF($D761="VISA",$C761,0)</f>
        <v>0</v>
      </c>
      <c r="I761" s="8">
        <f>I760+J761</f>
        <v>0</v>
      </c>
      <c r="J761" s="8">
        <f>IF($D761="ACC",$C761,0)</f>
        <v>0</v>
      </c>
      <c r="K761" s="8">
        <f>K760+L761</f>
        <v>0</v>
      </c>
      <c r="L761" s="8">
        <f>IF($D761="CBB",$C761,0)</f>
        <v>0</v>
      </c>
    </row>
    <row r="762" spans="1:12" x14ac:dyDescent="0.25">
      <c r="A762" s="6">
        <v>41921</v>
      </c>
      <c r="B762" t="s">
        <v>45</v>
      </c>
      <c r="C762" s="7">
        <v>-180</v>
      </c>
      <c r="D762" t="s">
        <v>6</v>
      </c>
      <c r="E762" s="8">
        <f>E761+F762</f>
        <v>186022</v>
      </c>
      <c r="F762" s="8">
        <f>IF($D762="CR01",$C762,0)</f>
        <v>-180</v>
      </c>
      <c r="G762" s="8">
        <f>G761+H762</f>
        <v>0</v>
      </c>
      <c r="H762" s="8">
        <f>IF($D762="VISA",$C762,0)</f>
        <v>0</v>
      </c>
      <c r="I762" s="8">
        <f>I761+J762</f>
        <v>0</v>
      </c>
      <c r="J762" s="8">
        <f>IF($D762="ACC",$C762,0)</f>
        <v>0</v>
      </c>
      <c r="K762" s="8">
        <f>K761+L762</f>
        <v>0</v>
      </c>
      <c r="L762" s="8">
        <f>IF($D762="CBB",$C762,0)</f>
        <v>0</v>
      </c>
    </row>
    <row r="763" spans="1:12" x14ac:dyDescent="0.25">
      <c r="A763" s="6">
        <v>41921</v>
      </c>
      <c r="B763" t="s">
        <v>46</v>
      </c>
      <c r="C763" s="7">
        <v>-300</v>
      </c>
      <c r="D763" t="s">
        <v>6</v>
      </c>
      <c r="E763" s="8">
        <f>E762+F763</f>
        <v>185722</v>
      </c>
      <c r="F763" s="8">
        <f>IF($D763="CR01",$C763,0)</f>
        <v>-300</v>
      </c>
      <c r="G763" s="8">
        <f>G762+H763</f>
        <v>0</v>
      </c>
      <c r="H763" s="8">
        <f>IF($D763="VISA",$C763,0)</f>
        <v>0</v>
      </c>
      <c r="I763" s="8">
        <f>I762+J763</f>
        <v>0</v>
      </c>
      <c r="J763" s="8">
        <f>IF($D763="ACC",$C763,0)</f>
        <v>0</v>
      </c>
      <c r="K763" s="8">
        <f>K762+L763</f>
        <v>0</v>
      </c>
      <c r="L763" s="8">
        <f>IF($D763="CBB",$C763,0)</f>
        <v>0</v>
      </c>
    </row>
    <row r="764" spans="1:12" x14ac:dyDescent="0.25">
      <c r="A764" s="6">
        <v>41922</v>
      </c>
      <c r="B764" t="s">
        <v>43</v>
      </c>
      <c r="C764" s="7">
        <v>3226</v>
      </c>
      <c r="D764" t="s">
        <v>6</v>
      </c>
      <c r="E764" s="8">
        <f>E763+F764</f>
        <v>188948</v>
      </c>
      <c r="F764" s="8">
        <f>IF($D764="CR01",$C764,0)</f>
        <v>3226</v>
      </c>
      <c r="G764" s="8">
        <f>G763+H764</f>
        <v>0</v>
      </c>
      <c r="H764" s="8">
        <f>IF($D764="VISA",$C764,0)</f>
        <v>0</v>
      </c>
      <c r="I764" s="8">
        <f>I763+J764</f>
        <v>0</v>
      </c>
      <c r="J764" s="8">
        <f>IF($D764="ACC",$C764,0)</f>
        <v>0</v>
      </c>
      <c r="K764" s="8">
        <f>K763+L764</f>
        <v>0</v>
      </c>
      <c r="L764" s="8">
        <f>IF($D764="CBB",$C764,0)</f>
        <v>0</v>
      </c>
    </row>
    <row r="765" spans="1:12" x14ac:dyDescent="0.25">
      <c r="A765" s="6">
        <v>41926</v>
      </c>
      <c r="B765" t="s">
        <v>48</v>
      </c>
      <c r="C765" s="7">
        <v>-100</v>
      </c>
      <c r="D765" t="s">
        <v>6</v>
      </c>
      <c r="E765" s="8">
        <f>E764+F765</f>
        <v>188848</v>
      </c>
      <c r="F765" s="8">
        <f>IF($D765="CR01",$C765,0)</f>
        <v>-100</v>
      </c>
      <c r="G765" s="8">
        <f>G764+H765</f>
        <v>0</v>
      </c>
      <c r="H765" s="8">
        <f>IF($D765="VISA",$C765,0)</f>
        <v>0</v>
      </c>
      <c r="I765" s="8">
        <f>I764+J765</f>
        <v>0</v>
      </c>
      <c r="J765" s="8">
        <f>IF($D765="ACC",$C765,0)</f>
        <v>0</v>
      </c>
      <c r="K765" s="8">
        <f>K764+L765</f>
        <v>0</v>
      </c>
      <c r="L765" s="8">
        <f>IF($D765="CBB",$C765,0)</f>
        <v>0</v>
      </c>
    </row>
    <row r="766" spans="1:12" x14ac:dyDescent="0.25">
      <c r="A766" s="6">
        <v>41927</v>
      </c>
      <c r="B766" t="s">
        <v>47</v>
      </c>
      <c r="C766" s="7">
        <v>-120</v>
      </c>
      <c r="D766" t="s">
        <v>6</v>
      </c>
      <c r="E766" s="8">
        <f>E765+F766</f>
        <v>188728</v>
      </c>
      <c r="F766" s="8">
        <f>IF($D766="CR01",$C766,0)</f>
        <v>-120</v>
      </c>
      <c r="G766" s="8">
        <f>G765+H766</f>
        <v>0</v>
      </c>
      <c r="H766" s="8">
        <f>IF($D766="VISA",$C766,0)</f>
        <v>0</v>
      </c>
      <c r="I766" s="8">
        <f>I765+J766</f>
        <v>0</v>
      </c>
      <c r="J766" s="8">
        <f>IF($D766="ACC",$C766,0)</f>
        <v>0</v>
      </c>
      <c r="K766" s="8">
        <f>K765+L766</f>
        <v>0</v>
      </c>
      <c r="L766" s="8">
        <f>IF($D766="CBB",$C766,0)</f>
        <v>0</v>
      </c>
    </row>
    <row r="767" spans="1:12" x14ac:dyDescent="0.25">
      <c r="A767" s="6">
        <v>41928</v>
      </c>
      <c r="B767" t="s">
        <v>44</v>
      </c>
      <c r="C767" s="7">
        <v>-400</v>
      </c>
      <c r="D767" t="s">
        <v>6</v>
      </c>
      <c r="E767" s="8">
        <f>E766+F767</f>
        <v>188328</v>
      </c>
      <c r="F767" s="8">
        <f>IF($D767="CR01",$C767,0)</f>
        <v>-400</v>
      </c>
      <c r="G767" s="8">
        <f>G766+H767</f>
        <v>0</v>
      </c>
      <c r="H767" s="8">
        <f>IF($D767="VISA",$C767,0)</f>
        <v>0</v>
      </c>
      <c r="I767" s="8">
        <f>I766+J767</f>
        <v>0</v>
      </c>
      <c r="J767" s="8">
        <f>IF($D767="ACC",$C767,0)</f>
        <v>0</v>
      </c>
      <c r="K767" s="8">
        <f>K766+L767</f>
        <v>0</v>
      </c>
      <c r="L767" s="8">
        <f>IF($D767="CBB",$C767,0)</f>
        <v>0</v>
      </c>
    </row>
    <row r="768" spans="1:12" x14ac:dyDescent="0.25">
      <c r="A768" s="6">
        <v>41928</v>
      </c>
      <c r="B768" t="s">
        <v>45</v>
      </c>
      <c r="C768" s="7">
        <v>-180</v>
      </c>
      <c r="D768" t="s">
        <v>6</v>
      </c>
      <c r="E768" s="8">
        <f>E767+F768</f>
        <v>188148</v>
      </c>
      <c r="F768" s="8">
        <f>IF($D768="CR01",$C768,0)</f>
        <v>-180</v>
      </c>
      <c r="G768" s="8">
        <f>G767+H768</f>
        <v>0</v>
      </c>
      <c r="H768" s="8">
        <f>IF($D768="VISA",$C768,0)</f>
        <v>0</v>
      </c>
      <c r="I768" s="8">
        <f>I767+J768</f>
        <v>0</v>
      </c>
      <c r="J768" s="8">
        <f>IF($D768="ACC",$C768,0)</f>
        <v>0</v>
      </c>
      <c r="K768" s="8">
        <f>K767+L768</f>
        <v>0</v>
      </c>
      <c r="L768" s="8">
        <f>IF($D768="CBB",$C768,0)</f>
        <v>0</v>
      </c>
    </row>
    <row r="769" spans="1:12" x14ac:dyDescent="0.25">
      <c r="A769" s="6">
        <v>41928</v>
      </c>
      <c r="B769" t="s">
        <v>46</v>
      </c>
      <c r="C769" s="7">
        <v>-300</v>
      </c>
      <c r="D769" t="s">
        <v>6</v>
      </c>
      <c r="E769" s="8">
        <f>E768+F769</f>
        <v>187848</v>
      </c>
      <c r="F769" s="8">
        <f>IF($D769="CR01",$C769,0)</f>
        <v>-300</v>
      </c>
      <c r="G769" s="8">
        <f>G768+H769</f>
        <v>0</v>
      </c>
      <c r="H769" s="8">
        <f>IF($D769="VISA",$C769,0)</f>
        <v>0</v>
      </c>
      <c r="I769" s="8">
        <f>I768+J769</f>
        <v>0</v>
      </c>
      <c r="J769" s="8">
        <f>IF($D769="ACC",$C769,0)</f>
        <v>0</v>
      </c>
      <c r="K769" s="8">
        <f>K768+L769</f>
        <v>0</v>
      </c>
      <c r="L769" s="8">
        <f>IF($D769="CBB",$C769,0)</f>
        <v>0</v>
      </c>
    </row>
    <row r="770" spans="1:12" x14ac:dyDescent="0.25">
      <c r="A770" s="6">
        <v>41930</v>
      </c>
      <c r="B770" t="s">
        <v>67</v>
      </c>
      <c r="C770" s="7">
        <v>6800</v>
      </c>
      <c r="D770" t="s">
        <v>6</v>
      </c>
      <c r="E770" s="8">
        <f>E769+F770</f>
        <v>194648</v>
      </c>
      <c r="F770" s="8">
        <f>IF($D770="CR01",$C770,0)</f>
        <v>6800</v>
      </c>
      <c r="G770" s="8">
        <f>G769+H770</f>
        <v>0</v>
      </c>
      <c r="H770" s="8">
        <f>IF($D770="VISA",$C770,0)</f>
        <v>0</v>
      </c>
      <c r="I770" s="8">
        <f>I769+J770</f>
        <v>0</v>
      </c>
      <c r="J770" s="8">
        <f>IF($D770="ACC",$C770,0)</f>
        <v>0</v>
      </c>
      <c r="K770" s="8">
        <f>K769+L770</f>
        <v>0</v>
      </c>
      <c r="L770" s="8">
        <f>IF($D770="CBB",$C770,0)</f>
        <v>0</v>
      </c>
    </row>
    <row r="771" spans="1:12" x14ac:dyDescent="0.25">
      <c r="A771" s="6">
        <v>41933</v>
      </c>
      <c r="B771" t="s">
        <v>42</v>
      </c>
      <c r="C771" s="7">
        <v>-2806</v>
      </c>
      <c r="D771" t="s">
        <v>6</v>
      </c>
      <c r="E771" s="8">
        <f>E770+F771</f>
        <v>191842</v>
      </c>
      <c r="F771" s="8">
        <f>IF($D771="CR01",$C771,0)</f>
        <v>-2806</v>
      </c>
      <c r="G771" s="8">
        <f>G770+H771</f>
        <v>0</v>
      </c>
      <c r="H771" s="8">
        <f>IF($D771="VISA",$C771,0)</f>
        <v>0</v>
      </c>
      <c r="I771" s="8">
        <f>I770+J771</f>
        <v>0</v>
      </c>
      <c r="J771" s="8">
        <f>IF($D771="ACC",$C771,0)</f>
        <v>0</v>
      </c>
      <c r="K771" s="8">
        <f>K770+L771</f>
        <v>0</v>
      </c>
      <c r="L771" s="8">
        <f>IF($D771="CBB",$C771,0)</f>
        <v>0</v>
      </c>
    </row>
    <row r="772" spans="1:12" x14ac:dyDescent="0.25">
      <c r="A772" s="6">
        <v>41933</v>
      </c>
      <c r="B772" t="s">
        <v>48</v>
      </c>
      <c r="C772" s="7">
        <v>-100</v>
      </c>
      <c r="D772" t="s">
        <v>6</v>
      </c>
      <c r="E772" s="8">
        <f>E771+F772</f>
        <v>191742</v>
      </c>
      <c r="F772" s="8">
        <f>IF($D772="CR01",$C772,0)</f>
        <v>-100</v>
      </c>
      <c r="G772" s="8">
        <f>G771+H772</f>
        <v>0</v>
      </c>
      <c r="H772" s="8">
        <f>IF($D772="VISA",$C772,0)</f>
        <v>0</v>
      </c>
      <c r="I772" s="8">
        <f>I771+J772</f>
        <v>0</v>
      </c>
      <c r="J772" s="8">
        <f>IF($D772="ACC",$C772,0)</f>
        <v>0</v>
      </c>
      <c r="K772" s="8">
        <f>K771+L772</f>
        <v>0</v>
      </c>
      <c r="L772" s="8">
        <f>IF($D772="CBB",$C772,0)</f>
        <v>0</v>
      </c>
    </row>
    <row r="773" spans="1:12" x14ac:dyDescent="0.25">
      <c r="A773" s="6">
        <v>41934</v>
      </c>
      <c r="B773" t="s">
        <v>47</v>
      </c>
      <c r="C773" s="7">
        <v>-120</v>
      </c>
      <c r="D773" t="s">
        <v>6</v>
      </c>
      <c r="E773" s="8">
        <f>E772+F773</f>
        <v>191622</v>
      </c>
      <c r="F773" s="8">
        <f>IF($D773="CR01",$C773,0)</f>
        <v>-120</v>
      </c>
      <c r="G773" s="8">
        <f>G772+H773</f>
        <v>0</v>
      </c>
      <c r="H773" s="8">
        <f>IF($D773="VISA",$C773,0)</f>
        <v>0</v>
      </c>
      <c r="I773" s="8">
        <f>I772+J773</f>
        <v>0</v>
      </c>
      <c r="J773" s="8">
        <f>IF($D773="ACC",$C773,0)</f>
        <v>0</v>
      </c>
      <c r="K773" s="8">
        <f>K772+L773</f>
        <v>0</v>
      </c>
      <c r="L773" s="8">
        <f>IF($D773="CBB",$C773,0)</f>
        <v>0</v>
      </c>
    </row>
    <row r="774" spans="1:12" x14ac:dyDescent="0.25">
      <c r="A774" s="6">
        <v>41935</v>
      </c>
      <c r="B774" t="s">
        <v>44</v>
      </c>
      <c r="C774" s="7">
        <v>-400</v>
      </c>
      <c r="D774" t="s">
        <v>6</v>
      </c>
      <c r="E774" s="8">
        <f>E773+F774</f>
        <v>191222</v>
      </c>
      <c r="F774" s="8">
        <f>IF($D774="CR01",$C774,0)</f>
        <v>-400</v>
      </c>
      <c r="G774" s="8">
        <f>G773+H774</f>
        <v>0</v>
      </c>
      <c r="H774" s="8">
        <f>IF($D774="VISA",$C774,0)</f>
        <v>0</v>
      </c>
      <c r="I774" s="8">
        <f>I773+J774</f>
        <v>0</v>
      </c>
      <c r="J774" s="8">
        <f>IF($D774="ACC",$C774,0)</f>
        <v>0</v>
      </c>
      <c r="K774" s="8">
        <f>K773+L774</f>
        <v>0</v>
      </c>
      <c r="L774" s="8">
        <f>IF($D774="CBB",$C774,0)</f>
        <v>0</v>
      </c>
    </row>
    <row r="775" spans="1:12" x14ac:dyDescent="0.25">
      <c r="A775" s="6">
        <v>41935</v>
      </c>
      <c r="B775" t="s">
        <v>45</v>
      </c>
      <c r="C775" s="7">
        <v>-180</v>
      </c>
      <c r="D775" t="s">
        <v>6</v>
      </c>
      <c r="E775" s="8">
        <f>E774+F775</f>
        <v>191042</v>
      </c>
      <c r="F775" s="8">
        <f>IF($D775="CR01",$C775,0)</f>
        <v>-180</v>
      </c>
      <c r="G775" s="8">
        <f>G774+H775</f>
        <v>0</v>
      </c>
      <c r="H775" s="8">
        <f>IF($D775="VISA",$C775,0)</f>
        <v>0</v>
      </c>
      <c r="I775" s="8">
        <f>I774+J775</f>
        <v>0</v>
      </c>
      <c r="J775" s="8">
        <f>IF($D775="ACC",$C775,0)</f>
        <v>0</v>
      </c>
      <c r="K775" s="8">
        <f>K774+L775</f>
        <v>0</v>
      </c>
      <c r="L775" s="8">
        <f>IF($D775="CBB",$C775,0)</f>
        <v>0</v>
      </c>
    </row>
    <row r="776" spans="1:12" x14ac:dyDescent="0.25">
      <c r="A776" s="6">
        <v>41935</v>
      </c>
      <c r="B776" t="s">
        <v>46</v>
      </c>
      <c r="C776" s="7">
        <v>-300</v>
      </c>
      <c r="D776" t="s">
        <v>6</v>
      </c>
      <c r="E776" s="8">
        <f>E775+F776</f>
        <v>190742</v>
      </c>
      <c r="F776" s="8">
        <f>IF($D776="CR01",$C776,0)</f>
        <v>-300</v>
      </c>
      <c r="G776" s="8">
        <f>G775+H776</f>
        <v>0</v>
      </c>
      <c r="H776" s="8">
        <f>IF($D776="VISA",$C776,0)</f>
        <v>0</v>
      </c>
      <c r="I776" s="8">
        <f>I775+J776</f>
        <v>0</v>
      </c>
      <c r="J776" s="8">
        <f>IF($D776="ACC",$C776,0)</f>
        <v>0</v>
      </c>
      <c r="K776" s="8">
        <f>K775+L776</f>
        <v>0</v>
      </c>
      <c r="L776" s="8">
        <f>IF($D776="CBB",$C776,0)</f>
        <v>0</v>
      </c>
    </row>
    <row r="777" spans="1:12" x14ac:dyDescent="0.25">
      <c r="A777" s="6">
        <v>41936</v>
      </c>
      <c r="B777" t="s">
        <v>43</v>
      </c>
      <c r="C777" s="7">
        <v>3226</v>
      </c>
      <c r="D777" t="s">
        <v>6</v>
      </c>
      <c r="E777" s="8">
        <f>E776+F777</f>
        <v>193968</v>
      </c>
      <c r="F777" s="8">
        <f>IF($D777="CR01",$C777,0)</f>
        <v>3226</v>
      </c>
      <c r="G777" s="8">
        <f>G776+H777</f>
        <v>0</v>
      </c>
      <c r="H777" s="8">
        <f>IF($D777="VISA",$C777,0)</f>
        <v>0</v>
      </c>
      <c r="I777" s="8">
        <f>I776+J777</f>
        <v>0</v>
      </c>
      <c r="J777" s="8">
        <f>IF($D777="ACC",$C777,0)</f>
        <v>0</v>
      </c>
      <c r="K777" s="8">
        <f>K776+L777</f>
        <v>0</v>
      </c>
      <c r="L777" s="8">
        <f>IF($D777="CBB",$C777,0)</f>
        <v>0</v>
      </c>
    </row>
    <row r="778" spans="1:12" x14ac:dyDescent="0.25">
      <c r="A778" s="6">
        <v>41940</v>
      </c>
      <c r="B778" t="s">
        <v>48</v>
      </c>
      <c r="C778" s="7">
        <v>-100</v>
      </c>
      <c r="D778" t="s">
        <v>6</v>
      </c>
      <c r="E778" s="8">
        <f>E777+F778</f>
        <v>193868</v>
      </c>
      <c r="F778" s="8">
        <f>IF($D778="CR01",$C778,0)</f>
        <v>-100</v>
      </c>
      <c r="G778" s="8">
        <f>G777+H778</f>
        <v>0</v>
      </c>
      <c r="H778" s="8">
        <f>IF($D778="VISA",$C778,0)</f>
        <v>0</v>
      </c>
      <c r="I778" s="8">
        <f>I777+J778</f>
        <v>0</v>
      </c>
      <c r="J778" s="8">
        <f>IF($D778="ACC",$C778,0)</f>
        <v>0</v>
      </c>
      <c r="K778" s="8">
        <f>K777+L778</f>
        <v>0</v>
      </c>
      <c r="L778" s="8">
        <f>IF($D778="CBB",$C778,0)</f>
        <v>0</v>
      </c>
    </row>
    <row r="779" spans="1:12" x14ac:dyDescent="0.25">
      <c r="A779" s="6">
        <v>41941</v>
      </c>
      <c r="B779" t="s">
        <v>47</v>
      </c>
      <c r="C779" s="7">
        <v>-120</v>
      </c>
      <c r="D779" t="s">
        <v>6</v>
      </c>
      <c r="E779" s="8">
        <f>E778+F779</f>
        <v>193748</v>
      </c>
      <c r="F779" s="8">
        <f>IF($D779="CR01",$C779,0)</f>
        <v>-120</v>
      </c>
      <c r="G779" s="8">
        <f>G778+H779</f>
        <v>0</v>
      </c>
      <c r="H779" s="8">
        <f>IF($D779="VISA",$C779,0)</f>
        <v>0</v>
      </c>
      <c r="I779" s="8">
        <f>I778+J779</f>
        <v>0</v>
      </c>
      <c r="J779" s="8">
        <f>IF($D779="ACC",$C779,0)</f>
        <v>0</v>
      </c>
      <c r="K779" s="8">
        <f>K778+L779</f>
        <v>0</v>
      </c>
      <c r="L779" s="8">
        <f>IF($D779="CBB",$C779,0)</f>
        <v>0</v>
      </c>
    </row>
    <row r="780" spans="1:12" x14ac:dyDescent="0.25">
      <c r="A780" s="6">
        <v>41942</v>
      </c>
      <c r="B780" t="s">
        <v>44</v>
      </c>
      <c r="C780" s="7">
        <v>-400</v>
      </c>
      <c r="D780" t="s">
        <v>6</v>
      </c>
      <c r="E780" s="8">
        <f>E779+F780</f>
        <v>193348</v>
      </c>
      <c r="F780" s="8">
        <f>IF($D780="CR01",$C780,0)</f>
        <v>-400</v>
      </c>
      <c r="G780" s="8">
        <f>G779+H780</f>
        <v>0</v>
      </c>
      <c r="H780" s="8">
        <f>IF($D780="VISA",$C780,0)</f>
        <v>0</v>
      </c>
      <c r="I780" s="8">
        <f>I779+J780</f>
        <v>0</v>
      </c>
      <c r="J780" s="8">
        <f>IF($D780="ACC",$C780,0)</f>
        <v>0</v>
      </c>
      <c r="K780" s="8">
        <f>K779+L780</f>
        <v>0</v>
      </c>
      <c r="L780" s="8">
        <f>IF($D780="CBB",$C780,0)</f>
        <v>0</v>
      </c>
    </row>
    <row r="781" spans="1:12" x14ac:dyDescent="0.25">
      <c r="A781" s="6">
        <v>41942</v>
      </c>
      <c r="B781" t="s">
        <v>45</v>
      </c>
      <c r="C781" s="7">
        <v>-180</v>
      </c>
      <c r="D781" t="s">
        <v>6</v>
      </c>
      <c r="E781" s="8">
        <f>E780+F781</f>
        <v>193168</v>
      </c>
      <c r="F781" s="8">
        <f>IF($D781="CR01",$C781,0)</f>
        <v>-180</v>
      </c>
      <c r="G781" s="8">
        <f>G780+H781</f>
        <v>0</v>
      </c>
      <c r="H781" s="8">
        <f>IF($D781="VISA",$C781,0)</f>
        <v>0</v>
      </c>
      <c r="I781" s="8">
        <f>I780+J781</f>
        <v>0</v>
      </c>
      <c r="J781" s="8">
        <f>IF($D781="ACC",$C781,0)</f>
        <v>0</v>
      </c>
      <c r="K781" s="8">
        <f>K780+L781</f>
        <v>0</v>
      </c>
      <c r="L781" s="8">
        <f>IF($D781="CBB",$C781,0)</f>
        <v>0</v>
      </c>
    </row>
    <row r="782" spans="1:12" x14ac:dyDescent="0.25">
      <c r="A782" s="6">
        <v>41942</v>
      </c>
      <c r="B782" t="s">
        <v>46</v>
      </c>
      <c r="C782" s="7">
        <v>-300</v>
      </c>
      <c r="D782" t="s">
        <v>6</v>
      </c>
      <c r="E782" s="8">
        <f>E781+F782</f>
        <v>192868</v>
      </c>
      <c r="F782" s="8">
        <f>IF($D782="CR01",$C782,0)</f>
        <v>-300</v>
      </c>
      <c r="G782" s="8">
        <f>G781+H782</f>
        <v>0</v>
      </c>
      <c r="H782" s="8">
        <f>IF($D782="VISA",$C782,0)</f>
        <v>0</v>
      </c>
      <c r="I782" s="8">
        <f>I781+J782</f>
        <v>0</v>
      </c>
      <c r="J782" s="8">
        <f>IF($D782="ACC",$C782,0)</f>
        <v>0</v>
      </c>
      <c r="K782" s="8">
        <f>K781+L782</f>
        <v>0</v>
      </c>
      <c r="L782" s="8">
        <f>IF($D782="CBB",$C782,0)</f>
        <v>0</v>
      </c>
    </row>
    <row r="783" spans="1:12" x14ac:dyDescent="0.25">
      <c r="A783" s="6">
        <v>41944</v>
      </c>
      <c r="B783" t="s">
        <v>67</v>
      </c>
      <c r="C783" s="7">
        <v>6800</v>
      </c>
      <c r="D783" t="s">
        <v>6</v>
      </c>
      <c r="E783" s="8">
        <f>E782+F783</f>
        <v>199668</v>
      </c>
      <c r="F783" s="8">
        <f>IF($D783="CR01",$C783,0)</f>
        <v>6800</v>
      </c>
      <c r="G783" s="8">
        <f>G782+H783</f>
        <v>0</v>
      </c>
      <c r="H783" s="8">
        <f>IF($D783="VISA",$C783,0)</f>
        <v>0</v>
      </c>
      <c r="I783" s="8">
        <f>I782+J783</f>
        <v>0</v>
      </c>
      <c r="J783" s="8">
        <f>IF($D783="ACC",$C783,0)</f>
        <v>0</v>
      </c>
      <c r="K783" s="8">
        <f>K782+L783</f>
        <v>0</v>
      </c>
      <c r="L783" s="8">
        <f>IF($D783="CBB",$C783,0)</f>
        <v>0</v>
      </c>
    </row>
    <row r="784" spans="1:12" x14ac:dyDescent="0.25">
      <c r="A784" s="6">
        <v>41944</v>
      </c>
      <c r="B784" t="s">
        <v>58</v>
      </c>
      <c r="C784" s="7">
        <v>-200</v>
      </c>
      <c r="D784" t="s">
        <v>6</v>
      </c>
      <c r="E784" s="8">
        <f>E783+F784</f>
        <v>199468</v>
      </c>
      <c r="F784" s="8">
        <f>IF($D784="CR01",$C784,0)</f>
        <v>-200</v>
      </c>
      <c r="G784" s="8">
        <f>G783+H784</f>
        <v>0</v>
      </c>
      <c r="H784" s="8">
        <f>IF($D784="VISA",$C784,0)</f>
        <v>0</v>
      </c>
      <c r="I784" s="8">
        <f>I783+J784</f>
        <v>0</v>
      </c>
      <c r="J784" s="8">
        <f>IF($D784="ACC",$C784,0)</f>
        <v>0</v>
      </c>
      <c r="K784" s="8">
        <f>K783+L784</f>
        <v>0</v>
      </c>
      <c r="L784" s="8">
        <f>IF($D784="CBB",$C784,0)</f>
        <v>0</v>
      </c>
    </row>
    <row r="785" spans="1:12" x14ac:dyDescent="0.25">
      <c r="A785" s="6">
        <v>41944</v>
      </c>
      <c r="B785" t="s">
        <v>60</v>
      </c>
      <c r="C785" s="7">
        <v>-400</v>
      </c>
      <c r="D785" t="s">
        <v>6</v>
      </c>
      <c r="E785" s="8">
        <f>E784+F785</f>
        <v>199068</v>
      </c>
      <c r="F785" s="8">
        <f>IF($D785="CR01",$C785,0)</f>
        <v>-400</v>
      </c>
      <c r="G785" s="8">
        <f>G784+H785</f>
        <v>0</v>
      </c>
      <c r="H785" s="8">
        <f>IF($D785="VISA",$C785,0)</f>
        <v>0</v>
      </c>
      <c r="I785" s="8">
        <f>I784+J785</f>
        <v>0</v>
      </c>
      <c r="J785" s="8">
        <f>IF($D785="ACC",$C785,0)</f>
        <v>0</v>
      </c>
      <c r="K785" s="8">
        <f>K784+L785</f>
        <v>0</v>
      </c>
      <c r="L785" s="8">
        <f>IF($D785="CBB",$C785,0)</f>
        <v>0</v>
      </c>
    </row>
    <row r="786" spans="1:12" x14ac:dyDescent="0.25">
      <c r="A786" s="6">
        <v>41944</v>
      </c>
      <c r="B786" t="s">
        <v>62</v>
      </c>
      <c r="C786" s="7">
        <v>-300</v>
      </c>
      <c r="D786" t="s">
        <v>6</v>
      </c>
      <c r="E786" s="8">
        <f>E785+F786</f>
        <v>198768</v>
      </c>
      <c r="F786" s="8">
        <f>IF($D786="CR01",$C786,0)</f>
        <v>-300</v>
      </c>
      <c r="G786" s="8">
        <f>G785+H786</f>
        <v>0</v>
      </c>
      <c r="H786" s="8">
        <f>IF($D786="VISA",$C786,0)</f>
        <v>0</v>
      </c>
      <c r="I786" s="8">
        <f>I785+J786</f>
        <v>0</v>
      </c>
      <c r="J786" s="8">
        <f>IF($D786="ACC",$C786,0)</f>
        <v>0</v>
      </c>
      <c r="K786" s="8">
        <f>K785+L786</f>
        <v>0</v>
      </c>
      <c r="L786" s="8">
        <f>IF($D786="CBB",$C786,0)</f>
        <v>0</v>
      </c>
    </row>
    <row r="787" spans="1:12" x14ac:dyDescent="0.25">
      <c r="A787" s="6">
        <v>41944</v>
      </c>
      <c r="B787" t="s">
        <v>63</v>
      </c>
      <c r="C787" s="7">
        <v>-300</v>
      </c>
      <c r="D787" t="s">
        <v>6</v>
      </c>
      <c r="E787" s="8">
        <f>E786+F787</f>
        <v>198468</v>
      </c>
      <c r="F787" s="8">
        <f>IF($D787="CR01",$C787,0)</f>
        <v>-300</v>
      </c>
      <c r="G787" s="8">
        <f>G786+H787</f>
        <v>0</v>
      </c>
      <c r="H787" s="8">
        <f>IF($D787="VISA",$C787,0)</f>
        <v>0</v>
      </c>
      <c r="I787" s="8">
        <f>I786+J787</f>
        <v>0</v>
      </c>
      <c r="J787" s="8">
        <f>IF($D787="ACC",$C787,0)</f>
        <v>0</v>
      </c>
      <c r="K787" s="8">
        <f>K786+L787</f>
        <v>0</v>
      </c>
      <c r="L787" s="8">
        <f>IF($D787="CBB",$C787,0)</f>
        <v>0</v>
      </c>
    </row>
    <row r="788" spans="1:12" x14ac:dyDescent="0.25">
      <c r="A788" s="6">
        <v>41944</v>
      </c>
      <c r="B788" t="s">
        <v>64</v>
      </c>
      <c r="C788" s="7">
        <v>-26</v>
      </c>
      <c r="D788" t="s">
        <v>6</v>
      </c>
      <c r="E788" s="8">
        <f>E787+F788</f>
        <v>198442</v>
      </c>
      <c r="F788" s="8">
        <f>IF($D788="CR01",$C788,0)</f>
        <v>-26</v>
      </c>
      <c r="G788" s="8">
        <f>G787+H788</f>
        <v>0</v>
      </c>
      <c r="H788" s="8">
        <f>IF($D788="VISA",$C788,0)</f>
        <v>0</v>
      </c>
      <c r="I788" s="8">
        <f>I787+J788</f>
        <v>0</v>
      </c>
      <c r="J788" s="8">
        <f>IF($D788="ACC",$C788,0)</f>
        <v>0</v>
      </c>
      <c r="K788" s="8">
        <f>K787+L788</f>
        <v>0</v>
      </c>
      <c r="L788" s="8">
        <f>IF($D788="CBB",$C788,0)</f>
        <v>0</v>
      </c>
    </row>
    <row r="789" spans="1:12" x14ac:dyDescent="0.25">
      <c r="A789" s="6">
        <v>41944</v>
      </c>
      <c r="B789" t="s">
        <v>65</v>
      </c>
      <c r="C789" s="7">
        <v>-240</v>
      </c>
      <c r="D789" t="s">
        <v>6</v>
      </c>
      <c r="E789" s="8">
        <f>E788+F789</f>
        <v>198202</v>
      </c>
      <c r="F789" s="8">
        <f>IF($D789="CR01",$C789,0)</f>
        <v>-240</v>
      </c>
      <c r="G789" s="8">
        <f>G788+H789</f>
        <v>0</v>
      </c>
      <c r="H789" s="8">
        <f>IF($D789="VISA",$C789,0)</f>
        <v>0</v>
      </c>
      <c r="I789" s="8">
        <f>I788+J789</f>
        <v>0</v>
      </c>
      <c r="J789" s="8">
        <f>IF($D789="ACC",$C789,0)</f>
        <v>0</v>
      </c>
      <c r="K789" s="8">
        <f>K788+L789</f>
        <v>0</v>
      </c>
      <c r="L789" s="8">
        <f>IF($D789="CBB",$C789,0)</f>
        <v>0</v>
      </c>
    </row>
    <row r="790" spans="1:12" x14ac:dyDescent="0.25">
      <c r="A790" s="6">
        <v>41944</v>
      </c>
      <c r="B790" t="s">
        <v>66</v>
      </c>
      <c r="C790" s="7">
        <v>-120</v>
      </c>
      <c r="D790" t="s">
        <v>6</v>
      </c>
      <c r="E790" s="8">
        <f>E789+F790</f>
        <v>198082</v>
      </c>
      <c r="F790" s="8">
        <f>IF($D790="CR01",$C790,0)</f>
        <v>-120</v>
      </c>
      <c r="G790" s="8">
        <f>G789+H790</f>
        <v>0</v>
      </c>
      <c r="H790" s="8">
        <f>IF($D790="VISA",$C790,0)</f>
        <v>0</v>
      </c>
      <c r="I790" s="8">
        <f>I789+J790</f>
        <v>0</v>
      </c>
      <c r="J790" s="8">
        <f>IF($D790="ACC",$C790,0)</f>
        <v>0</v>
      </c>
      <c r="K790" s="8">
        <f>K789+L790</f>
        <v>0</v>
      </c>
      <c r="L790" s="8">
        <f>IF($D790="CBB",$C790,0)</f>
        <v>0</v>
      </c>
    </row>
    <row r="791" spans="1:12" x14ac:dyDescent="0.25">
      <c r="A791" s="6">
        <v>41945</v>
      </c>
      <c r="B791" t="s">
        <v>59</v>
      </c>
      <c r="C791" s="7">
        <v>-900</v>
      </c>
      <c r="D791" t="s">
        <v>6</v>
      </c>
      <c r="E791" s="8">
        <f>E790+F791</f>
        <v>197182</v>
      </c>
      <c r="F791" s="8">
        <f>IF($D791="CR01",$C791,0)</f>
        <v>-900</v>
      </c>
      <c r="G791" s="8">
        <f>G790+H791</f>
        <v>0</v>
      </c>
      <c r="H791" s="8">
        <f>IF($D791="VISA",$C791,0)</f>
        <v>0</v>
      </c>
      <c r="I791" s="8">
        <f>I790+J791</f>
        <v>0</v>
      </c>
      <c r="J791" s="8">
        <f>IF($D791="ACC",$C791,0)</f>
        <v>0</v>
      </c>
      <c r="K791" s="8">
        <f>K790+L791</f>
        <v>0</v>
      </c>
      <c r="L791" s="8">
        <f>IF($D791="CBB",$C791,0)</f>
        <v>0</v>
      </c>
    </row>
    <row r="792" spans="1:12" x14ac:dyDescent="0.25">
      <c r="A792" s="6">
        <v>41947</v>
      </c>
      <c r="B792" t="s">
        <v>42</v>
      </c>
      <c r="C792" s="7">
        <v>-2806</v>
      </c>
      <c r="D792" t="s">
        <v>6</v>
      </c>
      <c r="E792" s="8">
        <f>E791+F792</f>
        <v>194376</v>
      </c>
      <c r="F792" s="8">
        <f>IF($D792="CR01",$C792,0)</f>
        <v>-2806</v>
      </c>
      <c r="G792" s="8">
        <f>G791+H792</f>
        <v>0</v>
      </c>
      <c r="H792" s="8">
        <f>IF($D792="VISA",$C792,0)</f>
        <v>0</v>
      </c>
      <c r="I792" s="8">
        <f>I791+J792</f>
        <v>0</v>
      </c>
      <c r="J792" s="8">
        <f>IF($D792="ACC",$C792,0)</f>
        <v>0</v>
      </c>
      <c r="K792" s="8">
        <f>K791+L792</f>
        <v>0</v>
      </c>
      <c r="L792" s="8">
        <f>IF($D792="CBB",$C792,0)</f>
        <v>0</v>
      </c>
    </row>
    <row r="793" spans="1:12" x14ac:dyDescent="0.25">
      <c r="A793" s="6">
        <v>41947</v>
      </c>
      <c r="B793" t="s">
        <v>48</v>
      </c>
      <c r="C793" s="7">
        <v>-100</v>
      </c>
      <c r="D793" t="s">
        <v>6</v>
      </c>
      <c r="E793" s="8">
        <f>E792+F793</f>
        <v>194276</v>
      </c>
      <c r="F793" s="8">
        <f>IF($D793="CR01",$C793,0)</f>
        <v>-100</v>
      </c>
      <c r="G793" s="8">
        <f>G792+H793</f>
        <v>0</v>
      </c>
      <c r="H793" s="8">
        <f>IF($D793="VISA",$C793,0)</f>
        <v>0</v>
      </c>
      <c r="I793" s="8">
        <f>I792+J793</f>
        <v>0</v>
      </c>
      <c r="J793" s="8">
        <f>IF($D793="ACC",$C793,0)</f>
        <v>0</v>
      </c>
      <c r="K793" s="8">
        <f>K792+L793</f>
        <v>0</v>
      </c>
      <c r="L793" s="8">
        <f>IF($D793="CBB",$C793,0)</f>
        <v>0</v>
      </c>
    </row>
    <row r="794" spans="1:12" x14ac:dyDescent="0.25">
      <c r="A794" s="6">
        <v>41948</v>
      </c>
      <c r="B794" t="s">
        <v>47</v>
      </c>
      <c r="C794" s="7">
        <v>-120</v>
      </c>
      <c r="D794" t="s">
        <v>6</v>
      </c>
      <c r="E794" s="8">
        <f>E793+F794</f>
        <v>194156</v>
      </c>
      <c r="F794" s="8">
        <f>IF($D794="CR01",$C794,0)</f>
        <v>-120</v>
      </c>
      <c r="G794" s="8">
        <f>G793+H794</f>
        <v>0</v>
      </c>
      <c r="H794" s="8">
        <f>IF($D794="VISA",$C794,0)</f>
        <v>0</v>
      </c>
      <c r="I794" s="8">
        <f>I793+J794</f>
        <v>0</v>
      </c>
      <c r="J794" s="8">
        <f>IF($D794="ACC",$C794,0)</f>
        <v>0</v>
      </c>
      <c r="K794" s="8">
        <f>K793+L794</f>
        <v>0</v>
      </c>
      <c r="L794" s="8">
        <f>IF($D794="CBB",$C794,0)</f>
        <v>0</v>
      </c>
    </row>
    <row r="795" spans="1:12" x14ac:dyDescent="0.25">
      <c r="A795" s="6">
        <v>41949</v>
      </c>
      <c r="B795" t="s">
        <v>44</v>
      </c>
      <c r="C795" s="7">
        <v>-400</v>
      </c>
      <c r="D795" t="s">
        <v>6</v>
      </c>
      <c r="E795" s="8">
        <f>E794+F795</f>
        <v>193756</v>
      </c>
      <c r="F795" s="8">
        <f>IF($D795="CR01",$C795,0)</f>
        <v>-400</v>
      </c>
      <c r="G795" s="8">
        <f>G794+H795</f>
        <v>0</v>
      </c>
      <c r="H795" s="8">
        <f>IF($D795="VISA",$C795,0)</f>
        <v>0</v>
      </c>
      <c r="I795" s="8">
        <f>I794+J795</f>
        <v>0</v>
      </c>
      <c r="J795" s="8">
        <f>IF($D795="ACC",$C795,0)</f>
        <v>0</v>
      </c>
      <c r="K795" s="8">
        <f>K794+L795</f>
        <v>0</v>
      </c>
      <c r="L795" s="8">
        <f>IF($D795="CBB",$C795,0)</f>
        <v>0</v>
      </c>
    </row>
    <row r="796" spans="1:12" x14ac:dyDescent="0.25">
      <c r="A796" s="6">
        <v>41949</v>
      </c>
      <c r="B796" t="s">
        <v>45</v>
      </c>
      <c r="C796" s="7">
        <v>-180</v>
      </c>
      <c r="D796" t="s">
        <v>6</v>
      </c>
      <c r="E796" s="8">
        <f>E795+F796</f>
        <v>193576</v>
      </c>
      <c r="F796" s="8">
        <f>IF($D796="CR01",$C796,0)</f>
        <v>-180</v>
      </c>
      <c r="G796" s="8">
        <f>G795+H796</f>
        <v>0</v>
      </c>
      <c r="H796" s="8">
        <f>IF($D796="VISA",$C796,0)</f>
        <v>0</v>
      </c>
      <c r="I796" s="8">
        <f>I795+J796</f>
        <v>0</v>
      </c>
      <c r="J796" s="8">
        <f>IF($D796="ACC",$C796,0)</f>
        <v>0</v>
      </c>
      <c r="K796" s="8">
        <f>K795+L796</f>
        <v>0</v>
      </c>
      <c r="L796" s="8">
        <f>IF($D796="CBB",$C796,0)</f>
        <v>0</v>
      </c>
    </row>
    <row r="797" spans="1:12" x14ac:dyDescent="0.25">
      <c r="A797" s="6">
        <v>41949</v>
      </c>
      <c r="B797" t="s">
        <v>46</v>
      </c>
      <c r="C797" s="7">
        <v>-300</v>
      </c>
      <c r="D797" t="s">
        <v>6</v>
      </c>
      <c r="E797" s="8">
        <f>E796+F797</f>
        <v>193276</v>
      </c>
      <c r="F797" s="8">
        <f>IF($D797="CR01",$C797,0)</f>
        <v>-300</v>
      </c>
      <c r="G797" s="8">
        <f>G796+H797</f>
        <v>0</v>
      </c>
      <c r="H797" s="8">
        <f>IF($D797="VISA",$C797,0)</f>
        <v>0</v>
      </c>
      <c r="I797" s="8">
        <f>I796+J797</f>
        <v>0</v>
      </c>
      <c r="J797" s="8">
        <f>IF($D797="ACC",$C797,0)</f>
        <v>0</v>
      </c>
      <c r="K797" s="8">
        <f>K796+L797</f>
        <v>0</v>
      </c>
      <c r="L797" s="8">
        <f>IF($D797="CBB",$C797,0)</f>
        <v>0</v>
      </c>
    </row>
    <row r="798" spans="1:12" x14ac:dyDescent="0.25">
      <c r="A798" s="6">
        <v>41950</v>
      </c>
      <c r="B798" t="s">
        <v>43</v>
      </c>
      <c r="C798" s="7">
        <v>3226</v>
      </c>
      <c r="D798" t="s">
        <v>6</v>
      </c>
      <c r="E798" s="8">
        <f>E797+F798</f>
        <v>196502</v>
      </c>
      <c r="F798" s="8">
        <f>IF($D798="CR01",$C798,0)</f>
        <v>3226</v>
      </c>
      <c r="G798" s="8">
        <f>G797+H798</f>
        <v>0</v>
      </c>
      <c r="H798" s="8">
        <f>IF($D798="VISA",$C798,0)</f>
        <v>0</v>
      </c>
      <c r="I798" s="8">
        <f>I797+J798</f>
        <v>0</v>
      </c>
      <c r="J798" s="8">
        <f>IF($D798="ACC",$C798,0)</f>
        <v>0</v>
      </c>
      <c r="K798" s="8">
        <f>K797+L798</f>
        <v>0</v>
      </c>
      <c r="L798" s="8">
        <f>IF($D798="CBB",$C798,0)</f>
        <v>0</v>
      </c>
    </row>
    <row r="799" spans="1:12" x14ac:dyDescent="0.25">
      <c r="A799" s="6">
        <v>41954</v>
      </c>
      <c r="B799" t="s">
        <v>48</v>
      </c>
      <c r="C799" s="7">
        <v>-100</v>
      </c>
      <c r="D799" t="s">
        <v>6</v>
      </c>
      <c r="E799" s="8">
        <f>E798+F799</f>
        <v>196402</v>
      </c>
      <c r="F799" s="8">
        <f>IF($D799="CR01",$C799,0)</f>
        <v>-100</v>
      </c>
      <c r="G799" s="8">
        <f>G798+H799</f>
        <v>0</v>
      </c>
      <c r="H799" s="8">
        <f>IF($D799="VISA",$C799,0)</f>
        <v>0</v>
      </c>
      <c r="I799" s="8">
        <f>I798+J799</f>
        <v>0</v>
      </c>
      <c r="J799" s="8">
        <f>IF($D799="ACC",$C799,0)</f>
        <v>0</v>
      </c>
      <c r="K799" s="8">
        <f>K798+L799</f>
        <v>0</v>
      </c>
      <c r="L799" s="8">
        <f>IF($D799="CBB",$C799,0)</f>
        <v>0</v>
      </c>
    </row>
    <row r="800" spans="1:12" x14ac:dyDescent="0.25">
      <c r="A800" s="6">
        <v>41955</v>
      </c>
      <c r="B800" t="s">
        <v>47</v>
      </c>
      <c r="C800" s="7">
        <v>-120</v>
      </c>
      <c r="D800" t="s">
        <v>6</v>
      </c>
      <c r="E800" s="8">
        <f>E799+F800</f>
        <v>196282</v>
      </c>
      <c r="F800" s="8">
        <f>IF($D800="CR01",$C800,0)</f>
        <v>-120</v>
      </c>
      <c r="G800" s="8">
        <f>G799+H800</f>
        <v>0</v>
      </c>
      <c r="H800" s="8">
        <f>IF($D800="VISA",$C800,0)</f>
        <v>0</v>
      </c>
      <c r="I800" s="8">
        <f>I799+J800</f>
        <v>0</v>
      </c>
      <c r="J800" s="8">
        <f>IF($D800="ACC",$C800,0)</f>
        <v>0</v>
      </c>
      <c r="K800" s="8">
        <f>K799+L800</f>
        <v>0</v>
      </c>
      <c r="L800" s="8">
        <f>IF($D800="CBB",$C800,0)</f>
        <v>0</v>
      </c>
    </row>
    <row r="801" spans="1:12" x14ac:dyDescent="0.25">
      <c r="A801" s="6">
        <v>41956</v>
      </c>
      <c r="B801" t="s">
        <v>44</v>
      </c>
      <c r="C801" s="7">
        <v>-400</v>
      </c>
      <c r="D801" t="s">
        <v>6</v>
      </c>
      <c r="E801" s="8">
        <f>E800+F801</f>
        <v>195882</v>
      </c>
      <c r="F801" s="8">
        <f>IF($D801="CR01",$C801,0)</f>
        <v>-400</v>
      </c>
      <c r="G801" s="8">
        <f>G800+H801</f>
        <v>0</v>
      </c>
      <c r="H801" s="8">
        <f>IF($D801="VISA",$C801,0)</f>
        <v>0</v>
      </c>
      <c r="I801" s="8">
        <f>I800+J801</f>
        <v>0</v>
      </c>
      <c r="J801" s="8">
        <f>IF($D801="ACC",$C801,0)</f>
        <v>0</v>
      </c>
      <c r="K801" s="8">
        <f>K800+L801</f>
        <v>0</v>
      </c>
      <c r="L801" s="8">
        <f>IF($D801="CBB",$C801,0)</f>
        <v>0</v>
      </c>
    </row>
    <row r="802" spans="1:12" x14ac:dyDescent="0.25">
      <c r="A802" s="6">
        <v>41956</v>
      </c>
      <c r="B802" t="s">
        <v>45</v>
      </c>
      <c r="C802" s="7">
        <v>-180</v>
      </c>
      <c r="D802" t="s">
        <v>6</v>
      </c>
      <c r="E802" s="8">
        <f>E801+F802</f>
        <v>195702</v>
      </c>
      <c r="F802" s="8">
        <f>IF($D802="CR01",$C802,0)</f>
        <v>-180</v>
      </c>
      <c r="G802" s="8">
        <f>G801+H802</f>
        <v>0</v>
      </c>
      <c r="H802" s="8">
        <f>IF($D802="VISA",$C802,0)</f>
        <v>0</v>
      </c>
      <c r="I802" s="8">
        <f>I801+J802</f>
        <v>0</v>
      </c>
      <c r="J802" s="8">
        <f>IF($D802="ACC",$C802,0)</f>
        <v>0</v>
      </c>
      <c r="K802" s="8">
        <f>K801+L802</f>
        <v>0</v>
      </c>
      <c r="L802" s="8">
        <f>IF($D802="CBB",$C802,0)</f>
        <v>0</v>
      </c>
    </row>
    <row r="803" spans="1:12" x14ac:dyDescent="0.25">
      <c r="A803" s="6">
        <v>41956</v>
      </c>
      <c r="B803" t="s">
        <v>46</v>
      </c>
      <c r="C803" s="7">
        <v>-300</v>
      </c>
      <c r="D803" t="s">
        <v>6</v>
      </c>
      <c r="E803" s="8">
        <f>E802+F803</f>
        <v>195402</v>
      </c>
      <c r="F803" s="8">
        <f>IF($D803="CR01",$C803,0)</f>
        <v>-300</v>
      </c>
      <c r="G803" s="8">
        <f>G802+H803</f>
        <v>0</v>
      </c>
      <c r="H803" s="8">
        <f>IF($D803="VISA",$C803,0)</f>
        <v>0</v>
      </c>
      <c r="I803" s="8">
        <f>I802+J803</f>
        <v>0</v>
      </c>
      <c r="J803" s="8">
        <f>IF($D803="ACC",$C803,0)</f>
        <v>0</v>
      </c>
      <c r="K803" s="8">
        <f>K802+L803</f>
        <v>0</v>
      </c>
      <c r="L803" s="8">
        <f>IF($D803="CBB",$C803,0)</f>
        <v>0</v>
      </c>
    </row>
    <row r="804" spans="1:12" x14ac:dyDescent="0.25">
      <c r="A804" s="6">
        <v>41958</v>
      </c>
      <c r="B804" t="s">
        <v>67</v>
      </c>
      <c r="C804" s="7">
        <v>6800</v>
      </c>
      <c r="D804" t="s">
        <v>6</v>
      </c>
      <c r="E804" s="8">
        <f>E803+F804</f>
        <v>202202</v>
      </c>
      <c r="F804" s="8">
        <f>IF($D804="CR01",$C804,0)</f>
        <v>6800</v>
      </c>
      <c r="G804" s="8">
        <f>G803+H804</f>
        <v>0</v>
      </c>
      <c r="H804" s="8">
        <f>IF($D804="VISA",$C804,0)</f>
        <v>0</v>
      </c>
      <c r="I804" s="8">
        <f>I803+J804</f>
        <v>0</v>
      </c>
      <c r="J804" s="8">
        <f>IF($D804="ACC",$C804,0)</f>
        <v>0</v>
      </c>
      <c r="K804" s="8">
        <f>K803+L804</f>
        <v>0</v>
      </c>
      <c r="L804" s="8">
        <f>IF($D804="CBB",$C804,0)</f>
        <v>0</v>
      </c>
    </row>
    <row r="805" spans="1:12" x14ac:dyDescent="0.25">
      <c r="A805" s="6">
        <v>41961</v>
      </c>
      <c r="B805" t="s">
        <v>42</v>
      </c>
      <c r="C805" s="7">
        <v>-2806</v>
      </c>
      <c r="D805" t="s">
        <v>6</v>
      </c>
      <c r="E805" s="8">
        <f>E804+F805</f>
        <v>199396</v>
      </c>
      <c r="F805" s="8">
        <f>IF($D805="CR01",$C805,0)</f>
        <v>-2806</v>
      </c>
      <c r="G805" s="8">
        <f>G804+H805</f>
        <v>0</v>
      </c>
      <c r="H805" s="8">
        <f>IF($D805="VISA",$C805,0)</f>
        <v>0</v>
      </c>
      <c r="I805" s="8">
        <f>I804+J805</f>
        <v>0</v>
      </c>
      <c r="J805" s="8">
        <f>IF($D805="ACC",$C805,0)</f>
        <v>0</v>
      </c>
      <c r="K805" s="8">
        <f>K804+L805</f>
        <v>0</v>
      </c>
      <c r="L805" s="8">
        <f>IF($D805="CBB",$C805,0)</f>
        <v>0</v>
      </c>
    </row>
    <row r="806" spans="1:12" x14ac:dyDescent="0.25">
      <c r="A806" s="6">
        <v>41961</v>
      </c>
      <c r="B806" t="s">
        <v>48</v>
      </c>
      <c r="C806" s="7">
        <v>-100</v>
      </c>
      <c r="D806" t="s">
        <v>6</v>
      </c>
      <c r="E806" s="8">
        <f>E805+F806</f>
        <v>199296</v>
      </c>
      <c r="F806" s="8">
        <f>IF($D806="CR01",$C806,0)</f>
        <v>-100</v>
      </c>
      <c r="G806" s="8">
        <f>G805+H806</f>
        <v>0</v>
      </c>
      <c r="H806" s="8">
        <f>IF($D806="VISA",$C806,0)</f>
        <v>0</v>
      </c>
      <c r="I806" s="8">
        <f>I805+J806</f>
        <v>0</v>
      </c>
      <c r="J806" s="8">
        <f>IF($D806="ACC",$C806,0)</f>
        <v>0</v>
      </c>
      <c r="K806" s="8">
        <f>K805+L806</f>
        <v>0</v>
      </c>
      <c r="L806" s="8">
        <f>IF($D806="CBB",$C806,0)</f>
        <v>0</v>
      </c>
    </row>
    <row r="807" spans="1:12" x14ac:dyDescent="0.25">
      <c r="A807" s="6">
        <v>41962</v>
      </c>
      <c r="B807" t="s">
        <v>47</v>
      </c>
      <c r="C807" s="7">
        <v>-120</v>
      </c>
      <c r="D807" t="s">
        <v>6</v>
      </c>
      <c r="E807" s="8">
        <f>E806+F807</f>
        <v>199176</v>
      </c>
      <c r="F807" s="8">
        <f>IF($D807="CR01",$C807,0)</f>
        <v>-120</v>
      </c>
      <c r="G807" s="8">
        <f>G806+H807</f>
        <v>0</v>
      </c>
      <c r="H807" s="8">
        <f>IF($D807="VISA",$C807,0)</f>
        <v>0</v>
      </c>
      <c r="I807" s="8">
        <f>I806+J807</f>
        <v>0</v>
      </c>
      <c r="J807" s="8">
        <f>IF($D807="ACC",$C807,0)</f>
        <v>0</v>
      </c>
      <c r="K807" s="8">
        <f>K806+L807</f>
        <v>0</v>
      </c>
      <c r="L807" s="8">
        <f>IF($D807="CBB",$C807,0)</f>
        <v>0</v>
      </c>
    </row>
    <row r="808" spans="1:12" x14ac:dyDescent="0.25">
      <c r="A808" s="6">
        <v>41963</v>
      </c>
      <c r="B808" t="s">
        <v>44</v>
      </c>
      <c r="C808" s="7">
        <v>-400</v>
      </c>
      <c r="D808" t="s">
        <v>6</v>
      </c>
      <c r="E808" s="8">
        <f>E807+F808</f>
        <v>198776</v>
      </c>
      <c r="F808" s="8">
        <f>IF($D808="CR01",$C808,0)</f>
        <v>-400</v>
      </c>
      <c r="G808" s="8">
        <f>G807+H808</f>
        <v>0</v>
      </c>
      <c r="H808" s="8">
        <f>IF($D808="VISA",$C808,0)</f>
        <v>0</v>
      </c>
      <c r="I808" s="8">
        <f>I807+J808</f>
        <v>0</v>
      </c>
      <c r="J808" s="8">
        <f>IF($D808="ACC",$C808,0)</f>
        <v>0</v>
      </c>
      <c r="K808" s="8">
        <f>K807+L808</f>
        <v>0</v>
      </c>
      <c r="L808" s="8">
        <f>IF($D808="CBB",$C808,0)</f>
        <v>0</v>
      </c>
    </row>
    <row r="809" spans="1:12" x14ac:dyDescent="0.25">
      <c r="A809" s="6">
        <v>41963</v>
      </c>
      <c r="B809" t="s">
        <v>45</v>
      </c>
      <c r="C809" s="7">
        <v>-180</v>
      </c>
      <c r="D809" t="s">
        <v>6</v>
      </c>
      <c r="E809" s="8">
        <f>E808+F809</f>
        <v>198596</v>
      </c>
      <c r="F809" s="8">
        <f>IF($D809="CR01",$C809,0)</f>
        <v>-180</v>
      </c>
      <c r="G809" s="8">
        <f>G808+H809</f>
        <v>0</v>
      </c>
      <c r="H809" s="8">
        <f>IF($D809="VISA",$C809,0)</f>
        <v>0</v>
      </c>
      <c r="I809" s="8">
        <f>I808+J809</f>
        <v>0</v>
      </c>
      <c r="J809" s="8">
        <f>IF($D809="ACC",$C809,0)</f>
        <v>0</v>
      </c>
      <c r="K809" s="8">
        <f>K808+L809</f>
        <v>0</v>
      </c>
      <c r="L809" s="8">
        <f>IF($D809="CBB",$C809,0)</f>
        <v>0</v>
      </c>
    </row>
    <row r="810" spans="1:12" x14ac:dyDescent="0.25">
      <c r="A810" s="6">
        <v>41963</v>
      </c>
      <c r="B810" t="s">
        <v>46</v>
      </c>
      <c r="C810" s="7">
        <v>-300</v>
      </c>
      <c r="D810" t="s">
        <v>6</v>
      </c>
      <c r="E810" s="8">
        <f>E809+F810</f>
        <v>198296</v>
      </c>
      <c r="F810" s="8">
        <f>IF($D810="CR01",$C810,0)</f>
        <v>-300</v>
      </c>
      <c r="G810" s="8">
        <f>G809+H810</f>
        <v>0</v>
      </c>
      <c r="H810" s="8">
        <f>IF($D810="VISA",$C810,0)</f>
        <v>0</v>
      </c>
      <c r="I810" s="8">
        <f>I809+J810</f>
        <v>0</v>
      </c>
      <c r="J810" s="8">
        <f>IF($D810="ACC",$C810,0)</f>
        <v>0</v>
      </c>
      <c r="K810" s="8">
        <f>K809+L810</f>
        <v>0</v>
      </c>
      <c r="L810" s="8">
        <f>IF($D810="CBB",$C810,0)</f>
        <v>0</v>
      </c>
    </row>
    <row r="811" spans="1:12" x14ac:dyDescent="0.25">
      <c r="A811" s="6">
        <v>41964</v>
      </c>
      <c r="B811" t="s">
        <v>43</v>
      </c>
      <c r="C811" s="7">
        <v>3226</v>
      </c>
      <c r="D811" t="s">
        <v>6</v>
      </c>
      <c r="E811" s="8">
        <f>E810+F811</f>
        <v>201522</v>
      </c>
      <c r="F811" s="8">
        <f>IF($D811="CR01",$C811,0)</f>
        <v>3226</v>
      </c>
      <c r="G811" s="8">
        <f>G810+H811</f>
        <v>0</v>
      </c>
      <c r="H811" s="8">
        <f>IF($D811="VISA",$C811,0)</f>
        <v>0</v>
      </c>
      <c r="I811" s="8">
        <f>I810+J811</f>
        <v>0</v>
      </c>
      <c r="J811" s="8">
        <f>IF($D811="ACC",$C811,0)</f>
        <v>0</v>
      </c>
      <c r="K811" s="8">
        <f>K810+L811</f>
        <v>0</v>
      </c>
      <c r="L811" s="8">
        <f>IF($D811="CBB",$C811,0)</f>
        <v>0</v>
      </c>
    </row>
    <row r="812" spans="1:12" x14ac:dyDescent="0.25">
      <c r="A812" s="6">
        <v>41968</v>
      </c>
      <c r="B812" t="s">
        <v>48</v>
      </c>
      <c r="C812" s="7">
        <v>-100</v>
      </c>
      <c r="D812" t="s">
        <v>6</v>
      </c>
      <c r="E812" s="8">
        <f>E811+F812</f>
        <v>201422</v>
      </c>
      <c r="F812" s="8">
        <f>IF($D812="CR01",$C812,0)</f>
        <v>-100</v>
      </c>
      <c r="G812" s="8">
        <f>G811+H812</f>
        <v>0</v>
      </c>
      <c r="H812" s="8">
        <f>IF($D812="VISA",$C812,0)</f>
        <v>0</v>
      </c>
      <c r="I812" s="8">
        <f>I811+J812</f>
        <v>0</v>
      </c>
      <c r="J812" s="8">
        <f>IF($D812="ACC",$C812,0)</f>
        <v>0</v>
      </c>
      <c r="K812" s="8">
        <f>K811+L812</f>
        <v>0</v>
      </c>
      <c r="L812" s="8">
        <f>IF($D812="CBB",$C812,0)</f>
        <v>0</v>
      </c>
    </row>
    <row r="813" spans="1:12" x14ac:dyDescent="0.25">
      <c r="A813" s="6">
        <v>41969</v>
      </c>
      <c r="B813" t="s">
        <v>47</v>
      </c>
      <c r="C813" s="7">
        <v>-120</v>
      </c>
      <c r="D813" t="s">
        <v>6</v>
      </c>
      <c r="E813" s="8">
        <f>E812+F813</f>
        <v>201302</v>
      </c>
      <c r="F813" s="8">
        <f>IF($D813="CR01",$C813,0)</f>
        <v>-120</v>
      </c>
      <c r="G813" s="8">
        <f>G812+H813</f>
        <v>0</v>
      </c>
      <c r="H813" s="8">
        <f>IF($D813="VISA",$C813,0)</f>
        <v>0</v>
      </c>
      <c r="I813" s="8">
        <f>I812+J813</f>
        <v>0</v>
      </c>
      <c r="J813" s="8">
        <f>IF($D813="ACC",$C813,0)</f>
        <v>0</v>
      </c>
      <c r="K813" s="8">
        <f>K812+L813</f>
        <v>0</v>
      </c>
      <c r="L813" s="8">
        <f>IF($D813="CBB",$C813,0)</f>
        <v>0</v>
      </c>
    </row>
    <row r="814" spans="1:12" x14ac:dyDescent="0.25">
      <c r="A814" s="6">
        <v>41970</v>
      </c>
      <c r="B814" t="s">
        <v>44</v>
      </c>
      <c r="C814" s="7">
        <v>-400</v>
      </c>
      <c r="D814" t="s">
        <v>6</v>
      </c>
      <c r="E814" s="8">
        <f>E813+F814</f>
        <v>200902</v>
      </c>
      <c r="F814" s="8">
        <f>IF($D814="CR01",$C814,0)</f>
        <v>-400</v>
      </c>
      <c r="G814" s="8">
        <f>G813+H814</f>
        <v>0</v>
      </c>
      <c r="H814" s="8">
        <f>IF($D814="VISA",$C814,0)</f>
        <v>0</v>
      </c>
      <c r="I814" s="8">
        <f>I813+J814</f>
        <v>0</v>
      </c>
      <c r="J814" s="8">
        <f>IF($D814="ACC",$C814,0)</f>
        <v>0</v>
      </c>
      <c r="K814" s="8">
        <f>K813+L814</f>
        <v>0</v>
      </c>
      <c r="L814" s="8">
        <f>IF($D814="CBB",$C814,0)</f>
        <v>0</v>
      </c>
    </row>
    <row r="815" spans="1:12" x14ac:dyDescent="0.25">
      <c r="A815" s="6">
        <v>41970</v>
      </c>
      <c r="B815" t="s">
        <v>45</v>
      </c>
      <c r="C815" s="7">
        <v>-180</v>
      </c>
      <c r="D815" t="s">
        <v>6</v>
      </c>
      <c r="E815" s="8">
        <f>E814+F815</f>
        <v>200722</v>
      </c>
      <c r="F815" s="8">
        <f>IF($D815="CR01",$C815,0)</f>
        <v>-180</v>
      </c>
      <c r="G815" s="8">
        <f>G814+H815</f>
        <v>0</v>
      </c>
      <c r="H815" s="8">
        <f>IF($D815="VISA",$C815,0)</f>
        <v>0</v>
      </c>
      <c r="I815" s="8">
        <f>I814+J815</f>
        <v>0</v>
      </c>
      <c r="J815" s="8">
        <f>IF($D815="ACC",$C815,0)</f>
        <v>0</v>
      </c>
      <c r="K815" s="8">
        <f>K814+L815</f>
        <v>0</v>
      </c>
      <c r="L815" s="8">
        <f>IF($D815="CBB",$C815,0)</f>
        <v>0</v>
      </c>
    </row>
    <row r="816" spans="1:12" x14ac:dyDescent="0.25">
      <c r="A816" s="6">
        <v>41970</v>
      </c>
      <c r="B816" t="s">
        <v>46</v>
      </c>
      <c r="C816" s="7">
        <v>-300</v>
      </c>
      <c r="D816" t="s">
        <v>6</v>
      </c>
      <c r="E816" s="8">
        <f>E815+F816</f>
        <v>200422</v>
      </c>
      <c r="F816" s="8">
        <f>IF($D816="CR01",$C816,0)</f>
        <v>-300</v>
      </c>
      <c r="G816" s="8">
        <f>G815+H816</f>
        <v>0</v>
      </c>
      <c r="H816" s="8">
        <f>IF($D816="VISA",$C816,0)</f>
        <v>0</v>
      </c>
      <c r="I816" s="8">
        <f>I815+J816</f>
        <v>0</v>
      </c>
      <c r="J816" s="8">
        <f>IF($D816="ACC",$C816,0)</f>
        <v>0</v>
      </c>
      <c r="K816" s="8">
        <f>K815+L816</f>
        <v>0</v>
      </c>
      <c r="L816" s="8">
        <f>IF($D816="CBB",$C816,0)</f>
        <v>0</v>
      </c>
    </row>
    <row r="817" spans="1:12" x14ac:dyDescent="0.25">
      <c r="A817" s="6">
        <v>41972</v>
      </c>
      <c r="B817" t="s">
        <v>67</v>
      </c>
      <c r="C817" s="7">
        <v>6800</v>
      </c>
      <c r="D817" t="s">
        <v>6</v>
      </c>
      <c r="E817" s="8">
        <f>E816+F817</f>
        <v>207222</v>
      </c>
      <c r="F817" s="8">
        <f>IF($D817="CR01",$C817,0)</f>
        <v>6800</v>
      </c>
      <c r="G817" s="8">
        <f>G816+H817</f>
        <v>0</v>
      </c>
      <c r="H817" s="8">
        <f>IF($D817="VISA",$C817,0)</f>
        <v>0</v>
      </c>
      <c r="I817" s="8">
        <f>I816+J817</f>
        <v>0</v>
      </c>
      <c r="J817" s="8">
        <f>IF($D817="ACC",$C817,0)</f>
        <v>0</v>
      </c>
      <c r="K817" s="8">
        <f>K816+L817</f>
        <v>0</v>
      </c>
      <c r="L817" s="8">
        <f>IF($D817="CBB",$C817,0)</f>
        <v>0</v>
      </c>
    </row>
    <row r="818" spans="1:12" x14ac:dyDescent="0.25">
      <c r="A818" s="6">
        <v>41974</v>
      </c>
      <c r="B818" t="s">
        <v>58</v>
      </c>
      <c r="C818" s="7">
        <v>-200</v>
      </c>
      <c r="D818" t="s">
        <v>6</v>
      </c>
      <c r="E818" s="8">
        <f>E817+F818</f>
        <v>207022</v>
      </c>
      <c r="F818" s="8">
        <f>IF($D818="CR01",$C818,0)</f>
        <v>-200</v>
      </c>
      <c r="G818" s="8">
        <f>G817+H818</f>
        <v>0</v>
      </c>
      <c r="H818" s="8">
        <f>IF($D818="VISA",$C818,0)</f>
        <v>0</v>
      </c>
      <c r="I818" s="8">
        <f>I817+J818</f>
        <v>0</v>
      </c>
      <c r="J818" s="8">
        <f>IF($D818="ACC",$C818,0)</f>
        <v>0</v>
      </c>
      <c r="K818" s="8">
        <f>K817+L818</f>
        <v>0</v>
      </c>
      <c r="L818" s="8">
        <f>IF($D818="CBB",$C818,0)</f>
        <v>0</v>
      </c>
    </row>
    <row r="819" spans="1:12" x14ac:dyDescent="0.25">
      <c r="A819" s="6">
        <v>41974</v>
      </c>
      <c r="B819" t="s">
        <v>60</v>
      </c>
      <c r="C819" s="7">
        <v>-400</v>
      </c>
      <c r="D819" t="s">
        <v>6</v>
      </c>
      <c r="E819" s="8">
        <f>E818+F819</f>
        <v>206622</v>
      </c>
      <c r="F819" s="8">
        <f>IF($D819="CR01",$C819,0)</f>
        <v>-400</v>
      </c>
      <c r="G819" s="8">
        <f>G818+H819</f>
        <v>0</v>
      </c>
      <c r="H819" s="8">
        <f>IF($D819="VISA",$C819,0)</f>
        <v>0</v>
      </c>
      <c r="I819" s="8">
        <f>I818+J819</f>
        <v>0</v>
      </c>
      <c r="J819" s="8">
        <f>IF($D819="ACC",$C819,0)</f>
        <v>0</v>
      </c>
      <c r="K819" s="8">
        <f>K818+L819</f>
        <v>0</v>
      </c>
      <c r="L819" s="8">
        <f>IF($D819="CBB",$C819,0)</f>
        <v>0</v>
      </c>
    </row>
    <row r="820" spans="1:12" x14ac:dyDescent="0.25">
      <c r="A820" s="6">
        <v>41974</v>
      </c>
      <c r="B820" t="s">
        <v>64</v>
      </c>
      <c r="C820" s="7">
        <v>-26</v>
      </c>
      <c r="D820" t="s">
        <v>6</v>
      </c>
      <c r="E820" s="8">
        <f>E819+F820</f>
        <v>206596</v>
      </c>
      <c r="F820" s="8">
        <f>IF($D820="CR01",$C820,0)</f>
        <v>-26</v>
      </c>
      <c r="G820" s="8">
        <f>G819+H820</f>
        <v>0</v>
      </c>
      <c r="H820" s="8">
        <f>IF($D820="VISA",$C820,0)</f>
        <v>0</v>
      </c>
      <c r="I820" s="8">
        <f>I819+J820</f>
        <v>0</v>
      </c>
      <c r="J820" s="8">
        <f>IF($D820="ACC",$C820,0)</f>
        <v>0</v>
      </c>
      <c r="K820" s="8">
        <f>K819+L820</f>
        <v>0</v>
      </c>
      <c r="L820" s="8">
        <f>IF($D820="CBB",$C820,0)</f>
        <v>0</v>
      </c>
    </row>
    <row r="821" spans="1:12" x14ac:dyDescent="0.25">
      <c r="A821" s="6">
        <v>41974</v>
      </c>
      <c r="B821" t="s">
        <v>65</v>
      </c>
      <c r="C821" s="7">
        <v>-240</v>
      </c>
      <c r="D821" t="s">
        <v>6</v>
      </c>
      <c r="E821" s="8">
        <f>E820+F821</f>
        <v>206356</v>
      </c>
      <c r="F821" s="8">
        <f>IF($D821="CR01",$C821,0)</f>
        <v>-240</v>
      </c>
      <c r="G821" s="8">
        <f>G820+H821</f>
        <v>0</v>
      </c>
      <c r="H821" s="8">
        <f>IF($D821="VISA",$C821,0)</f>
        <v>0</v>
      </c>
      <c r="I821" s="8">
        <f>I820+J821</f>
        <v>0</v>
      </c>
      <c r="J821" s="8">
        <f>IF($D821="ACC",$C821,0)</f>
        <v>0</v>
      </c>
      <c r="K821" s="8">
        <f>K820+L821</f>
        <v>0</v>
      </c>
      <c r="L821" s="8">
        <f>IF($D821="CBB",$C821,0)</f>
        <v>0</v>
      </c>
    </row>
    <row r="822" spans="1:12" x14ac:dyDescent="0.25">
      <c r="A822" s="6">
        <v>41974</v>
      </c>
      <c r="B822" t="s">
        <v>66</v>
      </c>
      <c r="C822" s="7">
        <v>-120</v>
      </c>
      <c r="D822" t="s">
        <v>6</v>
      </c>
      <c r="E822" s="8">
        <f>E821+F822</f>
        <v>206236</v>
      </c>
      <c r="F822" s="8">
        <f>IF($D822="CR01",$C822,0)</f>
        <v>-120</v>
      </c>
      <c r="G822" s="8">
        <f>G821+H822</f>
        <v>0</v>
      </c>
      <c r="H822" s="8">
        <f>IF($D822="VISA",$C822,0)</f>
        <v>0</v>
      </c>
      <c r="I822" s="8">
        <f>I821+J822</f>
        <v>0</v>
      </c>
      <c r="J822" s="8">
        <f>IF($D822="ACC",$C822,0)</f>
        <v>0</v>
      </c>
      <c r="K822" s="8">
        <f>K821+L822</f>
        <v>0</v>
      </c>
      <c r="L822" s="8">
        <f>IF($D822="CBB",$C822,0)</f>
        <v>0</v>
      </c>
    </row>
    <row r="823" spans="1:12" x14ac:dyDescent="0.25">
      <c r="A823" s="6">
        <v>41975</v>
      </c>
      <c r="B823" t="s">
        <v>42</v>
      </c>
      <c r="C823" s="7">
        <v>-2806</v>
      </c>
      <c r="D823" t="s">
        <v>6</v>
      </c>
      <c r="E823" s="8">
        <f>E822+F823</f>
        <v>203430</v>
      </c>
      <c r="F823" s="8">
        <f>IF($D823="CR01",$C823,0)</f>
        <v>-2806</v>
      </c>
      <c r="G823" s="8">
        <f>G822+H823</f>
        <v>0</v>
      </c>
      <c r="H823" s="8">
        <f>IF($D823="VISA",$C823,0)</f>
        <v>0</v>
      </c>
      <c r="I823" s="8">
        <f>I822+J823</f>
        <v>0</v>
      </c>
      <c r="J823" s="8">
        <f>IF($D823="ACC",$C823,0)</f>
        <v>0</v>
      </c>
      <c r="K823" s="8">
        <f>K822+L823</f>
        <v>0</v>
      </c>
      <c r="L823" s="8">
        <f>IF($D823="CBB",$C823,0)</f>
        <v>0</v>
      </c>
    </row>
    <row r="824" spans="1:12" x14ac:dyDescent="0.25">
      <c r="A824" s="6">
        <v>41975</v>
      </c>
      <c r="B824" t="s">
        <v>48</v>
      </c>
      <c r="C824" s="7">
        <v>-100</v>
      </c>
      <c r="D824" t="s">
        <v>6</v>
      </c>
      <c r="E824" s="8">
        <f>E823+F824</f>
        <v>203330</v>
      </c>
      <c r="F824" s="8">
        <f>IF($D824="CR01",$C824,0)</f>
        <v>-100</v>
      </c>
      <c r="G824" s="8">
        <f>G823+H824</f>
        <v>0</v>
      </c>
      <c r="H824" s="8">
        <f>IF($D824="VISA",$C824,0)</f>
        <v>0</v>
      </c>
      <c r="I824" s="8">
        <f>I823+J824</f>
        <v>0</v>
      </c>
      <c r="J824" s="8">
        <f>IF($D824="ACC",$C824,0)</f>
        <v>0</v>
      </c>
      <c r="K824" s="8">
        <f>K823+L824</f>
        <v>0</v>
      </c>
      <c r="L824" s="8">
        <f>IF($D824="CBB",$C824,0)</f>
        <v>0</v>
      </c>
    </row>
    <row r="825" spans="1:12" x14ac:dyDescent="0.25">
      <c r="A825" s="6">
        <v>41975</v>
      </c>
      <c r="B825" t="s">
        <v>59</v>
      </c>
      <c r="C825" s="7">
        <v>-900</v>
      </c>
      <c r="D825" t="s">
        <v>6</v>
      </c>
      <c r="E825" s="8">
        <f>E824+F825</f>
        <v>202430</v>
      </c>
      <c r="F825" s="8">
        <f>IF($D825="CR01",$C825,0)</f>
        <v>-900</v>
      </c>
      <c r="G825" s="8">
        <f>G824+H825</f>
        <v>0</v>
      </c>
      <c r="H825" s="8">
        <f>IF($D825="VISA",$C825,0)</f>
        <v>0</v>
      </c>
      <c r="I825" s="8">
        <f>I824+J825</f>
        <v>0</v>
      </c>
      <c r="J825" s="8">
        <f>IF($D825="ACC",$C825,0)</f>
        <v>0</v>
      </c>
      <c r="K825" s="8">
        <f>K824+L825</f>
        <v>0</v>
      </c>
      <c r="L825" s="8">
        <f>IF($D825="CBB",$C825,0)</f>
        <v>0</v>
      </c>
    </row>
    <row r="826" spans="1:12" x14ac:dyDescent="0.25">
      <c r="A826" s="6">
        <v>41976</v>
      </c>
      <c r="B826" t="s">
        <v>47</v>
      </c>
      <c r="C826" s="7">
        <v>-120</v>
      </c>
      <c r="D826" t="s">
        <v>6</v>
      </c>
      <c r="E826" s="8">
        <f>E825+F826</f>
        <v>202310</v>
      </c>
      <c r="F826" s="8">
        <f>IF($D826="CR01",$C826,0)</f>
        <v>-120</v>
      </c>
      <c r="G826" s="8">
        <f>G825+H826</f>
        <v>0</v>
      </c>
      <c r="H826" s="8">
        <f>IF($D826="VISA",$C826,0)</f>
        <v>0</v>
      </c>
      <c r="I826" s="8">
        <f>I825+J826</f>
        <v>0</v>
      </c>
      <c r="J826" s="8">
        <f>IF($D826="ACC",$C826,0)</f>
        <v>0</v>
      </c>
      <c r="K826" s="8">
        <f>K825+L826</f>
        <v>0</v>
      </c>
      <c r="L826" s="8">
        <f>IF($D826="CBB",$C826,0)</f>
        <v>0</v>
      </c>
    </row>
    <row r="827" spans="1:12" x14ac:dyDescent="0.25">
      <c r="A827" s="6">
        <v>41977</v>
      </c>
      <c r="B827" t="s">
        <v>44</v>
      </c>
      <c r="C827" s="7">
        <v>-400</v>
      </c>
      <c r="D827" t="s">
        <v>6</v>
      </c>
      <c r="E827" s="8">
        <f>E826+F827</f>
        <v>201910</v>
      </c>
      <c r="F827" s="8">
        <f>IF($D827="CR01",$C827,0)</f>
        <v>-400</v>
      </c>
      <c r="G827" s="8">
        <f>G826+H827</f>
        <v>0</v>
      </c>
      <c r="H827" s="8">
        <f>IF($D827="VISA",$C827,0)</f>
        <v>0</v>
      </c>
      <c r="I827" s="8">
        <f>I826+J827</f>
        <v>0</v>
      </c>
      <c r="J827" s="8">
        <f>IF($D827="ACC",$C827,0)</f>
        <v>0</v>
      </c>
      <c r="K827" s="8">
        <f>K826+L827</f>
        <v>0</v>
      </c>
      <c r="L827" s="8">
        <f>IF($D827="CBB",$C827,0)</f>
        <v>0</v>
      </c>
    </row>
    <row r="828" spans="1:12" x14ac:dyDescent="0.25">
      <c r="A828" s="6">
        <v>41977</v>
      </c>
      <c r="B828" t="s">
        <v>45</v>
      </c>
      <c r="C828" s="7">
        <v>-180</v>
      </c>
      <c r="D828" t="s">
        <v>6</v>
      </c>
      <c r="E828" s="8">
        <f>E827+F828</f>
        <v>201730</v>
      </c>
      <c r="F828" s="8">
        <f>IF($D828="CR01",$C828,0)</f>
        <v>-180</v>
      </c>
      <c r="G828" s="8">
        <f>G827+H828</f>
        <v>0</v>
      </c>
      <c r="H828" s="8">
        <f>IF($D828="VISA",$C828,0)</f>
        <v>0</v>
      </c>
      <c r="I828" s="8">
        <f>I827+J828</f>
        <v>0</v>
      </c>
      <c r="J828" s="8">
        <f>IF($D828="ACC",$C828,0)</f>
        <v>0</v>
      </c>
      <c r="K828" s="8">
        <f>K827+L828</f>
        <v>0</v>
      </c>
      <c r="L828" s="8">
        <f>IF($D828="CBB",$C828,0)</f>
        <v>0</v>
      </c>
    </row>
    <row r="829" spans="1:12" x14ac:dyDescent="0.25">
      <c r="A829" s="6">
        <v>41977</v>
      </c>
      <c r="B829" t="s">
        <v>46</v>
      </c>
      <c r="C829" s="7">
        <v>-300</v>
      </c>
      <c r="D829" t="s">
        <v>6</v>
      </c>
      <c r="E829" s="8">
        <f>E828+F829</f>
        <v>201430</v>
      </c>
      <c r="F829" s="8">
        <f>IF($D829="CR01",$C829,0)</f>
        <v>-300</v>
      </c>
      <c r="G829" s="8">
        <f>G828+H829</f>
        <v>0</v>
      </c>
      <c r="H829" s="8">
        <f>IF($D829="VISA",$C829,0)</f>
        <v>0</v>
      </c>
      <c r="I829" s="8">
        <f>I828+J829</f>
        <v>0</v>
      </c>
      <c r="J829" s="8">
        <f>IF($D829="ACC",$C829,0)</f>
        <v>0</v>
      </c>
      <c r="K829" s="8">
        <f>K828+L829</f>
        <v>0</v>
      </c>
      <c r="L829" s="8">
        <f>IF($D829="CBB",$C829,0)</f>
        <v>0</v>
      </c>
    </row>
    <row r="830" spans="1:12" x14ac:dyDescent="0.25">
      <c r="A830" s="6">
        <v>41978</v>
      </c>
      <c r="B830" t="s">
        <v>43</v>
      </c>
      <c r="C830" s="7">
        <v>3226</v>
      </c>
      <c r="D830" t="s">
        <v>6</v>
      </c>
      <c r="E830" s="8">
        <f>E829+F830</f>
        <v>204656</v>
      </c>
      <c r="F830" s="8">
        <f>IF($D830="CR01",$C830,0)</f>
        <v>3226</v>
      </c>
      <c r="G830" s="8">
        <f>G829+H830</f>
        <v>0</v>
      </c>
      <c r="H830" s="8">
        <f>IF($D830="VISA",$C830,0)</f>
        <v>0</v>
      </c>
      <c r="I830" s="8">
        <f>I829+J830</f>
        <v>0</v>
      </c>
      <c r="J830" s="8">
        <f>IF($D830="ACC",$C830,0)</f>
        <v>0</v>
      </c>
      <c r="K830" s="8">
        <f>K829+L830</f>
        <v>0</v>
      </c>
      <c r="L830" s="8">
        <f>IF($D830="CBB",$C830,0)</f>
        <v>0</v>
      </c>
    </row>
    <row r="831" spans="1:12" x14ac:dyDescent="0.25">
      <c r="A831" s="6">
        <v>41982</v>
      </c>
      <c r="B831" t="s">
        <v>48</v>
      </c>
      <c r="C831" s="7">
        <v>-100</v>
      </c>
      <c r="D831" t="s">
        <v>6</v>
      </c>
      <c r="E831" s="8">
        <f>E830+F831</f>
        <v>204556</v>
      </c>
      <c r="F831" s="8">
        <f>IF($D831="CR01",$C831,0)</f>
        <v>-100</v>
      </c>
      <c r="G831" s="8">
        <f>G830+H831</f>
        <v>0</v>
      </c>
      <c r="H831" s="8">
        <f>IF($D831="VISA",$C831,0)</f>
        <v>0</v>
      </c>
      <c r="I831" s="8">
        <f>I830+J831</f>
        <v>0</v>
      </c>
      <c r="J831" s="8">
        <f>IF($D831="ACC",$C831,0)</f>
        <v>0</v>
      </c>
      <c r="K831" s="8">
        <f>K830+L831</f>
        <v>0</v>
      </c>
      <c r="L831" s="8">
        <f>IF($D831="CBB",$C831,0)</f>
        <v>0</v>
      </c>
    </row>
    <row r="832" spans="1:12" x14ac:dyDescent="0.25">
      <c r="A832" s="6">
        <v>41983</v>
      </c>
      <c r="B832" t="s">
        <v>47</v>
      </c>
      <c r="C832" s="7">
        <v>-120</v>
      </c>
      <c r="D832" t="s">
        <v>6</v>
      </c>
      <c r="E832" s="8">
        <f>E831+F832</f>
        <v>204436</v>
      </c>
      <c r="F832" s="8">
        <f>IF($D832="CR01",$C832,0)</f>
        <v>-120</v>
      </c>
      <c r="G832" s="8">
        <f>G831+H832</f>
        <v>0</v>
      </c>
      <c r="H832" s="8">
        <f>IF($D832="VISA",$C832,0)</f>
        <v>0</v>
      </c>
      <c r="I832" s="8">
        <f>I831+J832</f>
        <v>0</v>
      </c>
      <c r="J832" s="8">
        <f>IF($D832="ACC",$C832,0)</f>
        <v>0</v>
      </c>
      <c r="K832" s="8">
        <f>K831+L832</f>
        <v>0</v>
      </c>
      <c r="L832" s="8">
        <f>IF($D832="CBB",$C832,0)</f>
        <v>0</v>
      </c>
    </row>
    <row r="833" spans="1:12" x14ac:dyDescent="0.25">
      <c r="A833" s="6">
        <v>41984</v>
      </c>
      <c r="B833" t="s">
        <v>44</v>
      </c>
      <c r="C833" s="7">
        <v>-400</v>
      </c>
      <c r="D833" t="s">
        <v>6</v>
      </c>
      <c r="E833" s="8">
        <f>E832+F833</f>
        <v>204036</v>
      </c>
      <c r="F833" s="8">
        <f>IF($D833="CR01",$C833,0)</f>
        <v>-400</v>
      </c>
      <c r="G833" s="8">
        <f>G832+H833</f>
        <v>0</v>
      </c>
      <c r="H833" s="8">
        <f>IF($D833="VISA",$C833,0)</f>
        <v>0</v>
      </c>
      <c r="I833" s="8">
        <f>I832+J833</f>
        <v>0</v>
      </c>
      <c r="J833" s="8">
        <f>IF($D833="ACC",$C833,0)</f>
        <v>0</v>
      </c>
      <c r="K833" s="8">
        <f>K832+L833</f>
        <v>0</v>
      </c>
      <c r="L833" s="8">
        <f>IF($D833="CBB",$C833,0)</f>
        <v>0</v>
      </c>
    </row>
    <row r="834" spans="1:12" x14ac:dyDescent="0.25">
      <c r="A834" s="6">
        <v>41984</v>
      </c>
      <c r="B834" t="s">
        <v>45</v>
      </c>
      <c r="C834" s="7">
        <v>-180</v>
      </c>
      <c r="D834" t="s">
        <v>6</v>
      </c>
      <c r="E834" s="8">
        <f>E833+F834</f>
        <v>203856</v>
      </c>
      <c r="F834" s="8">
        <f>IF($D834="CR01",$C834,0)</f>
        <v>-180</v>
      </c>
      <c r="G834" s="8">
        <f>G833+H834</f>
        <v>0</v>
      </c>
      <c r="H834" s="8">
        <f>IF($D834="VISA",$C834,0)</f>
        <v>0</v>
      </c>
      <c r="I834" s="8">
        <f>I833+J834</f>
        <v>0</v>
      </c>
      <c r="J834" s="8">
        <f>IF($D834="ACC",$C834,0)</f>
        <v>0</v>
      </c>
      <c r="K834" s="8">
        <f>K833+L834</f>
        <v>0</v>
      </c>
      <c r="L834" s="8">
        <f>IF($D834="CBB",$C834,0)</f>
        <v>0</v>
      </c>
    </row>
    <row r="835" spans="1:12" x14ac:dyDescent="0.25">
      <c r="A835" s="6">
        <v>41984</v>
      </c>
      <c r="B835" t="s">
        <v>46</v>
      </c>
      <c r="C835" s="7">
        <v>-300</v>
      </c>
      <c r="D835" t="s">
        <v>6</v>
      </c>
      <c r="E835" s="8">
        <f>E834+F835</f>
        <v>203556</v>
      </c>
      <c r="F835" s="8">
        <f>IF($D835="CR01",$C835,0)</f>
        <v>-300</v>
      </c>
      <c r="G835" s="8">
        <f>G834+H835</f>
        <v>0</v>
      </c>
      <c r="H835" s="8">
        <f>IF($D835="VISA",$C835,0)</f>
        <v>0</v>
      </c>
      <c r="I835" s="8">
        <f>I834+J835</f>
        <v>0</v>
      </c>
      <c r="J835" s="8">
        <f>IF($D835="ACC",$C835,0)</f>
        <v>0</v>
      </c>
      <c r="K835" s="8">
        <f>K834+L835</f>
        <v>0</v>
      </c>
      <c r="L835" s="8">
        <f>IF($D835="CBB",$C835,0)</f>
        <v>0</v>
      </c>
    </row>
    <row r="836" spans="1:12" x14ac:dyDescent="0.25">
      <c r="A836" s="6">
        <v>41986</v>
      </c>
      <c r="B836" t="s">
        <v>67</v>
      </c>
      <c r="C836" s="7">
        <v>6800</v>
      </c>
      <c r="D836" t="s">
        <v>6</v>
      </c>
      <c r="E836" s="8">
        <f>E835+F836</f>
        <v>210356</v>
      </c>
      <c r="F836" s="8">
        <f>IF($D836="CR01",$C836,0)</f>
        <v>6800</v>
      </c>
      <c r="G836" s="8">
        <f>G835+H836</f>
        <v>0</v>
      </c>
      <c r="H836" s="8">
        <f>IF($D836="VISA",$C836,0)</f>
        <v>0</v>
      </c>
      <c r="I836" s="8">
        <f>I835+J836</f>
        <v>0</v>
      </c>
      <c r="J836" s="8">
        <f>IF($D836="ACC",$C836,0)</f>
        <v>0</v>
      </c>
      <c r="K836" s="8">
        <f>K835+L836</f>
        <v>0</v>
      </c>
      <c r="L836" s="8">
        <f>IF($D836="CBB",$C836,0)</f>
        <v>0</v>
      </c>
    </row>
    <row r="837" spans="1:12" x14ac:dyDescent="0.25">
      <c r="A837" s="6">
        <v>41989</v>
      </c>
      <c r="B837" t="s">
        <v>42</v>
      </c>
      <c r="C837" s="7">
        <v>-2806</v>
      </c>
      <c r="D837" t="s">
        <v>6</v>
      </c>
      <c r="E837" s="8">
        <f>E836+F837</f>
        <v>207550</v>
      </c>
      <c r="F837" s="8">
        <f>IF($D837="CR01",$C837,0)</f>
        <v>-2806</v>
      </c>
      <c r="G837" s="8">
        <f>G836+H837</f>
        <v>0</v>
      </c>
      <c r="H837" s="8">
        <f>IF($D837="VISA",$C837,0)</f>
        <v>0</v>
      </c>
      <c r="I837" s="8">
        <f>I836+J837</f>
        <v>0</v>
      </c>
      <c r="J837" s="8">
        <f>IF($D837="ACC",$C837,0)</f>
        <v>0</v>
      </c>
      <c r="K837" s="8">
        <f>K836+L837</f>
        <v>0</v>
      </c>
      <c r="L837" s="8">
        <f>IF($D837="CBB",$C837,0)</f>
        <v>0</v>
      </c>
    </row>
    <row r="838" spans="1:12" x14ac:dyDescent="0.25">
      <c r="A838" s="6">
        <v>41989</v>
      </c>
      <c r="B838" t="s">
        <v>48</v>
      </c>
      <c r="C838" s="7">
        <v>-100</v>
      </c>
      <c r="D838" t="s">
        <v>6</v>
      </c>
      <c r="E838" s="8">
        <f>E837+F838</f>
        <v>207450</v>
      </c>
      <c r="F838" s="8">
        <f>IF($D838="CR01",$C838,0)</f>
        <v>-100</v>
      </c>
      <c r="G838" s="8">
        <f>G837+H838</f>
        <v>0</v>
      </c>
      <c r="H838" s="8">
        <f>IF($D838="VISA",$C838,0)</f>
        <v>0</v>
      </c>
      <c r="I838" s="8">
        <f>I837+J838</f>
        <v>0</v>
      </c>
      <c r="J838" s="8">
        <f>IF($D838="ACC",$C838,0)</f>
        <v>0</v>
      </c>
      <c r="K838" s="8">
        <f>K837+L838</f>
        <v>0</v>
      </c>
      <c r="L838" s="8">
        <f>IF($D838="CBB",$C838,0)</f>
        <v>0</v>
      </c>
    </row>
    <row r="839" spans="1:12" x14ac:dyDescent="0.25">
      <c r="A839" s="6">
        <v>41990</v>
      </c>
      <c r="B839" t="s">
        <v>47</v>
      </c>
      <c r="C839" s="7">
        <v>-120</v>
      </c>
      <c r="D839" t="s">
        <v>6</v>
      </c>
      <c r="E839" s="8">
        <f>E838+F839</f>
        <v>207330</v>
      </c>
      <c r="F839" s="8">
        <f>IF($D839="CR01",$C839,0)</f>
        <v>-120</v>
      </c>
      <c r="G839" s="8">
        <f>G838+H839</f>
        <v>0</v>
      </c>
      <c r="H839" s="8">
        <f>IF($D839="VISA",$C839,0)</f>
        <v>0</v>
      </c>
      <c r="I839" s="8">
        <f>I838+J839</f>
        <v>0</v>
      </c>
      <c r="J839" s="8">
        <f>IF($D839="ACC",$C839,0)</f>
        <v>0</v>
      </c>
      <c r="K839" s="8">
        <f>K838+L839</f>
        <v>0</v>
      </c>
      <c r="L839" s="8">
        <f>IF($D839="CBB",$C839,0)</f>
        <v>0</v>
      </c>
    </row>
    <row r="840" spans="1:12" x14ac:dyDescent="0.25">
      <c r="A840" s="6">
        <v>41991</v>
      </c>
      <c r="B840" t="s">
        <v>44</v>
      </c>
      <c r="C840" s="7">
        <v>-400</v>
      </c>
      <c r="D840" t="s">
        <v>6</v>
      </c>
      <c r="E840" s="8">
        <f>E839+F840</f>
        <v>206930</v>
      </c>
      <c r="F840" s="8">
        <f>IF($D840="CR01",$C840,0)</f>
        <v>-400</v>
      </c>
      <c r="G840" s="8">
        <f>G839+H840</f>
        <v>0</v>
      </c>
      <c r="H840" s="8">
        <f>IF($D840="VISA",$C840,0)</f>
        <v>0</v>
      </c>
      <c r="I840" s="8">
        <f>I839+J840</f>
        <v>0</v>
      </c>
      <c r="J840" s="8">
        <f>IF($D840="ACC",$C840,0)</f>
        <v>0</v>
      </c>
      <c r="K840" s="8">
        <f>K839+L840</f>
        <v>0</v>
      </c>
      <c r="L840" s="8">
        <f>IF($D840="CBB",$C840,0)</f>
        <v>0</v>
      </c>
    </row>
    <row r="841" spans="1:12" x14ac:dyDescent="0.25">
      <c r="A841" s="6">
        <v>41991</v>
      </c>
      <c r="B841" t="s">
        <v>45</v>
      </c>
      <c r="C841" s="7">
        <v>-180</v>
      </c>
      <c r="D841" t="s">
        <v>6</v>
      </c>
      <c r="E841" s="8">
        <f>E840+F841</f>
        <v>206750</v>
      </c>
      <c r="F841" s="8">
        <f>IF($D841="CR01",$C841,0)</f>
        <v>-180</v>
      </c>
      <c r="G841" s="8">
        <f>G840+H841</f>
        <v>0</v>
      </c>
      <c r="H841" s="8">
        <f>IF($D841="VISA",$C841,0)</f>
        <v>0</v>
      </c>
      <c r="I841" s="8">
        <f>I840+J841</f>
        <v>0</v>
      </c>
      <c r="J841" s="8">
        <f>IF($D841="ACC",$C841,0)</f>
        <v>0</v>
      </c>
      <c r="K841" s="8">
        <f>K840+L841</f>
        <v>0</v>
      </c>
      <c r="L841" s="8">
        <f>IF($D841="CBB",$C841,0)</f>
        <v>0</v>
      </c>
    </row>
    <row r="842" spans="1:12" x14ac:dyDescent="0.25">
      <c r="A842" s="6">
        <v>41991</v>
      </c>
      <c r="B842" t="s">
        <v>46</v>
      </c>
      <c r="C842" s="7">
        <v>-300</v>
      </c>
      <c r="D842" t="s">
        <v>6</v>
      </c>
      <c r="E842" s="8">
        <f>E841+F842</f>
        <v>206450</v>
      </c>
      <c r="F842" s="8">
        <f>IF($D842="CR01",$C842,0)</f>
        <v>-300</v>
      </c>
      <c r="G842" s="8">
        <f>G841+H842</f>
        <v>0</v>
      </c>
      <c r="H842" s="8">
        <f>IF($D842="VISA",$C842,0)</f>
        <v>0</v>
      </c>
      <c r="I842" s="8">
        <f>I841+J842</f>
        <v>0</v>
      </c>
      <c r="J842" s="8">
        <f>IF($D842="ACC",$C842,0)</f>
        <v>0</v>
      </c>
      <c r="K842" s="8">
        <f>K841+L842</f>
        <v>0</v>
      </c>
      <c r="L842" s="8">
        <f>IF($D842="CBB",$C842,0)</f>
        <v>0</v>
      </c>
    </row>
    <row r="843" spans="1:12" x14ac:dyDescent="0.25">
      <c r="A843" s="6">
        <v>41992</v>
      </c>
      <c r="B843" t="s">
        <v>43</v>
      </c>
      <c r="C843" s="7">
        <v>3226</v>
      </c>
      <c r="D843" t="s">
        <v>6</v>
      </c>
      <c r="E843" s="8">
        <f>E842+F843</f>
        <v>209676</v>
      </c>
      <c r="F843" s="8">
        <f>IF($D843="CR01",$C843,0)</f>
        <v>3226</v>
      </c>
      <c r="G843" s="8">
        <f>G842+H843</f>
        <v>0</v>
      </c>
      <c r="H843" s="8">
        <f>IF($D843="VISA",$C843,0)</f>
        <v>0</v>
      </c>
      <c r="I843" s="8">
        <f>I842+J843</f>
        <v>0</v>
      </c>
      <c r="J843" s="8">
        <f>IF($D843="ACC",$C843,0)</f>
        <v>0</v>
      </c>
      <c r="K843" s="8">
        <f>K842+L843</f>
        <v>0</v>
      </c>
      <c r="L843" s="8">
        <f>IF($D843="CBB",$C843,0)</f>
        <v>0</v>
      </c>
    </row>
    <row r="844" spans="1:12" x14ac:dyDescent="0.25">
      <c r="A844" s="6">
        <v>41996</v>
      </c>
      <c r="B844" t="s">
        <v>48</v>
      </c>
      <c r="C844" s="7">
        <v>-100</v>
      </c>
      <c r="D844" t="s">
        <v>6</v>
      </c>
      <c r="E844" s="8">
        <f>E843+F844</f>
        <v>209576</v>
      </c>
      <c r="F844" s="8">
        <f>IF($D844="CR01",$C844,0)</f>
        <v>-100</v>
      </c>
      <c r="G844" s="8">
        <f>G843+H844</f>
        <v>0</v>
      </c>
      <c r="H844" s="8">
        <f>IF($D844="VISA",$C844,0)</f>
        <v>0</v>
      </c>
      <c r="I844" s="8">
        <f>I843+J844</f>
        <v>0</v>
      </c>
      <c r="J844" s="8">
        <f>IF($D844="ACC",$C844,0)</f>
        <v>0</v>
      </c>
      <c r="K844" s="8">
        <f>K843+L844</f>
        <v>0</v>
      </c>
      <c r="L844" s="8">
        <f>IF($D844="CBB",$C844,0)</f>
        <v>0</v>
      </c>
    </row>
    <row r="845" spans="1:12" x14ac:dyDescent="0.25">
      <c r="A845" s="6">
        <v>41997</v>
      </c>
      <c r="B845" t="s">
        <v>47</v>
      </c>
      <c r="C845" s="7">
        <v>-120</v>
      </c>
      <c r="D845" t="s">
        <v>6</v>
      </c>
      <c r="E845" s="8">
        <f>E844+F845</f>
        <v>209456</v>
      </c>
      <c r="F845" s="8">
        <f>IF($D845="CR01",$C845,0)</f>
        <v>-120</v>
      </c>
      <c r="G845" s="8">
        <f>G844+H845</f>
        <v>0</v>
      </c>
      <c r="H845" s="8">
        <f>IF($D845="VISA",$C845,0)</f>
        <v>0</v>
      </c>
      <c r="I845" s="8">
        <f>I844+J845</f>
        <v>0</v>
      </c>
      <c r="J845" s="8">
        <f>IF($D845="ACC",$C845,0)</f>
        <v>0</v>
      </c>
      <c r="K845" s="8">
        <f>K844+L845</f>
        <v>0</v>
      </c>
      <c r="L845" s="8">
        <f>IF($D845="CBB",$C845,0)</f>
        <v>0</v>
      </c>
    </row>
    <row r="846" spans="1:12" x14ac:dyDescent="0.25">
      <c r="A846" s="6">
        <v>41998</v>
      </c>
      <c r="B846" t="s">
        <v>44</v>
      </c>
      <c r="C846" s="7">
        <v>-400</v>
      </c>
      <c r="D846" t="s">
        <v>6</v>
      </c>
      <c r="E846" s="8">
        <f>E845+F846</f>
        <v>209056</v>
      </c>
      <c r="F846" s="8">
        <f>IF($D846="CR01",$C846,0)</f>
        <v>-400</v>
      </c>
      <c r="G846" s="8">
        <f>G845+H846</f>
        <v>0</v>
      </c>
      <c r="H846" s="8">
        <f>IF($D846="VISA",$C846,0)</f>
        <v>0</v>
      </c>
      <c r="I846" s="8">
        <f>I845+J846</f>
        <v>0</v>
      </c>
      <c r="J846" s="8">
        <f>IF($D846="ACC",$C846,0)</f>
        <v>0</v>
      </c>
      <c r="K846" s="8">
        <f>K845+L846</f>
        <v>0</v>
      </c>
      <c r="L846" s="8">
        <f>IF($D846="CBB",$C846,0)</f>
        <v>0</v>
      </c>
    </row>
    <row r="847" spans="1:12" x14ac:dyDescent="0.25">
      <c r="A847" s="6">
        <v>41998</v>
      </c>
      <c r="B847" t="s">
        <v>45</v>
      </c>
      <c r="C847" s="7">
        <v>-180</v>
      </c>
      <c r="D847" t="s">
        <v>6</v>
      </c>
      <c r="E847" s="8">
        <f>E846+F847</f>
        <v>208876</v>
      </c>
      <c r="F847" s="8">
        <f>IF($D847="CR01",$C847,0)</f>
        <v>-180</v>
      </c>
      <c r="G847" s="8">
        <f>G846+H847</f>
        <v>0</v>
      </c>
      <c r="H847" s="8">
        <f>IF($D847="VISA",$C847,0)</f>
        <v>0</v>
      </c>
      <c r="I847" s="8">
        <f>I846+J847</f>
        <v>0</v>
      </c>
      <c r="J847" s="8">
        <f>IF($D847="ACC",$C847,0)</f>
        <v>0</v>
      </c>
      <c r="K847" s="8">
        <f>K846+L847</f>
        <v>0</v>
      </c>
      <c r="L847" s="8">
        <f>IF($D847="CBB",$C847,0)</f>
        <v>0</v>
      </c>
    </row>
    <row r="848" spans="1:12" x14ac:dyDescent="0.25">
      <c r="A848" s="6">
        <v>41998</v>
      </c>
      <c r="B848" t="s">
        <v>46</v>
      </c>
      <c r="C848" s="7">
        <v>-300</v>
      </c>
      <c r="D848" t="s">
        <v>6</v>
      </c>
      <c r="E848" s="8">
        <f>E847+F848</f>
        <v>208576</v>
      </c>
      <c r="F848" s="8">
        <f>IF($D848="CR01",$C848,0)</f>
        <v>-300</v>
      </c>
      <c r="G848" s="8">
        <f>G847+H848</f>
        <v>0</v>
      </c>
      <c r="H848" s="8">
        <f>IF($D848="VISA",$C848,0)</f>
        <v>0</v>
      </c>
      <c r="I848" s="8">
        <f>I847+J848</f>
        <v>0</v>
      </c>
      <c r="J848" s="8">
        <f>IF($D848="ACC",$C848,0)</f>
        <v>0</v>
      </c>
      <c r="K848" s="8">
        <f>K847+L848</f>
        <v>0</v>
      </c>
      <c r="L848" s="8">
        <f>IF($D848="CBB",$C848,0)</f>
        <v>0</v>
      </c>
    </row>
    <row r="849" spans="1:12" x14ac:dyDescent="0.25">
      <c r="A849" s="6"/>
      <c r="C849" s="7"/>
      <c r="E849" s="8">
        <f>E848+F849</f>
        <v>208576</v>
      </c>
      <c r="F849" s="8">
        <f>IF($D849="CR01",$C849,0)</f>
        <v>0</v>
      </c>
      <c r="G849" s="8">
        <f>G848+H849</f>
        <v>0</v>
      </c>
      <c r="H849" s="8">
        <f>IF($D849="VISA",$C849,0)</f>
        <v>0</v>
      </c>
      <c r="I849" s="8">
        <f>I848+J849</f>
        <v>0</v>
      </c>
      <c r="J849" s="8">
        <f>IF($D849="ACC",$C849,0)</f>
        <v>0</v>
      </c>
      <c r="K849" s="8">
        <f>K848+L849</f>
        <v>0</v>
      </c>
      <c r="L849" s="8">
        <f>IF($D849="CBB",$C849,0)</f>
        <v>0</v>
      </c>
    </row>
    <row r="850" spans="1:12" x14ac:dyDescent="0.25">
      <c r="A850" s="6"/>
      <c r="C850" s="7"/>
      <c r="E850" s="8">
        <f>E849+F850</f>
        <v>208576</v>
      </c>
      <c r="F850" s="8">
        <f>IF($D850="CR01",$C850,0)</f>
        <v>0</v>
      </c>
      <c r="G850" s="8">
        <f>G849+H850</f>
        <v>0</v>
      </c>
      <c r="H850" s="8">
        <f>IF($D850="VISA",$C850,0)</f>
        <v>0</v>
      </c>
      <c r="I850" s="8">
        <f>I849+J850</f>
        <v>0</v>
      </c>
      <c r="J850" s="8">
        <f>IF($D850="ACC",$C850,0)</f>
        <v>0</v>
      </c>
      <c r="K850" s="8">
        <f>K849+L850</f>
        <v>0</v>
      </c>
      <c r="L850" s="8">
        <f>IF($D850="CBB",$C850,0)</f>
        <v>0</v>
      </c>
    </row>
    <row r="851" spans="1:12" x14ac:dyDescent="0.25">
      <c r="A851" s="6"/>
      <c r="C851" s="7"/>
      <c r="E851" s="8">
        <f>E850+F851</f>
        <v>208576</v>
      </c>
      <c r="F851" s="8">
        <f>IF($D851="CR01",$C851,0)</f>
        <v>0</v>
      </c>
      <c r="G851" s="8">
        <f>G850+H851</f>
        <v>0</v>
      </c>
      <c r="H851" s="8">
        <f>IF($D851="VISA",$C851,0)</f>
        <v>0</v>
      </c>
      <c r="I851" s="8">
        <f>I850+J851</f>
        <v>0</v>
      </c>
      <c r="J851" s="8">
        <f>IF($D851="ACC",$C851,0)</f>
        <v>0</v>
      </c>
      <c r="K851" s="8">
        <f>K850+L851</f>
        <v>0</v>
      </c>
      <c r="L851" s="8">
        <f>IF($D851="CBB",$C851,0)</f>
        <v>0</v>
      </c>
    </row>
    <row r="852" spans="1:12" x14ac:dyDescent="0.25">
      <c r="A852" s="6"/>
      <c r="C852" s="7"/>
      <c r="E852" s="8">
        <f>E851+F852</f>
        <v>208576</v>
      </c>
      <c r="F852" s="8">
        <f>IF($D852="CR01",$C852,0)</f>
        <v>0</v>
      </c>
      <c r="G852" s="8">
        <f>G851+H852</f>
        <v>0</v>
      </c>
      <c r="H852" s="8">
        <f>IF($D852="VISA",$C852,0)</f>
        <v>0</v>
      </c>
      <c r="I852" s="8">
        <f>I851+J852</f>
        <v>0</v>
      </c>
      <c r="J852" s="8">
        <f>IF($D852="ACC",$C852,0)</f>
        <v>0</v>
      </c>
      <c r="K852" s="8">
        <f>K851+L852</f>
        <v>0</v>
      </c>
      <c r="L852" s="8">
        <f>IF($D852="CBB",$C852,0)</f>
        <v>0</v>
      </c>
    </row>
    <row r="853" spans="1:12" x14ac:dyDescent="0.25">
      <c r="A853" s="6"/>
      <c r="C853" s="7"/>
      <c r="E853" s="8">
        <f>E852+F853</f>
        <v>208576</v>
      </c>
      <c r="F853" s="8">
        <f>IF($D853="CR01",$C853,0)</f>
        <v>0</v>
      </c>
      <c r="G853" s="8">
        <f>G852+H853</f>
        <v>0</v>
      </c>
      <c r="H853" s="8">
        <f>IF($D853="VISA",$C853,0)</f>
        <v>0</v>
      </c>
      <c r="I853" s="8">
        <f>I852+J853</f>
        <v>0</v>
      </c>
      <c r="J853" s="8">
        <f>IF($D853="ACC",$C853,0)</f>
        <v>0</v>
      </c>
      <c r="K853" s="8">
        <f>K852+L853</f>
        <v>0</v>
      </c>
      <c r="L853" s="8">
        <f>IF($D853="CBB",$C853,0)</f>
        <v>0</v>
      </c>
    </row>
    <row r="854" spans="1:12" x14ac:dyDescent="0.25">
      <c r="A854" s="6"/>
      <c r="C854" s="7"/>
      <c r="E854" s="8">
        <f>E853+F854</f>
        <v>208576</v>
      </c>
      <c r="F854" s="8">
        <f>IF($D854="CR01",$C854,0)</f>
        <v>0</v>
      </c>
      <c r="G854" s="8">
        <f>G853+H854</f>
        <v>0</v>
      </c>
      <c r="H854" s="8">
        <f>IF($D854="VISA",$C854,0)</f>
        <v>0</v>
      </c>
      <c r="I854" s="8">
        <f>I853+J854</f>
        <v>0</v>
      </c>
      <c r="J854" s="8">
        <f>IF($D854="ACC",$C854,0)</f>
        <v>0</v>
      </c>
      <c r="K854" s="8">
        <f>K853+L854</f>
        <v>0</v>
      </c>
      <c r="L854" s="8">
        <f>IF($D854="CBB",$C854,0)</f>
        <v>0</v>
      </c>
    </row>
    <row r="855" spans="1:12" x14ac:dyDescent="0.25">
      <c r="A855" s="6"/>
      <c r="C855" s="7"/>
      <c r="E855" s="8">
        <f>E854+F855</f>
        <v>208576</v>
      </c>
      <c r="F855" s="8">
        <f>IF($D855="CR01",$C855,0)</f>
        <v>0</v>
      </c>
      <c r="G855" s="8">
        <f>G854+H855</f>
        <v>0</v>
      </c>
      <c r="H855" s="8">
        <f>IF($D855="VISA",$C855,0)</f>
        <v>0</v>
      </c>
      <c r="I855" s="8">
        <f>I854+J855</f>
        <v>0</v>
      </c>
      <c r="J855" s="8">
        <f>IF($D855="ACC",$C855,0)</f>
        <v>0</v>
      </c>
      <c r="K855" s="8">
        <f>K854+L855</f>
        <v>0</v>
      </c>
      <c r="L855" s="8">
        <f>IF($D855="CBB",$C855,0)</f>
        <v>0</v>
      </c>
    </row>
    <row r="856" spans="1:12" x14ac:dyDescent="0.25">
      <c r="A856" s="6"/>
      <c r="C856" s="7"/>
      <c r="E856" s="8">
        <f>E855+F856</f>
        <v>208576</v>
      </c>
      <c r="F856" s="8">
        <f>IF($D856="CR01",$C856,0)</f>
        <v>0</v>
      </c>
      <c r="G856" s="8">
        <f>G855+H856</f>
        <v>0</v>
      </c>
      <c r="H856" s="8">
        <f>IF($D856="VISA",$C856,0)</f>
        <v>0</v>
      </c>
      <c r="I856" s="8">
        <f>I855+J856</f>
        <v>0</v>
      </c>
      <c r="J856" s="8">
        <f>IF($D856="ACC",$C856,0)</f>
        <v>0</v>
      </c>
      <c r="K856" s="8">
        <f>K855+L856</f>
        <v>0</v>
      </c>
      <c r="L856" s="8">
        <f>IF($D856="CBB",$C856,0)</f>
        <v>0</v>
      </c>
    </row>
    <row r="857" spans="1:12" x14ac:dyDescent="0.25">
      <c r="A857" s="6"/>
      <c r="C857" s="7"/>
      <c r="E857" s="8">
        <f>E856+F857</f>
        <v>208576</v>
      </c>
      <c r="F857" s="8">
        <f>IF($D857="CR01",$C857,0)</f>
        <v>0</v>
      </c>
      <c r="G857" s="8">
        <f>G856+H857</f>
        <v>0</v>
      </c>
      <c r="H857" s="8">
        <f>IF($D857="VISA",$C857,0)</f>
        <v>0</v>
      </c>
      <c r="I857" s="8">
        <f>I856+J857</f>
        <v>0</v>
      </c>
      <c r="J857" s="8">
        <f>IF($D857="ACC",$C857,0)</f>
        <v>0</v>
      </c>
      <c r="K857" s="8">
        <f>K856+L857</f>
        <v>0</v>
      </c>
      <c r="L857" s="8">
        <f>IF($D857="CBB",$C857,0)</f>
        <v>0</v>
      </c>
    </row>
    <row r="858" spans="1:12" x14ac:dyDescent="0.25">
      <c r="A858" s="6"/>
      <c r="C858" s="7"/>
      <c r="E858" s="8">
        <f>E857+F858</f>
        <v>208576</v>
      </c>
      <c r="F858" s="8">
        <f>IF($D858="CR01",$C858,0)</f>
        <v>0</v>
      </c>
      <c r="G858" s="8">
        <f>G857+H858</f>
        <v>0</v>
      </c>
      <c r="H858" s="8">
        <f>IF($D858="VISA",$C858,0)</f>
        <v>0</v>
      </c>
      <c r="I858" s="8">
        <f>I857+J858</f>
        <v>0</v>
      </c>
      <c r="J858" s="8">
        <f>IF($D858="ACC",$C858,0)</f>
        <v>0</v>
      </c>
      <c r="K858" s="8">
        <f>K857+L858</f>
        <v>0</v>
      </c>
      <c r="L858" s="8">
        <f>IF($D858="CBB",$C858,0)</f>
        <v>0</v>
      </c>
    </row>
    <row r="859" spans="1:12" x14ac:dyDescent="0.25">
      <c r="A859" s="6"/>
      <c r="C859" s="7"/>
      <c r="E859" s="8">
        <f>E858+F859</f>
        <v>208576</v>
      </c>
      <c r="F859" s="8">
        <f>IF($D859="CR01",$C859,0)</f>
        <v>0</v>
      </c>
      <c r="G859" s="8">
        <f>G858+H859</f>
        <v>0</v>
      </c>
      <c r="H859" s="8">
        <f>IF($D859="VISA",$C859,0)</f>
        <v>0</v>
      </c>
      <c r="I859" s="8">
        <f>I858+J859</f>
        <v>0</v>
      </c>
      <c r="J859" s="8">
        <f>IF($D859="ACC",$C859,0)</f>
        <v>0</v>
      </c>
      <c r="K859" s="8">
        <f>K858+L859</f>
        <v>0</v>
      </c>
      <c r="L859" s="8">
        <f>IF($D859="CBB",$C859,0)</f>
        <v>0</v>
      </c>
    </row>
    <row r="860" spans="1:12" x14ac:dyDescent="0.25">
      <c r="A860" s="6"/>
      <c r="C860" s="7"/>
      <c r="E860" s="8">
        <f>E859+F860</f>
        <v>208576</v>
      </c>
      <c r="F860" s="8">
        <f>IF($D860="CR01",$C860,0)</f>
        <v>0</v>
      </c>
      <c r="G860" s="8">
        <f>G859+H860</f>
        <v>0</v>
      </c>
      <c r="H860" s="8">
        <f>IF($D860="VISA",$C860,0)</f>
        <v>0</v>
      </c>
      <c r="I860" s="8">
        <f>I859+J860</f>
        <v>0</v>
      </c>
      <c r="J860" s="8">
        <f>IF($D860="ACC",$C860,0)</f>
        <v>0</v>
      </c>
      <c r="K860" s="8">
        <f>K859+L860</f>
        <v>0</v>
      </c>
      <c r="L860" s="8">
        <f>IF($D860="CBB",$C860,0)</f>
        <v>0</v>
      </c>
    </row>
    <row r="861" spans="1:12" x14ac:dyDescent="0.25">
      <c r="A861" s="6"/>
      <c r="C861" s="7"/>
      <c r="E861" s="8">
        <f>E860+F861</f>
        <v>208576</v>
      </c>
      <c r="F861" s="8">
        <f>IF($D861="CR01",$C861,0)</f>
        <v>0</v>
      </c>
      <c r="G861" s="8">
        <f>G860+H861</f>
        <v>0</v>
      </c>
      <c r="H861" s="8">
        <f>IF($D861="VISA",$C861,0)</f>
        <v>0</v>
      </c>
      <c r="I861" s="8">
        <f>I860+J861</f>
        <v>0</v>
      </c>
      <c r="J861" s="8">
        <f>IF($D861="ACC",$C861,0)</f>
        <v>0</v>
      </c>
      <c r="K861" s="8">
        <f>K860+L861</f>
        <v>0</v>
      </c>
      <c r="L861" s="8">
        <f>IF($D861="CBB",$C861,0)</f>
        <v>0</v>
      </c>
    </row>
    <row r="862" spans="1:12" x14ac:dyDescent="0.25">
      <c r="A862" s="6"/>
      <c r="C862" s="7"/>
      <c r="E862" s="8">
        <f>E861+F862</f>
        <v>208576</v>
      </c>
      <c r="F862" s="8">
        <f>IF($D862="CR01",$C862,0)</f>
        <v>0</v>
      </c>
      <c r="G862" s="8">
        <f>G861+H862</f>
        <v>0</v>
      </c>
      <c r="H862" s="8">
        <f>IF($D862="VISA",$C862,0)</f>
        <v>0</v>
      </c>
      <c r="I862" s="8">
        <f>I861+J862</f>
        <v>0</v>
      </c>
      <c r="J862" s="8">
        <f>IF($D862="ACC",$C862,0)</f>
        <v>0</v>
      </c>
      <c r="K862" s="8">
        <f>K861+L862</f>
        <v>0</v>
      </c>
      <c r="L862" s="8">
        <f>IF($D862="CBB",$C862,0)</f>
        <v>0</v>
      </c>
    </row>
    <row r="863" spans="1:12" x14ac:dyDescent="0.25">
      <c r="A863" s="6"/>
      <c r="C863" s="7"/>
      <c r="E863" s="8">
        <f>E862+F863</f>
        <v>208576</v>
      </c>
      <c r="F863" s="8">
        <f>IF($D863="CR01",$C863,0)</f>
        <v>0</v>
      </c>
      <c r="G863" s="8">
        <f>G862+H863</f>
        <v>0</v>
      </c>
      <c r="H863" s="8">
        <f>IF($D863="VISA",$C863,0)</f>
        <v>0</v>
      </c>
      <c r="I863" s="8">
        <f>I862+J863</f>
        <v>0</v>
      </c>
      <c r="J863" s="8">
        <f>IF($D863="ACC",$C863,0)</f>
        <v>0</v>
      </c>
      <c r="K863" s="8">
        <f>K862+L863</f>
        <v>0</v>
      </c>
      <c r="L863" s="8">
        <f>IF($D863="CBB",$C863,0)</f>
        <v>0</v>
      </c>
    </row>
    <row r="864" spans="1:12" x14ac:dyDescent="0.25">
      <c r="A864" s="6"/>
      <c r="C864" s="7"/>
      <c r="E864" s="8">
        <f>E863+F864</f>
        <v>208576</v>
      </c>
      <c r="F864" s="8">
        <f>IF($D864="CR01",$C864,0)</f>
        <v>0</v>
      </c>
      <c r="G864" s="8">
        <f>G863+H864</f>
        <v>0</v>
      </c>
      <c r="H864" s="8">
        <f>IF($D864="VISA",$C864,0)</f>
        <v>0</v>
      </c>
      <c r="I864" s="8">
        <f>I863+J864</f>
        <v>0</v>
      </c>
      <c r="J864" s="8">
        <f>IF($D864="ACC",$C864,0)</f>
        <v>0</v>
      </c>
      <c r="K864" s="8">
        <f>K863+L864</f>
        <v>0</v>
      </c>
      <c r="L864" s="8">
        <f>IF($D864="CBB",$C864,0)</f>
        <v>0</v>
      </c>
    </row>
    <row r="865" spans="1:12" x14ac:dyDescent="0.25">
      <c r="A865" s="6"/>
      <c r="C865" s="7"/>
      <c r="E865" s="8">
        <f>E864+F865</f>
        <v>208576</v>
      </c>
      <c r="F865" s="8">
        <f>IF($D865="CR01",$C865,0)</f>
        <v>0</v>
      </c>
      <c r="G865" s="8">
        <f>G864+H865</f>
        <v>0</v>
      </c>
      <c r="H865" s="8">
        <f>IF($D865="VISA",$C865,0)</f>
        <v>0</v>
      </c>
      <c r="I865" s="8">
        <f>I864+J865</f>
        <v>0</v>
      </c>
      <c r="J865" s="8">
        <f>IF($D865="ACC",$C865,0)</f>
        <v>0</v>
      </c>
      <c r="K865" s="8">
        <f>K864+L865</f>
        <v>0</v>
      </c>
      <c r="L865" s="8">
        <f>IF($D865="CBB",$C865,0)</f>
        <v>0</v>
      </c>
    </row>
    <row r="866" spans="1:12" x14ac:dyDescent="0.25">
      <c r="A866" s="6"/>
      <c r="C866" s="7"/>
      <c r="E866" s="8">
        <f>E865+F866</f>
        <v>208576</v>
      </c>
      <c r="F866" s="8">
        <f>IF($D866="CR01",$C866,0)</f>
        <v>0</v>
      </c>
      <c r="G866" s="8">
        <f>G865+H866</f>
        <v>0</v>
      </c>
      <c r="H866" s="8">
        <f>IF($D866="VISA",$C866,0)</f>
        <v>0</v>
      </c>
      <c r="I866" s="8">
        <f>I865+J866</f>
        <v>0</v>
      </c>
      <c r="J866" s="8">
        <f>IF($D866="ACC",$C866,0)</f>
        <v>0</v>
      </c>
      <c r="K866" s="8">
        <f>K865+L866</f>
        <v>0</v>
      </c>
      <c r="L866" s="8">
        <f>IF($D866="CBB",$C866,0)</f>
        <v>0</v>
      </c>
    </row>
    <row r="867" spans="1:12" x14ac:dyDescent="0.25">
      <c r="A867" s="6"/>
      <c r="C867" s="7"/>
      <c r="E867" s="8">
        <f>E866+F867</f>
        <v>208576</v>
      </c>
      <c r="F867" s="8">
        <f>IF($D867="CR01",$C867,0)</f>
        <v>0</v>
      </c>
      <c r="G867" s="8">
        <f>G866+H867</f>
        <v>0</v>
      </c>
      <c r="H867" s="8">
        <f>IF($D867="VISA",$C867,0)</f>
        <v>0</v>
      </c>
      <c r="I867" s="8">
        <f>I866+J867</f>
        <v>0</v>
      </c>
      <c r="J867" s="8">
        <f>IF($D867="ACC",$C867,0)</f>
        <v>0</v>
      </c>
      <c r="K867" s="8">
        <f>K866+L867</f>
        <v>0</v>
      </c>
      <c r="L867" s="8">
        <f>IF($D867="CBB",$C867,0)</f>
        <v>0</v>
      </c>
    </row>
    <row r="868" spans="1:12" x14ac:dyDescent="0.25">
      <c r="A868" s="6"/>
      <c r="C868" s="7"/>
      <c r="E868" s="8">
        <f>E867+F868</f>
        <v>208576</v>
      </c>
      <c r="F868" s="8">
        <f>IF($D868="CR01",$C868,0)</f>
        <v>0</v>
      </c>
      <c r="G868" s="8">
        <f>G867+H868</f>
        <v>0</v>
      </c>
      <c r="H868" s="8">
        <f>IF($D868="VISA",$C868,0)</f>
        <v>0</v>
      </c>
      <c r="I868" s="8">
        <f>I867+J868</f>
        <v>0</v>
      </c>
      <c r="J868" s="8">
        <f>IF($D868="ACC",$C868,0)</f>
        <v>0</v>
      </c>
      <c r="K868" s="8">
        <f>K867+L868</f>
        <v>0</v>
      </c>
      <c r="L868" s="8">
        <f>IF($D868="CBB",$C868,0)</f>
        <v>0</v>
      </c>
    </row>
    <row r="869" spans="1:12" x14ac:dyDescent="0.25">
      <c r="A869" s="6"/>
      <c r="C869" s="7"/>
      <c r="E869" s="8">
        <f>E868+F869</f>
        <v>208576</v>
      </c>
      <c r="F869" s="8">
        <f>IF($D869="CR01",$C869,0)</f>
        <v>0</v>
      </c>
      <c r="G869" s="8">
        <f>G868+H869</f>
        <v>0</v>
      </c>
      <c r="H869" s="8">
        <f>IF($D869="VISA",$C869,0)</f>
        <v>0</v>
      </c>
      <c r="I869" s="8">
        <f>I868+J869</f>
        <v>0</v>
      </c>
      <c r="J869" s="8">
        <f>IF($D869="ACC",$C869,0)</f>
        <v>0</v>
      </c>
      <c r="K869" s="8">
        <f>K868+L869</f>
        <v>0</v>
      </c>
      <c r="L869" s="8">
        <f>IF($D869="CBB",$C869,0)</f>
        <v>0</v>
      </c>
    </row>
    <row r="870" spans="1:12" x14ac:dyDescent="0.25">
      <c r="A870" s="6"/>
      <c r="C870" s="7"/>
      <c r="E870" s="8">
        <f>E869+F870</f>
        <v>208576</v>
      </c>
      <c r="F870" s="8">
        <f>IF($D870="CR01",$C870,0)</f>
        <v>0</v>
      </c>
      <c r="G870" s="8">
        <f>G869+H870</f>
        <v>0</v>
      </c>
      <c r="H870" s="8">
        <f>IF($D870="VISA",$C870,0)</f>
        <v>0</v>
      </c>
      <c r="I870" s="8">
        <f>I869+J870</f>
        <v>0</v>
      </c>
      <c r="J870" s="8">
        <f>IF($D870="ACC",$C870,0)</f>
        <v>0</v>
      </c>
      <c r="K870" s="8">
        <f>K869+L870</f>
        <v>0</v>
      </c>
      <c r="L870" s="8">
        <f>IF($D870="CBB",$C870,0)</f>
        <v>0</v>
      </c>
    </row>
    <row r="871" spans="1:12" x14ac:dyDescent="0.25">
      <c r="A871" s="6"/>
      <c r="C871" s="7"/>
      <c r="E871" s="8">
        <f>E870+F871</f>
        <v>208576</v>
      </c>
      <c r="F871" s="8">
        <f>IF($D871="CR01",$C871,0)</f>
        <v>0</v>
      </c>
      <c r="G871" s="8">
        <f>G870+H871</f>
        <v>0</v>
      </c>
      <c r="H871" s="8">
        <f>IF($D871="VISA",$C871,0)</f>
        <v>0</v>
      </c>
      <c r="I871" s="8">
        <f>I870+J871</f>
        <v>0</v>
      </c>
      <c r="J871" s="8">
        <f>IF($D871="ACC",$C871,0)</f>
        <v>0</v>
      </c>
      <c r="K871" s="8">
        <f>K870+L871</f>
        <v>0</v>
      </c>
      <c r="L871" s="8">
        <f>IF($D871="CBB",$C871,0)</f>
        <v>0</v>
      </c>
    </row>
    <row r="872" spans="1:12" x14ac:dyDescent="0.25">
      <c r="A872" s="6"/>
      <c r="C872" s="7"/>
      <c r="E872" s="8">
        <f>E871+F872</f>
        <v>208576</v>
      </c>
      <c r="F872" s="8">
        <f>IF($D872="CR01",$C872,0)</f>
        <v>0</v>
      </c>
      <c r="G872" s="8">
        <f>G871+H872</f>
        <v>0</v>
      </c>
      <c r="H872" s="8">
        <f>IF($D872="VISA",$C872,0)</f>
        <v>0</v>
      </c>
      <c r="I872" s="8">
        <f>I871+J872</f>
        <v>0</v>
      </c>
      <c r="J872" s="8">
        <f>IF($D872="ACC",$C872,0)</f>
        <v>0</v>
      </c>
      <c r="K872" s="8">
        <f>K871+L872</f>
        <v>0</v>
      </c>
      <c r="L872" s="8">
        <f>IF($D872="CBB",$C872,0)</f>
        <v>0</v>
      </c>
    </row>
    <row r="873" spans="1:12" x14ac:dyDescent="0.25">
      <c r="A873" s="6"/>
      <c r="C873" s="7"/>
      <c r="E873" s="8">
        <f>E872+F873</f>
        <v>208576</v>
      </c>
      <c r="F873" s="8">
        <f>IF($D873="CR01",$C873,0)</f>
        <v>0</v>
      </c>
      <c r="G873" s="8">
        <f>G872+H873</f>
        <v>0</v>
      </c>
      <c r="H873" s="8">
        <f>IF($D873="VISA",$C873,0)</f>
        <v>0</v>
      </c>
      <c r="I873" s="8">
        <f>I872+J873</f>
        <v>0</v>
      </c>
      <c r="J873" s="8">
        <f>IF($D873="ACC",$C873,0)</f>
        <v>0</v>
      </c>
      <c r="K873" s="8">
        <f>K872+L873</f>
        <v>0</v>
      </c>
      <c r="L873" s="8">
        <f>IF($D873="CBB",$C873,0)</f>
        <v>0</v>
      </c>
    </row>
    <row r="874" spans="1:12" x14ac:dyDescent="0.25">
      <c r="A874" s="6"/>
      <c r="C874" s="7"/>
      <c r="E874" s="8">
        <f>E873+F874</f>
        <v>208576</v>
      </c>
      <c r="F874" s="8">
        <f>IF($D874="CR01",$C874,0)</f>
        <v>0</v>
      </c>
      <c r="G874" s="8">
        <f>G873+H874</f>
        <v>0</v>
      </c>
      <c r="H874" s="8">
        <f>IF($D874="VISA",$C874,0)</f>
        <v>0</v>
      </c>
      <c r="I874" s="8">
        <f>I873+J874</f>
        <v>0</v>
      </c>
      <c r="J874" s="8">
        <f>IF($D874="ACC",$C874,0)</f>
        <v>0</v>
      </c>
      <c r="K874" s="8">
        <f>K873+L874</f>
        <v>0</v>
      </c>
      <c r="L874" s="8">
        <f>IF($D874="CBB",$C874,0)</f>
        <v>0</v>
      </c>
    </row>
    <row r="875" spans="1:12" x14ac:dyDescent="0.25">
      <c r="A875" s="6"/>
      <c r="C875" s="7"/>
      <c r="E875" s="8">
        <f>E874+F875</f>
        <v>208576</v>
      </c>
      <c r="F875" s="8">
        <f>IF($D875="CR01",$C875,0)</f>
        <v>0</v>
      </c>
      <c r="G875" s="8">
        <f>G874+H875</f>
        <v>0</v>
      </c>
      <c r="H875" s="8">
        <f>IF($D875="VISA",$C875,0)</f>
        <v>0</v>
      </c>
      <c r="I875" s="8">
        <f>I874+J875</f>
        <v>0</v>
      </c>
      <c r="J875" s="8">
        <f>IF($D875="ACC",$C875,0)</f>
        <v>0</v>
      </c>
      <c r="K875" s="8">
        <f>K874+L875</f>
        <v>0</v>
      </c>
      <c r="L875" s="8">
        <f>IF($D875="CBB",$C875,0)</f>
        <v>0</v>
      </c>
    </row>
    <row r="876" spans="1:12" x14ac:dyDescent="0.25">
      <c r="A876" s="6"/>
      <c r="C876" s="7"/>
      <c r="E876" s="8">
        <f>E875+F876</f>
        <v>208576</v>
      </c>
      <c r="F876" s="8">
        <f>IF($D876="CR01",$C876,0)</f>
        <v>0</v>
      </c>
      <c r="G876" s="8">
        <f>G875+H876</f>
        <v>0</v>
      </c>
      <c r="H876" s="8">
        <f>IF($D876="VISA",$C876,0)</f>
        <v>0</v>
      </c>
      <c r="I876" s="8">
        <f>I875+J876</f>
        <v>0</v>
      </c>
      <c r="J876" s="8">
        <f>IF($D876="ACC",$C876,0)</f>
        <v>0</v>
      </c>
      <c r="K876" s="8">
        <f>K875+L876</f>
        <v>0</v>
      </c>
      <c r="L876" s="8">
        <f>IF($D876="CBB",$C876,0)</f>
        <v>0</v>
      </c>
    </row>
    <row r="877" spans="1:12" x14ac:dyDescent="0.25">
      <c r="A877" s="6"/>
      <c r="C877" s="7"/>
      <c r="E877" s="8">
        <f>E876+F877</f>
        <v>208576</v>
      </c>
      <c r="F877" s="8">
        <f>IF($D877="CR01",$C877,0)</f>
        <v>0</v>
      </c>
      <c r="G877" s="8">
        <f>G876+H877</f>
        <v>0</v>
      </c>
      <c r="H877" s="8">
        <f>IF($D877="VISA",$C877,0)</f>
        <v>0</v>
      </c>
      <c r="I877" s="8">
        <f>I876+J877</f>
        <v>0</v>
      </c>
      <c r="J877" s="8">
        <f>IF($D877="ACC",$C877,0)</f>
        <v>0</v>
      </c>
      <c r="K877" s="8">
        <f>K876+L877</f>
        <v>0</v>
      </c>
      <c r="L877" s="8">
        <f>IF($D877="CBB",$C877,0)</f>
        <v>0</v>
      </c>
    </row>
    <row r="878" spans="1:12" x14ac:dyDescent="0.25">
      <c r="A878" s="6"/>
      <c r="C878" s="7"/>
      <c r="E878" s="8">
        <f>E877+F878</f>
        <v>208576</v>
      </c>
      <c r="F878" s="8">
        <f>IF($D878="CR01",$C878,0)</f>
        <v>0</v>
      </c>
      <c r="G878" s="8">
        <f>G877+H878</f>
        <v>0</v>
      </c>
      <c r="H878" s="8">
        <f>IF($D878="VISA",$C878,0)</f>
        <v>0</v>
      </c>
      <c r="I878" s="8">
        <f>I877+J878</f>
        <v>0</v>
      </c>
      <c r="J878" s="8">
        <f>IF($D878="ACC",$C878,0)</f>
        <v>0</v>
      </c>
      <c r="K878" s="8">
        <f>K877+L878</f>
        <v>0</v>
      </c>
      <c r="L878" s="8">
        <f>IF($D878="CBB",$C878,0)</f>
        <v>0</v>
      </c>
    </row>
    <row r="879" spans="1:12" x14ac:dyDescent="0.25">
      <c r="A879" s="6"/>
      <c r="C879" s="7"/>
      <c r="E879" s="8">
        <f>E878+F879</f>
        <v>208576</v>
      </c>
      <c r="F879" s="8">
        <f>IF($D879="CR01",$C879,0)</f>
        <v>0</v>
      </c>
      <c r="G879" s="8">
        <f>G878+H879</f>
        <v>0</v>
      </c>
      <c r="H879" s="8">
        <f>IF($D879="VISA",$C879,0)</f>
        <v>0</v>
      </c>
      <c r="I879" s="8">
        <f>I878+J879</f>
        <v>0</v>
      </c>
      <c r="J879" s="8">
        <f>IF($D879="ACC",$C879,0)</f>
        <v>0</v>
      </c>
      <c r="K879" s="8">
        <f>K878+L879</f>
        <v>0</v>
      </c>
      <c r="L879" s="8">
        <f>IF($D879="CBB",$C879,0)</f>
        <v>0</v>
      </c>
    </row>
    <row r="880" spans="1:12" x14ac:dyDescent="0.25">
      <c r="A880" s="6"/>
      <c r="C880" s="7"/>
      <c r="E880" s="8">
        <f>E879+F880</f>
        <v>208576</v>
      </c>
      <c r="F880" s="8">
        <f>IF($D880="CR01",$C880,0)</f>
        <v>0</v>
      </c>
      <c r="G880" s="8">
        <f>G879+H880</f>
        <v>0</v>
      </c>
      <c r="H880" s="8">
        <f>IF($D880="VISA",$C880,0)</f>
        <v>0</v>
      </c>
      <c r="I880" s="8">
        <f>I879+J880</f>
        <v>0</v>
      </c>
      <c r="J880" s="8">
        <f>IF($D880="ACC",$C880,0)</f>
        <v>0</v>
      </c>
      <c r="K880" s="8">
        <f>K879+L880</f>
        <v>0</v>
      </c>
      <c r="L880" s="8">
        <f>IF($D880="CBB",$C880,0)</f>
        <v>0</v>
      </c>
    </row>
    <row r="881" spans="1:12" x14ac:dyDescent="0.25">
      <c r="A881" s="6"/>
      <c r="C881" s="7"/>
      <c r="E881" s="8"/>
      <c r="F881" s="8"/>
      <c r="G881" s="8"/>
      <c r="H881" s="8"/>
      <c r="I881" s="8"/>
      <c r="J881" s="8"/>
      <c r="K881" s="8"/>
      <c r="L881" s="8"/>
    </row>
    <row r="882" spans="1:12" x14ac:dyDescent="0.25">
      <c r="A882" s="6"/>
      <c r="C882" s="7"/>
      <c r="E882" s="8"/>
      <c r="F882" s="8"/>
      <c r="G882" s="8"/>
      <c r="H882" s="8"/>
      <c r="I882" s="8"/>
      <c r="J882" s="8"/>
      <c r="K882" s="8"/>
      <c r="L882" s="8"/>
    </row>
    <row r="883" spans="1:12" x14ac:dyDescent="0.25">
      <c r="A883" s="6"/>
      <c r="C883" s="7"/>
      <c r="E883" s="8"/>
      <c r="F883" s="8"/>
      <c r="G883" s="8"/>
      <c r="H883" s="8"/>
      <c r="I883" s="8"/>
      <c r="J883" s="8"/>
      <c r="K883" s="8"/>
      <c r="L883" s="8"/>
    </row>
    <row r="884" spans="1:12" x14ac:dyDescent="0.25">
      <c r="A884" s="6"/>
      <c r="C884" s="7"/>
      <c r="E884" s="8"/>
      <c r="F884" s="8"/>
      <c r="G884" s="8"/>
      <c r="H884" s="8"/>
      <c r="I884" s="8"/>
      <c r="J884" s="8"/>
      <c r="K884" s="8"/>
      <c r="L884" s="8"/>
    </row>
    <row r="885" spans="1:12" x14ac:dyDescent="0.25">
      <c r="A885" s="6"/>
      <c r="C885" s="7"/>
      <c r="E885" s="8"/>
      <c r="F885" s="8"/>
      <c r="G885" s="8"/>
      <c r="H885" s="8"/>
      <c r="I885" s="8"/>
      <c r="J885" s="8"/>
      <c r="K885" s="8"/>
      <c r="L885" s="8"/>
    </row>
    <row r="886" spans="1:12" x14ac:dyDescent="0.25">
      <c r="A886" s="6"/>
      <c r="C886" s="7"/>
      <c r="E886" s="8"/>
      <c r="F886" s="8"/>
      <c r="G886" s="8"/>
      <c r="H886" s="8"/>
      <c r="I886" s="8"/>
      <c r="J886" s="8"/>
      <c r="K886" s="8"/>
      <c r="L886" s="8"/>
    </row>
    <row r="887" spans="1:12" x14ac:dyDescent="0.25">
      <c r="A887" s="6"/>
      <c r="C887" s="7"/>
      <c r="E887" s="8"/>
      <c r="F887" s="8"/>
      <c r="G887" s="8"/>
      <c r="H887" s="8"/>
      <c r="I887" s="8"/>
      <c r="J887" s="8"/>
      <c r="K887" s="8"/>
      <c r="L887" s="8"/>
    </row>
    <row r="888" spans="1:12" x14ac:dyDescent="0.25">
      <c r="A888" s="6"/>
      <c r="C888" s="7"/>
      <c r="E888" s="8"/>
      <c r="F888" s="8"/>
      <c r="G888" s="8"/>
      <c r="H888" s="8"/>
      <c r="I888" s="8"/>
      <c r="J888" s="8"/>
      <c r="K888" s="8"/>
      <c r="L888" s="8"/>
    </row>
    <row r="889" spans="1:12" x14ac:dyDescent="0.25">
      <c r="A889" s="6"/>
      <c r="C889" s="7"/>
      <c r="E889" s="8"/>
      <c r="F889" s="8"/>
      <c r="G889" s="8"/>
      <c r="H889" s="8"/>
      <c r="I889" s="8"/>
      <c r="J889" s="8"/>
      <c r="K889" s="8"/>
      <c r="L889" s="8"/>
    </row>
    <row r="890" spans="1:12" x14ac:dyDescent="0.25">
      <c r="A890" s="6"/>
      <c r="C890" s="7"/>
      <c r="E890" s="8"/>
      <c r="F890" s="8"/>
      <c r="G890" s="8"/>
      <c r="H890" s="8"/>
      <c r="I890" s="8"/>
      <c r="J890" s="8"/>
      <c r="K890" s="8"/>
      <c r="L890" s="8"/>
    </row>
    <row r="891" spans="1:12" x14ac:dyDescent="0.25">
      <c r="A891" s="6"/>
      <c r="C891" s="7"/>
      <c r="E891" s="8"/>
      <c r="F891" s="8"/>
      <c r="G891" s="8"/>
      <c r="H891" s="8"/>
      <c r="I891" s="8"/>
      <c r="J891" s="8"/>
      <c r="K891" s="8"/>
      <c r="L891" s="8"/>
    </row>
    <row r="892" spans="1:12" x14ac:dyDescent="0.25">
      <c r="A892" s="6"/>
      <c r="C892" s="7"/>
      <c r="E892" s="8"/>
      <c r="F892" s="8"/>
      <c r="G892" s="8"/>
      <c r="H892" s="8"/>
      <c r="I892" s="8"/>
      <c r="J892" s="8"/>
      <c r="K892" s="8"/>
      <c r="L892" s="8"/>
    </row>
    <row r="893" spans="1:12" x14ac:dyDescent="0.25">
      <c r="A893" s="6"/>
      <c r="C893" s="7"/>
      <c r="E893" s="8"/>
      <c r="F893" s="8"/>
      <c r="G893" s="8"/>
      <c r="H893" s="8"/>
      <c r="I893" s="8"/>
      <c r="J893" s="8"/>
      <c r="K893" s="8"/>
      <c r="L893" s="8"/>
    </row>
    <row r="894" spans="1:12" x14ac:dyDescent="0.25">
      <c r="A894" s="6"/>
      <c r="C894" s="7"/>
      <c r="E894" s="8"/>
      <c r="F894" s="8"/>
      <c r="G894" s="8"/>
      <c r="H894" s="8"/>
      <c r="I894" s="8"/>
      <c r="J894" s="8"/>
      <c r="K894" s="8"/>
      <c r="L894" s="8"/>
    </row>
    <row r="895" spans="1:12" x14ac:dyDescent="0.25">
      <c r="A895" s="6"/>
      <c r="C895" s="7"/>
      <c r="E895" s="8"/>
      <c r="F895" s="8"/>
      <c r="G895" s="8"/>
      <c r="H895" s="8"/>
      <c r="I895" s="8"/>
      <c r="J895" s="8"/>
      <c r="K895" s="8"/>
      <c r="L895" s="8"/>
    </row>
    <row r="896" spans="1:12" x14ac:dyDescent="0.25">
      <c r="A896" s="6"/>
      <c r="C896" s="7"/>
      <c r="E896" s="8"/>
      <c r="F896" s="8"/>
      <c r="G896" s="8"/>
      <c r="H896" s="8"/>
      <c r="I896" s="8"/>
      <c r="J896" s="8"/>
      <c r="K896" s="8"/>
      <c r="L896" s="8"/>
    </row>
    <row r="897" spans="1:12" x14ac:dyDescent="0.25">
      <c r="A897" s="6"/>
      <c r="C897" s="7"/>
      <c r="E897" s="8"/>
      <c r="F897" s="8"/>
      <c r="G897" s="8"/>
      <c r="H897" s="8"/>
      <c r="I897" s="8"/>
      <c r="J897" s="8"/>
      <c r="K897" s="8"/>
      <c r="L897" s="8"/>
    </row>
    <row r="898" spans="1:12" x14ac:dyDescent="0.25">
      <c r="A898" s="6"/>
      <c r="C898" s="7"/>
      <c r="E898" s="8"/>
      <c r="F898" s="8"/>
      <c r="G898" s="8"/>
      <c r="H898" s="8"/>
      <c r="I898" s="8"/>
      <c r="J898" s="8"/>
      <c r="K898" s="8"/>
      <c r="L898" s="8"/>
    </row>
    <row r="899" spans="1:12" x14ac:dyDescent="0.25">
      <c r="A899" s="6"/>
      <c r="C899" s="7"/>
      <c r="E899" s="8"/>
      <c r="F899" s="8"/>
      <c r="G899" s="8"/>
      <c r="H899" s="8"/>
      <c r="I899" s="8"/>
      <c r="J899" s="8"/>
      <c r="K899" s="8"/>
      <c r="L899" s="8"/>
    </row>
    <row r="900" spans="1:12" x14ac:dyDescent="0.25">
      <c r="A900" s="6"/>
      <c r="C900" s="7"/>
      <c r="E900" s="8"/>
      <c r="F900" s="8"/>
      <c r="G900" s="8"/>
      <c r="H900" s="8"/>
      <c r="I900" s="8"/>
      <c r="J900" s="8"/>
      <c r="K900" s="8"/>
      <c r="L900" s="8"/>
    </row>
    <row r="901" spans="1:12" x14ac:dyDescent="0.25">
      <c r="A901" s="6"/>
      <c r="C901" s="7"/>
      <c r="E901" s="8"/>
      <c r="F901" s="8"/>
      <c r="G901" s="8"/>
      <c r="H901" s="8"/>
      <c r="I901" s="8"/>
      <c r="J901" s="8"/>
      <c r="K901" s="8"/>
      <c r="L901" s="8"/>
    </row>
    <row r="902" spans="1:12" x14ac:dyDescent="0.25">
      <c r="A902" s="6"/>
      <c r="C902" s="7"/>
      <c r="E902" s="8"/>
      <c r="F902" s="8"/>
      <c r="G902" s="8"/>
      <c r="H902" s="8"/>
      <c r="I902" s="8"/>
      <c r="J902" s="8"/>
      <c r="K902" s="8"/>
      <c r="L902" s="8"/>
    </row>
    <row r="903" spans="1:12" x14ac:dyDescent="0.25">
      <c r="A903" s="6"/>
      <c r="C903" s="7"/>
      <c r="E903" s="8"/>
      <c r="F903" s="8"/>
      <c r="G903" s="8"/>
      <c r="H903" s="8"/>
      <c r="I903" s="8"/>
      <c r="J903" s="8"/>
      <c r="K903" s="8"/>
      <c r="L903" s="8"/>
    </row>
    <row r="904" spans="1:12" x14ac:dyDescent="0.25">
      <c r="A904" s="6"/>
      <c r="C904" s="7"/>
      <c r="E904" s="8"/>
      <c r="F904" s="8"/>
      <c r="G904" s="8"/>
      <c r="H904" s="8"/>
      <c r="I904" s="8"/>
      <c r="J904" s="8"/>
      <c r="K904" s="8"/>
      <c r="L904" s="8"/>
    </row>
    <row r="905" spans="1:12" x14ac:dyDescent="0.25">
      <c r="A905" s="6"/>
      <c r="C905" s="7"/>
      <c r="E905" s="8"/>
      <c r="F905" s="8"/>
      <c r="G905" s="8"/>
      <c r="H905" s="8"/>
      <c r="I905" s="8"/>
      <c r="J905" s="8"/>
      <c r="K905" s="8"/>
      <c r="L905" s="8"/>
    </row>
    <row r="906" spans="1:12" x14ac:dyDescent="0.25">
      <c r="A906" s="6"/>
      <c r="C906" s="7"/>
      <c r="E906" s="8"/>
      <c r="F906" s="8"/>
      <c r="G906" s="8"/>
      <c r="H906" s="8"/>
      <c r="I906" s="8"/>
      <c r="J906" s="8"/>
      <c r="K906" s="8"/>
      <c r="L906" s="8"/>
    </row>
    <row r="907" spans="1:12" x14ac:dyDescent="0.25">
      <c r="A907" s="6"/>
      <c r="C907" s="7"/>
      <c r="E907" s="8"/>
      <c r="F907" s="8"/>
      <c r="G907" s="8"/>
      <c r="H907" s="8"/>
      <c r="I907" s="8"/>
      <c r="J907" s="8"/>
      <c r="K907" s="8"/>
      <c r="L907" s="8"/>
    </row>
    <row r="908" spans="1:12" x14ac:dyDescent="0.25">
      <c r="A908" s="6"/>
      <c r="C908" s="7"/>
      <c r="E908" s="8"/>
      <c r="F908" s="8"/>
      <c r="G908" s="8"/>
      <c r="H908" s="8"/>
      <c r="I908" s="8"/>
      <c r="J908" s="8"/>
      <c r="K908" s="8"/>
      <c r="L908" s="8"/>
    </row>
    <row r="909" spans="1:12" x14ac:dyDescent="0.25">
      <c r="A909" s="6"/>
      <c r="C909" s="7"/>
      <c r="E909" s="8"/>
      <c r="F909" s="8"/>
      <c r="G909" s="8"/>
      <c r="H909" s="8"/>
      <c r="I909" s="8"/>
      <c r="J909" s="8"/>
      <c r="K909" s="8"/>
      <c r="L909" s="8"/>
    </row>
    <row r="910" spans="1:12" x14ac:dyDescent="0.25">
      <c r="A910" s="6"/>
      <c r="C910" s="7"/>
      <c r="E910" s="8"/>
      <c r="F910" s="8"/>
      <c r="G910" s="8"/>
      <c r="H910" s="8"/>
      <c r="I910" s="8"/>
      <c r="J910" s="8"/>
      <c r="K910" s="8"/>
      <c r="L910" s="8"/>
    </row>
    <row r="911" spans="1:12" x14ac:dyDescent="0.25">
      <c r="A911" s="6"/>
      <c r="C911" s="7"/>
      <c r="E911" s="8"/>
      <c r="F911" s="8"/>
      <c r="G911" s="8"/>
      <c r="H911" s="8"/>
      <c r="I911" s="8"/>
      <c r="J911" s="8"/>
      <c r="K911" s="8"/>
      <c r="L911" s="8"/>
    </row>
    <row r="912" spans="1:12" x14ac:dyDescent="0.25">
      <c r="A912" s="6"/>
      <c r="C912" s="7"/>
      <c r="E912" s="8"/>
      <c r="F912" s="8"/>
      <c r="G912" s="8"/>
      <c r="H912" s="8"/>
      <c r="I912" s="8"/>
      <c r="J912" s="8"/>
      <c r="K912" s="8"/>
      <c r="L912" s="8"/>
    </row>
    <row r="913" spans="1:12" x14ac:dyDescent="0.25">
      <c r="A913" s="6"/>
      <c r="C913" s="7"/>
      <c r="E913" s="8"/>
      <c r="F913" s="8"/>
      <c r="G913" s="8"/>
      <c r="H913" s="8"/>
      <c r="I913" s="8"/>
      <c r="J913" s="8"/>
      <c r="K913" s="8"/>
      <c r="L913" s="8"/>
    </row>
    <row r="914" spans="1:12" x14ac:dyDescent="0.25">
      <c r="A914" s="6"/>
      <c r="C914" s="7"/>
      <c r="E914" s="8"/>
      <c r="F914" s="8"/>
      <c r="G914" s="8"/>
      <c r="H914" s="8"/>
      <c r="I914" s="8"/>
      <c r="J914" s="8"/>
      <c r="K914" s="8"/>
      <c r="L914" s="8"/>
    </row>
    <row r="915" spans="1:12" x14ac:dyDescent="0.25">
      <c r="A915" s="6"/>
      <c r="C915" s="7"/>
      <c r="E915" s="8"/>
      <c r="F915" s="8"/>
      <c r="G915" s="8"/>
      <c r="H915" s="8"/>
      <c r="I915" s="8"/>
      <c r="J915" s="8"/>
      <c r="K915" s="8"/>
      <c r="L915" s="8"/>
    </row>
    <row r="916" spans="1:12" x14ac:dyDescent="0.25">
      <c r="A916" s="6"/>
      <c r="C916" s="7"/>
      <c r="E916" s="8"/>
      <c r="F916" s="8"/>
      <c r="G916" s="8"/>
      <c r="H916" s="8"/>
      <c r="I916" s="8"/>
      <c r="J916" s="8"/>
      <c r="K916" s="8"/>
      <c r="L916" s="8"/>
    </row>
    <row r="917" spans="1:12" x14ac:dyDescent="0.25">
      <c r="A917" s="6"/>
      <c r="C917" s="7"/>
      <c r="E917" s="8"/>
      <c r="F917" s="8"/>
      <c r="G917" s="8"/>
      <c r="H917" s="8"/>
      <c r="I917" s="8"/>
      <c r="J917" s="8"/>
      <c r="K917" s="8"/>
      <c r="L917" s="8"/>
    </row>
    <row r="918" spans="1:12" x14ac:dyDescent="0.25">
      <c r="A918" s="6"/>
      <c r="C918" s="7"/>
      <c r="E918" s="8"/>
      <c r="F918" s="8"/>
      <c r="G918" s="8"/>
      <c r="H918" s="8"/>
      <c r="I918" s="8"/>
      <c r="J918" s="8"/>
      <c r="K918" s="8"/>
      <c r="L918" s="8"/>
    </row>
    <row r="919" spans="1:12" x14ac:dyDescent="0.25">
      <c r="A919" s="6"/>
      <c r="C919" s="7"/>
      <c r="E919" s="8"/>
      <c r="F919" s="8"/>
      <c r="G919" s="8"/>
      <c r="H919" s="8"/>
      <c r="I919" s="8"/>
      <c r="J919" s="8"/>
      <c r="K919" s="8"/>
      <c r="L919" s="8"/>
    </row>
    <row r="920" spans="1:12" x14ac:dyDescent="0.25">
      <c r="A920" s="6"/>
      <c r="C920" s="7"/>
      <c r="E920" s="8"/>
      <c r="F920" s="8"/>
      <c r="G920" s="8"/>
      <c r="H920" s="8"/>
      <c r="I920" s="8"/>
      <c r="J920" s="8"/>
      <c r="K920" s="8"/>
      <c r="L920" s="8"/>
    </row>
    <row r="921" spans="1:12" x14ac:dyDescent="0.25">
      <c r="A921" s="6"/>
      <c r="C921" s="7"/>
      <c r="E921" s="8"/>
      <c r="F921" s="8"/>
      <c r="G921" s="8"/>
      <c r="H921" s="8"/>
      <c r="I921" s="8"/>
      <c r="J921" s="8"/>
      <c r="K921" s="8"/>
      <c r="L921" s="8"/>
    </row>
    <row r="922" spans="1:12" x14ac:dyDescent="0.25">
      <c r="A922" s="6"/>
      <c r="C922" s="7"/>
      <c r="E922" s="8"/>
      <c r="F922" s="8"/>
      <c r="G922" s="8"/>
      <c r="H922" s="8"/>
      <c r="I922" s="8"/>
      <c r="J922" s="8"/>
      <c r="K922" s="8"/>
      <c r="L922" s="8"/>
    </row>
    <row r="923" spans="1:12" x14ac:dyDescent="0.25">
      <c r="A923" s="6"/>
      <c r="C923" s="7"/>
      <c r="E923" s="8"/>
      <c r="F923" s="8"/>
      <c r="G923" s="8"/>
      <c r="H923" s="8"/>
      <c r="I923" s="8"/>
      <c r="J923" s="8"/>
      <c r="K923" s="8"/>
      <c r="L923" s="8"/>
    </row>
    <row r="924" spans="1:12" x14ac:dyDescent="0.25">
      <c r="A924" s="6"/>
      <c r="C924" s="7"/>
      <c r="E924" s="8"/>
      <c r="F924" s="8"/>
      <c r="G924" s="8"/>
      <c r="H924" s="8"/>
      <c r="I924" s="8"/>
      <c r="J924" s="8"/>
      <c r="K924" s="8"/>
      <c r="L924" s="8"/>
    </row>
    <row r="925" spans="1:12" x14ac:dyDescent="0.25">
      <c r="A925" s="6"/>
      <c r="C925" s="7"/>
      <c r="E925" s="8"/>
      <c r="F925" s="8"/>
      <c r="G925" s="8"/>
      <c r="H925" s="8"/>
      <c r="I925" s="8"/>
      <c r="J925" s="8"/>
      <c r="K925" s="8"/>
      <c r="L925" s="8"/>
    </row>
    <row r="926" spans="1:12" x14ac:dyDescent="0.25">
      <c r="A926" s="6"/>
      <c r="C926" s="7"/>
      <c r="E926" s="8"/>
      <c r="F926" s="8"/>
      <c r="G926" s="8"/>
      <c r="H926" s="8"/>
      <c r="I926" s="8"/>
      <c r="J926" s="8"/>
      <c r="K926" s="8"/>
      <c r="L926" s="8"/>
    </row>
    <row r="927" spans="1:12" x14ac:dyDescent="0.25">
      <c r="C927" s="7"/>
      <c r="E927" s="8"/>
      <c r="F927" s="8"/>
      <c r="G927" s="8"/>
      <c r="H927" s="8"/>
      <c r="I927" s="8"/>
      <c r="J927" s="8"/>
      <c r="K927" s="8"/>
      <c r="L927" s="8"/>
    </row>
    <row r="928" spans="1:12" x14ac:dyDescent="0.25">
      <c r="C928" s="7"/>
      <c r="E928" s="8"/>
      <c r="F928" s="8"/>
      <c r="G928" s="8"/>
      <c r="H928" s="8"/>
      <c r="I928" s="8"/>
      <c r="J928" s="8"/>
      <c r="K928" s="8"/>
      <c r="L928" s="8"/>
    </row>
    <row r="929" spans="3:12" x14ac:dyDescent="0.25">
      <c r="C929" s="7"/>
      <c r="E929" s="8"/>
      <c r="F929" s="8"/>
      <c r="G929" s="8"/>
      <c r="H929" s="8"/>
      <c r="I929" s="8"/>
      <c r="J929" s="8"/>
      <c r="K929" s="8"/>
      <c r="L929" s="8"/>
    </row>
    <row r="930" spans="3:12" x14ac:dyDescent="0.25">
      <c r="C930" s="7"/>
      <c r="E930" s="8"/>
      <c r="F930" s="8"/>
      <c r="G930" s="8"/>
      <c r="H930" s="8"/>
      <c r="I930" s="8"/>
      <c r="J930" s="8"/>
      <c r="K930" s="8"/>
      <c r="L930" s="8"/>
    </row>
    <row r="931" spans="3:12" x14ac:dyDescent="0.25">
      <c r="C931" s="7"/>
      <c r="E931" s="8"/>
      <c r="F931" s="8"/>
      <c r="G931" s="8"/>
      <c r="H931" s="8"/>
      <c r="I931" s="8"/>
      <c r="J931" s="8"/>
      <c r="K931" s="8"/>
      <c r="L931" s="8"/>
    </row>
    <row r="932" spans="3:12" x14ac:dyDescent="0.25">
      <c r="C932" s="7"/>
      <c r="E932" s="8"/>
      <c r="F932" s="8"/>
      <c r="G932" s="8"/>
      <c r="H932" s="8"/>
      <c r="I932" s="8"/>
      <c r="J932" s="8"/>
      <c r="K932" s="8"/>
      <c r="L932" s="8"/>
    </row>
    <row r="933" spans="3:12" x14ac:dyDescent="0.25">
      <c r="C933" s="7"/>
      <c r="E933" s="8"/>
      <c r="F933" s="8"/>
      <c r="G933" s="8"/>
      <c r="H933" s="8"/>
      <c r="I933" s="8"/>
      <c r="J933" s="8"/>
      <c r="K933" s="8"/>
      <c r="L933" s="8"/>
    </row>
    <row r="934" spans="3:12" x14ac:dyDescent="0.25">
      <c r="C934" s="7"/>
      <c r="E934" s="8"/>
      <c r="F934" s="8"/>
      <c r="G934" s="8"/>
      <c r="H934" s="8"/>
      <c r="I934" s="8"/>
      <c r="J934" s="8"/>
      <c r="K934" s="8"/>
      <c r="L934" s="8"/>
    </row>
    <row r="935" spans="3:12" x14ac:dyDescent="0.25">
      <c r="C935" s="7"/>
      <c r="E935" s="8"/>
      <c r="F935" s="8"/>
      <c r="G935" s="8"/>
      <c r="H935" s="8"/>
      <c r="I935" s="8"/>
      <c r="J935" s="8"/>
      <c r="K935" s="8"/>
      <c r="L935" s="8"/>
    </row>
    <row r="936" spans="3:12" x14ac:dyDescent="0.25">
      <c r="C936" s="7"/>
      <c r="E936" s="8"/>
      <c r="F936" s="8"/>
      <c r="G936" s="8"/>
      <c r="H936" s="8"/>
      <c r="I936" s="8"/>
      <c r="J936" s="8"/>
      <c r="K936" s="8"/>
      <c r="L936" s="8"/>
    </row>
    <row r="937" spans="3:12" x14ac:dyDescent="0.25">
      <c r="C937" s="7"/>
      <c r="E937" s="8"/>
      <c r="F937" s="8"/>
      <c r="G937" s="8"/>
      <c r="H937" s="8"/>
      <c r="I937" s="8"/>
      <c r="J937" s="8"/>
      <c r="K937" s="8"/>
      <c r="L937" s="8"/>
    </row>
    <row r="938" spans="3:12" x14ac:dyDescent="0.25">
      <c r="C938" s="7"/>
      <c r="E938" s="8"/>
      <c r="F938" s="8"/>
      <c r="G938" s="8"/>
      <c r="H938" s="8"/>
      <c r="I938" s="8"/>
      <c r="J938" s="8"/>
      <c r="K938" s="8"/>
      <c r="L938" s="8"/>
    </row>
    <row r="939" spans="3:12" x14ac:dyDescent="0.25">
      <c r="C939" s="7"/>
      <c r="E939" s="8"/>
      <c r="F939" s="8"/>
      <c r="G939" s="8"/>
      <c r="H939" s="8"/>
      <c r="I939" s="8"/>
      <c r="J939" s="8"/>
      <c r="K939" s="8"/>
      <c r="L939" s="8"/>
    </row>
    <row r="940" spans="3:12" x14ac:dyDescent="0.25">
      <c r="C940" s="7"/>
      <c r="E940" s="8"/>
      <c r="F940" s="8"/>
      <c r="G940" s="8"/>
      <c r="H940" s="8"/>
      <c r="I940" s="8"/>
      <c r="J940" s="8"/>
      <c r="K940" s="8"/>
      <c r="L940" s="8"/>
    </row>
    <row r="941" spans="3:12" x14ac:dyDescent="0.25">
      <c r="C941" s="7"/>
      <c r="E941" s="8"/>
      <c r="F941" s="8"/>
      <c r="G941" s="8"/>
      <c r="H941" s="8"/>
      <c r="I941" s="8"/>
      <c r="J941" s="8"/>
      <c r="K941" s="8"/>
      <c r="L941" s="8"/>
    </row>
    <row r="942" spans="3:12" x14ac:dyDescent="0.25">
      <c r="C942" s="7"/>
      <c r="E942" s="8"/>
      <c r="F942" s="8"/>
      <c r="G942" s="8"/>
      <c r="H942" s="8"/>
      <c r="I942" s="8"/>
      <c r="J942" s="8"/>
      <c r="K942" s="8"/>
      <c r="L942" s="8"/>
    </row>
    <row r="943" spans="3:12" x14ac:dyDescent="0.25">
      <c r="C943" s="7"/>
      <c r="E943" s="8"/>
      <c r="F943" s="8"/>
      <c r="G943" s="8"/>
      <c r="H943" s="8"/>
      <c r="I943" s="8"/>
      <c r="J943" s="8"/>
      <c r="K943" s="8"/>
      <c r="L943" s="8"/>
    </row>
    <row r="944" spans="3:12" x14ac:dyDescent="0.25">
      <c r="C944" s="7"/>
      <c r="E944" s="8"/>
      <c r="F944" s="8"/>
      <c r="G944" s="8"/>
      <c r="H944" s="8"/>
      <c r="I944" s="8"/>
      <c r="J944" s="8"/>
      <c r="K944" s="8"/>
      <c r="L944" s="8"/>
    </row>
    <row r="945" spans="3:12" x14ac:dyDescent="0.25">
      <c r="C945" s="7"/>
      <c r="E945" s="8"/>
      <c r="F945" s="8"/>
      <c r="G945" s="8"/>
      <c r="H945" s="8"/>
      <c r="I945" s="8"/>
      <c r="J945" s="8"/>
      <c r="K945" s="8"/>
      <c r="L945" s="8"/>
    </row>
    <row r="946" spans="3:12" x14ac:dyDescent="0.25">
      <c r="C946" s="7"/>
      <c r="E946" s="8"/>
      <c r="F946" s="8"/>
      <c r="G946" s="8"/>
      <c r="H946" s="8"/>
      <c r="I946" s="8"/>
      <c r="J946" s="8"/>
      <c r="K946" s="8"/>
      <c r="L946" s="8"/>
    </row>
    <row r="947" spans="3:12" x14ac:dyDescent="0.25">
      <c r="C947" s="7"/>
      <c r="E947" s="8"/>
      <c r="F947" s="8"/>
      <c r="G947" s="8"/>
      <c r="H947" s="8"/>
      <c r="I947" s="8"/>
      <c r="J947" s="8"/>
      <c r="K947" s="8"/>
      <c r="L947" s="8"/>
    </row>
    <row r="948" spans="3:12" x14ac:dyDescent="0.25">
      <c r="C948" s="7"/>
      <c r="E948" s="8"/>
      <c r="F948" s="8"/>
      <c r="G948" s="8"/>
      <c r="H948" s="8"/>
      <c r="I948" s="8"/>
      <c r="J948" s="8"/>
      <c r="K948" s="8"/>
      <c r="L948" s="8"/>
    </row>
    <row r="949" spans="3:12" x14ac:dyDescent="0.25">
      <c r="C949" s="7"/>
      <c r="E949" s="8"/>
      <c r="F949" s="8"/>
      <c r="G949" s="8"/>
      <c r="H949" s="8"/>
      <c r="I949" s="8"/>
      <c r="J949" s="8"/>
      <c r="K949" s="8"/>
      <c r="L949" s="8"/>
    </row>
    <row r="950" spans="3:12" x14ac:dyDescent="0.25">
      <c r="C950" s="7"/>
      <c r="E950" s="8"/>
      <c r="F950" s="8"/>
      <c r="G950" s="8"/>
      <c r="H950" s="8"/>
      <c r="I950" s="8"/>
      <c r="J950" s="8"/>
      <c r="K950" s="8"/>
      <c r="L950" s="8"/>
    </row>
    <row r="951" spans="3:12" x14ac:dyDescent="0.25">
      <c r="C951" s="7"/>
      <c r="E951" s="8"/>
      <c r="F951" s="8"/>
      <c r="G951" s="8"/>
      <c r="H951" s="8"/>
      <c r="I951" s="8"/>
      <c r="J951" s="8"/>
      <c r="K951" s="8"/>
      <c r="L951" s="8"/>
    </row>
    <row r="952" spans="3:12" x14ac:dyDescent="0.25">
      <c r="C952" s="7"/>
      <c r="E952" s="8"/>
      <c r="F952" s="8"/>
      <c r="G952" s="8"/>
      <c r="H952" s="8"/>
      <c r="I952" s="8"/>
      <c r="J952" s="8"/>
      <c r="K952" s="8"/>
      <c r="L952" s="8"/>
    </row>
    <row r="953" spans="3:12" x14ac:dyDescent="0.25">
      <c r="C953" s="7"/>
      <c r="E953" s="8"/>
      <c r="F953" s="8"/>
      <c r="G953" s="8"/>
      <c r="H953" s="8"/>
      <c r="I953" s="8"/>
      <c r="J953" s="8"/>
      <c r="K953" s="8"/>
      <c r="L953" s="8"/>
    </row>
    <row r="954" spans="3:12" x14ac:dyDescent="0.25">
      <c r="C954" s="7"/>
      <c r="E954" s="8"/>
      <c r="F954" s="8"/>
      <c r="G954" s="8"/>
      <c r="H954" s="8"/>
      <c r="I954" s="8"/>
      <c r="J954" s="8"/>
      <c r="K954" s="8"/>
      <c r="L954" s="8"/>
    </row>
    <row r="955" spans="3:12" x14ac:dyDescent="0.25">
      <c r="C955" s="7"/>
      <c r="E955" s="8"/>
      <c r="F955" s="8"/>
      <c r="G955" s="8"/>
      <c r="H955" s="8"/>
      <c r="I955" s="8"/>
      <c r="J955" s="8"/>
      <c r="K955" s="8"/>
      <c r="L955" s="8"/>
    </row>
    <row r="956" spans="3:12" x14ac:dyDescent="0.25">
      <c r="C956" s="7"/>
      <c r="E956" s="8"/>
      <c r="F956" s="8"/>
      <c r="G956" s="8"/>
      <c r="H956" s="8"/>
      <c r="I956" s="8"/>
      <c r="J956" s="8"/>
      <c r="K956" s="8"/>
      <c r="L956" s="8"/>
    </row>
    <row r="957" spans="3:12" x14ac:dyDescent="0.25">
      <c r="C957" s="7"/>
      <c r="E957" s="8"/>
      <c r="F957" s="8"/>
      <c r="G957" s="8"/>
      <c r="H957" s="8"/>
      <c r="I957" s="8"/>
      <c r="J957" s="8"/>
      <c r="K957" s="8"/>
      <c r="L957" s="8"/>
    </row>
    <row r="958" spans="3:12" x14ac:dyDescent="0.25">
      <c r="C958" s="7"/>
      <c r="E958" s="8"/>
      <c r="F958" s="8"/>
      <c r="G958" s="8"/>
      <c r="H958" s="8"/>
      <c r="I958" s="8"/>
      <c r="J958" s="8"/>
      <c r="K958" s="8"/>
      <c r="L958" s="8"/>
    </row>
    <row r="959" spans="3:12" x14ac:dyDescent="0.25">
      <c r="C959" s="7"/>
      <c r="E959" s="8"/>
      <c r="F959" s="8"/>
      <c r="G959" s="8"/>
      <c r="H959" s="8"/>
      <c r="I959" s="8"/>
      <c r="J959" s="8"/>
      <c r="K959" s="8"/>
      <c r="L959" s="8"/>
    </row>
    <row r="960" spans="3:12" x14ac:dyDescent="0.25">
      <c r="C960" s="7"/>
      <c r="E960" s="8"/>
      <c r="F960" s="8"/>
      <c r="G960" s="8"/>
      <c r="H960" s="8"/>
      <c r="I960" s="8"/>
      <c r="J960" s="8"/>
      <c r="K960" s="8"/>
      <c r="L960" s="8"/>
    </row>
    <row r="961" spans="3:12" x14ac:dyDescent="0.25">
      <c r="C961" s="7"/>
      <c r="E961" s="8"/>
      <c r="F961" s="8"/>
      <c r="G961" s="8"/>
      <c r="H961" s="8"/>
      <c r="I961" s="8"/>
      <c r="J961" s="8"/>
      <c r="K961" s="8"/>
      <c r="L961" s="8"/>
    </row>
    <row r="962" spans="3:12" x14ac:dyDescent="0.25">
      <c r="C962" s="7"/>
      <c r="E962" s="8"/>
      <c r="F962" s="8"/>
      <c r="G962" s="8"/>
      <c r="H962" s="8"/>
      <c r="I962" s="8"/>
      <c r="J962" s="8"/>
      <c r="K962" s="8"/>
      <c r="L962" s="8"/>
    </row>
    <row r="963" spans="3:12" x14ac:dyDescent="0.25">
      <c r="C963" s="7"/>
      <c r="E963" s="8"/>
      <c r="F963" s="8"/>
      <c r="G963" s="8"/>
      <c r="H963" s="8"/>
      <c r="I963" s="8"/>
      <c r="J963" s="8"/>
      <c r="K963" s="8"/>
      <c r="L963" s="8"/>
    </row>
    <row r="964" spans="3:12" x14ac:dyDescent="0.25">
      <c r="C964" s="7"/>
      <c r="E964" s="8"/>
      <c r="F964" s="8"/>
      <c r="G964" s="8"/>
      <c r="H964" s="8"/>
      <c r="I964" s="8"/>
      <c r="J964" s="8"/>
      <c r="K964" s="8"/>
      <c r="L964" s="8"/>
    </row>
    <row r="965" spans="3:12" x14ac:dyDescent="0.25">
      <c r="C965" s="7"/>
      <c r="E965" s="8"/>
      <c r="F965" s="8"/>
      <c r="G965" s="8"/>
      <c r="H965" s="8"/>
      <c r="I965" s="8"/>
      <c r="J965" s="8"/>
      <c r="K965" s="8"/>
      <c r="L965" s="8"/>
    </row>
    <row r="966" spans="3:12" x14ac:dyDescent="0.25">
      <c r="C966" s="7"/>
      <c r="E966" s="8"/>
      <c r="F966" s="8"/>
      <c r="G966" s="8"/>
      <c r="H966" s="8"/>
      <c r="I966" s="8"/>
      <c r="J966" s="8"/>
      <c r="K966" s="8"/>
      <c r="L966" s="8"/>
    </row>
    <row r="967" spans="3:12" x14ac:dyDescent="0.25">
      <c r="C967" s="7"/>
      <c r="E967" s="8"/>
      <c r="F967" s="8"/>
      <c r="G967" s="8"/>
      <c r="H967" s="8"/>
      <c r="I967" s="8"/>
      <c r="J967" s="8"/>
      <c r="K967" s="8"/>
      <c r="L967" s="8"/>
    </row>
    <row r="968" spans="3:12" x14ac:dyDescent="0.25">
      <c r="C968" s="7"/>
      <c r="E968" s="8"/>
      <c r="F968" s="8"/>
      <c r="G968" s="8"/>
      <c r="H968" s="8"/>
      <c r="I968" s="8"/>
      <c r="J968" s="8"/>
      <c r="K968" s="8"/>
      <c r="L968" s="8"/>
    </row>
    <row r="969" spans="3:12" x14ac:dyDescent="0.25">
      <c r="C969" s="7"/>
      <c r="E969" s="8"/>
      <c r="F969" s="8"/>
      <c r="G969" s="8"/>
      <c r="H969" s="8"/>
      <c r="I969" s="8"/>
      <c r="J969" s="8"/>
      <c r="K969" s="8"/>
      <c r="L969" s="8"/>
    </row>
    <row r="970" spans="3:12" x14ac:dyDescent="0.25">
      <c r="C970" s="7"/>
      <c r="E970" s="8"/>
      <c r="F970" s="8"/>
      <c r="G970" s="8"/>
      <c r="H970" s="8"/>
      <c r="I970" s="8"/>
      <c r="J970" s="8"/>
      <c r="K970" s="8"/>
      <c r="L970" s="8"/>
    </row>
    <row r="971" spans="3:12" x14ac:dyDescent="0.25">
      <c r="C971" s="7"/>
      <c r="E971" s="8"/>
      <c r="F971" s="8"/>
      <c r="G971" s="8"/>
      <c r="H971" s="8"/>
      <c r="I971" s="8"/>
      <c r="J971" s="8"/>
      <c r="K971" s="8"/>
      <c r="L971" s="8"/>
    </row>
    <row r="972" spans="3:12" x14ac:dyDescent="0.25">
      <c r="C972" s="7"/>
      <c r="E972" s="8"/>
      <c r="F972" s="8"/>
      <c r="G972" s="8"/>
      <c r="H972" s="8"/>
      <c r="I972" s="8"/>
      <c r="J972" s="8"/>
      <c r="K972" s="8"/>
      <c r="L972" s="8"/>
    </row>
    <row r="973" spans="3:12" x14ac:dyDescent="0.25">
      <c r="C973" s="7"/>
      <c r="E973" s="8"/>
      <c r="F973" s="8"/>
      <c r="G973" s="8"/>
      <c r="H973" s="8"/>
      <c r="I973" s="8"/>
      <c r="J973" s="8"/>
      <c r="K973" s="8"/>
      <c r="L973" s="8"/>
    </row>
    <row r="974" spans="3:12" x14ac:dyDescent="0.25">
      <c r="C974" s="7"/>
      <c r="E974" s="8"/>
      <c r="F974" s="8"/>
      <c r="G974" s="8"/>
      <c r="H974" s="8"/>
      <c r="I974" s="8"/>
      <c r="J974" s="8"/>
      <c r="K974" s="8"/>
      <c r="L974" s="8"/>
    </row>
    <row r="975" spans="3:12" x14ac:dyDescent="0.25">
      <c r="C975" s="7"/>
      <c r="E975" s="8"/>
      <c r="F975" s="8"/>
      <c r="G975" s="8"/>
      <c r="H975" s="8"/>
      <c r="I975" s="8"/>
      <c r="J975" s="8"/>
      <c r="K975" s="8"/>
      <c r="L975" s="8"/>
    </row>
    <row r="976" spans="3:12" x14ac:dyDescent="0.25">
      <c r="C976" s="7"/>
      <c r="E976" s="8"/>
      <c r="F976" s="8"/>
      <c r="G976" s="8"/>
      <c r="H976" s="8"/>
      <c r="I976" s="8"/>
      <c r="J976" s="8"/>
      <c r="K976" s="8"/>
      <c r="L976" s="8"/>
    </row>
    <row r="977" spans="3:12" x14ac:dyDescent="0.25">
      <c r="C977" s="7"/>
      <c r="E977" s="8"/>
      <c r="F977" s="8"/>
      <c r="G977" s="8"/>
      <c r="H977" s="8"/>
      <c r="I977" s="8"/>
      <c r="J977" s="8"/>
      <c r="K977" s="8"/>
      <c r="L977" s="8"/>
    </row>
    <row r="978" spans="3:12" x14ac:dyDescent="0.25">
      <c r="C978" s="7"/>
      <c r="E978" s="8"/>
      <c r="F978" s="8"/>
      <c r="G978" s="8"/>
      <c r="H978" s="8"/>
      <c r="I978" s="8"/>
      <c r="J978" s="8"/>
      <c r="K978" s="8"/>
      <c r="L978" s="8"/>
    </row>
    <row r="979" spans="3:12" x14ac:dyDescent="0.25">
      <c r="C979" s="7"/>
      <c r="E979" s="8"/>
      <c r="F979" s="8"/>
      <c r="G979" s="8"/>
      <c r="H979" s="8"/>
      <c r="I979" s="8"/>
      <c r="J979" s="8"/>
      <c r="K979" s="8"/>
      <c r="L979" s="8"/>
    </row>
    <row r="980" spans="3:12" x14ac:dyDescent="0.25">
      <c r="C980" s="7"/>
      <c r="E980" s="8"/>
      <c r="F980" s="8"/>
      <c r="G980" s="8"/>
      <c r="H980" s="8"/>
      <c r="I980" s="8"/>
      <c r="J980" s="8"/>
      <c r="K980" s="8"/>
      <c r="L980" s="8"/>
    </row>
    <row r="981" spans="3:12" x14ac:dyDescent="0.25">
      <c r="C981" s="7"/>
      <c r="E981" s="8"/>
      <c r="F981" s="8"/>
      <c r="G981" s="8"/>
      <c r="H981" s="8"/>
      <c r="I981" s="8"/>
      <c r="J981" s="8"/>
      <c r="K981" s="8"/>
      <c r="L981" s="8"/>
    </row>
    <row r="982" spans="3:12" x14ac:dyDescent="0.25">
      <c r="C982" s="7"/>
      <c r="E982" s="8"/>
      <c r="F982" s="8"/>
      <c r="G982" s="8"/>
      <c r="H982" s="8"/>
      <c r="I982" s="8"/>
      <c r="J982" s="8"/>
      <c r="K982" s="8"/>
      <c r="L982" s="8"/>
    </row>
    <row r="983" spans="3:12" x14ac:dyDescent="0.25">
      <c r="C983" s="7"/>
      <c r="E983" s="8"/>
      <c r="F983" s="8"/>
      <c r="G983" s="8"/>
      <c r="H983" s="8"/>
      <c r="I983" s="8"/>
      <c r="J983" s="8"/>
      <c r="K983" s="8"/>
      <c r="L983" s="8"/>
    </row>
    <row r="984" spans="3:12" x14ac:dyDescent="0.25">
      <c r="C984" s="7"/>
      <c r="E984" s="8"/>
      <c r="F984" s="8"/>
      <c r="G984" s="8"/>
      <c r="H984" s="8"/>
      <c r="I984" s="8"/>
      <c r="J984" s="8"/>
      <c r="K984" s="8"/>
      <c r="L984" s="8"/>
    </row>
    <row r="985" spans="3:12" x14ac:dyDescent="0.25">
      <c r="C985" s="7"/>
      <c r="E985" s="8"/>
      <c r="F985" s="8"/>
      <c r="G985" s="8"/>
      <c r="H985" s="8"/>
      <c r="I985" s="8"/>
      <c r="J985" s="8"/>
      <c r="K985" s="8"/>
      <c r="L985" s="8"/>
    </row>
    <row r="986" spans="3:12" x14ac:dyDescent="0.25">
      <c r="C986" s="7"/>
      <c r="E986" s="8"/>
      <c r="F986" s="8"/>
      <c r="G986" s="8"/>
      <c r="H986" s="8"/>
      <c r="I986" s="8"/>
      <c r="J986" s="8"/>
      <c r="K986" s="8"/>
      <c r="L986" s="8"/>
    </row>
    <row r="987" spans="3:12" x14ac:dyDescent="0.25">
      <c r="C987" s="7"/>
      <c r="E987" s="8"/>
      <c r="F987" s="8"/>
      <c r="G987" s="8"/>
      <c r="H987" s="8"/>
      <c r="I987" s="8"/>
      <c r="J987" s="8"/>
      <c r="K987" s="8"/>
      <c r="L987" s="8"/>
    </row>
    <row r="988" spans="3:12" x14ac:dyDescent="0.25">
      <c r="C988" s="7"/>
      <c r="E988" s="8"/>
      <c r="F988" s="8"/>
      <c r="G988" s="8"/>
      <c r="H988" s="8"/>
      <c r="I988" s="8"/>
      <c r="J988" s="8"/>
      <c r="K988" s="8"/>
      <c r="L988" s="8"/>
    </row>
    <row r="989" spans="3:12" x14ac:dyDescent="0.25">
      <c r="C989" s="7"/>
      <c r="E989" s="8"/>
      <c r="F989" s="8"/>
      <c r="G989" s="8"/>
      <c r="H989" s="8"/>
      <c r="I989" s="8"/>
      <c r="J989" s="8"/>
      <c r="K989" s="8"/>
      <c r="L989" s="8"/>
    </row>
    <row r="990" spans="3:12" x14ac:dyDescent="0.25">
      <c r="C990" s="7"/>
      <c r="E990" s="8"/>
      <c r="F990" s="8"/>
      <c r="G990" s="8"/>
      <c r="H990" s="8"/>
      <c r="I990" s="8"/>
      <c r="J990" s="8"/>
      <c r="K990" s="8"/>
      <c r="L990" s="8"/>
    </row>
    <row r="991" spans="3:12" x14ac:dyDescent="0.25">
      <c r="C991" s="7"/>
      <c r="E991" s="8"/>
      <c r="F991" s="8"/>
      <c r="G991" s="8"/>
      <c r="H991" s="8"/>
      <c r="I991" s="8"/>
      <c r="J991" s="8"/>
      <c r="K991" s="8"/>
      <c r="L991" s="8"/>
    </row>
    <row r="992" spans="3:12" x14ac:dyDescent="0.25">
      <c r="C992" s="7"/>
      <c r="E992" s="8"/>
      <c r="F992" s="8"/>
      <c r="G992" s="8"/>
      <c r="H992" s="8"/>
      <c r="I992" s="8"/>
      <c r="J992" s="8"/>
      <c r="K992" s="8"/>
      <c r="L992" s="8"/>
    </row>
    <row r="993" spans="3:12" x14ac:dyDescent="0.25">
      <c r="C993" s="7"/>
      <c r="E993" s="8"/>
      <c r="F993" s="8"/>
      <c r="G993" s="8"/>
      <c r="H993" s="8"/>
      <c r="I993" s="8"/>
      <c r="J993" s="8"/>
      <c r="K993" s="8"/>
      <c r="L993" s="8"/>
    </row>
    <row r="994" spans="3:12" x14ac:dyDescent="0.25">
      <c r="C994" s="7"/>
      <c r="E994" s="8"/>
      <c r="F994" s="8"/>
      <c r="G994" s="8"/>
      <c r="H994" s="8"/>
      <c r="I994" s="8"/>
      <c r="J994" s="8"/>
      <c r="K994" s="8"/>
      <c r="L994" s="8"/>
    </row>
    <row r="995" spans="3:12" x14ac:dyDescent="0.25">
      <c r="C995" s="7"/>
      <c r="E995" s="8"/>
      <c r="F995" s="8"/>
      <c r="G995" s="8"/>
      <c r="H995" s="8"/>
      <c r="I995" s="8"/>
      <c r="J995" s="8"/>
      <c r="K995" s="8"/>
      <c r="L995" s="8"/>
    </row>
    <row r="996" spans="3:12" x14ac:dyDescent="0.25">
      <c r="C996" s="7"/>
      <c r="E996" s="8"/>
      <c r="F996" s="8"/>
      <c r="G996" s="8"/>
      <c r="H996" s="8"/>
      <c r="I996" s="8"/>
      <c r="J996" s="8"/>
      <c r="K996" s="8"/>
      <c r="L996" s="8"/>
    </row>
    <row r="997" spans="3:12" x14ac:dyDescent="0.25">
      <c r="C997" s="7"/>
      <c r="E997" s="8"/>
      <c r="F997" s="8"/>
      <c r="G997" s="8"/>
      <c r="H997" s="8"/>
      <c r="I997" s="8"/>
      <c r="J997" s="8"/>
      <c r="K997" s="8"/>
      <c r="L997" s="8"/>
    </row>
    <row r="998" spans="3:12" x14ac:dyDescent="0.25">
      <c r="C998" s="7"/>
      <c r="E998" s="8"/>
      <c r="F998" s="8"/>
      <c r="G998" s="8"/>
      <c r="H998" s="8"/>
      <c r="I998" s="8"/>
      <c r="J998" s="8"/>
      <c r="K998" s="8"/>
      <c r="L998" s="8"/>
    </row>
    <row r="999" spans="3:12" x14ac:dyDescent="0.25">
      <c r="C999" s="7"/>
      <c r="E999" s="8"/>
      <c r="F999" s="8"/>
      <c r="G999" s="8"/>
      <c r="H999" s="8"/>
      <c r="I999" s="8"/>
      <c r="J999" s="8"/>
      <c r="K999" s="8"/>
      <c r="L999" s="8"/>
    </row>
    <row r="1000" spans="3:12" x14ac:dyDescent="0.25">
      <c r="C1000" s="7"/>
      <c r="E1000" s="8"/>
      <c r="F1000" s="8"/>
      <c r="G1000" s="8"/>
      <c r="H1000" s="8"/>
      <c r="I1000" s="8"/>
      <c r="J1000" s="8"/>
      <c r="K1000" s="8"/>
      <c r="L1000" s="8"/>
    </row>
    <row r="1001" spans="3:12" x14ac:dyDescent="0.25">
      <c r="C1001" s="7"/>
      <c r="E1001" s="8"/>
      <c r="F1001" s="8"/>
      <c r="G1001" s="8"/>
      <c r="H1001" s="8"/>
      <c r="I1001" s="8"/>
      <c r="J1001" s="8"/>
      <c r="K1001" s="8"/>
      <c r="L1001" s="8"/>
    </row>
    <row r="1002" spans="3:12" x14ac:dyDescent="0.25">
      <c r="C1002" s="7"/>
      <c r="E1002" s="8"/>
      <c r="F1002" s="8"/>
      <c r="G1002" s="8"/>
      <c r="H1002" s="8"/>
      <c r="I1002" s="8"/>
      <c r="J1002" s="8"/>
      <c r="K1002" s="8"/>
      <c r="L1002" s="8"/>
    </row>
    <row r="1003" spans="3:12" x14ac:dyDescent="0.25">
      <c r="C1003" s="7"/>
      <c r="E1003" s="8"/>
      <c r="F1003" s="8"/>
      <c r="G1003" s="8"/>
      <c r="H1003" s="8"/>
      <c r="I1003" s="8"/>
      <c r="J1003" s="8"/>
      <c r="K1003" s="8"/>
      <c r="L1003" s="8"/>
    </row>
    <row r="1004" spans="3:12" x14ac:dyDescent="0.25">
      <c r="C1004" s="7"/>
      <c r="E1004" s="8"/>
      <c r="F1004" s="8"/>
      <c r="G1004" s="8"/>
      <c r="H1004" s="8"/>
      <c r="I1004" s="8"/>
      <c r="J1004" s="8"/>
      <c r="K1004" s="8"/>
      <c r="L1004" s="8"/>
    </row>
    <row r="1005" spans="3:12" x14ac:dyDescent="0.25">
      <c r="C1005" s="7"/>
      <c r="E1005" s="8"/>
      <c r="F1005" s="8"/>
      <c r="G1005" s="8"/>
      <c r="H1005" s="8"/>
      <c r="I1005" s="8"/>
      <c r="J1005" s="8"/>
      <c r="K1005" s="8"/>
      <c r="L1005" s="8"/>
    </row>
    <row r="1006" spans="3:12" x14ac:dyDescent="0.25">
      <c r="C1006" s="7"/>
      <c r="E1006" s="8"/>
      <c r="F1006" s="8"/>
      <c r="G1006" s="8"/>
      <c r="H1006" s="8"/>
      <c r="I1006" s="8"/>
      <c r="J1006" s="8"/>
      <c r="K1006" s="8"/>
      <c r="L1006" s="8"/>
    </row>
    <row r="1007" spans="3:12" x14ac:dyDescent="0.25">
      <c r="C1007" s="7"/>
      <c r="E1007" s="8"/>
      <c r="F1007" s="8"/>
      <c r="G1007" s="8"/>
      <c r="H1007" s="8"/>
      <c r="I1007" s="8"/>
      <c r="J1007" s="8"/>
      <c r="K1007" s="8"/>
      <c r="L1007" s="8"/>
    </row>
    <row r="1008" spans="3:12" x14ac:dyDescent="0.25">
      <c r="C1008" s="7"/>
      <c r="E1008" s="8"/>
      <c r="F1008" s="8"/>
      <c r="G1008" s="8"/>
      <c r="H1008" s="8"/>
      <c r="I1008" s="8"/>
      <c r="J1008" s="8"/>
      <c r="K1008" s="8"/>
      <c r="L1008" s="8"/>
    </row>
    <row r="1009" spans="3:12" x14ac:dyDescent="0.25">
      <c r="C1009" s="7"/>
      <c r="E1009" s="8"/>
      <c r="F1009" s="8"/>
      <c r="G1009" s="8"/>
      <c r="H1009" s="8"/>
      <c r="I1009" s="8"/>
      <c r="J1009" s="8"/>
      <c r="K1009" s="8"/>
      <c r="L1009" s="8"/>
    </row>
    <row r="1010" spans="3:12" x14ac:dyDescent="0.25">
      <c r="C1010" s="7"/>
      <c r="E1010" s="8"/>
      <c r="F1010" s="8"/>
      <c r="G1010" s="8"/>
      <c r="H1010" s="8"/>
      <c r="I1010" s="8"/>
      <c r="J1010" s="8"/>
      <c r="K1010" s="8"/>
      <c r="L1010" s="8"/>
    </row>
    <row r="1011" spans="3:12" x14ac:dyDescent="0.25">
      <c r="C1011" s="7"/>
      <c r="E1011" s="8"/>
      <c r="F1011" s="8"/>
      <c r="G1011" s="8"/>
      <c r="H1011" s="8"/>
      <c r="I1011" s="8"/>
      <c r="J1011" s="8"/>
      <c r="K1011" s="8"/>
      <c r="L1011" s="8"/>
    </row>
    <row r="1012" spans="3:12" x14ac:dyDescent="0.25">
      <c r="C1012" s="7"/>
      <c r="E1012" s="8"/>
      <c r="F1012" s="8"/>
      <c r="G1012" s="8"/>
      <c r="H1012" s="8"/>
      <c r="I1012" s="8"/>
      <c r="J1012" s="8"/>
      <c r="K1012" s="8"/>
      <c r="L1012" s="8"/>
    </row>
    <row r="1013" spans="3:12" x14ac:dyDescent="0.25">
      <c r="C1013" s="7"/>
      <c r="E1013" s="8"/>
      <c r="F1013" s="8"/>
      <c r="G1013" s="8"/>
      <c r="H1013" s="8"/>
      <c r="I1013" s="8"/>
      <c r="J1013" s="8"/>
      <c r="K1013" s="8"/>
      <c r="L1013" s="8"/>
    </row>
    <row r="1014" spans="3:12" x14ac:dyDescent="0.25">
      <c r="C1014" s="7"/>
      <c r="E1014" s="8"/>
      <c r="F1014" s="8"/>
      <c r="G1014" s="8"/>
      <c r="H1014" s="8"/>
      <c r="I1014" s="8"/>
      <c r="J1014" s="8"/>
      <c r="K1014" s="8"/>
      <c r="L1014" s="8"/>
    </row>
    <row r="1015" spans="3:12" x14ac:dyDescent="0.25">
      <c r="C1015" s="7"/>
      <c r="E1015" s="8"/>
      <c r="F1015" s="8"/>
      <c r="G1015" s="8"/>
      <c r="H1015" s="8"/>
      <c r="I1015" s="8"/>
      <c r="J1015" s="8"/>
      <c r="K1015" s="8"/>
      <c r="L1015" s="8"/>
    </row>
    <row r="1016" spans="3:12" x14ac:dyDescent="0.25">
      <c r="C1016" s="7"/>
      <c r="E1016" s="8"/>
      <c r="F1016" s="8"/>
      <c r="G1016" s="8"/>
      <c r="H1016" s="8"/>
      <c r="I1016" s="8"/>
      <c r="J1016" s="8"/>
      <c r="K1016" s="8"/>
      <c r="L1016" s="8"/>
    </row>
    <row r="1017" spans="3:12" x14ac:dyDescent="0.25">
      <c r="C1017" s="7"/>
      <c r="E1017" s="8"/>
      <c r="F1017" s="8"/>
      <c r="G1017" s="8"/>
      <c r="H1017" s="8"/>
      <c r="I1017" s="8"/>
      <c r="J1017" s="8"/>
      <c r="K1017" s="8"/>
      <c r="L1017" s="8"/>
    </row>
    <row r="1018" spans="3:12" x14ac:dyDescent="0.25">
      <c r="C1018" s="7"/>
      <c r="E1018" s="8"/>
      <c r="F1018" s="8"/>
      <c r="G1018" s="8"/>
      <c r="H1018" s="8"/>
      <c r="I1018" s="8"/>
      <c r="J1018" s="8"/>
      <c r="K1018" s="8"/>
      <c r="L1018" s="8"/>
    </row>
    <row r="1019" spans="3:12" x14ac:dyDescent="0.25">
      <c r="C1019" s="7"/>
      <c r="E1019" s="8"/>
      <c r="F1019" s="8"/>
      <c r="G1019" s="8"/>
      <c r="H1019" s="8"/>
      <c r="I1019" s="8"/>
      <c r="J1019" s="8"/>
      <c r="K1019" s="8"/>
      <c r="L1019" s="8"/>
    </row>
    <row r="1020" spans="3:12" x14ac:dyDescent="0.25">
      <c r="C1020" s="7"/>
      <c r="E1020" s="8"/>
      <c r="F1020" s="8"/>
      <c r="G1020" s="8"/>
      <c r="H1020" s="8"/>
      <c r="I1020" s="8"/>
      <c r="J1020" s="8"/>
      <c r="K1020" s="8"/>
      <c r="L1020" s="8"/>
    </row>
    <row r="1021" spans="3:12" x14ac:dyDescent="0.25">
      <c r="C1021" s="7"/>
      <c r="E1021" s="8"/>
      <c r="F1021" s="8"/>
      <c r="G1021" s="8"/>
      <c r="H1021" s="8"/>
      <c r="I1021" s="8"/>
      <c r="J1021" s="8"/>
      <c r="K1021" s="8"/>
      <c r="L1021" s="8"/>
    </row>
    <row r="1022" spans="3:12" x14ac:dyDescent="0.25">
      <c r="C1022" s="7"/>
      <c r="E1022" s="8"/>
      <c r="F1022" s="8"/>
      <c r="G1022" s="8"/>
      <c r="H1022" s="8"/>
      <c r="I1022" s="8"/>
      <c r="J1022" s="8"/>
      <c r="K1022" s="8"/>
      <c r="L1022" s="8"/>
    </row>
    <row r="1023" spans="3:12" x14ac:dyDescent="0.25">
      <c r="C1023" s="7"/>
      <c r="E1023" s="8"/>
      <c r="F1023" s="8"/>
      <c r="G1023" s="8"/>
      <c r="H1023" s="8"/>
      <c r="I1023" s="8"/>
      <c r="J1023" s="8"/>
      <c r="K1023" s="8"/>
      <c r="L1023" s="8"/>
    </row>
    <row r="1024" spans="3:12" x14ac:dyDescent="0.25">
      <c r="C1024" s="7"/>
      <c r="E1024" s="8"/>
      <c r="F1024" s="8"/>
      <c r="G1024" s="8"/>
      <c r="H1024" s="8"/>
      <c r="I1024" s="8"/>
      <c r="J1024" s="8"/>
      <c r="K1024" s="8"/>
      <c r="L1024" s="8"/>
    </row>
    <row r="1025" spans="3:12" x14ac:dyDescent="0.25">
      <c r="C1025" s="7"/>
      <c r="E1025" s="8"/>
      <c r="F1025" s="8"/>
      <c r="G1025" s="8"/>
      <c r="H1025" s="8"/>
      <c r="I1025" s="8"/>
      <c r="J1025" s="8"/>
      <c r="K1025" s="8"/>
      <c r="L1025" s="8"/>
    </row>
    <row r="1026" spans="3:12" x14ac:dyDescent="0.25">
      <c r="C1026" s="7"/>
      <c r="E1026" s="8"/>
      <c r="F1026" s="8"/>
      <c r="G1026" s="8"/>
      <c r="H1026" s="8"/>
      <c r="I1026" s="8"/>
      <c r="J1026" s="8"/>
      <c r="K1026" s="8"/>
      <c r="L1026" s="8"/>
    </row>
    <row r="1027" spans="3:12" x14ac:dyDescent="0.25">
      <c r="C1027" s="7"/>
      <c r="E1027" s="8"/>
      <c r="F1027" s="8"/>
      <c r="G1027" s="8"/>
      <c r="H1027" s="8"/>
      <c r="I1027" s="8"/>
      <c r="J1027" s="8"/>
      <c r="K1027" s="8"/>
      <c r="L1027" s="8"/>
    </row>
    <row r="1028" spans="3:12" x14ac:dyDescent="0.25">
      <c r="C1028" s="7"/>
      <c r="E1028" s="8"/>
      <c r="F1028" s="8"/>
      <c r="G1028" s="8"/>
      <c r="H1028" s="8"/>
      <c r="I1028" s="8"/>
      <c r="J1028" s="8"/>
      <c r="K1028" s="8"/>
      <c r="L1028" s="8"/>
    </row>
    <row r="1029" spans="3:12" x14ac:dyDescent="0.25">
      <c r="C1029" s="7"/>
      <c r="E1029" s="8"/>
      <c r="F1029" s="8"/>
      <c r="G1029" s="8"/>
      <c r="H1029" s="8"/>
      <c r="I1029" s="8"/>
      <c r="J1029" s="8"/>
      <c r="K1029" s="8"/>
      <c r="L1029" s="8"/>
    </row>
    <row r="1030" spans="3:12" x14ac:dyDescent="0.25">
      <c r="C1030" s="7"/>
      <c r="E1030" s="8"/>
      <c r="F1030" s="8"/>
      <c r="G1030" s="8"/>
      <c r="H1030" s="8"/>
      <c r="I1030" s="8"/>
      <c r="J1030" s="8"/>
      <c r="K1030" s="8"/>
      <c r="L1030" s="8"/>
    </row>
    <row r="1031" spans="3:12" x14ac:dyDescent="0.25">
      <c r="C1031" s="7"/>
      <c r="E1031" s="8"/>
      <c r="F1031" s="8"/>
      <c r="G1031" s="8"/>
      <c r="H1031" s="8"/>
      <c r="I1031" s="8"/>
      <c r="J1031" s="8"/>
      <c r="K1031" s="8"/>
      <c r="L1031" s="8"/>
    </row>
    <row r="1032" spans="3:12" x14ac:dyDescent="0.25">
      <c r="C1032" s="7"/>
      <c r="E1032" s="8"/>
      <c r="F1032" s="8"/>
      <c r="G1032" s="8"/>
      <c r="H1032" s="8"/>
      <c r="I1032" s="8"/>
      <c r="J1032" s="8"/>
      <c r="K1032" s="8"/>
      <c r="L1032" s="8"/>
    </row>
    <row r="1033" spans="3:12" x14ac:dyDescent="0.25">
      <c r="C1033" s="7"/>
      <c r="E1033" s="8"/>
      <c r="F1033" s="8"/>
      <c r="G1033" s="8"/>
      <c r="H1033" s="8"/>
      <c r="I1033" s="8"/>
      <c r="J1033" s="8"/>
      <c r="K1033" s="8"/>
      <c r="L1033" s="8"/>
    </row>
    <row r="1034" spans="3:12" x14ac:dyDescent="0.25">
      <c r="C1034" s="7"/>
      <c r="E1034" s="8"/>
      <c r="F1034" s="8"/>
      <c r="G1034" s="8"/>
      <c r="H1034" s="8"/>
      <c r="I1034" s="8"/>
      <c r="J1034" s="8"/>
      <c r="K1034" s="8"/>
      <c r="L1034" s="8"/>
    </row>
    <row r="1035" spans="3:12" x14ac:dyDescent="0.25">
      <c r="C1035" s="7"/>
      <c r="E1035" s="8"/>
      <c r="F1035" s="8"/>
      <c r="G1035" s="8"/>
      <c r="H1035" s="8"/>
      <c r="I1035" s="8"/>
      <c r="J1035" s="8"/>
      <c r="K1035" s="8"/>
      <c r="L1035" s="8"/>
    </row>
    <row r="1036" spans="3:12" x14ac:dyDescent="0.25">
      <c r="C1036" s="7"/>
      <c r="E1036" s="8"/>
      <c r="F1036" s="8"/>
      <c r="G1036" s="8"/>
      <c r="H1036" s="8"/>
      <c r="I1036" s="8"/>
      <c r="J1036" s="8"/>
      <c r="K1036" s="8"/>
      <c r="L1036" s="8"/>
    </row>
    <row r="1037" spans="3:12" x14ac:dyDescent="0.25">
      <c r="C1037" s="7"/>
      <c r="E1037" s="8"/>
      <c r="F1037" s="8"/>
      <c r="G1037" s="8"/>
      <c r="H1037" s="8"/>
      <c r="I1037" s="8"/>
      <c r="J1037" s="8"/>
      <c r="K1037" s="8"/>
      <c r="L1037" s="8"/>
    </row>
    <row r="1038" spans="3:12" x14ac:dyDescent="0.25">
      <c r="C1038" s="7"/>
      <c r="E1038" s="8"/>
      <c r="F1038" s="8"/>
      <c r="G1038" s="8"/>
      <c r="H1038" s="8"/>
      <c r="I1038" s="8"/>
      <c r="J1038" s="8"/>
      <c r="K1038" s="8"/>
      <c r="L1038" s="8"/>
    </row>
    <row r="1039" spans="3:12" x14ac:dyDescent="0.25">
      <c r="C1039" s="7"/>
      <c r="E1039" s="8"/>
      <c r="F1039" s="8"/>
      <c r="G1039" s="8"/>
      <c r="H1039" s="8"/>
      <c r="I1039" s="8"/>
      <c r="J1039" s="8"/>
      <c r="K1039" s="8"/>
      <c r="L1039" s="8"/>
    </row>
    <row r="1040" spans="3:12" x14ac:dyDescent="0.25">
      <c r="C1040" s="7"/>
      <c r="E1040" s="8"/>
      <c r="F1040" s="8"/>
      <c r="G1040" s="8"/>
      <c r="H1040" s="8"/>
      <c r="I1040" s="8"/>
      <c r="J1040" s="8"/>
      <c r="K1040" s="8"/>
      <c r="L1040" s="8"/>
    </row>
    <row r="1041" spans="3:12" x14ac:dyDescent="0.25">
      <c r="C1041" s="7"/>
      <c r="E1041" s="8"/>
      <c r="F1041" s="8"/>
      <c r="G1041" s="8"/>
      <c r="H1041" s="8"/>
      <c r="I1041" s="8"/>
      <c r="J1041" s="8"/>
      <c r="K1041" s="8"/>
      <c r="L1041" s="8"/>
    </row>
    <row r="1042" spans="3:12" x14ac:dyDescent="0.25">
      <c r="C1042" s="7"/>
      <c r="E1042" s="8"/>
      <c r="F1042" s="8"/>
      <c r="G1042" s="8"/>
      <c r="H1042" s="8"/>
      <c r="I1042" s="8"/>
      <c r="J1042" s="8"/>
      <c r="K1042" s="8"/>
      <c r="L1042" s="8"/>
    </row>
    <row r="1043" spans="3:12" x14ac:dyDescent="0.25">
      <c r="C1043" s="7"/>
      <c r="E1043" s="8"/>
      <c r="F1043" s="8"/>
      <c r="G1043" s="8"/>
      <c r="H1043" s="8"/>
      <c r="I1043" s="8"/>
      <c r="J1043" s="8"/>
      <c r="K1043" s="8"/>
      <c r="L1043" s="8"/>
    </row>
    <row r="1044" spans="3:12" x14ac:dyDescent="0.25">
      <c r="C1044" s="7"/>
      <c r="E1044" s="8"/>
      <c r="F1044" s="8"/>
      <c r="G1044" s="8"/>
      <c r="H1044" s="8"/>
      <c r="I1044" s="8"/>
      <c r="J1044" s="8"/>
      <c r="K1044" s="8"/>
      <c r="L1044" s="8"/>
    </row>
    <row r="1045" spans="3:12" x14ac:dyDescent="0.25">
      <c r="C1045" s="7"/>
      <c r="E1045" s="8"/>
      <c r="F1045" s="8"/>
      <c r="G1045" s="8"/>
      <c r="H1045" s="8"/>
      <c r="I1045" s="8"/>
      <c r="J1045" s="8"/>
      <c r="K1045" s="8"/>
      <c r="L1045" s="8"/>
    </row>
    <row r="1046" spans="3:12" x14ac:dyDescent="0.25">
      <c r="C1046" s="7"/>
      <c r="E1046" s="8"/>
      <c r="F1046" s="8"/>
      <c r="G1046" s="8"/>
      <c r="H1046" s="8"/>
      <c r="I1046" s="8"/>
      <c r="J1046" s="8"/>
      <c r="K1046" s="8"/>
      <c r="L1046" s="8"/>
    </row>
    <row r="1047" spans="3:12" x14ac:dyDescent="0.25">
      <c r="C1047" s="7"/>
      <c r="E1047" s="8"/>
      <c r="F1047" s="8"/>
      <c r="G1047" s="8"/>
      <c r="H1047" s="8"/>
      <c r="I1047" s="8"/>
      <c r="J1047" s="8"/>
      <c r="K1047" s="8"/>
      <c r="L1047" s="8"/>
    </row>
    <row r="1048" spans="3:12" x14ac:dyDescent="0.25">
      <c r="C1048" s="7"/>
      <c r="E1048" s="8"/>
      <c r="F1048" s="8"/>
      <c r="G1048" s="8"/>
      <c r="H1048" s="8"/>
      <c r="I1048" s="8"/>
      <c r="J1048" s="8"/>
      <c r="K1048" s="8"/>
      <c r="L1048" s="8"/>
    </row>
    <row r="1049" spans="3:12" x14ac:dyDescent="0.25">
      <c r="C1049" s="7"/>
      <c r="E1049" s="8"/>
      <c r="F1049" s="8"/>
      <c r="G1049" s="8"/>
      <c r="H1049" s="8"/>
      <c r="I1049" s="8"/>
      <c r="J1049" s="8"/>
      <c r="K1049" s="8"/>
      <c r="L1049" s="8"/>
    </row>
    <row r="1050" spans="3:12" x14ac:dyDescent="0.25">
      <c r="C1050" s="7"/>
      <c r="E1050" s="8"/>
      <c r="F1050" s="8"/>
      <c r="G1050" s="8"/>
      <c r="H1050" s="8"/>
      <c r="I1050" s="8"/>
      <c r="J1050" s="8"/>
      <c r="K1050" s="8"/>
      <c r="L1050" s="8"/>
    </row>
    <row r="1051" spans="3:12" x14ac:dyDescent="0.25">
      <c r="C1051" s="7"/>
      <c r="E1051" s="8"/>
      <c r="F1051" s="8"/>
      <c r="G1051" s="8"/>
      <c r="H1051" s="8"/>
      <c r="I1051" s="8"/>
      <c r="J1051" s="8"/>
      <c r="K1051" s="8"/>
      <c r="L1051" s="8"/>
    </row>
    <row r="1052" spans="3:12" x14ac:dyDescent="0.25">
      <c r="C1052" s="7"/>
      <c r="E1052" s="8"/>
      <c r="F1052" s="8"/>
      <c r="G1052" s="8"/>
      <c r="H1052" s="8"/>
      <c r="I1052" s="8"/>
      <c r="J1052" s="8"/>
      <c r="K1052" s="8"/>
      <c r="L1052" s="8"/>
    </row>
    <row r="1053" spans="3:12" x14ac:dyDescent="0.25">
      <c r="C1053" s="7"/>
      <c r="E1053" s="8"/>
      <c r="F1053" s="8"/>
      <c r="G1053" s="8"/>
      <c r="H1053" s="8"/>
      <c r="I1053" s="8"/>
      <c r="J1053" s="8"/>
      <c r="K1053" s="8"/>
      <c r="L1053" s="8"/>
    </row>
    <row r="1054" spans="3:12" x14ac:dyDescent="0.25">
      <c r="C1054" s="7"/>
      <c r="E1054" s="8"/>
      <c r="F1054" s="8"/>
      <c r="G1054" s="8"/>
      <c r="H1054" s="8"/>
      <c r="I1054" s="8"/>
      <c r="J1054" s="8"/>
      <c r="K1054" s="8"/>
      <c r="L1054" s="8"/>
    </row>
    <row r="1055" spans="3:12" x14ac:dyDescent="0.25">
      <c r="C1055" s="7"/>
      <c r="E1055" s="8"/>
      <c r="F1055" s="8"/>
      <c r="G1055" s="8"/>
      <c r="H1055" s="8"/>
      <c r="I1055" s="8"/>
      <c r="J1055" s="8"/>
      <c r="K1055" s="8"/>
      <c r="L1055" s="8"/>
    </row>
    <row r="1056" spans="3:12" x14ac:dyDescent="0.25">
      <c r="C1056" s="7"/>
      <c r="E1056" s="8"/>
      <c r="F1056" s="8"/>
      <c r="G1056" s="8"/>
      <c r="H1056" s="8"/>
      <c r="I1056" s="8"/>
      <c r="J1056" s="8"/>
      <c r="K1056" s="8"/>
      <c r="L1056" s="8"/>
    </row>
    <row r="1057" spans="3:12" x14ac:dyDescent="0.25">
      <c r="C1057" s="7"/>
      <c r="E1057" s="8"/>
      <c r="F1057" s="8"/>
      <c r="G1057" s="8"/>
      <c r="H1057" s="8"/>
      <c r="I1057" s="8"/>
      <c r="J1057" s="8"/>
      <c r="K1057" s="8"/>
      <c r="L1057" s="8"/>
    </row>
    <row r="1058" spans="3:12" x14ac:dyDescent="0.25">
      <c r="C1058" s="7"/>
      <c r="E1058" s="8"/>
      <c r="F1058" s="8"/>
      <c r="G1058" s="8"/>
      <c r="H1058" s="8"/>
      <c r="I1058" s="8"/>
      <c r="J1058" s="8"/>
      <c r="K1058" s="8"/>
      <c r="L1058" s="8"/>
    </row>
    <row r="1059" spans="3:12" x14ac:dyDescent="0.25">
      <c r="C1059" s="7"/>
      <c r="E1059" s="8"/>
      <c r="F1059" s="8"/>
      <c r="G1059" s="8"/>
      <c r="H1059" s="8"/>
      <c r="I1059" s="8"/>
      <c r="J1059" s="8"/>
      <c r="K1059" s="8"/>
      <c r="L1059" s="8"/>
    </row>
    <row r="1060" spans="3:12" x14ac:dyDescent="0.25">
      <c r="C1060" s="7"/>
      <c r="E1060" s="8"/>
      <c r="F1060" s="8"/>
      <c r="G1060" s="8"/>
      <c r="H1060" s="8"/>
      <c r="I1060" s="8"/>
      <c r="J1060" s="8"/>
      <c r="K1060" s="8"/>
      <c r="L1060" s="8"/>
    </row>
    <row r="1061" spans="3:12" x14ac:dyDescent="0.25">
      <c r="C1061" s="7"/>
      <c r="E1061" s="8"/>
      <c r="F1061" s="8"/>
      <c r="G1061" s="8"/>
      <c r="H1061" s="8"/>
      <c r="I1061" s="8"/>
      <c r="J1061" s="8"/>
      <c r="K1061" s="8"/>
      <c r="L1061" s="8"/>
    </row>
    <row r="1062" spans="3:12" x14ac:dyDescent="0.25">
      <c r="C1062" s="7"/>
      <c r="E1062" s="8"/>
      <c r="F1062" s="8"/>
      <c r="G1062" s="8"/>
      <c r="H1062" s="8"/>
      <c r="I1062" s="8"/>
      <c r="J1062" s="8"/>
      <c r="K1062" s="8"/>
      <c r="L1062" s="8"/>
    </row>
    <row r="1063" spans="3:12" x14ac:dyDescent="0.25">
      <c r="C1063" s="7"/>
      <c r="E1063" s="8"/>
      <c r="F1063" s="8"/>
      <c r="G1063" s="8"/>
      <c r="H1063" s="8"/>
      <c r="I1063" s="8"/>
      <c r="J1063" s="8"/>
      <c r="K1063" s="8"/>
      <c r="L1063" s="8"/>
    </row>
    <row r="1064" spans="3:12" x14ac:dyDescent="0.25">
      <c r="C1064" s="7"/>
      <c r="E1064" s="8"/>
      <c r="F1064" s="8"/>
      <c r="G1064" s="8"/>
      <c r="H1064" s="8"/>
      <c r="I1064" s="8"/>
      <c r="J1064" s="8"/>
      <c r="K1064" s="8"/>
      <c r="L1064" s="8"/>
    </row>
    <row r="1065" spans="3:12" x14ac:dyDescent="0.25">
      <c r="C1065" s="7"/>
      <c r="E1065" s="8"/>
      <c r="F1065" s="8"/>
      <c r="G1065" s="8"/>
      <c r="H1065" s="8"/>
      <c r="I1065" s="8"/>
      <c r="J1065" s="8"/>
      <c r="K1065" s="8"/>
      <c r="L1065" s="8"/>
    </row>
    <row r="1066" spans="3:12" x14ac:dyDescent="0.25">
      <c r="C1066" s="7"/>
      <c r="E1066" s="8"/>
      <c r="F1066" s="8"/>
      <c r="G1066" s="8"/>
      <c r="H1066" s="8"/>
      <c r="I1066" s="8"/>
      <c r="J1066" s="8"/>
      <c r="K1066" s="8"/>
      <c r="L1066" s="8"/>
    </row>
    <row r="1067" spans="3:12" x14ac:dyDescent="0.25">
      <c r="C1067" s="7"/>
      <c r="E1067" s="8"/>
      <c r="F1067" s="8"/>
      <c r="G1067" s="8"/>
      <c r="H1067" s="8"/>
      <c r="I1067" s="8"/>
      <c r="J1067" s="8"/>
      <c r="K1067" s="8"/>
      <c r="L1067" s="8"/>
    </row>
    <row r="1068" spans="3:12" x14ac:dyDescent="0.25">
      <c r="C1068" s="7"/>
      <c r="E1068" s="8"/>
      <c r="F1068" s="8"/>
      <c r="G1068" s="8"/>
      <c r="H1068" s="8"/>
      <c r="I1068" s="8"/>
      <c r="J1068" s="8"/>
      <c r="K1068" s="8"/>
      <c r="L1068" s="8"/>
    </row>
    <row r="1069" spans="3:12" x14ac:dyDescent="0.25">
      <c r="C1069" s="7"/>
      <c r="E1069" s="8"/>
      <c r="F1069" s="8"/>
      <c r="G1069" s="8"/>
      <c r="H1069" s="8"/>
      <c r="I1069" s="8"/>
      <c r="J1069" s="8"/>
      <c r="K1069" s="8"/>
      <c r="L1069" s="8"/>
    </row>
    <row r="1070" spans="3:12" x14ac:dyDescent="0.25">
      <c r="C1070" s="7"/>
      <c r="E1070" s="8"/>
      <c r="F1070" s="8"/>
      <c r="G1070" s="8"/>
      <c r="H1070" s="8"/>
      <c r="I1070" s="8"/>
      <c r="J1070" s="8"/>
      <c r="K1070" s="8"/>
      <c r="L1070" s="8"/>
    </row>
    <row r="1071" spans="3:12" x14ac:dyDescent="0.25">
      <c r="C1071" s="7"/>
      <c r="E1071" s="8"/>
      <c r="F1071" s="8"/>
      <c r="G1071" s="8"/>
      <c r="H1071" s="8"/>
      <c r="I1071" s="8"/>
      <c r="J1071" s="8"/>
      <c r="K1071" s="8"/>
      <c r="L1071" s="8"/>
    </row>
    <row r="1072" spans="3:12" x14ac:dyDescent="0.25">
      <c r="C1072" s="7"/>
      <c r="E1072" s="8"/>
      <c r="F1072" s="8"/>
      <c r="G1072" s="8"/>
      <c r="H1072" s="8"/>
      <c r="I1072" s="8"/>
      <c r="J1072" s="8"/>
      <c r="K1072" s="8"/>
      <c r="L1072" s="8"/>
    </row>
    <row r="1073" spans="3:12" x14ac:dyDescent="0.25">
      <c r="C1073" s="7"/>
      <c r="E1073" s="8"/>
      <c r="F1073" s="8"/>
      <c r="G1073" s="8"/>
      <c r="H1073" s="8"/>
      <c r="I1073" s="8"/>
      <c r="J1073" s="8"/>
      <c r="K1073" s="8"/>
      <c r="L1073" s="8"/>
    </row>
    <row r="1074" spans="3:12" x14ac:dyDescent="0.25">
      <c r="C1074" s="7"/>
      <c r="E1074" s="8"/>
      <c r="F1074" s="8"/>
      <c r="G1074" s="8"/>
      <c r="H1074" s="8"/>
      <c r="I1074" s="8"/>
      <c r="J1074" s="8"/>
      <c r="K1074" s="8"/>
      <c r="L1074" s="8"/>
    </row>
    <row r="1075" spans="3:12" x14ac:dyDescent="0.25">
      <c r="C1075" s="7"/>
      <c r="E1075" s="8"/>
      <c r="F1075" s="8"/>
      <c r="G1075" s="8"/>
      <c r="H1075" s="8"/>
      <c r="I1075" s="8"/>
      <c r="J1075" s="8"/>
      <c r="K1075" s="8"/>
      <c r="L1075" s="8"/>
    </row>
    <row r="1076" spans="3:12" x14ac:dyDescent="0.25">
      <c r="C1076" s="7"/>
      <c r="E1076" s="8"/>
      <c r="F1076" s="8"/>
      <c r="G1076" s="8"/>
      <c r="H1076" s="8"/>
      <c r="I1076" s="8"/>
      <c r="J1076" s="8"/>
      <c r="K1076" s="8"/>
      <c r="L1076" s="8"/>
    </row>
    <row r="1077" spans="3:12" x14ac:dyDescent="0.25">
      <c r="C1077" s="7"/>
      <c r="E1077" s="8"/>
      <c r="F1077" s="8"/>
      <c r="G1077" s="8"/>
      <c r="H1077" s="8"/>
      <c r="I1077" s="8"/>
      <c r="J1077" s="8"/>
      <c r="K1077" s="8"/>
      <c r="L1077" s="8"/>
    </row>
    <row r="1078" spans="3:12" x14ac:dyDescent="0.25">
      <c r="C1078" s="7"/>
      <c r="E1078" s="8"/>
      <c r="F1078" s="8"/>
      <c r="G1078" s="8"/>
      <c r="H1078" s="8"/>
      <c r="I1078" s="8"/>
      <c r="J1078" s="8"/>
      <c r="K1078" s="8"/>
      <c r="L1078" s="8"/>
    </row>
    <row r="1079" spans="3:12" x14ac:dyDescent="0.25">
      <c r="C1079" s="7"/>
      <c r="E1079" s="8"/>
      <c r="F1079" s="8"/>
      <c r="G1079" s="8"/>
      <c r="H1079" s="8"/>
      <c r="I1079" s="8"/>
      <c r="J1079" s="8"/>
      <c r="K1079" s="8"/>
      <c r="L1079" s="8"/>
    </row>
    <row r="1080" spans="3:12" x14ac:dyDescent="0.25">
      <c r="C1080" s="7"/>
      <c r="E1080" s="8"/>
      <c r="F1080" s="8"/>
      <c r="G1080" s="8"/>
      <c r="H1080" s="8"/>
      <c r="I1080" s="8"/>
      <c r="J1080" s="8"/>
      <c r="K1080" s="8"/>
      <c r="L1080" s="8"/>
    </row>
    <row r="1081" spans="3:12" x14ac:dyDescent="0.25">
      <c r="C1081" s="7"/>
      <c r="E1081" s="8"/>
      <c r="F1081" s="8"/>
      <c r="G1081" s="8"/>
      <c r="H1081" s="8"/>
      <c r="I1081" s="8"/>
      <c r="J1081" s="8"/>
      <c r="K1081" s="8"/>
      <c r="L1081" s="8"/>
    </row>
    <row r="1082" spans="3:12" x14ac:dyDescent="0.25">
      <c r="C1082" s="7"/>
      <c r="E1082" s="8"/>
      <c r="F1082" s="8"/>
      <c r="G1082" s="8"/>
      <c r="H1082" s="8"/>
      <c r="I1082" s="8"/>
      <c r="J1082" s="8"/>
      <c r="K1082" s="8"/>
      <c r="L1082" s="8"/>
    </row>
    <row r="1083" spans="3:12" x14ac:dyDescent="0.25">
      <c r="C1083" s="7"/>
      <c r="E1083" s="8"/>
      <c r="F1083" s="8"/>
      <c r="G1083" s="8"/>
      <c r="H1083" s="8"/>
      <c r="I1083" s="8"/>
      <c r="J1083" s="8"/>
      <c r="K1083" s="8"/>
      <c r="L1083" s="8"/>
    </row>
    <row r="1084" spans="3:12" x14ac:dyDescent="0.25">
      <c r="C1084" s="7"/>
      <c r="E1084" s="8"/>
      <c r="F1084" s="8"/>
      <c r="G1084" s="8"/>
      <c r="H1084" s="8"/>
      <c r="I1084" s="8"/>
      <c r="J1084" s="8"/>
      <c r="K1084" s="8"/>
      <c r="L1084" s="8"/>
    </row>
    <row r="1085" spans="3:12" x14ac:dyDescent="0.25">
      <c r="C1085" s="7"/>
      <c r="E1085" s="8"/>
      <c r="F1085" s="8"/>
      <c r="G1085" s="8"/>
      <c r="H1085" s="8"/>
      <c r="I1085" s="8"/>
      <c r="J1085" s="8"/>
      <c r="K1085" s="8"/>
      <c r="L1085" s="8"/>
    </row>
    <row r="1086" spans="3:12" x14ac:dyDescent="0.25">
      <c r="C1086" s="7"/>
      <c r="E1086" s="8"/>
      <c r="F1086" s="8"/>
      <c r="G1086" s="8"/>
      <c r="H1086" s="8"/>
      <c r="I1086" s="8"/>
      <c r="J1086" s="8"/>
      <c r="K1086" s="8"/>
      <c r="L1086" s="8"/>
    </row>
    <row r="1087" spans="3:12" x14ac:dyDescent="0.25">
      <c r="C1087" s="7"/>
      <c r="E1087" s="8"/>
      <c r="F1087" s="8"/>
      <c r="G1087" s="8"/>
      <c r="H1087" s="8"/>
      <c r="I1087" s="8"/>
      <c r="J1087" s="8"/>
      <c r="K1087" s="8"/>
      <c r="L1087" s="8"/>
    </row>
    <row r="1088" spans="3:12" x14ac:dyDescent="0.25">
      <c r="C1088" s="7"/>
      <c r="E1088" s="8"/>
      <c r="F1088" s="8"/>
      <c r="G1088" s="8"/>
      <c r="H1088" s="8"/>
      <c r="I1088" s="8"/>
      <c r="J1088" s="8"/>
      <c r="K1088" s="8"/>
      <c r="L1088" s="8"/>
    </row>
    <row r="1089" spans="3:12" x14ac:dyDescent="0.25">
      <c r="C1089" s="7"/>
      <c r="E1089" s="8"/>
      <c r="F1089" s="8"/>
      <c r="G1089" s="8"/>
      <c r="H1089" s="8"/>
      <c r="I1089" s="8"/>
      <c r="J1089" s="8"/>
      <c r="K1089" s="8"/>
      <c r="L1089" s="8"/>
    </row>
    <row r="1090" spans="3:12" x14ac:dyDescent="0.25">
      <c r="C1090" s="7"/>
      <c r="E1090" s="8"/>
      <c r="F1090" s="8"/>
      <c r="G1090" s="8"/>
      <c r="H1090" s="8"/>
      <c r="I1090" s="8"/>
      <c r="J1090" s="8"/>
      <c r="K1090" s="8"/>
      <c r="L1090" s="8"/>
    </row>
    <row r="1091" spans="3:12" x14ac:dyDescent="0.25">
      <c r="C1091" s="7"/>
      <c r="E1091" s="8"/>
      <c r="F1091" s="8"/>
      <c r="G1091" s="8"/>
      <c r="H1091" s="8"/>
      <c r="I1091" s="8"/>
      <c r="J1091" s="8"/>
      <c r="K1091" s="8"/>
      <c r="L1091" s="8"/>
    </row>
    <row r="1092" spans="3:12" x14ac:dyDescent="0.25">
      <c r="C1092" s="7"/>
      <c r="E1092" s="8"/>
      <c r="F1092" s="8"/>
      <c r="G1092" s="8"/>
      <c r="H1092" s="8"/>
      <c r="I1092" s="8"/>
      <c r="J1092" s="8"/>
      <c r="K1092" s="8"/>
      <c r="L1092" s="8"/>
    </row>
    <row r="1093" spans="3:12" x14ac:dyDescent="0.25">
      <c r="C1093" s="7"/>
      <c r="E1093" s="8"/>
      <c r="F1093" s="8"/>
      <c r="G1093" s="8"/>
      <c r="H1093" s="8"/>
      <c r="I1093" s="8"/>
      <c r="J1093" s="8"/>
      <c r="K1093" s="8"/>
      <c r="L1093" s="8"/>
    </row>
    <row r="1094" spans="3:12" x14ac:dyDescent="0.25">
      <c r="C1094" s="7"/>
      <c r="E1094" s="8"/>
      <c r="F1094" s="8"/>
      <c r="G1094" s="8"/>
      <c r="H1094" s="8"/>
      <c r="I1094" s="8"/>
      <c r="J1094" s="8"/>
      <c r="K1094" s="8"/>
      <c r="L1094" s="8"/>
    </row>
    <row r="1095" spans="3:12" x14ac:dyDescent="0.25">
      <c r="C1095" s="7"/>
      <c r="E1095" s="8"/>
      <c r="F1095" s="8"/>
      <c r="G1095" s="8"/>
      <c r="H1095" s="8"/>
      <c r="I1095" s="8"/>
      <c r="J1095" s="8"/>
      <c r="K1095" s="8"/>
      <c r="L1095" s="8"/>
    </row>
    <row r="1096" spans="3:12" x14ac:dyDescent="0.25">
      <c r="C1096" s="7"/>
      <c r="E1096" s="8"/>
      <c r="F1096" s="8"/>
      <c r="G1096" s="8"/>
      <c r="H1096" s="8"/>
      <c r="I1096" s="8"/>
      <c r="J1096" s="8"/>
      <c r="K1096" s="8"/>
      <c r="L1096" s="8"/>
    </row>
    <row r="1097" spans="3:12" x14ac:dyDescent="0.25">
      <c r="C1097" s="7"/>
      <c r="E1097" s="8"/>
      <c r="F1097" s="8"/>
      <c r="G1097" s="8"/>
      <c r="H1097" s="8"/>
      <c r="I1097" s="8"/>
      <c r="J1097" s="8"/>
      <c r="K1097" s="8"/>
      <c r="L1097" s="8"/>
    </row>
    <row r="1098" spans="3:12" x14ac:dyDescent="0.25">
      <c r="C1098" s="7"/>
      <c r="E1098" s="8"/>
      <c r="F1098" s="8"/>
      <c r="G1098" s="8"/>
      <c r="H1098" s="8"/>
      <c r="I1098" s="8"/>
      <c r="J1098" s="8"/>
      <c r="K1098" s="8"/>
      <c r="L1098" s="8"/>
    </row>
    <row r="1099" spans="3:12" x14ac:dyDescent="0.25">
      <c r="C1099" s="7"/>
      <c r="E1099" s="8"/>
      <c r="F1099" s="8"/>
      <c r="G1099" s="8"/>
      <c r="H1099" s="8"/>
      <c r="I1099" s="8"/>
      <c r="J1099" s="8"/>
      <c r="K1099" s="8"/>
      <c r="L1099" s="8"/>
    </row>
    <row r="1100" spans="3:12" x14ac:dyDescent="0.25">
      <c r="C1100" s="7"/>
      <c r="E1100" s="8"/>
      <c r="F1100" s="8"/>
      <c r="G1100" s="8"/>
      <c r="H1100" s="8"/>
      <c r="I1100" s="8"/>
      <c r="J1100" s="8"/>
      <c r="K1100" s="8"/>
      <c r="L1100" s="8"/>
    </row>
    <row r="1101" spans="3:12" x14ac:dyDescent="0.25">
      <c r="C1101" s="7"/>
      <c r="E1101" s="8"/>
      <c r="F1101" s="8"/>
      <c r="G1101" s="8"/>
      <c r="H1101" s="8"/>
      <c r="I1101" s="8"/>
      <c r="J1101" s="8"/>
      <c r="K1101" s="8"/>
      <c r="L1101" s="8"/>
    </row>
    <row r="1102" spans="3:12" x14ac:dyDescent="0.25">
      <c r="C1102" s="7"/>
      <c r="E1102" s="8"/>
      <c r="F1102" s="8"/>
      <c r="G1102" s="8"/>
      <c r="H1102" s="8"/>
      <c r="I1102" s="8"/>
      <c r="J1102" s="8"/>
      <c r="K1102" s="8"/>
      <c r="L1102" s="8"/>
    </row>
    <row r="1103" spans="3:12" x14ac:dyDescent="0.25">
      <c r="C1103" s="7"/>
      <c r="E1103" s="8"/>
      <c r="F1103" s="8"/>
      <c r="G1103" s="8"/>
      <c r="H1103" s="8"/>
      <c r="I1103" s="8"/>
      <c r="J1103" s="8"/>
      <c r="K1103" s="8"/>
      <c r="L1103" s="8"/>
    </row>
    <row r="1104" spans="3:12" x14ac:dyDescent="0.25">
      <c r="C1104" s="7"/>
      <c r="E1104" s="8"/>
      <c r="F1104" s="8"/>
      <c r="G1104" s="8"/>
      <c r="H1104" s="8"/>
      <c r="I1104" s="8"/>
      <c r="J1104" s="8"/>
      <c r="K1104" s="8"/>
      <c r="L1104" s="8"/>
    </row>
    <row r="1105" spans="3:12" x14ac:dyDescent="0.25">
      <c r="C1105" s="7"/>
      <c r="E1105" s="8"/>
      <c r="F1105" s="8"/>
      <c r="G1105" s="8"/>
      <c r="H1105" s="8"/>
      <c r="I1105" s="8"/>
      <c r="J1105" s="8"/>
      <c r="K1105" s="8"/>
      <c r="L1105" s="8"/>
    </row>
    <row r="1106" spans="3:12" x14ac:dyDescent="0.25">
      <c r="C1106" s="7"/>
      <c r="E1106" s="8"/>
      <c r="F1106" s="8"/>
      <c r="G1106" s="8"/>
      <c r="H1106" s="8"/>
      <c r="I1106" s="8"/>
      <c r="J1106" s="8"/>
      <c r="K1106" s="8"/>
      <c r="L1106" s="8"/>
    </row>
    <row r="1107" spans="3:12" x14ac:dyDescent="0.25">
      <c r="C1107" s="7"/>
      <c r="E1107" s="8"/>
      <c r="F1107" s="8"/>
      <c r="G1107" s="8"/>
      <c r="H1107" s="8"/>
      <c r="I1107" s="8"/>
      <c r="J1107" s="8"/>
      <c r="K1107" s="8"/>
      <c r="L1107" s="8"/>
    </row>
    <row r="1108" spans="3:12" x14ac:dyDescent="0.25">
      <c r="C1108" s="7"/>
      <c r="E1108" s="8"/>
      <c r="F1108" s="8"/>
      <c r="G1108" s="8"/>
      <c r="H1108" s="8"/>
      <c r="I1108" s="8"/>
      <c r="J1108" s="8"/>
      <c r="K1108" s="8"/>
      <c r="L1108" s="8"/>
    </row>
    <row r="1109" spans="3:12" x14ac:dyDescent="0.25">
      <c r="C1109" s="7"/>
      <c r="E1109" s="8"/>
      <c r="F1109" s="8"/>
      <c r="G1109" s="8"/>
      <c r="H1109" s="8"/>
      <c r="I1109" s="8"/>
      <c r="J1109" s="8"/>
      <c r="K1109" s="8"/>
      <c r="L1109" s="8"/>
    </row>
    <row r="1110" spans="3:12" x14ac:dyDescent="0.25">
      <c r="C1110" s="7"/>
      <c r="E1110" s="8"/>
      <c r="F1110" s="8"/>
      <c r="G1110" s="8"/>
      <c r="H1110" s="8"/>
      <c r="I1110" s="8"/>
      <c r="J1110" s="8"/>
      <c r="K1110" s="8"/>
      <c r="L1110" s="8"/>
    </row>
    <row r="1111" spans="3:12" x14ac:dyDescent="0.25">
      <c r="C1111" s="7"/>
      <c r="E1111" s="8"/>
      <c r="F1111" s="8"/>
      <c r="G1111" s="8"/>
      <c r="H1111" s="8"/>
      <c r="I1111" s="8"/>
      <c r="J1111" s="8"/>
      <c r="K1111" s="8"/>
      <c r="L1111" s="8"/>
    </row>
    <row r="1112" spans="3:12" x14ac:dyDescent="0.25">
      <c r="C1112" s="7"/>
      <c r="E1112" s="8"/>
      <c r="F1112" s="8"/>
      <c r="G1112" s="8"/>
      <c r="H1112" s="8"/>
      <c r="I1112" s="8"/>
      <c r="J1112" s="8"/>
      <c r="K1112" s="8"/>
      <c r="L1112" s="8"/>
    </row>
    <row r="1113" spans="3:12" x14ac:dyDescent="0.25">
      <c r="C1113" s="7"/>
      <c r="E1113" s="8"/>
      <c r="F1113" s="8"/>
      <c r="G1113" s="8"/>
      <c r="H1113" s="8"/>
      <c r="I1113" s="8"/>
      <c r="J1113" s="8"/>
      <c r="K1113" s="8"/>
      <c r="L1113" s="8"/>
    </row>
    <row r="1114" spans="3:12" x14ac:dyDescent="0.25">
      <c r="C1114" s="7"/>
      <c r="E1114" s="8"/>
      <c r="F1114" s="8"/>
      <c r="G1114" s="8"/>
      <c r="H1114" s="8"/>
      <c r="I1114" s="8"/>
      <c r="J1114" s="8"/>
      <c r="K1114" s="8"/>
      <c r="L1114" s="8"/>
    </row>
    <row r="1115" spans="3:12" x14ac:dyDescent="0.25">
      <c r="C1115" s="7"/>
      <c r="E1115" s="8"/>
      <c r="F1115" s="8"/>
      <c r="G1115" s="8"/>
      <c r="H1115" s="8"/>
      <c r="I1115" s="8"/>
      <c r="J1115" s="8"/>
      <c r="K1115" s="8"/>
      <c r="L1115" s="8"/>
    </row>
    <row r="1116" spans="3:12" x14ac:dyDescent="0.25">
      <c r="C1116" s="7"/>
      <c r="E1116" s="8"/>
      <c r="F1116" s="8"/>
      <c r="G1116" s="8"/>
      <c r="H1116" s="8"/>
      <c r="I1116" s="8"/>
      <c r="J1116" s="8"/>
      <c r="K1116" s="8"/>
      <c r="L1116" s="8"/>
    </row>
    <row r="1117" spans="3:12" x14ac:dyDescent="0.25">
      <c r="C1117" s="7"/>
      <c r="E1117" s="8"/>
      <c r="F1117" s="8"/>
      <c r="G1117" s="8"/>
      <c r="H1117" s="8"/>
      <c r="I1117" s="8"/>
      <c r="J1117" s="8"/>
      <c r="K1117" s="8"/>
      <c r="L1117" s="8"/>
    </row>
    <row r="1118" spans="3:12" x14ac:dyDescent="0.25">
      <c r="C1118" s="7"/>
      <c r="E1118" s="8"/>
      <c r="F1118" s="8"/>
      <c r="G1118" s="8"/>
      <c r="H1118" s="8"/>
      <c r="I1118" s="8"/>
      <c r="J1118" s="8"/>
      <c r="K1118" s="8"/>
      <c r="L1118" s="8"/>
    </row>
    <row r="1119" spans="3:12" x14ac:dyDescent="0.25">
      <c r="C1119" s="7"/>
      <c r="E1119" s="8"/>
      <c r="F1119" s="8"/>
      <c r="G1119" s="8"/>
      <c r="H1119" s="8"/>
      <c r="I1119" s="8"/>
      <c r="J1119" s="8"/>
      <c r="K1119" s="8"/>
      <c r="L1119" s="8"/>
    </row>
    <row r="1120" spans="3:12" x14ac:dyDescent="0.25">
      <c r="C1120" s="7"/>
      <c r="E1120" s="8"/>
      <c r="F1120" s="8"/>
      <c r="G1120" s="8"/>
      <c r="H1120" s="8"/>
      <c r="I1120" s="8"/>
      <c r="J1120" s="8"/>
      <c r="K1120" s="8"/>
      <c r="L1120" s="8"/>
    </row>
    <row r="1121" spans="3:12" x14ac:dyDescent="0.25">
      <c r="C1121" s="7"/>
      <c r="E1121" s="8"/>
      <c r="F1121" s="8"/>
      <c r="G1121" s="8"/>
      <c r="H1121" s="8"/>
      <c r="I1121" s="8"/>
      <c r="J1121" s="8"/>
      <c r="K1121" s="8"/>
      <c r="L1121" s="8"/>
    </row>
    <row r="1122" spans="3:12" x14ac:dyDescent="0.25">
      <c r="C1122" s="7"/>
      <c r="E1122" s="8"/>
      <c r="F1122" s="8"/>
      <c r="G1122" s="8"/>
      <c r="H1122" s="8"/>
      <c r="I1122" s="8"/>
      <c r="J1122" s="8"/>
      <c r="K1122" s="8"/>
      <c r="L1122" s="8"/>
    </row>
    <row r="1123" spans="3:12" x14ac:dyDescent="0.25">
      <c r="C1123" s="7"/>
      <c r="E1123" s="8"/>
      <c r="F1123" s="8"/>
      <c r="G1123" s="8"/>
      <c r="H1123" s="8"/>
      <c r="I1123" s="8"/>
      <c r="J1123" s="8"/>
      <c r="K1123" s="8"/>
      <c r="L1123" s="8"/>
    </row>
    <row r="1124" spans="3:12" x14ac:dyDescent="0.25">
      <c r="C1124" s="7"/>
      <c r="E1124" s="8"/>
      <c r="F1124" s="8"/>
      <c r="G1124" s="8"/>
      <c r="H1124" s="8"/>
      <c r="I1124" s="8"/>
      <c r="J1124" s="8"/>
      <c r="K1124" s="8"/>
      <c r="L1124" s="8"/>
    </row>
    <row r="1125" spans="3:12" x14ac:dyDescent="0.25">
      <c r="C1125" s="7"/>
      <c r="E1125" s="8"/>
      <c r="F1125" s="8"/>
      <c r="G1125" s="8"/>
      <c r="H1125" s="8"/>
      <c r="I1125" s="8"/>
      <c r="J1125" s="8"/>
      <c r="K1125" s="8"/>
      <c r="L1125" s="8"/>
    </row>
    <row r="1126" spans="3:12" x14ac:dyDescent="0.25">
      <c r="C1126" s="7"/>
      <c r="E1126" s="8"/>
      <c r="F1126" s="8"/>
      <c r="G1126" s="8"/>
      <c r="H1126" s="8"/>
      <c r="I1126" s="8"/>
      <c r="J1126" s="8"/>
      <c r="K1126" s="8"/>
      <c r="L1126" s="8"/>
    </row>
    <row r="1127" spans="3:12" x14ac:dyDescent="0.25">
      <c r="C1127" s="7"/>
      <c r="E1127" s="8"/>
      <c r="F1127" s="8"/>
      <c r="G1127" s="8"/>
      <c r="H1127" s="8"/>
      <c r="I1127" s="8"/>
      <c r="J1127" s="8"/>
      <c r="K1127" s="8"/>
      <c r="L1127" s="8"/>
    </row>
    <row r="1128" spans="3:12" x14ac:dyDescent="0.25">
      <c r="C1128" s="7"/>
      <c r="E1128" s="8"/>
      <c r="F1128" s="8"/>
      <c r="G1128" s="8"/>
      <c r="H1128" s="8"/>
      <c r="I1128" s="8"/>
      <c r="J1128" s="8"/>
      <c r="K1128" s="8"/>
      <c r="L1128" s="8"/>
    </row>
    <row r="1129" spans="3:12" x14ac:dyDescent="0.25">
      <c r="C1129" s="7"/>
      <c r="E1129" s="8"/>
      <c r="F1129" s="8"/>
      <c r="G1129" s="8"/>
      <c r="H1129" s="8"/>
      <c r="I1129" s="8"/>
      <c r="J1129" s="8"/>
      <c r="K1129" s="8"/>
      <c r="L1129" s="8"/>
    </row>
    <row r="1130" spans="3:12" x14ac:dyDescent="0.25">
      <c r="C1130" s="7"/>
      <c r="E1130" s="8"/>
      <c r="F1130" s="8"/>
      <c r="G1130" s="8"/>
      <c r="H1130" s="8"/>
      <c r="I1130" s="8"/>
      <c r="J1130" s="8"/>
      <c r="K1130" s="8"/>
      <c r="L1130" s="8"/>
    </row>
    <row r="1131" spans="3:12" x14ac:dyDescent="0.25">
      <c r="C1131" s="7"/>
      <c r="E1131" s="8"/>
      <c r="F1131" s="8"/>
      <c r="G1131" s="8"/>
      <c r="H1131" s="8"/>
      <c r="I1131" s="8"/>
      <c r="J1131" s="8"/>
      <c r="K1131" s="8"/>
      <c r="L1131" s="8"/>
    </row>
    <row r="1132" spans="3:12" x14ac:dyDescent="0.25">
      <c r="C1132" s="7"/>
      <c r="E1132" s="8"/>
      <c r="F1132" s="8"/>
      <c r="G1132" s="8"/>
      <c r="H1132" s="8"/>
      <c r="I1132" s="8"/>
      <c r="J1132" s="8"/>
      <c r="K1132" s="8"/>
      <c r="L1132" s="8"/>
    </row>
    <row r="1133" spans="3:12" x14ac:dyDescent="0.25">
      <c r="C1133" s="7"/>
      <c r="E1133" s="8"/>
      <c r="F1133" s="8"/>
      <c r="G1133" s="8"/>
      <c r="H1133" s="8"/>
      <c r="I1133" s="8"/>
      <c r="J1133" s="8"/>
      <c r="K1133" s="8"/>
      <c r="L1133" s="8"/>
    </row>
    <row r="1134" spans="3:12" x14ac:dyDescent="0.25">
      <c r="C1134" s="7"/>
      <c r="E1134" s="8"/>
      <c r="F1134" s="8"/>
      <c r="G1134" s="8"/>
      <c r="H1134" s="8"/>
      <c r="I1134" s="8"/>
      <c r="J1134" s="8"/>
      <c r="K1134" s="8"/>
      <c r="L1134" s="8"/>
    </row>
    <row r="1135" spans="3:12" x14ac:dyDescent="0.25">
      <c r="C1135" s="7"/>
      <c r="E1135" s="8"/>
      <c r="F1135" s="8"/>
      <c r="G1135" s="8"/>
      <c r="H1135" s="8"/>
      <c r="I1135" s="8"/>
      <c r="J1135" s="8"/>
      <c r="K1135" s="8"/>
      <c r="L1135" s="8"/>
    </row>
    <row r="1136" spans="3:12" x14ac:dyDescent="0.25">
      <c r="C1136" s="7"/>
      <c r="E1136" s="8"/>
      <c r="F1136" s="8"/>
      <c r="G1136" s="8"/>
      <c r="H1136" s="8"/>
      <c r="I1136" s="8"/>
      <c r="J1136" s="8"/>
      <c r="K1136" s="8"/>
      <c r="L1136" s="8"/>
    </row>
    <row r="1137" spans="3:12" x14ac:dyDescent="0.25">
      <c r="C1137" s="7"/>
      <c r="E1137" s="8"/>
      <c r="F1137" s="8"/>
      <c r="G1137" s="8"/>
      <c r="H1137" s="8"/>
      <c r="I1137" s="8"/>
      <c r="J1137" s="8"/>
      <c r="K1137" s="8"/>
      <c r="L1137" s="8"/>
    </row>
    <row r="1138" spans="3:12" x14ac:dyDescent="0.25">
      <c r="C1138" s="7"/>
      <c r="E1138" s="8"/>
      <c r="F1138" s="8"/>
      <c r="G1138" s="8"/>
      <c r="H1138" s="8"/>
      <c r="I1138" s="8"/>
      <c r="J1138" s="8"/>
      <c r="K1138" s="8"/>
      <c r="L1138" s="8"/>
    </row>
    <row r="1139" spans="3:12" x14ac:dyDescent="0.25">
      <c r="C1139" s="7"/>
      <c r="E1139" s="8"/>
      <c r="F1139" s="8"/>
      <c r="G1139" s="8"/>
      <c r="H1139" s="8"/>
      <c r="I1139" s="8"/>
      <c r="J1139" s="8"/>
      <c r="K1139" s="8"/>
      <c r="L1139" s="8"/>
    </row>
    <row r="1140" spans="3:12" x14ac:dyDescent="0.25">
      <c r="C1140" s="7"/>
      <c r="E1140" s="8"/>
      <c r="F1140" s="8"/>
      <c r="G1140" s="8"/>
      <c r="H1140" s="8"/>
      <c r="I1140" s="8"/>
      <c r="J1140" s="8"/>
      <c r="K1140" s="8"/>
      <c r="L1140" s="8"/>
    </row>
    <row r="1141" spans="3:12" x14ac:dyDescent="0.25">
      <c r="C1141" s="7"/>
      <c r="E1141" s="8"/>
      <c r="F1141" s="8"/>
      <c r="G1141" s="8"/>
      <c r="H1141" s="8"/>
      <c r="I1141" s="8"/>
      <c r="J1141" s="8"/>
      <c r="K1141" s="8"/>
      <c r="L1141" s="8"/>
    </row>
    <row r="1142" spans="3:12" x14ac:dyDescent="0.25">
      <c r="C1142" s="7"/>
      <c r="E1142" s="8"/>
      <c r="F1142" s="8"/>
      <c r="G1142" s="8"/>
      <c r="H1142" s="8"/>
      <c r="I1142" s="8"/>
      <c r="J1142" s="8"/>
      <c r="K1142" s="8"/>
      <c r="L1142" s="8"/>
    </row>
    <row r="1143" spans="3:12" x14ac:dyDescent="0.25">
      <c r="C1143" s="7"/>
      <c r="E1143" s="8"/>
      <c r="F1143" s="8"/>
      <c r="G1143" s="8"/>
      <c r="H1143" s="8"/>
      <c r="I1143" s="8"/>
      <c r="J1143" s="8"/>
      <c r="K1143" s="8"/>
      <c r="L1143" s="8"/>
    </row>
    <row r="1144" spans="3:12" x14ac:dyDescent="0.25">
      <c r="C1144" s="7"/>
      <c r="E1144" s="8"/>
      <c r="F1144" s="8"/>
      <c r="G1144" s="8"/>
      <c r="H1144" s="8"/>
      <c r="I1144" s="8"/>
      <c r="J1144" s="8"/>
      <c r="K1144" s="8"/>
      <c r="L1144" s="8"/>
    </row>
    <row r="1145" spans="3:12" x14ac:dyDescent="0.25">
      <c r="C1145" s="7"/>
      <c r="E1145" s="8"/>
      <c r="F1145" s="8"/>
      <c r="G1145" s="8"/>
      <c r="H1145" s="8"/>
      <c r="I1145" s="8"/>
      <c r="J1145" s="8"/>
      <c r="K1145" s="8"/>
      <c r="L1145" s="8"/>
    </row>
    <row r="1146" spans="3:12" x14ac:dyDescent="0.25">
      <c r="C1146" s="7"/>
      <c r="E1146" s="8"/>
      <c r="F1146" s="8"/>
      <c r="G1146" s="8"/>
      <c r="H1146" s="8"/>
      <c r="I1146" s="8"/>
      <c r="J1146" s="8"/>
      <c r="K1146" s="8"/>
      <c r="L1146" s="8"/>
    </row>
    <row r="1147" spans="3:12" x14ac:dyDescent="0.25">
      <c r="C1147" s="7"/>
      <c r="E1147" s="8"/>
      <c r="F1147" s="8"/>
      <c r="G1147" s="8"/>
      <c r="H1147" s="8"/>
      <c r="I1147" s="8"/>
      <c r="J1147" s="8"/>
      <c r="K1147" s="8"/>
      <c r="L1147" s="8"/>
    </row>
    <row r="1148" spans="3:12" x14ac:dyDescent="0.25">
      <c r="C1148" s="7"/>
      <c r="E1148" s="8"/>
      <c r="F1148" s="8"/>
      <c r="G1148" s="8"/>
      <c r="H1148" s="8"/>
      <c r="I1148" s="8"/>
      <c r="J1148" s="8"/>
      <c r="K1148" s="8"/>
      <c r="L1148" s="8"/>
    </row>
    <row r="1149" spans="3:12" x14ac:dyDescent="0.25">
      <c r="C1149" s="7"/>
      <c r="E1149" s="8"/>
      <c r="F1149" s="8"/>
      <c r="G1149" s="8"/>
      <c r="H1149" s="8"/>
      <c r="I1149" s="8"/>
      <c r="J1149" s="8"/>
      <c r="K1149" s="8"/>
      <c r="L1149" s="8"/>
    </row>
    <row r="1150" spans="3:12" x14ac:dyDescent="0.25">
      <c r="C1150" s="7"/>
      <c r="E1150" s="8"/>
      <c r="F1150" s="8"/>
      <c r="G1150" s="8"/>
      <c r="H1150" s="8"/>
      <c r="I1150" s="8"/>
      <c r="J1150" s="8"/>
      <c r="K1150" s="8"/>
      <c r="L1150" s="8"/>
    </row>
    <row r="1151" spans="3:12" x14ac:dyDescent="0.25">
      <c r="C1151" s="7"/>
      <c r="E1151" s="8"/>
      <c r="F1151" s="8"/>
      <c r="G1151" s="8"/>
      <c r="H1151" s="8"/>
      <c r="I1151" s="8"/>
      <c r="J1151" s="8"/>
      <c r="K1151" s="8"/>
      <c r="L1151" s="8"/>
    </row>
    <row r="1152" spans="3:12" x14ac:dyDescent="0.25">
      <c r="C1152" s="7"/>
      <c r="E1152" s="8"/>
      <c r="F1152" s="8"/>
      <c r="G1152" s="8"/>
      <c r="H1152" s="8"/>
      <c r="I1152" s="8"/>
      <c r="J1152" s="8"/>
      <c r="K1152" s="8"/>
      <c r="L1152" s="8"/>
    </row>
    <row r="1153" spans="3:12" x14ac:dyDescent="0.25">
      <c r="C1153" s="7"/>
      <c r="E1153" s="8"/>
      <c r="F1153" s="8"/>
      <c r="G1153" s="8"/>
      <c r="H1153" s="8"/>
      <c r="I1153" s="8"/>
      <c r="J1153" s="8"/>
      <c r="K1153" s="8"/>
      <c r="L1153" s="8"/>
    </row>
    <row r="1154" spans="3:12" x14ac:dyDescent="0.25">
      <c r="C1154" s="7"/>
      <c r="E1154" s="8"/>
      <c r="F1154" s="8"/>
      <c r="G1154" s="8"/>
      <c r="H1154" s="8"/>
      <c r="I1154" s="8"/>
      <c r="J1154" s="8"/>
      <c r="K1154" s="8"/>
      <c r="L1154" s="8"/>
    </row>
    <row r="1155" spans="3:12" x14ac:dyDescent="0.25">
      <c r="C1155" s="7"/>
      <c r="E1155" s="8"/>
      <c r="F1155" s="8"/>
      <c r="G1155" s="8"/>
      <c r="H1155" s="8"/>
      <c r="I1155" s="8"/>
      <c r="J1155" s="8"/>
      <c r="K1155" s="8"/>
      <c r="L1155" s="8"/>
    </row>
    <row r="1156" spans="3:12" x14ac:dyDescent="0.25">
      <c r="C1156" s="7"/>
      <c r="E1156" s="8"/>
      <c r="F1156" s="8"/>
      <c r="G1156" s="8"/>
      <c r="H1156" s="8"/>
      <c r="I1156" s="8"/>
      <c r="J1156" s="8"/>
      <c r="K1156" s="8"/>
      <c r="L1156" s="8"/>
    </row>
    <row r="1157" spans="3:12" x14ac:dyDescent="0.25">
      <c r="C1157" s="7"/>
      <c r="E1157" s="8"/>
      <c r="F1157" s="8"/>
      <c r="G1157" s="8"/>
      <c r="H1157" s="8"/>
      <c r="I1157" s="8"/>
      <c r="J1157" s="8"/>
      <c r="K1157" s="8"/>
      <c r="L1157" s="8"/>
    </row>
    <row r="1158" spans="3:12" x14ac:dyDescent="0.25">
      <c r="C1158" s="7"/>
      <c r="E1158" s="8"/>
      <c r="F1158" s="8"/>
      <c r="G1158" s="8"/>
      <c r="H1158" s="8"/>
      <c r="I1158" s="8"/>
      <c r="J1158" s="8"/>
      <c r="K1158" s="8"/>
      <c r="L1158" s="8"/>
    </row>
    <row r="1159" spans="3:12" x14ac:dyDescent="0.25">
      <c r="C1159" s="7"/>
      <c r="E1159" s="8"/>
      <c r="F1159" s="8"/>
      <c r="G1159" s="8"/>
      <c r="H1159" s="8"/>
      <c r="I1159" s="8"/>
      <c r="J1159" s="8"/>
      <c r="K1159" s="8"/>
      <c r="L1159" s="8"/>
    </row>
    <row r="1160" spans="3:12" x14ac:dyDescent="0.25">
      <c r="C1160" s="7"/>
      <c r="E1160" s="8"/>
      <c r="F1160" s="8"/>
      <c r="G1160" s="8"/>
      <c r="H1160" s="8"/>
      <c r="I1160" s="8"/>
      <c r="J1160" s="8"/>
      <c r="K1160" s="8"/>
      <c r="L1160" s="8"/>
    </row>
    <row r="1161" spans="3:12" x14ac:dyDescent="0.25">
      <c r="C1161" s="7"/>
      <c r="E1161" s="8"/>
      <c r="F1161" s="8"/>
      <c r="G1161" s="8"/>
      <c r="H1161" s="8"/>
      <c r="I1161" s="8"/>
      <c r="J1161" s="8"/>
      <c r="K1161" s="8"/>
      <c r="L1161" s="8"/>
    </row>
    <row r="1162" spans="3:12" x14ac:dyDescent="0.25">
      <c r="C1162" s="7"/>
      <c r="E1162" s="8"/>
      <c r="F1162" s="8"/>
      <c r="G1162" s="8"/>
      <c r="H1162" s="8"/>
      <c r="I1162" s="8"/>
      <c r="J1162" s="8"/>
      <c r="K1162" s="8"/>
      <c r="L1162" s="8"/>
    </row>
    <row r="1163" spans="3:12" x14ac:dyDescent="0.25">
      <c r="C1163" s="7"/>
      <c r="E1163" s="8"/>
      <c r="F1163" s="8"/>
      <c r="G1163" s="8"/>
      <c r="H1163" s="8"/>
      <c r="I1163" s="8"/>
      <c r="J1163" s="8"/>
      <c r="K1163" s="8"/>
      <c r="L1163" s="8"/>
    </row>
    <row r="1164" spans="3:12" x14ac:dyDescent="0.25">
      <c r="C1164" s="7"/>
      <c r="E1164" s="8"/>
      <c r="F1164" s="8"/>
      <c r="G1164" s="8"/>
      <c r="H1164" s="8"/>
      <c r="I1164" s="8"/>
      <c r="J1164" s="8"/>
      <c r="K1164" s="8"/>
      <c r="L1164" s="8"/>
    </row>
    <row r="1165" spans="3:12" x14ac:dyDescent="0.25">
      <c r="C1165" s="7"/>
      <c r="E1165" s="8"/>
      <c r="F1165" s="8"/>
      <c r="G1165" s="8"/>
      <c r="H1165" s="8"/>
      <c r="I1165" s="8"/>
      <c r="J1165" s="8"/>
      <c r="K1165" s="8"/>
      <c r="L1165" s="8"/>
    </row>
    <row r="1166" spans="3:12" x14ac:dyDescent="0.25">
      <c r="C1166" s="7"/>
      <c r="E1166" s="8"/>
      <c r="F1166" s="8"/>
      <c r="G1166" s="8"/>
      <c r="H1166" s="8"/>
      <c r="I1166" s="8"/>
      <c r="J1166" s="8"/>
      <c r="K1166" s="8"/>
      <c r="L1166" s="8"/>
    </row>
    <row r="1167" spans="3:12" x14ac:dyDescent="0.25">
      <c r="C1167" s="7"/>
      <c r="E1167" s="8"/>
      <c r="F1167" s="8"/>
      <c r="G1167" s="8"/>
      <c r="H1167" s="8"/>
      <c r="I1167" s="8"/>
      <c r="J1167" s="8"/>
      <c r="K1167" s="8"/>
      <c r="L1167" s="8"/>
    </row>
    <row r="1168" spans="3:12" x14ac:dyDescent="0.25">
      <c r="C1168" s="7"/>
      <c r="E1168" s="8"/>
      <c r="F1168" s="8"/>
      <c r="G1168" s="8"/>
      <c r="H1168" s="8"/>
      <c r="I1168" s="8"/>
      <c r="J1168" s="8"/>
      <c r="K1168" s="8"/>
      <c r="L1168" s="8"/>
    </row>
    <row r="1169" spans="3:12" x14ac:dyDescent="0.25">
      <c r="C1169" s="7"/>
      <c r="E1169" s="8"/>
      <c r="F1169" s="8"/>
      <c r="G1169" s="8"/>
      <c r="H1169" s="8"/>
      <c r="I1169" s="8"/>
      <c r="J1169" s="8"/>
      <c r="K1169" s="8"/>
      <c r="L1169" s="8"/>
    </row>
    <row r="1170" spans="3:12" x14ac:dyDescent="0.25">
      <c r="C1170" s="7"/>
      <c r="E1170" s="8"/>
      <c r="F1170" s="8"/>
      <c r="G1170" s="8"/>
      <c r="H1170" s="8"/>
      <c r="I1170" s="8"/>
      <c r="J1170" s="8"/>
      <c r="K1170" s="8"/>
      <c r="L1170" s="8"/>
    </row>
    <row r="1171" spans="3:12" x14ac:dyDescent="0.25">
      <c r="C1171" s="7"/>
      <c r="E1171" s="8"/>
      <c r="F1171" s="8"/>
      <c r="G1171" s="8"/>
      <c r="H1171" s="8"/>
      <c r="I1171" s="8"/>
      <c r="J1171" s="8"/>
      <c r="K1171" s="8"/>
      <c r="L1171" s="8"/>
    </row>
    <row r="1172" spans="3:12" x14ac:dyDescent="0.25">
      <c r="C1172" s="7"/>
      <c r="E1172" s="8"/>
      <c r="F1172" s="8"/>
      <c r="G1172" s="8"/>
      <c r="H1172" s="8"/>
      <c r="I1172" s="8"/>
      <c r="J1172" s="8"/>
      <c r="K1172" s="8"/>
      <c r="L1172" s="8"/>
    </row>
    <row r="1173" spans="3:12" x14ac:dyDescent="0.25">
      <c r="C1173" s="7"/>
      <c r="E1173" s="8"/>
      <c r="F1173" s="8"/>
      <c r="G1173" s="8"/>
      <c r="H1173" s="8"/>
      <c r="I1173" s="8"/>
      <c r="J1173" s="8"/>
      <c r="K1173" s="8"/>
      <c r="L1173" s="8"/>
    </row>
    <row r="1174" spans="3:12" x14ac:dyDescent="0.25">
      <c r="C1174" s="7"/>
      <c r="E1174" s="8"/>
      <c r="F1174" s="8"/>
      <c r="G1174" s="8"/>
      <c r="H1174" s="8"/>
      <c r="I1174" s="8"/>
      <c r="J1174" s="8"/>
      <c r="K1174" s="8"/>
      <c r="L1174" s="8"/>
    </row>
    <row r="1175" spans="3:12" x14ac:dyDescent="0.25">
      <c r="C1175" s="7"/>
      <c r="E1175" s="8"/>
      <c r="F1175" s="8"/>
      <c r="G1175" s="8"/>
      <c r="H1175" s="8"/>
      <c r="I1175" s="8"/>
      <c r="J1175" s="8"/>
      <c r="K1175" s="8"/>
      <c r="L1175" s="8"/>
    </row>
    <row r="1176" spans="3:12" x14ac:dyDescent="0.25">
      <c r="C1176" s="7"/>
      <c r="E1176" s="8"/>
      <c r="F1176" s="8"/>
      <c r="G1176" s="8"/>
      <c r="H1176" s="8"/>
      <c r="I1176" s="8"/>
      <c r="J1176" s="8"/>
      <c r="K1176" s="8"/>
      <c r="L1176" s="8"/>
    </row>
    <row r="1177" spans="3:12" x14ac:dyDescent="0.25">
      <c r="C1177" s="7"/>
      <c r="E1177" s="8"/>
      <c r="F1177" s="8"/>
      <c r="G1177" s="8"/>
      <c r="H1177" s="8"/>
      <c r="I1177" s="8"/>
      <c r="J1177" s="8"/>
      <c r="K1177" s="8"/>
      <c r="L1177" s="8"/>
    </row>
    <row r="1178" spans="3:12" x14ac:dyDescent="0.25">
      <c r="C1178" s="7"/>
      <c r="E1178" s="8"/>
      <c r="F1178" s="8"/>
      <c r="G1178" s="8"/>
      <c r="H1178" s="8"/>
      <c r="I1178" s="8"/>
      <c r="J1178" s="8"/>
      <c r="K1178" s="8"/>
      <c r="L1178" s="8"/>
    </row>
    <row r="1179" spans="3:12" x14ac:dyDescent="0.25">
      <c r="C1179" s="7"/>
      <c r="E1179" s="8"/>
      <c r="F1179" s="8"/>
      <c r="G1179" s="8"/>
      <c r="H1179" s="8"/>
      <c r="I1179" s="8"/>
      <c r="J1179" s="8"/>
      <c r="K1179" s="8"/>
      <c r="L1179" s="8"/>
    </row>
    <row r="1180" spans="3:12" x14ac:dyDescent="0.25">
      <c r="C1180" s="7"/>
      <c r="E1180" s="8"/>
      <c r="F1180" s="8"/>
      <c r="G1180" s="8"/>
      <c r="H1180" s="8"/>
      <c r="I1180" s="8"/>
      <c r="J1180" s="8"/>
      <c r="K1180" s="8"/>
      <c r="L1180" s="8"/>
    </row>
    <row r="1181" spans="3:12" x14ac:dyDescent="0.25">
      <c r="C1181" s="7"/>
      <c r="E1181" s="8"/>
      <c r="F1181" s="8"/>
      <c r="G1181" s="8"/>
      <c r="H1181" s="8"/>
      <c r="I1181" s="8"/>
      <c r="J1181" s="8"/>
      <c r="K1181" s="8"/>
      <c r="L1181" s="8"/>
    </row>
    <row r="1182" spans="3:12" x14ac:dyDescent="0.25">
      <c r="C1182" s="7"/>
      <c r="E1182" s="8"/>
      <c r="F1182" s="8"/>
      <c r="G1182" s="8"/>
      <c r="H1182" s="8"/>
      <c r="I1182" s="8"/>
      <c r="J1182" s="8"/>
      <c r="K1182" s="8"/>
      <c r="L1182" s="8"/>
    </row>
    <row r="1183" spans="3:12" x14ac:dyDescent="0.25">
      <c r="C1183" s="7"/>
      <c r="E1183" s="8"/>
      <c r="F1183" s="8"/>
      <c r="G1183" s="8"/>
      <c r="H1183" s="8"/>
      <c r="I1183" s="8"/>
      <c r="J1183" s="8"/>
      <c r="K1183" s="8"/>
      <c r="L1183" s="8"/>
    </row>
    <row r="1184" spans="3:12" x14ac:dyDescent="0.25">
      <c r="C1184" s="7"/>
      <c r="E1184" s="8"/>
      <c r="F1184" s="8"/>
      <c r="G1184" s="8"/>
      <c r="H1184" s="8"/>
      <c r="I1184" s="8"/>
      <c r="J1184" s="8"/>
      <c r="K1184" s="8"/>
      <c r="L1184" s="8"/>
    </row>
    <row r="1185" spans="3:12" x14ac:dyDescent="0.25">
      <c r="C1185" s="7"/>
      <c r="E1185" s="8"/>
      <c r="F1185" s="8"/>
      <c r="G1185" s="8"/>
      <c r="H1185" s="8"/>
      <c r="I1185" s="8"/>
      <c r="J1185" s="8"/>
      <c r="K1185" s="8"/>
      <c r="L1185" s="8"/>
    </row>
    <row r="1186" spans="3:12" x14ac:dyDescent="0.25">
      <c r="C1186" s="7"/>
      <c r="E1186" s="8"/>
      <c r="F1186" s="8"/>
      <c r="G1186" s="8"/>
      <c r="H1186" s="8"/>
      <c r="I1186" s="8"/>
      <c r="J1186" s="8"/>
      <c r="K1186" s="8"/>
      <c r="L1186" s="8"/>
    </row>
    <row r="1187" spans="3:12" x14ac:dyDescent="0.25">
      <c r="C1187" s="7"/>
      <c r="E1187" s="8"/>
      <c r="F1187" s="8"/>
      <c r="G1187" s="8"/>
      <c r="H1187" s="8"/>
      <c r="I1187" s="8"/>
      <c r="J1187" s="8"/>
      <c r="K1187" s="8"/>
      <c r="L1187" s="8"/>
    </row>
    <row r="1188" spans="3:12" x14ac:dyDescent="0.25">
      <c r="C1188" s="7"/>
      <c r="E1188" s="8"/>
      <c r="F1188" s="8"/>
      <c r="G1188" s="8"/>
      <c r="H1188" s="8"/>
      <c r="I1188" s="8"/>
      <c r="J1188" s="8"/>
      <c r="K1188" s="8"/>
      <c r="L1188" s="8"/>
    </row>
    <row r="1189" spans="3:12" x14ac:dyDescent="0.25">
      <c r="C1189" s="7"/>
      <c r="E1189" s="8"/>
      <c r="F1189" s="8"/>
      <c r="G1189" s="8"/>
      <c r="H1189" s="8"/>
      <c r="I1189" s="8"/>
      <c r="J1189" s="8"/>
      <c r="K1189" s="8"/>
      <c r="L1189" s="8"/>
    </row>
    <row r="1190" spans="3:12" x14ac:dyDescent="0.25">
      <c r="C1190" s="7"/>
      <c r="E1190" s="8"/>
      <c r="F1190" s="8"/>
      <c r="G1190" s="8"/>
      <c r="H1190" s="8"/>
      <c r="I1190" s="8"/>
      <c r="J1190" s="8"/>
      <c r="K1190" s="8"/>
      <c r="L1190" s="8"/>
    </row>
    <row r="1191" spans="3:12" x14ac:dyDescent="0.25">
      <c r="C1191" s="7"/>
      <c r="E1191" s="8"/>
      <c r="F1191" s="8"/>
      <c r="G1191" s="8"/>
      <c r="H1191" s="8"/>
      <c r="I1191" s="8"/>
      <c r="J1191" s="8"/>
      <c r="K1191" s="8"/>
      <c r="L1191" s="8"/>
    </row>
    <row r="1192" spans="3:12" x14ac:dyDescent="0.25">
      <c r="C1192" s="7"/>
      <c r="E1192" s="8"/>
      <c r="F1192" s="8"/>
      <c r="G1192" s="8"/>
      <c r="H1192" s="8"/>
      <c r="I1192" s="8"/>
      <c r="J1192" s="8"/>
      <c r="K1192" s="8"/>
      <c r="L1192" s="8"/>
    </row>
    <row r="1193" spans="3:12" x14ac:dyDescent="0.25">
      <c r="C1193" s="7"/>
      <c r="E1193" s="8"/>
      <c r="F1193" s="8"/>
      <c r="G1193" s="8"/>
      <c r="H1193" s="8"/>
      <c r="I1193" s="8"/>
      <c r="J1193" s="8"/>
      <c r="K1193" s="8"/>
      <c r="L1193" s="8"/>
    </row>
    <row r="1194" spans="3:12" x14ac:dyDescent="0.25">
      <c r="C1194" s="7"/>
      <c r="E1194" s="8"/>
      <c r="F1194" s="8"/>
      <c r="G1194" s="8"/>
      <c r="H1194" s="8"/>
      <c r="I1194" s="8"/>
      <c r="J1194" s="8"/>
      <c r="K1194" s="8"/>
      <c r="L1194" s="8"/>
    </row>
    <row r="1195" spans="3:12" x14ac:dyDescent="0.25">
      <c r="C1195" s="7"/>
      <c r="E1195" s="8"/>
      <c r="F1195" s="8"/>
      <c r="G1195" s="8"/>
      <c r="H1195" s="8"/>
      <c r="I1195" s="8"/>
      <c r="J1195" s="8"/>
      <c r="K1195" s="8"/>
      <c r="L1195" s="8"/>
    </row>
    <row r="1196" spans="3:12" x14ac:dyDescent="0.25">
      <c r="C1196" s="7"/>
      <c r="E1196" s="8"/>
      <c r="F1196" s="8"/>
      <c r="G1196" s="8"/>
      <c r="H1196" s="8"/>
      <c r="I1196" s="8"/>
      <c r="J1196" s="8"/>
      <c r="K1196" s="8"/>
      <c r="L1196" s="8"/>
    </row>
    <row r="1197" spans="3:12" x14ac:dyDescent="0.25">
      <c r="C1197" s="7"/>
      <c r="E1197" s="8"/>
      <c r="F1197" s="8"/>
      <c r="G1197" s="8"/>
      <c r="H1197" s="8"/>
      <c r="I1197" s="8"/>
      <c r="J1197" s="8"/>
      <c r="K1197" s="8"/>
      <c r="L1197" s="8"/>
    </row>
    <row r="1198" spans="3:12" x14ac:dyDescent="0.25">
      <c r="C1198" s="7"/>
      <c r="E1198" s="8"/>
      <c r="F1198" s="8"/>
      <c r="G1198" s="8"/>
      <c r="H1198" s="8"/>
      <c r="I1198" s="8"/>
      <c r="J1198" s="8"/>
      <c r="K1198" s="8"/>
      <c r="L1198" s="8"/>
    </row>
    <row r="1199" spans="3:12" x14ac:dyDescent="0.25">
      <c r="C1199" s="7"/>
      <c r="E1199" s="8"/>
      <c r="F1199" s="8"/>
      <c r="G1199" s="8"/>
      <c r="H1199" s="8"/>
      <c r="I1199" s="8"/>
      <c r="J1199" s="8"/>
      <c r="K1199" s="8"/>
      <c r="L1199" s="8"/>
    </row>
    <row r="1200" spans="3:12" x14ac:dyDescent="0.25">
      <c r="C1200" s="7"/>
      <c r="E1200" s="8"/>
      <c r="F1200" s="8"/>
      <c r="G1200" s="8"/>
      <c r="H1200" s="8"/>
      <c r="I1200" s="8"/>
      <c r="J1200" s="8"/>
      <c r="K1200" s="8"/>
      <c r="L1200" s="8"/>
    </row>
    <row r="1201" spans="3:12" x14ac:dyDescent="0.25">
      <c r="C1201" s="7"/>
      <c r="E1201" s="8"/>
      <c r="F1201" s="8"/>
      <c r="G1201" s="8"/>
      <c r="H1201" s="8"/>
      <c r="I1201" s="8"/>
      <c r="J1201" s="8"/>
      <c r="K1201" s="8"/>
      <c r="L1201" s="8"/>
    </row>
    <row r="1202" spans="3:12" x14ac:dyDescent="0.25">
      <c r="C1202" s="7"/>
      <c r="E1202" s="8"/>
      <c r="F1202" s="8"/>
      <c r="G1202" s="8"/>
      <c r="H1202" s="8"/>
      <c r="I1202" s="8"/>
      <c r="J1202" s="8"/>
      <c r="K1202" s="8"/>
      <c r="L1202" s="8"/>
    </row>
    <row r="1203" spans="3:12" x14ac:dyDescent="0.25">
      <c r="C1203" s="7"/>
      <c r="E1203" s="8"/>
      <c r="F1203" s="8"/>
      <c r="G1203" s="8"/>
      <c r="H1203" s="8"/>
      <c r="I1203" s="8"/>
      <c r="J1203" s="8"/>
      <c r="K1203" s="8"/>
      <c r="L1203" s="8"/>
    </row>
    <row r="1204" spans="3:12" x14ac:dyDescent="0.25">
      <c r="C1204" s="7"/>
      <c r="E1204" s="8"/>
      <c r="F1204" s="8"/>
      <c r="G1204" s="8"/>
      <c r="H1204" s="8"/>
      <c r="I1204" s="8"/>
      <c r="J1204" s="8"/>
      <c r="K1204" s="8"/>
      <c r="L1204" s="8"/>
    </row>
    <row r="1205" spans="3:12" x14ac:dyDescent="0.25">
      <c r="C1205" s="7"/>
      <c r="E1205" s="8"/>
      <c r="F1205" s="8"/>
      <c r="G1205" s="8"/>
      <c r="H1205" s="8"/>
      <c r="I1205" s="8"/>
      <c r="J1205" s="8"/>
      <c r="K1205" s="8"/>
      <c r="L1205" s="8"/>
    </row>
    <row r="1206" spans="3:12" x14ac:dyDescent="0.25">
      <c r="C1206" s="7"/>
      <c r="E1206" s="8"/>
      <c r="F1206" s="8"/>
      <c r="G1206" s="8"/>
      <c r="H1206" s="8"/>
      <c r="I1206" s="8"/>
      <c r="J1206" s="8"/>
      <c r="K1206" s="8"/>
      <c r="L1206" s="8"/>
    </row>
    <row r="1207" spans="3:12" x14ac:dyDescent="0.25">
      <c r="C1207" s="7"/>
      <c r="E1207" s="8"/>
      <c r="F1207" s="8"/>
      <c r="G1207" s="8"/>
      <c r="H1207" s="8"/>
      <c r="I1207" s="8"/>
      <c r="J1207" s="8"/>
      <c r="K1207" s="8"/>
      <c r="L1207" s="8"/>
    </row>
    <row r="1208" spans="3:12" x14ac:dyDescent="0.25">
      <c r="C1208" s="7"/>
      <c r="E1208" s="8"/>
      <c r="F1208" s="8"/>
      <c r="G1208" s="8"/>
      <c r="H1208" s="8"/>
      <c r="I1208" s="8"/>
      <c r="J1208" s="8"/>
      <c r="K1208" s="8"/>
      <c r="L1208" s="8"/>
    </row>
    <row r="1209" spans="3:12" x14ac:dyDescent="0.25">
      <c r="C1209" s="7"/>
      <c r="E1209" s="8"/>
      <c r="F1209" s="8"/>
      <c r="G1209" s="8"/>
      <c r="H1209" s="8"/>
      <c r="I1209" s="8"/>
      <c r="J1209" s="8"/>
      <c r="K1209" s="8"/>
      <c r="L1209" s="8"/>
    </row>
    <row r="1210" spans="3:12" x14ac:dyDescent="0.25">
      <c r="C1210" s="7"/>
      <c r="E1210" s="8"/>
      <c r="F1210" s="8"/>
      <c r="G1210" s="8"/>
      <c r="H1210" s="8"/>
      <c r="I1210" s="8"/>
      <c r="J1210" s="8"/>
      <c r="K1210" s="8"/>
      <c r="L1210" s="8"/>
    </row>
    <row r="1211" spans="3:12" x14ac:dyDescent="0.25">
      <c r="C1211" s="7"/>
      <c r="E1211" s="8"/>
      <c r="F1211" s="8"/>
      <c r="G1211" s="8"/>
      <c r="H1211" s="8"/>
      <c r="I1211" s="8"/>
      <c r="J1211" s="8"/>
      <c r="K1211" s="8"/>
      <c r="L1211" s="8"/>
    </row>
    <row r="1212" spans="3:12" x14ac:dyDescent="0.25">
      <c r="C1212" s="7"/>
      <c r="E1212" s="8"/>
      <c r="F1212" s="8"/>
      <c r="G1212" s="8"/>
      <c r="H1212" s="8"/>
      <c r="I1212" s="8"/>
      <c r="J1212" s="8"/>
      <c r="K1212" s="8"/>
      <c r="L1212" s="8"/>
    </row>
    <row r="1213" spans="3:12" x14ac:dyDescent="0.25">
      <c r="C1213" s="7"/>
      <c r="E1213" s="8"/>
      <c r="F1213" s="8"/>
      <c r="G1213" s="8"/>
      <c r="H1213" s="8"/>
      <c r="I1213" s="8"/>
      <c r="J1213" s="8"/>
      <c r="K1213" s="8"/>
      <c r="L1213" s="8"/>
    </row>
    <row r="1214" spans="3:12" x14ac:dyDescent="0.25">
      <c r="C1214" s="7"/>
      <c r="E1214" s="8"/>
      <c r="F1214" s="8"/>
      <c r="G1214" s="8"/>
      <c r="H1214" s="8"/>
      <c r="I1214" s="8"/>
      <c r="J1214" s="8"/>
      <c r="K1214" s="8"/>
      <c r="L1214" s="8"/>
    </row>
    <row r="1215" spans="3:12" x14ac:dyDescent="0.25">
      <c r="C1215" s="7"/>
      <c r="E1215" s="8"/>
      <c r="F1215" s="8"/>
      <c r="G1215" s="8"/>
      <c r="H1215" s="8"/>
      <c r="I1215" s="8"/>
      <c r="J1215" s="8"/>
      <c r="K1215" s="8"/>
      <c r="L1215" s="8"/>
    </row>
    <row r="1216" spans="3:12" x14ac:dyDescent="0.25">
      <c r="C1216" s="7"/>
      <c r="E1216" s="8"/>
      <c r="F1216" s="8"/>
      <c r="G1216" s="8"/>
      <c r="H1216" s="8"/>
      <c r="I1216" s="8"/>
      <c r="J1216" s="8"/>
      <c r="K1216" s="8"/>
      <c r="L1216" s="8"/>
    </row>
    <row r="1217" spans="3:12" x14ac:dyDescent="0.25">
      <c r="C1217" s="7"/>
      <c r="E1217" s="8"/>
      <c r="F1217" s="8"/>
      <c r="G1217" s="8"/>
      <c r="H1217" s="8"/>
      <c r="I1217" s="8"/>
      <c r="J1217" s="8"/>
      <c r="K1217" s="8"/>
      <c r="L1217" s="8"/>
    </row>
    <row r="1218" spans="3:12" x14ac:dyDescent="0.25">
      <c r="C1218" s="7"/>
      <c r="E1218" s="8"/>
      <c r="F1218" s="8"/>
      <c r="G1218" s="8"/>
      <c r="H1218" s="8"/>
      <c r="I1218" s="8"/>
      <c r="J1218" s="8"/>
      <c r="K1218" s="8"/>
      <c r="L1218" s="8"/>
    </row>
    <row r="1219" spans="3:12" x14ac:dyDescent="0.25">
      <c r="C1219" s="7"/>
      <c r="E1219" s="8"/>
      <c r="F1219" s="8"/>
      <c r="G1219" s="8"/>
      <c r="H1219" s="8"/>
      <c r="I1219" s="8"/>
      <c r="J1219" s="8"/>
      <c r="K1219" s="8"/>
      <c r="L1219" s="8"/>
    </row>
    <row r="1220" spans="3:12" x14ac:dyDescent="0.25">
      <c r="C1220" s="7"/>
      <c r="E1220" s="8"/>
      <c r="F1220" s="8"/>
      <c r="G1220" s="8"/>
      <c r="H1220" s="8"/>
      <c r="I1220" s="8"/>
      <c r="J1220" s="8"/>
      <c r="K1220" s="8"/>
      <c r="L1220" s="8"/>
    </row>
    <row r="1221" spans="3:12" x14ac:dyDescent="0.25">
      <c r="C1221" s="7"/>
      <c r="E1221" s="8"/>
      <c r="F1221" s="8"/>
      <c r="G1221" s="8"/>
      <c r="H1221" s="8"/>
      <c r="I1221" s="8"/>
      <c r="J1221" s="8"/>
      <c r="K1221" s="8"/>
      <c r="L1221" s="8"/>
    </row>
    <row r="1222" spans="3:12" x14ac:dyDescent="0.25">
      <c r="C1222" s="7"/>
      <c r="E1222" s="8"/>
      <c r="F1222" s="8"/>
      <c r="G1222" s="8"/>
      <c r="H1222" s="8"/>
      <c r="I1222" s="8"/>
      <c r="J1222" s="8"/>
      <c r="K1222" s="8"/>
      <c r="L1222" s="8"/>
    </row>
    <row r="1223" spans="3:12" x14ac:dyDescent="0.25">
      <c r="C1223" s="7"/>
      <c r="E1223" s="8"/>
      <c r="F1223" s="8"/>
      <c r="G1223" s="8"/>
      <c r="H1223" s="8"/>
      <c r="I1223" s="8"/>
      <c r="J1223" s="8"/>
      <c r="K1223" s="8"/>
      <c r="L1223" s="8"/>
    </row>
    <row r="1224" spans="3:12" x14ac:dyDescent="0.25">
      <c r="C1224" s="7"/>
      <c r="E1224" s="8"/>
      <c r="F1224" s="8"/>
      <c r="G1224" s="8"/>
      <c r="H1224" s="8"/>
      <c r="I1224" s="8"/>
      <c r="J1224" s="8"/>
      <c r="K1224" s="8"/>
      <c r="L1224" s="8"/>
    </row>
    <row r="1225" spans="3:12" x14ac:dyDescent="0.25">
      <c r="C1225" s="7"/>
      <c r="E1225" s="8"/>
      <c r="F1225" s="8"/>
      <c r="G1225" s="8"/>
      <c r="H1225" s="8"/>
      <c r="I1225" s="8"/>
      <c r="J1225" s="8"/>
      <c r="K1225" s="8"/>
      <c r="L1225" s="8"/>
    </row>
    <row r="1226" spans="3:12" x14ac:dyDescent="0.25">
      <c r="C1226" s="7"/>
      <c r="E1226" s="8"/>
      <c r="F1226" s="8"/>
      <c r="G1226" s="8"/>
      <c r="H1226" s="8"/>
      <c r="I1226" s="8"/>
      <c r="J1226" s="8"/>
      <c r="K1226" s="8"/>
      <c r="L1226" s="8"/>
    </row>
    <row r="1227" spans="3:12" x14ac:dyDescent="0.25">
      <c r="C1227" s="7"/>
      <c r="E1227" s="8"/>
      <c r="F1227" s="8"/>
      <c r="G1227" s="8"/>
      <c r="H1227" s="8"/>
      <c r="I1227" s="8"/>
      <c r="J1227" s="8"/>
      <c r="K1227" s="8"/>
      <c r="L1227" s="8"/>
    </row>
    <row r="1228" spans="3:12" x14ac:dyDescent="0.25">
      <c r="C1228" s="7"/>
      <c r="E1228" s="8"/>
      <c r="F1228" s="8"/>
      <c r="G1228" s="8"/>
      <c r="H1228" s="8"/>
      <c r="I1228" s="8"/>
      <c r="J1228" s="8"/>
      <c r="K1228" s="8"/>
      <c r="L1228" s="8"/>
    </row>
    <row r="1229" spans="3:12" x14ac:dyDescent="0.25">
      <c r="C1229" s="7"/>
      <c r="E1229" s="8"/>
      <c r="F1229" s="8"/>
      <c r="G1229" s="8"/>
      <c r="H1229" s="8"/>
      <c r="I1229" s="8"/>
      <c r="J1229" s="8"/>
      <c r="K1229" s="8"/>
      <c r="L1229" s="8"/>
    </row>
    <row r="1230" spans="3:12" x14ac:dyDescent="0.25">
      <c r="C1230" s="7"/>
      <c r="E1230" s="8"/>
      <c r="F1230" s="8"/>
      <c r="G1230" s="8"/>
      <c r="H1230" s="8"/>
      <c r="I1230" s="8"/>
      <c r="J1230" s="8"/>
      <c r="K1230" s="8"/>
      <c r="L1230" s="8"/>
    </row>
    <row r="1231" spans="3:12" x14ac:dyDescent="0.25">
      <c r="C1231" s="7"/>
      <c r="E1231" s="8"/>
      <c r="F1231" s="8"/>
      <c r="G1231" s="8"/>
      <c r="H1231" s="8"/>
      <c r="I1231" s="8"/>
      <c r="J1231" s="8"/>
      <c r="K1231" s="8"/>
      <c r="L1231" s="8"/>
    </row>
    <row r="1232" spans="3:12" x14ac:dyDescent="0.25">
      <c r="C1232" s="7"/>
      <c r="E1232" s="8"/>
      <c r="F1232" s="8"/>
      <c r="G1232" s="8"/>
      <c r="H1232" s="8"/>
      <c r="I1232" s="8"/>
      <c r="J1232" s="8"/>
      <c r="K1232" s="8"/>
      <c r="L1232" s="8"/>
    </row>
    <row r="1233" spans="3:12" x14ac:dyDescent="0.25">
      <c r="C1233" s="7"/>
      <c r="E1233" s="8"/>
      <c r="F1233" s="8"/>
      <c r="G1233" s="8"/>
      <c r="H1233" s="8"/>
      <c r="I1233" s="8"/>
      <c r="J1233" s="8"/>
      <c r="K1233" s="8"/>
      <c r="L1233" s="8"/>
    </row>
    <row r="1234" spans="3:12" x14ac:dyDescent="0.25">
      <c r="C1234" s="7"/>
      <c r="E1234" s="8"/>
      <c r="F1234" s="8"/>
      <c r="G1234" s="8"/>
      <c r="H1234" s="8"/>
      <c r="I1234" s="8"/>
      <c r="J1234" s="8"/>
      <c r="K1234" s="8"/>
      <c r="L1234" s="8"/>
    </row>
    <row r="1235" spans="3:12" x14ac:dyDescent="0.25">
      <c r="C1235" s="7"/>
      <c r="E1235" s="8"/>
      <c r="F1235" s="8"/>
      <c r="G1235" s="8"/>
      <c r="H1235" s="8"/>
      <c r="I1235" s="8"/>
      <c r="J1235" s="8"/>
      <c r="K1235" s="8"/>
      <c r="L1235" s="8"/>
    </row>
    <row r="1236" spans="3:12" x14ac:dyDescent="0.25">
      <c r="C1236" s="7"/>
      <c r="E1236" s="8"/>
      <c r="F1236" s="8"/>
      <c r="G1236" s="8"/>
      <c r="H1236" s="8"/>
      <c r="I1236" s="8"/>
      <c r="J1236" s="8"/>
      <c r="K1236" s="8"/>
      <c r="L1236" s="8"/>
    </row>
    <row r="1237" spans="3:12" x14ac:dyDescent="0.25">
      <c r="C1237" s="7"/>
      <c r="E1237" s="8"/>
      <c r="F1237" s="8"/>
      <c r="G1237" s="8"/>
      <c r="H1237" s="8"/>
      <c r="I1237" s="8"/>
      <c r="J1237" s="8"/>
      <c r="K1237" s="8"/>
      <c r="L1237" s="8"/>
    </row>
    <row r="1238" spans="3:12" x14ac:dyDescent="0.25">
      <c r="C1238" s="7"/>
      <c r="E1238" s="8"/>
      <c r="F1238" s="8"/>
      <c r="G1238" s="8"/>
      <c r="H1238" s="8"/>
      <c r="I1238" s="8"/>
      <c r="J1238" s="8"/>
      <c r="K1238" s="8"/>
      <c r="L1238" s="8"/>
    </row>
    <row r="1239" spans="3:12" x14ac:dyDescent="0.25">
      <c r="C1239" s="7"/>
      <c r="E1239" s="8"/>
      <c r="F1239" s="8"/>
      <c r="G1239" s="8"/>
      <c r="H1239" s="8"/>
      <c r="I1239" s="8"/>
      <c r="J1239" s="8"/>
      <c r="K1239" s="8"/>
      <c r="L1239" s="8"/>
    </row>
    <row r="1240" spans="3:12" x14ac:dyDescent="0.25">
      <c r="C1240" s="7"/>
      <c r="E1240" s="8"/>
      <c r="F1240" s="8"/>
      <c r="G1240" s="8"/>
      <c r="H1240" s="8"/>
      <c r="I1240" s="8"/>
      <c r="J1240" s="8"/>
      <c r="K1240" s="8"/>
      <c r="L1240" s="8"/>
    </row>
    <row r="1241" spans="3:12" x14ac:dyDescent="0.25">
      <c r="C1241" s="7"/>
      <c r="E1241" s="8"/>
      <c r="F1241" s="8"/>
      <c r="G1241" s="8"/>
      <c r="H1241" s="8"/>
      <c r="I1241" s="8"/>
      <c r="J1241" s="8"/>
      <c r="K1241" s="8"/>
      <c r="L1241" s="8"/>
    </row>
    <row r="1242" spans="3:12" x14ac:dyDescent="0.25">
      <c r="C1242" s="7"/>
      <c r="E1242" s="8"/>
      <c r="F1242" s="8"/>
      <c r="G1242" s="8"/>
      <c r="H1242" s="8"/>
      <c r="I1242" s="8"/>
      <c r="J1242" s="8"/>
      <c r="K1242" s="8"/>
      <c r="L1242" s="8"/>
    </row>
    <row r="1243" spans="3:12" x14ac:dyDescent="0.25">
      <c r="C1243" s="7"/>
      <c r="E1243" s="8"/>
      <c r="F1243" s="8"/>
      <c r="G1243" s="8"/>
      <c r="H1243" s="8"/>
      <c r="I1243" s="8"/>
      <c r="J1243" s="8"/>
      <c r="K1243" s="8"/>
      <c r="L1243" s="8"/>
    </row>
    <row r="1244" spans="3:12" x14ac:dyDescent="0.25">
      <c r="C1244" s="7"/>
      <c r="E1244" s="8"/>
      <c r="F1244" s="8"/>
      <c r="G1244" s="8"/>
      <c r="H1244" s="8"/>
      <c r="I1244" s="8"/>
      <c r="J1244" s="8"/>
      <c r="K1244" s="8"/>
      <c r="L1244" s="8"/>
    </row>
    <row r="1245" spans="3:12" x14ac:dyDescent="0.25">
      <c r="C1245" s="7"/>
      <c r="E1245" s="8"/>
      <c r="F1245" s="8"/>
      <c r="G1245" s="8"/>
      <c r="H1245" s="8"/>
      <c r="I1245" s="8"/>
      <c r="J1245" s="8"/>
      <c r="K1245" s="8"/>
      <c r="L1245" s="8"/>
    </row>
    <row r="1246" spans="3:12" x14ac:dyDescent="0.25">
      <c r="C1246" s="7"/>
      <c r="E1246" s="8"/>
      <c r="F1246" s="8"/>
      <c r="G1246" s="8"/>
      <c r="H1246" s="8"/>
      <c r="I1246" s="8"/>
      <c r="J1246" s="8"/>
      <c r="K1246" s="8"/>
      <c r="L1246" s="8"/>
    </row>
    <row r="1247" spans="3:12" x14ac:dyDescent="0.25">
      <c r="C1247" s="7"/>
      <c r="E1247" s="8"/>
      <c r="F1247" s="8"/>
      <c r="G1247" s="8"/>
      <c r="H1247" s="8"/>
      <c r="I1247" s="8"/>
      <c r="J1247" s="8"/>
      <c r="K1247" s="8"/>
      <c r="L1247" s="8"/>
    </row>
    <row r="1248" spans="3:12" x14ac:dyDescent="0.25">
      <c r="C1248" s="7"/>
      <c r="E1248" s="8"/>
      <c r="F1248" s="8"/>
      <c r="G1248" s="8"/>
      <c r="H1248" s="8"/>
      <c r="I1248" s="8"/>
      <c r="J1248" s="8"/>
      <c r="K1248" s="8"/>
      <c r="L1248" s="8"/>
    </row>
    <row r="1249" spans="3:12" x14ac:dyDescent="0.25">
      <c r="C1249" s="7"/>
      <c r="E1249" s="8"/>
      <c r="F1249" s="8"/>
      <c r="G1249" s="8"/>
      <c r="H1249" s="8"/>
      <c r="I1249" s="8"/>
      <c r="J1249" s="8"/>
      <c r="K1249" s="8"/>
      <c r="L1249" s="8"/>
    </row>
    <row r="1250" spans="3:12" x14ac:dyDescent="0.25">
      <c r="C1250" s="7"/>
      <c r="E1250" s="8"/>
      <c r="F1250" s="8"/>
      <c r="G1250" s="8"/>
      <c r="H1250" s="8"/>
      <c r="I1250" s="8"/>
      <c r="J1250" s="8"/>
      <c r="K1250" s="8"/>
      <c r="L1250" s="8"/>
    </row>
    <row r="1251" spans="3:12" x14ac:dyDescent="0.25">
      <c r="C1251" s="7"/>
      <c r="E1251" s="8"/>
      <c r="F1251" s="8"/>
      <c r="G1251" s="8"/>
      <c r="H1251" s="8"/>
      <c r="I1251" s="8"/>
      <c r="J1251" s="8"/>
      <c r="K1251" s="8"/>
      <c r="L1251" s="8"/>
    </row>
    <row r="1252" spans="3:12" x14ac:dyDescent="0.25">
      <c r="C1252" s="7"/>
      <c r="E1252" s="8"/>
      <c r="F1252" s="8"/>
      <c r="G1252" s="8"/>
      <c r="H1252" s="8"/>
      <c r="I1252" s="8"/>
      <c r="J1252" s="8"/>
      <c r="K1252" s="8"/>
      <c r="L1252" s="8"/>
    </row>
    <row r="1253" spans="3:12" x14ac:dyDescent="0.25">
      <c r="C1253" s="7"/>
      <c r="E1253" s="8"/>
      <c r="F1253" s="8"/>
      <c r="G1253" s="8"/>
      <c r="H1253" s="8"/>
      <c r="I1253" s="8"/>
      <c r="J1253" s="8"/>
      <c r="K1253" s="8"/>
      <c r="L1253" s="8"/>
    </row>
    <row r="1254" spans="3:12" x14ac:dyDescent="0.25">
      <c r="C1254" s="7"/>
      <c r="E1254" s="8"/>
      <c r="F1254" s="8"/>
      <c r="G1254" s="8"/>
      <c r="H1254" s="8"/>
      <c r="I1254" s="8"/>
      <c r="J1254" s="8"/>
      <c r="K1254" s="8"/>
      <c r="L1254" s="8"/>
    </row>
    <row r="1255" spans="3:12" x14ac:dyDescent="0.25">
      <c r="C1255" s="7"/>
      <c r="E1255" s="8"/>
      <c r="F1255" s="8"/>
      <c r="G1255" s="8"/>
      <c r="H1255" s="8"/>
      <c r="I1255" s="8"/>
      <c r="J1255" s="8"/>
      <c r="K1255" s="8"/>
      <c r="L1255" s="8"/>
    </row>
    <row r="1256" spans="3:12" x14ac:dyDescent="0.25">
      <c r="C1256" s="7"/>
      <c r="E1256" s="8"/>
      <c r="F1256" s="8"/>
      <c r="G1256" s="8"/>
      <c r="H1256" s="8"/>
      <c r="I1256" s="8"/>
      <c r="J1256" s="8"/>
      <c r="K1256" s="8"/>
      <c r="L1256" s="8"/>
    </row>
    <row r="1257" spans="3:12" x14ac:dyDescent="0.25">
      <c r="C1257" s="7"/>
      <c r="E1257" s="8"/>
      <c r="F1257" s="8"/>
      <c r="G1257" s="8"/>
      <c r="H1257" s="8"/>
      <c r="I1257" s="8"/>
      <c r="J1257" s="8"/>
      <c r="K1257" s="8"/>
      <c r="L1257" s="8"/>
    </row>
    <row r="1258" spans="3:12" x14ac:dyDescent="0.25">
      <c r="C1258" s="7"/>
      <c r="E1258" s="8"/>
      <c r="F1258" s="8"/>
      <c r="G1258" s="8"/>
      <c r="H1258" s="8"/>
      <c r="I1258" s="8"/>
      <c r="J1258" s="8"/>
      <c r="K1258" s="8"/>
      <c r="L1258" s="8"/>
    </row>
    <row r="1259" spans="3:12" x14ac:dyDescent="0.25">
      <c r="C1259" s="7"/>
      <c r="E1259" s="8"/>
      <c r="F1259" s="8"/>
      <c r="G1259" s="8"/>
      <c r="H1259" s="8"/>
      <c r="I1259" s="8"/>
      <c r="J1259" s="8"/>
      <c r="K1259" s="8"/>
      <c r="L1259" s="8"/>
    </row>
    <row r="1260" spans="3:12" x14ac:dyDescent="0.25">
      <c r="C1260" s="7"/>
      <c r="E1260" s="8"/>
      <c r="F1260" s="8"/>
      <c r="G1260" s="8"/>
      <c r="H1260" s="8"/>
      <c r="I1260" s="8"/>
      <c r="J1260" s="8"/>
      <c r="K1260" s="8"/>
      <c r="L1260" s="8"/>
    </row>
    <row r="1261" spans="3:12" x14ac:dyDescent="0.25">
      <c r="C1261" s="7"/>
      <c r="E1261" s="8"/>
      <c r="F1261" s="8"/>
      <c r="G1261" s="8"/>
      <c r="H1261" s="8"/>
      <c r="I1261" s="8"/>
      <c r="J1261" s="8"/>
      <c r="K1261" s="8"/>
      <c r="L1261" s="8"/>
    </row>
    <row r="1262" spans="3:12" x14ac:dyDescent="0.25">
      <c r="C1262" s="7"/>
      <c r="E1262" s="8"/>
      <c r="F1262" s="8"/>
      <c r="G1262" s="8"/>
      <c r="H1262" s="8"/>
      <c r="I1262" s="8"/>
      <c r="J1262" s="8"/>
      <c r="K1262" s="8"/>
      <c r="L1262" s="8"/>
    </row>
    <row r="1263" spans="3:12" x14ac:dyDescent="0.25">
      <c r="C1263" s="7"/>
      <c r="E1263" s="8"/>
      <c r="F1263" s="8"/>
      <c r="G1263" s="8"/>
      <c r="H1263" s="8"/>
      <c r="I1263" s="8"/>
      <c r="J1263" s="8"/>
      <c r="K1263" s="8"/>
      <c r="L1263" s="8"/>
    </row>
    <row r="1264" spans="3:12" x14ac:dyDescent="0.25">
      <c r="C1264" s="7"/>
      <c r="E1264" s="8"/>
      <c r="F1264" s="8"/>
      <c r="G1264" s="8"/>
      <c r="H1264" s="8"/>
      <c r="I1264" s="8"/>
      <c r="J1264" s="8"/>
      <c r="K1264" s="8"/>
      <c r="L1264" s="8"/>
    </row>
    <row r="1265" spans="3:12" x14ac:dyDescent="0.25">
      <c r="C1265" s="7"/>
      <c r="E1265" s="8"/>
      <c r="F1265" s="8"/>
      <c r="G1265" s="8"/>
      <c r="H1265" s="8"/>
      <c r="I1265" s="8"/>
      <c r="J1265" s="8"/>
      <c r="K1265" s="8"/>
      <c r="L1265" s="8"/>
    </row>
    <row r="1266" spans="3:12" x14ac:dyDescent="0.25">
      <c r="C1266" s="7"/>
      <c r="E1266" s="8"/>
      <c r="F1266" s="8"/>
      <c r="G1266" s="8"/>
      <c r="H1266" s="8"/>
      <c r="I1266" s="8"/>
      <c r="J1266" s="8"/>
      <c r="K1266" s="8"/>
      <c r="L1266" s="8"/>
    </row>
    <row r="1267" spans="3:12" x14ac:dyDescent="0.25">
      <c r="C1267" s="7"/>
      <c r="E1267" s="8"/>
      <c r="F1267" s="8"/>
      <c r="G1267" s="8"/>
      <c r="H1267" s="8"/>
      <c r="I1267" s="8"/>
      <c r="J1267" s="8"/>
      <c r="K1267" s="8"/>
      <c r="L1267" s="8"/>
    </row>
    <row r="1268" spans="3:12" x14ac:dyDescent="0.25">
      <c r="C1268" s="7"/>
      <c r="E1268" s="8"/>
      <c r="F1268" s="8"/>
      <c r="G1268" s="8"/>
      <c r="H1268" s="8"/>
      <c r="I1268" s="8"/>
      <c r="J1268" s="8"/>
      <c r="K1268" s="8"/>
      <c r="L1268" s="8"/>
    </row>
    <row r="1269" spans="3:12" x14ac:dyDescent="0.25">
      <c r="C1269" s="7"/>
      <c r="E1269" s="8"/>
      <c r="F1269" s="8"/>
      <c r="G1269" s="8"/>
      <c r="H1269" s="8"/>
      <c r="I1269" s="8"/>
      <c r="J1269" s="8"/>
      <c r="K1269" s="8"/>
      <c r="L1269" s="8"/>
    </row>
    <row r="1270" spans="3:12" x14ac:dyDescent="0.25">
      <c r="C1270" s="7"/>
      <c r="E1270" s="8"/>
      <c r="F1270" s="8"/>
      <c r="G1270" s="8"/>
      <c r="H1270" s="8"/>
      <c r="I1270" s="8"/>
      <c r="J1270" s="8"/>
      <c r="K1270" s="8"/>
      <c r="L1270" s="8"/>
    </row>
    <row r="1271" spans="3:12" x14ac:dyDescent="0.25">
      <c r="C1271" s="7"/>
      <c r="E1271" s="8"/>
      <c r="F1271" s="8"/>
      <c r="G1271" s="8"/>
      <c r="H1271" s="8"/>
      <c r="I1271" s="8"/>
      <c r="J1271" s="8"/>
      <c r="K1271" s="8"/>
      <c r="L1271" s="8"/>
    </row>
    <row r="1272" spans="3:12" x14ac:dyDescent="0.25">
      <c r="C1272" s="7"/>
      <c r="E1272" s="8"/>
      <c r="F1272" s="8"/>
      <c r="G1272" s="8"/>
      <c r="H1272" s="8"/>
      <c r="I1272" s="8"/>
      <c r="J1272" s="8"/>
      <c r="K1272" s="8"/>
      <c r="L1272" s="8"/>
    </row>
    <row r="1273" spans="3:12" x14ac:dyDescent="0.25">
      <c r="C1273" s="7"/>
      <c r="E1273" s="8"/>
      <c r="F1273" s="8"/>
      <c r="G1273" s="8"/>
      <c r="H1273" s="8"/>
      <c r="I1273" s="8"/>
      <c r="J1273" s="8"/>
      <c r="K1273" s="8"/>
      <c r="L1273" s="8"/>
    </row>
    <row r="1274" spans="3:12" x14ac:dyDescent="0.25">
      <c r="C1274" s="7"/>
      <c r="E1274" s="8"/>
      <c r="F1274" s="8"/>
      <c r="G1274" s="8"/>
      <c r="H1274" s="8"/>
      <c r="I1274" s="8"/>
      <c r="J1274" s="8"/>
      <c r="K1274" s="8"/>
      <c r="L1274" s="8"/>
    </row>
    <row r="1275" spans="3:12" x14ac:dyDescent="0.25">
      <c r="C1275" s="7"/>
      <c r="E1275" s="8"/>
      <c r="F1275" s="8"/>
      <c r="G1275" s="8"/>
      <c r="H1275" s="8"/>
      <c r="I1275" s="8"/>
      <c r="J1275" s="8"/>
      <c r="K1275" s="8"/>
      <c r="L1275" s="8"/>
    </row>
    <row r="1276" spans="3:12" x14ac:dyDescent="0.25">
      <c r="C1276" s="7"/>
      <c r="E1276" s="8"/>
      <c r="F1276" s="8"/>
      <c r="G1276" s="8"/>
      <c r="H1276" s="8"/>
      <c r="I1276" s="8"/>
      <c r="J1276" s="8"/>
      <c r="K1276" s="8"/>
      <c r="L1276" s="8"/>
    </row>
    <row r="1277" spans="3:12" x14ac:dyDescent="0.25">
      <c r="C1277" s="7"/>
      <c r="E1277" s="8"/>
      <c r="F1277" s="8"/>
      <c r="G1277" s="8"/>
      <c r="H1277" s="8"/>
      <c r="I1277" s="8"/>
      <c r="J1277" s="8"/>
      <c r="K1277" s="8"/>
      <c r="L1277" s="8"/>
    </row>
    <row r="1278" spans="3:12" x14ac:dyDescent="0.25">
      <c r="C1278" s="7"/>
      <c r="E1278" s="8"/>
      <c r="F1278" s="8"/>
      <c r="G1278" s="8"/>
      <c r="H1278" s="8"/>
      <c r="I1278" s="8"/>
      <c r="J1278" s="8"/>
      <c r="K1278" s="8"/>
      <c r="L1278" s="8"/>
    </row>
    <row r="1279" spans="3:12" x14ac:dyDescent="0.25">
      <c r="C1279" s="7"/>
      <c r="E1279" s="8"/>
      <c r="F1279" s="8"/>
      <c r="G1279" s="8"/>
      <c r="H1279" s="8"/>
      <c r="I1279" s="8"/>
      <c r="J1279" s="8"/>
      <c r="K1279" s="8"/>
      <c r="L1279" s="8"/>
    </row>
    <row r="1280" spans="3:12" x14ac:dyDescent="0.25">
      <c r="C1280" s="7"/>
      <c r="E1280" s="8"/>
      <c r="F1280" s="8"/>
      <c r="G1280" s="8"/>
      <c r="H1280" s="8"/>
      <c r="I1280" s="8"/>
      <c r="J1280" s="8"/>
      <c r="K1280" s="8"/>
      <c r="L1280" s="8"/>
    </row>
    <row r="1281" spans="3:12" x14ac:dyDescent="0.25">
      <c r="C1281" s="7"/>
      <c r="E1281" s="8"/>
      <c r="F1281" s="8"/>
      <c r="G1281" s="8"/>
      <c r="H1281" s="8"/>
      <c r="I1281" s="8"/>
      <c r="J1281" s="8"/>
      <c r="K1281" s="8"/>
      <c r="L1281" s="8"/>
    </row>
    <row r="1282" spans="3:12" x14ac:dyDescent="0.25">
      <c r="C1282" s="7"/>
      <c r="E1282" s="8"/>
      <c r="F1282" s="8"/>
      <c r="G1282" s="8"/>
      <c r="H1282" s="8"/>
      <c r="I1282" s="8"/>
      <c r="J1282" s="8"/>
      <c r="K1282" s="8"/>
      <c r="L1282" s="8"/>
    </row>
    <row r="1283" spans="3:12" x14ac:dyDescent="0.25">
      <c r="C1283" s="7"/>
      <c r="E1283" s="8"/>
      <c r="F1283" s="8"/>
      <c r="G1283" s="8"/>
      <c r="H1283" s="8"/>
      <c r="I1283" s="8"/>
      <c r="J1283" s="8"/>
      <c r="K1283" s="8"/>
      <c r="L1283" s="8"/>
    </row>
    <row r="1284" spans="3:12" x14ac:dyDescent="0.25">
      <c r="C1284" s="7"/>
      <c r="E1284" s="8"/>
      <c r="F1284" s="8"/>
      <c r="G1284" s="8"/>
      <c r="H1284" s="8"/>
      <c r="I1284" s="8"/>
      <c r="J1284" s="8"/>
      <c r="K1284" s="8"/>
      <c r="L1284" s="8"/>
    </row>
    <row r="1285" spans="3:12" x14ac:dyDescent="0.25">
      <c r="C1285" s="7"/>
      <c r="E1285" s="8"/>
      <c r="F1285" s="8"/>
      <c r="G1285" s="8"/>
      <c r="H1285" s="8"/>
      <c r="I1285" s="8"/>
      <c r="J1285" s="8"/>
      <c r="K1285" s="8"/>
      <c r="L1285" s="8"/>
    </row>
    <row r="1286" spans="3:12" x14ac:dyDescent="0.25">
      <c r="C1286" s="7"/>
      <c r="E1286" s="8"/>
      <c r="F1286" s="8"/>
      <c r="G1286" s="8"/>
      <c r="H1286" s="8"/>
      <c r="I1286" s="8"/>
      <c r="J1286" s="8"/>
      <c r="K1286" s="8"/>
      <c r="L1286" s="8"/>
    </row>
    <row r="1287" spans="3:12" x14ac:dyDescent="0.25">
      <c r="C1287" s="7"/>
      <c r="E1287" s="8"/>
      <c r="F1287" s="8"/>
      <c r="G1287" s="8"/>
      <c r="H1287" s="8"/>
      <c r="I1287" s="8"/>
      <c r="J1287" s="8"/>
      <c r="K1287" s="8"/>
      <c r="L1287" s="8"/>
    </row>
    <row r="1288" spans="3:12" x14ac:dyDescent="0.25">
      <c r="C1288" s="7"/>
      <c r="E1288" s="8"/>
      <c r="F1288" s="8"/>
      <c r="G1288" s="8"/>
      <c r="H1288" s="8"/>
      <c r="I1288" s="8"/>
      <c r="J1288" s="8"/>
      <c r="K1288" s="8"/>
      <c r="L1288" s="8"/>
    </row>
    <row r="1289" spans="3:12" x14ac:dyDescent="0.25">
      <c r="C1289" s="7"/>
      <c r="E1289" s="8"/>
      <c r="F1289" s="8"/>
      <c r="G1289" s="8"/>
      <c r="H1289" s="8"/>
      <c r="I1289" s="8"/>
      <c r="J1289" s="8"/>
      <c r="K1289" s="8"/>
      <c r="L1289" s="8"/>
    </row>
    <row r="1290" spans="3:12" x14ac:dyDescent="0.25">
      <c r="C1290" s="7"/>
      <c r="E1290" s="8"/>
      <c r="F1290" s="8"/>
      <c r="G1290" s="8"/>
      <c r="H1290" s="8"/>
      <c r="I1290" s="8"/>
      <c r="J1290" s="8"/>
      <c r="K1290" s="8"/>
      <c r="L1290" s="8"/>
    </row>
    <row r="1291" spans="3:12" x14ac:dyDescent="0.25">
      <c r="C1291" s="7"/>
      <c r="E1291" s="8"/>
      <c r="F1291" s="8"/>
      <c r="G1291" s="8"/>
      <c r="H1291" s="8"/>
      <c r="I1291" s="8"/>
      <c r="J1291" s="8"/>
      <c r="K1291" s="8"/>
      <c r="L1291" s="8"/>
    </row>
    <row r="1292" spans="3:12" x14ac:dyDescent="0.25">
      <c r="C1292" s="7"/>
      <c r="E1292" s="8"/>
      <c r="F1292" s="8"/>
      <c r="G1292" s="8"/>
      <c r="H1292" s="8"/>
      <c r="I1292" s="8"/>
      <c r="J1292" s="8"/>
      <c r="K1292" s="8"/>
      <c r="L1292" s="8"/>
    </row>
    <row r="1293" spans="3:12" x14ac:dyDescent="0.25">
      <c r="C1293" s="7"/>
      <c r="E1293" s="8"/>
      <c r="F1293" s="8"/>
      <c r="G1293" s="8"/>
      <c r="H1293" s="8"/>
      <c r="I1293" s="8"/>
      <c r="J1293" s="8"/>
      <c r="K1293" s="8"/>
      <c r="L1293" s="8"/>
    </row>
    <row r="1294" spans="3:12" x14ac:dyDescent="0.25">
      <c r="C1294" s="7"/>
      <c r="E1294" s="8"/>
      <c r="F1294" s="8"/>
      <c r="G1294" s="8"/>
      <c r="H1294" s="8"/>
      <c r="I1294" s="8"/>
      <c r="J1294" s="8"/>
      <c r="K1294" s="8"/>
      <c r="L1294" s="8"/>
    </row>
    <row r="1295" spans="3:12" x14ac:dyDescent="0.25">
      <c r="C1295" s="7"/>
      <c r="E1295" s="8"/>
      <c r="F1295" s="8"/>
      <c r="G1295" s="8"/>
      <c r="H1295" s="8"/>
      <c r="I1295" s="8"/>
      <c r="J1295" s="8"/>
      <c r="K1295" s="8"/>
      <c r="L1295" s="8"/>
    </row>
    <row r="1296" spans="3:12" x14ac:dyDescent="0.25">
      <c r="C1296" s="7"/>
      <c r="E1296" s="8"/>
      <c r="F1296" s="8"/>
      <c r="G1296" s="8"/>
      <c r="H1296" s="8"/>
      <c r="I1296" s="8"/>
      <c r="J1296" s="8"/>
      <c r="K1296" s="8"/>
      <c r="L1296" s="8"/>
    </row>
    <row r="1297" spans="3:12" x14ac:dyDescent="0.25">
      <c r="C1297" s="7"/>
      <c r="E1297" s="8"/>
      <c r="F1297" s="8"/>
      <c r="G1297" s="8"/>
      <c r="H1297" s="8"/>
      <c r="I1297" s="8"/>
      <c r="J1297" s="8"/>
      <c r="K1297" s="8"/>
      <c r="L1297" s="8"/>
    </row>
    <row r="1298" spans="3:12" x14ac:dyDescent="0.25">
      <c r="C1298" s="7"/>
      <c r="E1298" s="8"/>
      <c r="F1298" s="8"/>
      <c r="G1298" s="8"/>
      <c r="H1298" s="8"/>
      <c r="I1298" s="8"/>
      <c r="J1298" s="8"/>
      <c r="K1298" s="8"/>
      <c r="L1298" s="8"/>
    </row>
    <row r="1299" spans="3:12" x14ac:dyDescent="0.25">
      <c r="C1299" s="7"/>
      <c r="E1299" s="8"/>
      <c r="F1299" s="8"/>
      <c r="G1299" s="8"/>
      <c r="H1299" s="8"/>
      <c r="I1299" s="8"/>
      <c r="J1299" s="8"/>
      <c r="K1299" s="8"/>
      <c r="L1299" s="8"/>
    </row>
    <row r="1300" spans="3:12" x14ac:dyDescent="0.25">
      <c r="C1300" s="7"/>
      <c r="E1300" s="8"/>
      <c r="F1300" s="8"/>
      <c r="G1300" s="8"/>
      <c r="H1300" s="8"/>
      <c r="I1300" s="8"/>
      <c r="J1300" s="8"/>
      <c r="K1300" s="8"/>
      <c r="L1300" s="8"/>
    </row>
    <row r="1301" spans="3:12" x14ac:dyDescent="0.25">
      <c r="C1301" s="7"/>
      <c r="E1301" s="8"/>
      <c r="F1301" s="8"/>
      <c r="G1301" s="8"/>
      <c r="H1301" s="8"/>
      <c r="I1301" s="8"/>
      <c r="J1301" s="8"/>
      <c r="K1301" s="8"/>
      <c r="L1301" s="8"/>
    </row>
    <row r="1302" spans="3:12" x14ac:dyDescent="0.25">
      <c r="C1302" s="7"/>
      <c r="E1302" s="8"/>
      <c r="F1302" s="8"/>
      <c r="G1302" s="8"/>
      <c r="H1302" s="8"/>
      <c r="I1302" s="8"/>
      <c r="J1302" s="8"/>
      <c r="K1302" s="8"/>
      <c r="L1302" s="8"/>
    </row>
    <row r="1303" spans="3:12" x14ac:dyDescent="0.25">
      <c r="C1303" s="7"/>
      <c r="E1303" s="8"/>
      <c r="F1303" s="8"/>
      <c r="G1303" s="8"/>
      <c r="H1303" s="8"/>
      <c r="I1303" s="8"/>
      <c r="J1303" s="8"/>
      <c r="K1303" s="8"/>
      <c r="L1303" s="8"/>
    </row>
    <row r="1304" spans="3:12" x14ac:dyDescent="0.25">
      <c r="C1304" s="7"/>
      <c r="E1304" s="8"/>
      <c r="F1304" s="8"/>
      <c r="G1304" s="8"/>
      <c r="H1304" s="8"/>
      <c r="I1304" s="8"/>
      <c r="J1304" s="8"/>
      <c r="K1304" s="8"/>
      <c r="L1304" s="8"/>
    </row>
    <row r="1305" spans="3:12" x14ac:dyDescent="0.25">
      <c r="C1305" s="7"/>
      <c r="E1305" s="8"/>
      <c r="F1305" s="8"/>
      <c r="G1305" s="8"/>
      <c r="H1305" s="8"/>
      <c r="I1305" s="8"/>
      <c r="J1305" s="8"/>
      <c r="K1305" s="8"/>
      <c r="L1305" s="8"/>
    </row>
    <row r="1306" spans="3:12" x14ac:dyDescent="0.25">
      <c r="C1306" s="7"/>
      <c r="E1306" s="8"/>
      <c r="F1306" s="8"/>
      <c r="G1306" s="8"/>
      <c r="H1306" s="8"/>
      <c r="I1306" s="8"/>
      <c r="J1306" s="8"/>
      <c r="K1306" s="8"/>
      <c r="L1306" s="8"/>
    </row>
    <row r="1307" spans="3:12" x14ac:dyDescent="0.25">
      <c r="C1307" s="7"/>
      <c r="E1307" s="8"/>
      <c r="F1307" s="8"/>
      <c r="G1307" s="8"/>
      <c r="H1307" s="8"/>
      <c r="I1307" s="8"/>
      <c r="J1307" s="8"/>
      <c r="K1307" s="8"/>
      <c r="L1307" s="8"/>
    </row>
    <row r="1308" spans="3:12" x14ac:dyDescent="0.25">
      <c r="C1308" s="7"/>
      <c r="E1308" s="8"/>
      <c r="F1308" s="8"/>
      <c r="G1308" s="8"/>
      <c r="H1308" s="8"/>
      <c r="I1308" s="8"/>
      <c r="J1308" s="8"/>
      <c r="K1308" s="8"/>
      <c r="L1308" s="8"/>
    </row>
    <row r="1309" spans="3:12" x14ac:dyDescent="0.25">
      <c r="C1309" s="7"/>
      <c r="E1309" s="8"/>
      <c r="F1309" s="8"/>
      <c r="G1309" s="8"/>
      <c r="H1309" s="8"/>
      <c r="I1309" s="8"/>
      <c r="J1309" s="8"/>
      <c r="K1309" s="8"/>
      <c r="L1309" s="8"/>
    </row>
    <row r="1310" spans="3:12" x14ac:dyDescent="0.25">
      <c r="C1310" s="7"/>
      <c r="E1310" s="8"/>
      <c r="F1310" s="8"/>
      <c r="G1310" s="8"/>
      <c r="H1310" s="8"/>
      <c r="I1310" s="8"/>
      <c r="J1310" s="8"/>
      <c r="K1310" s="8"/>
      <c r="L1310" s="8"/>
    </row>
    <row r="1311" spans="3:12" x14ac:dyDescent="0.25">
      <c r="C1311" s="7"/>
      <c r="E1311" s="8"/>
      <c r="F1311" s="8"/>
      <c r="G1311" s="8"/>
      <c r="H1311" s="8"/>
      <c r="I1311" s="8"/>
      <c r="J1311" s="8"/>
      <c r="K1311" s="8"/>
      <c r="L1311" s="8"/>
    </row>
    <row r="1312" spans="3:12" x14ac:dyDescent="0.25">
      <c r="C1312" s="7"/>
      <c r="E1312" s="8"/>
      <c r="F1312" s="8"/>
      <c r="G1312" s="8"/>
      <c r="H1312" s="8"/>
      <c r="I1312" s="8"/>
      <c r="J1312" s="8"/>
      <c r="K1312" s="8"/>
      <c r="L1312" s="8"/>
    </row>
    <row r="1313" spans="3:12" x14ac:dyDescent="0.25">
      <c r="C1313" s="7"/>
      <c r="E1313" s="8"/>
      <c r="F1313" s="8"/>
      <c r="G1313" s="8"/>
      <c r="H1313" s="8"/>
      <c r="I1313" s="8"/>
      <c r="J1313" s="8"/>
      <c r="K1313" s="8"/>
      <c r="L1313" s="8"/>
    </row>
    <row r="1314" spans="3:12" x14ac:dyDescent="0.25">
      <c r="C1314" s="7"/>
      <c r="E1314" s="8"/>
      <c r="F1314" s="8"/>
      <c r="G1314" s="8"/>
      <c r="H1314" s="8"/>
      <c r="I1314" s="8"/>
      <c r="J1314" s="8"/>
      <c r="K1314" s="8"/>
      <c r="L1314" s="8"/>
    </row>
    <row r="1315" spans="3:12" x14ac:dyDescent="0.25">
      <c r="C1315" s="7"/>
      <c r="E1315" s="8"/>
      <c r="F1315" s="8"/>
      <c r="G1315" s="8"/>
      <c r="H1315" s="8"/>
      <c r="I1315" s="8"/>
      <c r="J1315" s="8"/>
      <c r="K1315" s="8"/>
      <c r="L1315" s="8"/>
    </row>
    <row r="1316" spans="3:12" x14ac:dyDescent="0.25">
      <c r="C1316" s="7"/>
      <c r="E1316" s="8"/>
      <c r="F1316" s="8"/>
      <c r="G1316" s="8"/>
      <c r="H1316" s="8"/>
      <c r="I1316" s="8"/>
      <c r="J1316" s="8"/>
      <c r="K1316" s="8"/>
      <c r="L1316" s="8"/>
    </row>
    <row r="1317" spans="3:12" x14ac:dyDescent="0.25">
      <c r="C1317" s="7"/>
      <c r="E1317" s="8"/>
      <c r="F1317" s="8"/>
      <c r="G1317" s="8"/>
      <c r="H1317" s="8"/>
      <c r="I1317" s="8"/>
      <c r="J1317" s="8"/>
      <c r="K1317" s="8"/>
      <c r="L1317" s="8"/>
    </row>
    <row r="1318" spans="3:12" x14ac:dyDescent="0.25">
      <c r="C1318" s="7"/>
      <c r="E1318" s="8"/>
      <c r="F1318" s="8"/>
      <c r="G1318" s="8"/>
      <c r="H1318" s="8"/>
      <c r="I1318" s="8"/>
      <c r="J1318" s="8"/>
      <c r="K1318" s="8"/>
      <c r="L1318" s="8"/>
    </row>
    <row r="1319" spans="3:12" x14ac:dyDescent="0.25">
      <c r="C1319" s="7"/>
      <c r="E1319" s="8"/>
      <c r="F1319" s="8"/>
      <c r="G1319" s="8"/>
      <c r="H1319" s="8"/>
      <c r="I1319" s="8"/>
      <c r="J1319" s="8"/>
      <c r="K1319" s="8"/>
      <c r="L1319" s="8"/>
    </row>
    <row r="1320" spans="3:12" x14ac:dyDescent="0.25">
      <c r="C1320" s="7"/>
      <c r="E1320" s="8"/>
      <c r="F1320" s="8"/>
      <c r="G1320" s="8"/>
      <c r="H1320" s="8"/>
      <c r="I1320" s="8"/>
      <c r="J1320" s="8"/>
      <c r="K1320" s="8"/>
      <c r="L1320" s="8"/>
    </row>
    <row r="1321" spans="3:12" x14ac:dyDescent="0.25">
      <c r="C1321" s="7"/>
      <c r="E1321" s="8"/>
      <c r="F1321" s="8"/>
      <c r="G1321" s="8"/>
      <c r="H1321" s="8"/>
      <c r="I1321" s="8"/>
      <c r="J1321" s="8"/>
      <c r="K1321" s="8"/>
      <c r="L1321" s="8"/>
    </row>
    <row r="1322" spans="3:12" x14ac:dyDescent="0.25">
      <c r="C1322" s="7"/>
      <c r="E1322" s="8"/>
      <c r="F1322" s="8"/>
      <c r="G1322" s="8"/>
      <c r="H1322" s="8"/>
      <c r="I1322" s="8"/>
      <c r="J1322" s="8"/>
      <c r="K1322" s="8"/>
      <c r="L1322" s="8"/>
    </row>
    <row r="1323" spans="3:12" x14ac:dyDescent="0.25">
      <c r="C1323" s="7"/>
      <c r="E1323" s="8"/>
      <c r="F1323" s="8"/>
      <c r="G1323" s="8"/>
      <c r="H1323" s="8"/>
      <c r="I1323" s="8"/>
      <c r="J1323" s="8"/>
      <c r="K1323" s="8"/>
      <c r="L1323" s="8"/>
    </row>
    <row r="1324" spans="3:12" x14ac:dyDescent="0.25">
      <c r="C1324" s="7"/>
      <c r="E1324" s="8"/>
      <c r="F1324" s="8"/>
      <c r="G1324" s="8"/>
      <c r="H1324" s="8"/>
      <c r="I1324" s="8"/>
      <c r="J1324" s="8"/>
      <c r="K1324" s="8"/>
      <c r="L1324" s="8"/>
    </row>
    <row r="1325" spans="3:12" x14ac:dyDescent="0.25">
      <c r="C1325" s="7"/>
      <c r="E1325" s="8"/>
      <c r="F1325" s="8"/>
      <c r="G1325" s="8"/>
      <c r="H1325" s="8"/>
      <c r="I1325" s="8"/>
      <c r="J1325" s="8"/>
      <c r="K1325" s="8"/>
      <c r="L1325" s="8"/>
    </row>
    <row r="1326" spans="3:12" x14ac:dyDescent="0.25">
      <c r="C1326" s="7"/>
      <c r="E1326" s="8"/>
      <c r="F1326" s="8"/>
      <c r="G1326" s="8"/>
      <c r="H1326" s="8"/>
      <c r="I1326" s="8"/>
      <c r="J1326" s="8"/>
      <c r="K1326" s="8"/>
      <c r="L1326" s="8"/>
    </row>
    <row r="1327" spans="3:12" x14ac:dyDescent="0.25">
      <c r="C1327" s="7"/>
      <c r="E1327" s="8"/>
      <c r="F1327" s="8"/>
      <c r="G1327" s="8"/>
      <c r="H1327" s="8"/>
      <c r="I1327" s="8"/>
      <c r="J1327" s="8"/>
      <c r="K1327" s="8"/>
      <c r="L1327" s="8"/>
    </row>
    <row r="1328" spans="3:12" x14ac:dyDescent="0.25">
      <c r="C1328" s="7"/>
      <c r="E1328" s="8"/>
      <c r="F1328" s="8"/>
      <c r="G1328" s="8"/>
      <c r="H1328" s="8"/>
      <c r="I1328" s="8"/>
      <c r="J1328" s="8"/>
      <c r="K1328" s="8"/>
      <c r="L1328" s="8"/>
    </row>
    <row r="1329" spans="3:12" x14ac:dyDescent="0.25">
      <c r="C1329" s="7"/>
      <c r="E1329" s="8"/>
      <c r="F1329" s="8"/>
      <c r="G1329" s="8"/>
      <c r="H1329" s="8"/>
      <c r="I1329" s="8"/>
      <c r="J1329" s="8"/>
      <c r="K1329" s="8"/>
      <c r="L1329" s="8"/>
    </row>
    <row r="1330" spans="3:12" x14ac:dyDescent="0.25">
      <c r="C1330" s="7"/>
      <c r="E1330" s="8"/>
      <c r="F1330" s="8"/>
      <c r="G1330" s="8"/>
      <c r="H1330" s="8"/>
      <c r="I1330" s="8"/>
      <c r="J1330" s="8"/>
      <c r="K1330" s="8"/>
      <c r="L1330" s="8"/>
    </row>
    <row r="1331" spans="3:12" x14ac:dyDescent="0.25">
      <c r="C1331" s="7"/>
      <c r="E1331" s="8"/>
      <c r="F1331" s="8"/>
      <c r="G1331" s="8"/>
      <c r="H1331" s="8"/>
      <c r="I1331" s="8"/>
      <c r="J1331" s="8"/>
      <c r="K1331" s="8"/>
      <c r="L1331" s="8"/>
    </row>
    <row r="1332" spans="3:12" x14ac:dyDescent="0.25">
      <c r="C1332" s="7"/>
      <c r="E1332" s="8"/>
      <c r="F1332" s="8"/>
      <c r="G1332" s="8"/>
      <c r="H1332" s="8"/>
      <c r="I1332" s="8"/>
      <c r="J1332" s="8"/>
      <c r="K1332" s="8"/>
      <c r="L1332" s="8"/>
    </row>
    <row r="1333" spans="3:12" x14ac:dyDescent="0.25">
      <c r="C1333" s="7"/>
      <c r="E1333" s="8"/>
      <c r="F1333" s="8"/>
      <c r="G1333" s="8"/>
      <c r="H1333" s="8"/>
      <c r="I1333" s="8"/>
      <c r="J1333" s="8"/>
      <c r="K1333" s="8"/>
      <c r="L1333" s="8"/>
    </row>
    <row r="1334" spans="3:12" x14ac:dyDescent="0.25">
      <c r="C1334" s="7"/>
      <c r="E1334" s="8"/>
      <c r="F1334" s="8"/>
      <c r="G1334" s="8"/>
      <c r="H1334" s="8"/>
      <c r="I1334" s="8"/>
      <c r="J1334" s="8"/>
      <c r="K1334" s="8"/>
      <c r="L1334" s="8"/>
    </row>
    <row r="1335" spans="3:12" x14ac:dyDescent="0.25">
      <c r="C1335" s="7"/>
      <c r="E1335" s="8"/>
      <c r="F1335" s="8"/>
      <c r="G1335" s="8"/>
      <c r="H1335" s="8"/>
      <c r="I1335" s="8"/>
      <c r="J1335" s="8"/>
      <c r="K1335" s="8"/>
      <c r="L1335" s="8"/>
    </row>
    <row r="1336" spans="3:12" x14ac:dyDescent="0.25">
      <c r="C1336" s="7"/>
      <c r="E1336" s="8"/>
      <c r="F1336" s="8"/>
      <c r="G1336" s="8"/>
      <c r="H1336" s="8"/>
      <c r="I1336" s="8"/>
      <c r="J1336" s="8"/>
      <c r="K1336" s="8"/>
      <c r="L1336" s="8"/>
    </row>
    <row r="1337" spans="3:12" x14ac:dyDescent="0.25">
      <c r="C1337" s="7"/>
      <c r="E1337" s="8"/>
      <c r="F1337" s="8"/>
      <c r="G1337" s="8"/>
      <c r="H1337" s="8"/>
      <c r="I1337" s="8"/>
      <c r="J1337" s="8"/>
      <c r="K1337" s="8"/>
      <c r="L1337" s="8"/>
    </row>
    <row r="1338" spans="3:12" x14ac:dyDescent="0.25">
      <c r="C1338" s="7"/>
      <c r="E1338" s="8"/>
      <c r="F1338" s="8"/>
      <c r="G1338" s="8"/>
      <c r="H1338" s="8"/>
      <c r="I1338" s="8"/>
      <c r="J1338" s="8"/>
      <c r="K1338" s="8"/>
      <c r="L1338" s="8"/>
    </row>
    <row r="1339" spans="3:12" x14ac:dyDescent="0.25">
      <c r="C1339" s="7"/>
      <c r="E1339" s="8"/>
      <c r="F1339" s="8"/>
      <c r="G1339" s="8"/>
      <c r="H1339" s="8"/>
      <c r="I1339" s="8"/>
      <c r="J1339" s="8"/>
      <c r="K1339" s="8"/>
      <c r="L1339" s="8"/>
    </row>
    <row r="1340" spans="3:12" x14ac:dyDescent="0.25">
      <c r="C1340" s="7"/>
      <c r="E1340" s="8"/>
      <c r="F1340" s="8"/>
      <c r="G1340" s="8"/>
      <c r="H1340" s="8"/>
      <c r="I1340" s="8"/>
      <c r="J1340" s="8"/>
      <c r="K1340" s="8"/>
      <c r="L1340" s="8"/>
    </row>
    <row r="1341" spans="3:12" x14ac:dyDescent="0.25">
      <c r="C1341" s="7"/>
      <c r="E1341" s="8"/>
      <c r="F1341" s="8"/>
      <c r="G1341" s="8"/>
      <c r="H1341" s="8"/>
      <c r="I1341" s="8"/>
      <c r="J1341" s="8"/>
      <c r="K1341" s="8"/>
      <c r="L1341" s="8"/>
    </row>
    <row r="1342" spans="3:12" x14ac:dyDescent="0.25">
      <c r="C1342" s="7"/>
      <c r="E1342" s="8"/>
      <c r="F1342" s="8"/>
      <c r="G1342" s="8"/>
      <c r="H1342" s="8"/>
      <c r="I1342" s="8"/>
      <c r="J1342" s="8"/>
      <c r="K1342" s="8"/>
      <c r="L1342" s="8"/>
    </row>
    <row r="1343" spans="3:12" x14ac:dyDescent="0.25">
      <c r="C1343" s="7"/>
      <c r="E1343" s="8"/>
      <c r="F1343" s="8"/>
      <c r="G1343" s="8"/>
      <c r="H1343" s="8"/>
      <c r="I1343" s="8"/>
      <c r="J1343" s="8"/>
      <c r="K1343" s="8"/>
      <c r="L1343" s="8"/>
    </row>
    <row r="1344" spans="3:12" x14ac:dyDescent="0.25">
      <c r="C1344" s="7"/>
      <c r="E1344" s="8"/>
      <c r="F1344" s="8"/>
      <c r="G1344" s="8"/>
      <c r="H1344" s="8"/>
      <c r="I1344" s="8"/>
      <c r="J1344" s="8"/>
      <c r="K1344" s="8"/>
      <c r="L1344" s="8"/>
    </row>
    <row r="1345" spans="3:12" x14ac:dyDescent="0.25">
      <c r="C1345" s="7"/>
      <c r="E1345" s="8"/>
      <c r="F1345" s="8"/>
      <c r="G1345" s="8"/>
      <c r="H1345" s="8"/>
      <c r="I1345" s="8"/>
      <c r="J1345" s="8"/>
      <c r="K1345" s="8"/>
      <c r="L1345" s="8"/>
    </row>
    <row r="1346" spans="3:12" x14ac:dyDescent="0.25">
      <c r="C1346" s="7"/>
      <c r="E1346" s="8"/>
      <c r="F1346" s="8"/>
      <c r="G1346" s="8"/>
      <c r="H1346" s="8"/>
      <c r="I1346" s="8"/>
      <c r="J1346" s="8"/>
      <c r="K1346" s="8"/>
      <c r="L1346" s="8"/>
    </row>
    <row r="1347" spans="3:12" x14ac:dyDescent="0.25">
      <c r="C1347" s="7"/>
      <c r="E1347" s="8"/>
      <c r="F1347" s="8"/>
      <c r="G1347" s="8"/>
      <c r="H1347" s="8"/>
      <c r="I1347" s="8"/>
      <c r="J1347" s="8"/>
      <c r="K1347" s="8"/>
      <c r="L1347" s="8"/>
    </row>
    <row r="1348" spans="3:12" x14ac:dyDescent="0.25">
      <c r="C1348" s="7"/>
      <c r="E1348" s="8"/>
      <c r="F1348" s="8"/>
      <c r="G1348" s="8"/>
      <c r="H1348" s="8"/>
      <c r="I1348" s="8"/>
      <c r="J1348" s="8"/>
      <c r="K1348" s="8"/>
      <c r="L1348" s="8"/>
    </row>
    <row r="1349" spans="3:12" x14ac:dyDescent="0.25">
      <c r="C1349" s="7"/>
      <c r="E1349" s="8"/>
      <c r="F1349" s="8"/>
      <c r="G1349" s="8"/>
      <c r="H1349" s="8"/>
      <c r="I1349" s="8"/>
      <c r="J1349" s="8"/>
      <c r="K1349" s="8"/>
      <c r="L1349" s="8"/>
    </row>
    <row r="1350" spans="3:12" x14ac:dyDescent="0.25">
      <c r="C1350" s="7"/>
      <c r="E1350" s="8"/>
      <c r="F1350" s="8"/>
      <c r="G1350" s="8"/>
      <c r="H1350" s="8"/>
      <c r="I1350" s="8"/>
      <c r="J1350" s="8"/>
      <c r="K1350" s="8"/>
      <c r="L1350" s="8"/>
    </row>
    <row r="1351" spans="3:12" x14ac:dyDescent="0.25">
      <c r="C1351" s="7"/>
      <c r="E1351" s="8"/>
      <c r="F1351" s="8"/>
      <c r="G1351" s="8"/>
      <c r="H1351" s="8"/>
      <c r="I1351" s="8"/>
      <c r="J1351" s="8"/>
      <c r="K1351" s="8"/>
      <c r="L1351" s="8"/>
    </row>
    <row r="1352" spans="3:12" x14ac:dyDescent="0.25">
      <c r="C1352" s="7"/>
      <c r="E1352" s="8"/>
      <c r="F1352" s="8"/>
      <c r="G1352" s="8"/>
      <c r="H1352" s="8"/>
      <c r="I1352" s="8"/>
      <c r="J1352" s="8"/>
      <c r="K1352" s="8"/>
      <c r="L1352" s="8"/>
    </row>
    <row r="1353" spans="3:12" x14ac:dyDescent="0.25">
      <c r="C1353" s="7"/>
      <c r="E1353" s="8"/>
      <c r="F1353" s="8"/>
      <c r="G1353" s="8"/>
      <c r="H1353" s="8"/>
      <c r="I1353" s="8"/>
      <c r="J1353" s="8"/>
      <c r="K1353" s="8"/>
      <c r="L1353" s="8"/>
    </row>
    <row r="1354" spans="3:12" x14ac:dyDescent="0.25">
      <c r="C1354" s="7"/>
      <c r="E1354" s="8"/>
      <c r="F1354" s="8"/>
      <c r="G1354" s="8"/>
      <c r="H1354" s="8"/>
      <c r="I1354" s="8"/>
      <c r="J1354" s="8"/>
      <c r="K1354" s="8"/>
      <c r="L1354" s="8"/>
    </row>
    <row r="1355" spans="3:12" x14ac:dyDescent="0.25">
      <c r="C1355" s="7"/>
      <c r="E1355" s="8"/>
      <c r="F1355" s="8"/>
      <c r="G1355" s="8"/>
      <c r="H1355" s="8"/>
      <c r="I1355" s="8"/>
      <c r="J1355" s="8"/>
      <c r="K1355" s="8"/>
      <c r="L1355" s="8"/>
    </row>
    <row r="1356" spans="3:12" x14ac:dyDescent="0.25">
      <c r="C1356" s="7"/>
      <c r="E1356" s="8"/>
      <c r="F1356" s="8"/>
      <c r="G1356" s="8"/>
      <c r="H1356" s="8"/>
      <c r="I1356" s="8"/>
      <c r="J1356" s="8"/>
      <c r="K1356" s="8"/>
      <c r="L1356" s="8"/>
    </row>
    <row r="1357" spans="3:12" x14ac:dyDescent="0.25">
      <c r="C1357" s="7"/>
      <c r="E1357" s="8"/>
      <c r="F1357" s="8"/>
      <c r="G1357" s="8"/>
      <c r="H1357" s="8"/>
      <c r="I1357" s="8"/>
      <c r="J1357" s="8"/>
      <c r="K1357" s="8"/>
      <c r="L1357" s="8"/>
    </row>
    <row r="1358" spans="3:12" x14ac:dyDescent="0.25">
      <c r="C1358" s="7"/>
      <c r="E1358" s="8"/>
      <c r="F1358" s="8"/>
      <c r="G1358" s="8"/>
      <c r="H1358" s="8"/>
      <c r="I1358" s="8"/>
      <c r="J1358" s="8"/>
      <c r="K1358" s="8"/>
      <c r="L1358" s="8"/>
    </row>
    <row r="1359" spans="3:12" x14ac:dyDescent="0.25">
      <c r="C1359" s="7"/>
      <c r="E1359" s="8"/>
      <c r="F1359" s="8"/>
      <c r="G1359" s="8"/>
      <c r="H1359" s="8"/>
      <c r="I1359" s="8"/>
      <c r="J1359" s="8"/>
      <c r="K1359" s="8"/>
      <c r="L1359" s="8"/>
    </row>
    <row r="1360" spans="3:12" x14ac:dyDescent="0.25">
      <c r="C1360" s="7"/>
      <c r="E1360" s="8"/>
      <c r="F1360" s="8"/>
      <c r="G1360" s="8"/>
      <c r="H1360" s="8"/>
      <c r="I1360" s="8"/>
      <c r="J1360" s="8"/>
      <c r="K1360" s="8"/>
      <c r="L1360" s="8"/>
    </row>
    <row r="1361" spans="3:12" x14ac:dyDescent="0.25">
      <c r="C1361" s="7"/>
      <c r="E1361" s="8"/>
      <c r="F1361" s="8"/>
      <c r="G1361" s="8"/>
      <c r="H1361" s="8"/>
      <c r="I1361" s="8"/>
      <c r="J1361" s="8"/>
      <c r="K1361" s="8"/>
      <c r="L1361" s="8"/>
    </row>
    <row r="1362" spans="3:12" x14ac:dyDescent="0.25">
      <c r="C1362" s="7"/>
      <c r="E1362" s="8"/>
      <c r="F1362" s="8"/>
      <c r="G1362" s="8"/>
      <c r="H1362" s="8"/>
      <c r="I1362" s="8"/>
      <c r="J1362" s="8"/>
      <c r="K1362" s="8"/>
      <c r="L1362" s="8"/>
    </row>
    <row r="1363" spans="3:12" x14ac:dyDescent="0.25">
      <c r="C1363" s="7"/>
      <c r="E1363" s="8"/>
      <c r="F1363" s="8"/>
      <c r="G1363" s="8"/>
      <c r="H1363" s="8"/>
      <c r="I1363" s="8"/>
      <c r="J1363" s="8"/>
      <c r="K1363" s="8"/>
      <c r="L1363" s="8"/>
    </row>
    <row r="1364" spans="3:12" x14ac:dyDescent="0.25">
      <c r="C1364" s="7"/>
      <c r="E1364" s="8"/>
      <c r="F1364" s="8"/>
      <c r="G1364" s="8"/>
      <c r="H1364" s="8"/>
      <c r="I1364" s="8"/>
      <c r="J1364" s="8"/>
      <c r="K1364" s="8"/>
      <c r="L1364" s="8"/>
    </row>
    <row r="1365" spans="3:12" x14ac:dyDescent="0.25">
      <c r="C1365" s="7"/>
      <c r="E1365" s="8"/>
      <c r="F1365" s="8"/>
      <c r="G1365" s="8"/>
      <c r="H1365" s="8"/>
      <c r="I1365" s="8"/>
      <c r="J1365" s="8"/>
      <c r="K1365" s="8"/>
      <c r="L1365" s="8"/>
    </row>
    <row r="1366" spans="3:12" x14ac:dyDescent="0.25">
      <c r="C1366" s="7"/>
      <c r="E1366" s="8"/>
      <c r="F1366" s="8"/>
      <c r="G1366" s="8"/>
      <c r="H1366" s="8"/>
      <c r="I1366" s="8"/>
      <c r="J1366" s="8"/>
      <c r="K1366" s="8"/>
      <c r="L1366" s="8"/>
    </row>
    <row r="1367" spans="3:12" x14ac:dyDescent="0.25">
      <c r="C1367" s="7"/>
      <c r="E1367" s="8"/>
      <c r="F1367" s="8"/>
      <c r="G1367" s="8"/>
      <c r="H1367" s="8"/>
      <c r="I1367" s="8"/>
      <c r="J1367" s="8"/>
      <c r="K1367" s="8"/>
      <c r="L1367" s="8"/>
    </row>
    <row r="1368" spans="3:12" x14ac:dyDescent="0.25">
      <c r="C1368" s="7"/>
      <c r="E1368" s="8"/>
      <c r="F1368" s="8"/>
      <c r="G1368" s="8"/>
      <c r="H1368" s="8"/>
      <c r="I1368" s="8"/>
      <c r="J1368" s="8"/>
      <c r="K1368" s="8"/>
      <c r="L1368" s="8"/>
    </row>
    <row r="1369" spans="3:12" x14ac:dyDescent="0.25">
      <c r="C1369" s="7"/>
      <c r="E1369" s="8"/>
      <c r="F1369" s="8"/>
      <c r="G1369" s="8"/>
      <c r="H1369" s="8"/>
      <c r="I1369" s="8"/>
      <c r="J1369" s="8"/>
      <c r="K1369" s="8"/>
      <c r="L1369" s="8"/>
    </row>
    <row r="1370" spans="3:12" x14ac:dyDescent="0.25">
      <c r="C1370" s="7"/>
      <c r="E1370" s="8"/>
      <c r="F1370" s="8"/>
      <c r="G1370" s="8"/>
      <c r="H1370" s="8"/>
      <c r="I1370" s="8"/>
      <c r="J1370" s="8"/>
      <c r="K1370" s="8"/>
      <c r="L1370" s="8"/>
    </row>
    <row r="1371" spans="3:12" x14ac:dyDescent="0.25">
      <c r="C1371" s="7"/>
      <c r="E1371" s="8"/>
      <c r="F1371" s="8"/>
      <c r="G1371" s="8"/>
      <c r="H1371" s="8"/>
      <c r="I1371" s="8"/>
      <c r="J1371" s="8"/>
      <c r="K1371" s="8"/>
      <c r="L1371" s="8"/>
    </row>
    <row r="1372" spans="3:12" x14ac:dyDescent="0.25">
      <c r="C1372" s="7"/>
      <c r="E1372" s="8"/>
      <c r="F1372" s="8"/>
      <c r="G1372" s="8"/>
      <c r="H1372" s="8"/>
      <c r="I1372" s="8"/>
      <c r="J1372" s="8"/>
      <c r="K1372" s="8"/>
      <c r="L1372" s="8"/>
    </row>
    <row r="1373" spans="3:12" x14ac:dyDescent="0.25">
      <c r="C1373" s="7"/>
      <c r="E1373" s="8"/>
      <c r="F1373" s="8"/>
      <c r="G1373" s="8"/>
      <c r="H1373" s="8"/>
      <c r="I1373" s="8"/>
      <c r="J1373" s="8"/>
      <c r="K1373" s="8"/>
      <c r="L1373" s="8"/>
    </row>
    <row r="1374" spans="3:12" x14ac:dyDescent="0.25">
      <c r="C1374" s="7"/>
      <c r="E1374" s="8"/>
      <c r="F1374" s="8"/>
      <c r="G1374" s="8"/>
      <c r="H1374" s="8"/>
      <c r="I1374" s="8"/>
      <c r="J1374" s="8"/>
      <c r="K1374" s="8"/>
      <c r="L1374" s="8"/>
    </row>
    <row r="1375" spans="3:12" x14ac:dyDescent="0.25">
      <c r="C1375" s="7"/>
      <c r="E1375" s="8"/>
      <c r="F1375" s="8"/>
      <c r="G1375" s="8"/>
      <c r="H1375" s="8"/>
      <c r="I1375" s="8"/>
      <c r="J1375" s="8"/>
      <c r="K1375" s="8"/>
      <c r="L1375" s="8"/>
    </row>
    <row r="1376" spans="3:12" x14ac:dyDescent="0.25">
      <c r="C1376" s="7"/>
      <c r="E1376" s="8"/>
      <c r="F1376" s="8"/>
      <c r="G1376" s="8"/>
      <c r="H1376" s="8"/>
      <c r="I1376" s="8"/>
      <c r="J1376" s="8"/>
      <c r="K1376" s="8"/>
      <c r="L1376" s="8"/>
    </row>
    <row r="1377" spans="3:12" x14ac:dyDescent="0.25">
      <c r="C1377" s="7"/>
      <c r="E1377" s="8"/>
      <c r="F1377" s="8"/>
      <c r="G1377" s="8"/>
      <c r="H1377" s="8"/>
      <c r="I1377" s="8"/>
      <c r="J1377" s="8"/>
      <c r="K1377" s="8"/>
      <c r="L1377" s="8"/>
    </row>
    <row r="1378" spans="3:12" x14ac:dyDescent="0.25">
      <c r="C1378" s="7"/>
      <c r="E1378" s="8"/>
      <c r="F1378" s="8"/>
      <c r="G1378" s="8"/>
      <c r="H1378" s="8"/>
      <c r="I1378" s="8"/>
      <c r="J1378" s="8"/>
      <c r="K1378" s="8"/>
      <c r="L1378" s="8"/>
    </row>
    <row r="1379" spans="3:12" x14ac:dyDescent="0.25">
      <c r="C1379" s="7"/>
      <c r="E1379" s="8"/>
      <c r="F1379" s="8"/>
      <c r="G1379" s="8"/>
      <c r="H1379" s="8"/>
      <c r="I1379" s="8"/>
      <c r="J1379" s="8"/>
      <c r="K1379" s="8"/>
      <c r="L1379" s="8"/>
    </row>
    <row r="1380" spans="3:12" x14ac:dyDescent="0.25">
      <c r="C1380" s="7"/>
      <c r="E1380" s="8"/>
      <c r="F1380" s="8"/>
      <c r="G1380" s="8"/>
      <c r="H1380" s="8"/>
      <c r="I1380" s="8"/>
      <c r="J1380" s="8"/>
      <c r="K1380" s="8"/>
      <c r="L1380" s="8"/>
    </row>
    <row r="1381" spans="3:12" x14ac:dyDescent="0.25">
      <c r="C1381" s="7"/>
      <c r="E1381" s="8"/>
      <c r="F1381" s="8"/>
      <c r="G1381" s="8"/>
      <c r="H1381" s="8"/>
      <c r="I1381" s="8"/>
      <c r="J1381" s="8"/>
      <c r="K1381" s="8"/>
      <c r="L1381" s="8"/>
    </row>
    <row r="1382" spans="3:12" x14ac:dyDescent="0.25">
      <c r="C1382" s="7"/>
      <c r="E1382" s="8"/>
      <c r="F1382" s="8"/>
      <c r="G1382" s="8"/>
      <c r="H1382" s="8"/>
      <c r="I1382" s="8"/>
      <c r="J1382" s="8"/>
      <c r="K1382" s="8"/>
      <c r="L1382" s="8"/>
    </row>
    <row r="1383" spans="3:12" x14ac:dyDescent="0.25">
      <c r="C1383" s="7"/>
      <c r="E1383" s="8"/>
      <c r="F1383" s="8"/>
      <c r="G1383" s="8"/>
      <c r="H1383" s="8"/>
      <c r="I1383" s="8"/>
      <c r="J1383" s="8"/>
      <c r="K1383" s="8"/>
      <c r="L1383" s="8"/>
    </row>
    <row r="1384" spans="3:12" x14ac:dyDescent="0.25">
      <c r="C1384" s="7"/>
      <c r="E1384" s="8"/>
      <c r="F1384" s="8"/>
      <c r="G1384" s="8"/>
      <c r="H1384" s="8"/>
      <c r="I1384" s="8"/>
      <c r="J1384" s="8"/>
      <c r="K1384" s="8"/>
      <c r="L1384" s="8"/>
    </row>
    <row r="1385" spans="3:12" x14ac:dyDescent="0.25">
      <c r="C1385" s="7"/>
      <c r="E1385" s="8"/>
      <c r="F1385" s="8"/>
      <c r="G1385" s="8"/>
      <c r="H1385" s="8"/>
      <c r="I1385" s="8"/>
      <c r="J1385" s="8"/>
      <c r="K1385" s="8"/>
      <c r="L1385" s="8"/>
    </row>
    <row r="1386" spans="3:12" x14ac:dyDescent="0.25">
      <c r="C1386" s="7"/>
      <c r="E1386" s="8"/>
      <c r="F1386" s="8"/>
      <c r="G1386" s="8"/>
      <c r="H1386" s="8"/>
      <c r="I1386" s="8"/>
      <c r="J1386" s="8"/>
      <c r="K1386" s="8"/>
      <c r="L1386" s="8"/>
    </row>
    <row r="1387" spans="3:12" x14ac:dyDescent="0.25">
      <c r="C1387" s="7"/>
      <c r="E1387" s="8"/>
      <c r="F1387" s="8"/>
      <c r="G1387" s="8"/>
      <c r="H1387" s="8"/>
      <c r="I1387" s="8"/>
      <c r="J1387" s="8"/>
      <c r="K1387" s="8"/>
      <c r="L1387" s="8"/>
    </row>
    <row r="1388" spans="3:12" x14ac:dyDescent="0.25">
      <c r="C1388" s="7"/>
      <c r="E1388" s="8"/>
      <c r="F1388" s="8"/>
      <c r="G1388" s="8"/>
      <c r="H1388" s="8"/>
      <c r="I1388" s="8"/>
      <c r="J1388" s="8"/>
      <c r="K1388" s="8"/>
      <c r="L1388" s="8"/>
    </row>
    <row r="1389" spans="3:12" x14ac:dyDescent="0.25">
      <c r="C1389" s="7"/>
      <c r="E1389" s="8"/>
      <c r="F1389" s="8"/>
      <c r="G1389" s="8"/>
      <c r="H1389" s="8"/>
      <c r="I1389" s="8"/>
      <c r="J1389" s="8"/>
      <c r="K1389" s="8"/>
      <c r="L1389" s="8"/>
    </row>
    <row r="1390" spans="3:12" x14ac:dyDescent="0.25">
      <c r="C1390" s="7"/>
      <c r="E1390" s="8"/>
      <c r="F1390" s="8"/>
      <c r="G1390" s="8"/>
      <c r="H1390" s="8"/>
      <c r="I1390" s="8"/>
      <c r="J1390" s="8"/>
      <c r="K1390" s="8"/>
      <c r="L1390" s="8"/>
    </row>
    <row r="1391" spans="3:12" x14ac:dyDescent="0.25">
      <c r="C1391" s="7"/>
      <c r="E1391" s="8"/>
      <c r="F1391" s="8"/>
      <c r="G1391" s="8"/>
      <c r="H1391" s="8"/>
      <c r="I1391" s="8"/>
      <c r="J1391" s="8"/>
      <c r="K1391" s="8"/>
      <c r="L1391" s="8"/>
    </row>
    <row r="1392" spans="3:12" x14ac:dyDescent="0.25">
      <c r="C1392" s="7"/>
      <c r="E1392" s="8"/>
      <c r="F1392" s="8"/>
      <c r="G1392" s="8"/>
      <c r="H1392" s="8"/>
      <c r="I1392" s="8"/>
      <c r="J1392" s="8"/>
      <c r="K1392" s="8"/>
      <c r="L1392" s="8"/>
    </row>
    <row r="1393" spans="3:12" x14ac:dyDescent="0.25">
      <c r="C1393" s="7"/>
      <c r="E1393" s="8"/>
      <c r="F1393" s="8"/>
      <c r="G1393" s="8"/>
      <c r="H1393" s="8"/>
      <c r="I1393" s="8"/>
      <c r="J1393" s="8"/>
      <c r="K1393" s="8"/>
      <c r="L1393" s="8"/>
    </row>
    <row r="1394" spans="3:12" x14ac:dyDescent="0.25">
      <c r="C1394" s="7"/>
      <c r="E1394" s="8"/>
      <c r="F1394" s="8"/>
      <c r="G1394" s="8"/>
      <c r="H1394" s="8"/>
      <c r="I1394" s="8"/>
      <c r="J1394" s="8"/>
      <c r="K1394" s="8"/>
      <c r="L1394" s="8"/>
    </row>
    <row r="1395" spans="3:12" x14ac:dyDescent="0.25">
      <c r="C1395" s="7"/>
      <c r="E1395" s="8"/>
      <c r="F1395" s="8"/>
      <c r="G1395" s="8"/>
      <c r="H1395" s="8"/>
      <c r="I1395" s="8"/>
      <c r="J1395" s="8"/>
      <c r="K1395" s="8"/>
      <c r="L1395" s="8"/>
    </row>
    <row r="1396" spans="3:12" x14ac:dyDescent="0.25">
      <c r="C1396" s="7"/>
      <c r="E1396" s="8"/>
      <c r="F1396" s="8"/>
      <c r="G1396" s="8"/>
      <c r="H1396" s="8"/>
      <c r="I1396" s="8"/>
      <c r="J1396" s="8"/>
      <c r="K1396" s="8"/>
      <c r="L1396" s="8"/>
    </row>
    <row r="1397" spans="3:12" x14ac:dyDescent="0.25">
      <c r="C1397" s="7"/>
      <c r="E1397" s="8"/>
      <c r="F1397" s="8"/>
      <c r="G1397" s="8"/>
      <c r="H1397" s="8"/>
      <c r="I1397" s="8"/>
      <c r="J1397" s="8"/>
      <c r="K1397" s="8"/>
      <c r="L1397" s="8"/>
    </row>
    <row r="1398" spans="3:12" x14ac:dyDescent="0.25">
      <c r="C1398" s="7"/>
      <c r="E1398" s="8"/>
      <c r="F1398" s="8"/>
      <c r="G1398" s="8"/>
      <c r="H1398" s="8"/>
      <c r="I1398" s="8"/>
      <c r="J1398" s="8"/>
      <c r="K1398" s="8"/>
      <c r="L1398" s="8"/>
    </row>
    <row r="1399" spans="3:12" x14ac:dyDescent="0.25">
      <c r="C1399" s="7"/>
      <c r="E1399" s="8"/>
      <c r="F1399" s="8"/>
      <c r="G1399" s="8"/>
      <c r="H1399" s="8"/>
      <c r="I1399" s="8"/>
      <c r="J1399" s="8"/>
      <c r="K1399" s="8"/>
      <c r="L1399" s="8"/>
    </row>
    <row r="1400" spans="3:12" x14ac:dyDescent="0.25">
      <c r="C1400" s="7"/>
      <c r="E1400" s="8"/>
      <c r="F1400" s="8"/>
      <c r="G1400" s="8"/>
      <c r="H1400" s="8"/>
      <c r="I1400" s="8"/>
      <c r="J1400" s="8"/>
      <c r="K1400" s="8"/>
      <c r="L1400" s="8"/>
    </row>
    <row r="1401" spans="3:12" x14ac:dyDescent="0.25">
      <c r="C1401" s="7"/>
      <c r="E1401" s="8"/>
      <c r="F1401" s="8"/>
      <c r="G1401" s="8"/>
      <c r="H1401" s="8"/>
      <c r="I1401" s="8"/>
      <c r="J1401" s="8"/>
      <c r="K1401" s="8"/>
      <c r="L1401" s="8"/>
    </row>
    <row r="1402" spans="3:12" x14ac:dyDescent="0.25">
      <c r="C1402" s="7"/>
      <c r="E1402" s="8"/>
      <c r="F1402" s="8"/>
      <c r="G1402" s="8"/>
      <c r="H1402" s="8"/>
      <c r="I1402" s="8"/>
      <c r="J1402" s="8"/>
      <c r="K1402" s="8"/>
      <c r="L1402" s="8"/>
    </row>
    <row r="1403" spans="3:12" x14ac:dyDescent="0.25">
      <c r="C1403" s="7"/>
      <c r="E1403" s="8"/>
      <c r="F1403" s="8"/>
      <c r="G1403" s="8"/>
      <c r="H1403" s="8"/>
      <c r="I1403" s="8"/>
      <c r="J1403" s="8"/>
      <c r="K1403" s="8"/>
      <c r="L1403" s="8"/>
    </row>
    <row r="1404" spans="3:12" x14ac:dyDescent="0.25">
      <c r="C1404" s="7"/>
      <c r="E1404" s="8"/>
      <c r="F1404" s="8"/>
      <c r="G1404" s="8"/>
      <c r="H1404" s="8"/>
      <c r="I1404" s="8"/>
      <c r="J1404" s="8"/>
      <c r="K1404" s="8"/>
      <c r="L1404" s="8"/>
    </row>
    <row r="1405" spans="3:12" x14ac:dyDescent="0.25">
      <c r="C1405" s="7"/>
      <c r="E1405" s="8"/>
      <c r="F1405" s="8"/>
      <c r="G1405" s="8"/>
      <c r="H1405" s="8"/>
      <c r="I1405" s="8"/>
      <c r="J1405" s="8"/>
      <c r="K1405" s="8"/>
      <c r="L1405" s="8"/>
    </row>
    <row r="1406" spans="3:12" x14ac:dyDescent="0.25">
      <c r="C1406" s="7"/>
      <c r="E1406" s="8"/>
      <c r="F1406" s="8"/>
      <c r="G1406" s="8"/>
      <c r="H1406" s="8"/>
      <c r="I1406" s="8"/>
      <c r="J1406" s="8"/>
      <c r="K1406" s="8"/>
      <c r="L1406" s="8"/>
    </row>
    <row r="1407" spans="3:12" x14ac:dyDescent="0.25">
      <c r="C1407" s="7"/>
      <c r="E1407" s="8"/>
      <c r="F1407" s="8"/>
      <c r="G1407" s="8"/>
      <c r="H1407" s="8"/>
      <c r="I1407" s="8"/>
      <c r="J1407" s="8"/>
      <c r="K1407" s="8"/>
      <c r="L1407" s="8"/>
    </row>
    <row r="1408" spans="3:12" x14ac:dyDescent="0.25">
      <c r="C1408" s="7"/>
      <c r="E1408" s="8"/>
      <c r="F1408" s="8"/>
      <c r="G1408" s="8"/>
      <c r="H1408" s="8"/>
      <c r="I1408" s="8"/>
      <c r="J1408" s="8"/>
      <c r="K1408" s="8"/>
      <c r="L1408" s="8"/>
    </row>
    <row r="1409" spans="3:12" x14ac:dyDescent="0.25">
      <c r="C1409" s="7"/>
      <c r="E1409" s="8"/>
      <c r="F1409" s="8"/>
      <c r="G1409" s="8"/>
      <c r="H1409" s="8"/>
      <c r="I1409" s="8"/>
      <c r="J1409" s="8"/>
      <c r="K1409" s="8"/>
      <c r="L1409" s="8"/>
    </row>
    <row r="1410" spans="3:12" x14ac:dyDescent="0.25">
      <c r="C1410" s="7"/>
      <c r="E1410" s="8"/>
      <c r="F1410" s="8"/>
      <c r="G1410" s="8"/>
      <c r="H1410" s="8"/>
      <c r="I1410" s="8"/>
      <c r="J1410" s="8"/>
      <c r="K1410" s="8"/>
      <c r="L1410" s="8"/>
    </row>
    <row r="1411" spans="3:12" x14ac:dyDescent="0.25">
      <c r="C1411" s="7"/>
      <c r="E1411" s="8"/>
      <c r="F1411" s="8"/>
      <c r="G1411" s="8"/>
      <c r="H1411" s="8"/>
      <c r="I1411" s="8"/>
      <c r="J1411" s="8"/>
      <c r="K1411" s="8"/>
      <c r="L1411" s="8"/>
    </row>
    <row r="1412" spans="3:12" x14ac:dyDescent="0.25">
      <c r="C1412" s="7"/>
      <c r="E1412" s="8"/>
      <c r="F1412" s="8"/>
      <c r="G1412" s="8"/>
      <c r="H1412" s="8"/>
      <c r="I1412" s="8"/>
      <c r="J1412" s="8"/>
      <c r="K1412" s="8"/>
      <c r="L1412" s="8"/>
    </row>
    <row r="1413" spans="3:12" x14ac:dyDescent="0.25">
      <c r="C1413" s="7"/>
      <c r="E1413" s="8"/>
      <c r="F1413" s="8"/>
      <c r="G1413" s="8"/>
      <c r="H1413" s="8"/>
      <c r="I1413" s="8"/>
      <c r="J1413" s="8"/>
      <c r="K1413" s="8"/>
      <c r="L1413" s="8"/>
    </row>
    <row r="1414" spans="3:12" x14ac:dyDescent="0.25">
      <c r="C1414" s="7"/>
      <c r="E1414" s="8"/>
      <c r="F1414" s="8"/>
      <c r="G1414" s="8"/>
      <c r="H1414" s="8"/>
      <c r="I1414" s="8"/>
      <c r="J1414" s="8"/>
      <c r="K1414" s="8"/>
      <c r="L1414" s="8"/>
    </row>
    <row r="1415" spans="3:12" x14ac:dyDescent="0.25">
      <c r="C1415" s="7"/>
      <c r="E1415" s="8"/>
      <c r="F1415" s="8"/>
      <c r="G1415" s="8"/>
      <c r="H1415" s="8"/>
      <c r="I1415" s="8"/>
      <c r="J1415" s="8"/>
      <c r="K1415" s="8"/>
      <c r="L1415" s="8"/>
    </row>
    <row r="1416" spans="3:12" x14ac:dyDescent="0.25">
      <c r="C1416" s="7"/>
      <c r="E1416" s="8"/>
      <c r="F1416" s="8"/>
      <c r="G1416" s="8"/>
      <c r="H1416" s="8"/>
      <c r="I1416" s="8"/>
      <c r="J1416" s="8"/>
      <c r="K1416" s="8"/>
      <c r="L1416" s="8"/>
    </row>
    <row r="1417" spans="3:12" x14ac:dyDescent="0.25">
      <c r="C1417" s="7"/>
      <c r="E1417" s="8"/>
      <c r="F1417" s="8"/>
      <c r="G1417" s="8"/>
      <c r="H1417" s="8"/>
      <c r="I1417" s="8"/>
      <c r="J1417" s="8"/>
      <c r="K1417" s="8"/>
      <c r="L1417" s="8"/>
    </row>
    <row r="1418" spans="3:12" x14ac:dyDescent="0.25">
      <c r="C1418" s="7"/>
      <c r="E1418" s="8"/>
      <c r="F1418" s="8"/>
      <c r="G1418" s="8"/>
      <c r="H1418" s="8"/>
      <c r="I1418" s="8"/>
      <c r="J1418" s="8"/>
      <c r="K1418" s="8"/>
      <c r="L1418" s="8"/>
    </row>
    <row r="1419" spans="3:12" x14ac:dyDescent="0.25">
      <c r="C1419" s="7"/>
      <c r="E1419" s="8"/>
      <c r="F1419" s="8"/>
      <c r="G1419" s="8"/>
      <c r="H1419" s="8"/>
      <c r="I1419" s="8"/>
      <c r="J1419" s="8"/>
      <c r="K1419" s="8"/>
      <c r="L1419" s="8"/>
    </row>
    <row r="1420" spans="3:12" x14ac:dyDescent="0.25">
      <c r="C1420" s="7"/>
      <c r="E1420" s="8"/>
      <c r="F1420" s="8"/>
      <c r="G1420" s="8"/>
      <c r="H1420" s="8"/>
      <c r="I1420" s="8"/>
      <c r="J1420" s="8"/>
      <c r="K1420" s="8"/>
      <c r="L1420" s="8"/>
    </row>
    <row r="1421" spans="3:12" x14ac:dyDescent="0.25">
      <c r="C1421" s="7"/>
      <c r="E1421" s="8"/>
      <c r="F1421" s="8"/>
      <c r="G1421" s="8"/>
      <c r="H1421" s="8"/>
      <c r="I1421" s="8"/>
      <c r="J1421" s="8"/>
      <c r="K1421" s="8"/>
      <c r="L1421" s="8"/>
    </row>
    <row r="1422" spans="3:12" x14ac:dyDescent="0.25">
      <c r="C1422" s="7"/>
      <c r="E1422" s="8"/>
      <c r="F1422" s="8"/>
      <c r="G1422" s="8"/>
      <c r="H1422" s="8"/>
      <c r="I1422" s="8"/>
      <c r="J1422" s="8"/>
      <c r="K1422" s="8"/>
      <c r="L1422" s="8"/>
    </row>
    <row r="1423" spans="3:12" x14ac:dyDescent="0.25">
      <c r="C1423" s="7"/>
      <c r="E1423" s="8"/>
      <c r="F1423" s="8"/>
      <c r="G1423" s="8"/>
      <c r="H1423" s="8"/>
      <c r="I1423" s="8"/>
      <c r="J1423" s="8"/>
      <c r="K1423" s="8"/>
      <c r="L1423" s="8"/>
    </row>
    <row r="1424" spans="3:12" x14ac:dyDescent="0.25">
      <c r="C1424" s="7"/>
      <c r="E1424" s="8"/>
      <c r="F1424" s="8"/>
      <c r="G1424" s="8"/>
      <c r="H1424" s="8"/>
      <c r="I1424" s="8"/>
      <c r="J1424" s="8"/>
      <c r="K1424" s="8"/>
      <c r="L1424" s="8"/>
    </row>
    <row r="1425" spans="3:12" x14ac:dyDescent="0.25">
      <c r="C1425" s="7"/>
      <c r="E1425" s="8"/>
      <c r="F1425" s="8"/>
      <c r="G1425" s="8"/>
      <c r="H1425" s="8"/>
      <c r="I1425" s="8"/>
      <c r="J1425" s="8"/>
      <c r="K1425" s="8"/>
      <c r="L1425" s="8"/>
    </row>
    <row r="1426" spans="3:12" x14ac:dyDescent="0.25">
      <c r="C1426" s="7"/>
      <c r="E1426" s="8"/>
      <c r="F1426" s="8"/>
      <c r="G1426" s="8"/>
      <c r="H1426" s="8"/>
      <c r="I1426" s="8"/>
      <c r="J1426" s="8"/>
      <c r="K1426" s="8"/>
      <c r="L1426" s="8"/>
    </row>
    <row r="1427" spans="3:12" x14ac:dyDescent="0.25">
      <c r="C1427" s="7"/>
      <c r="E1427" s="8"/>
      <c r="F1427" s="8"/>
      <c r="G1427" s="8"/>
      <c r="H1427" s="8"/>
      <c r="I1427" s="8"/>
      <c r="J1427" s="8"/>
      <c r="K1427" s="8"/>
      <c r="L1427" s="8"/>
    </row>
    <row r="1428" spans="3:12" x14ac:dyDescent="0.25">
      <c r="C1428" s="7"/>
      <c r="E1428" s="8"/>
      <c r="F1428" s="8"/>
      <c r="G1428" s="8"/>
      <c r="H1428" s="8"/>
      <c r="I1428" s="8"/>
      <c r="J1428" s="8"/>
      <c r="K1428" s="8"/>
      <c r="L1428" s="8"/>
    </row>
    <row r="1429" spans="3:12" x14ac:dyDescent="0.25">
      <c r="C1429" s="7"/>
      <c r="E1429" s="8"/>
      <c r="F1429" s="8"/>
      <c r="G1429" s="8"/>
      <c r="H1429" s="8"/>
      <c r="I1429" s="8"/>
      <c r="J1429" s="8"/>
      <c r="K1429" s="8"/>
      <c r="L1429" s="8"/>
    </row>
    <row r="1430" spans="3:12" x14ac:dyDescent="0.25">
      <c r="C1430" s="7"/>
      <c r="E1430" s="8"/>
      <c r="F1430" s="8"/>
      <c r="G1430" s="8"/>
      <c r="H1430" s="8"/>
      <c r="I1430" s="8"/>
      <c r="J1430" s="8"/>
      <c r="K1430" s="8"/>
      <c r="L1430" s="8"/>
    </row>
    <row r="1431" spans="3:12" x14ac:dyDescent="0.25">
      <c r="C1431" s="7"/>
      <c r="E1431" s="8"/>
      <c r="F1431" s="8"/>
      <c r="G1431" s="8"/>
      <c r="H1431" s="8"/>
      <c r="I1431" s="8"/>
      <c r="J1431" s="8"/>
      <c r="K1431" s="8"/>
      <c r="L1431" s="8"/>
    </row>
    <row r="1432" spans="3:12" x14ac:dyDescent="0.25">
      <c r="C1432" s="7"/>
      <c r="E1432" s="8"/>
      <c r="F1432" s="8"/>
      <c r="G1432" s="8"/>
      <c r="H1432" s="8"/>
      <c r="I1432" s="8"/>
      <c r="J1432" s="8"/>
      <c r="K1432" s="8"/>
      <c r="L1432" s="8"/>
    </row>
    <row r="1433" spans="3:12" x14ac:dyDescent="0.25">
      <c r="C1433" s="7"/>
      <c r="E1433" s="8"/>
      <c r="F1433" s="8"/>
      <c r="G1433" s="8"/>
      <c r="H1433" s="8"/>
      <c r="I1433" s="8"/>
      <c r="J1433" s="8"/>
      <c r="K1433" s="8"/>
      <c r="L1433" s="8"/>
    </row>
    <row r="1434" spans="3:12" x14ac:dyDescent="0.25">
      <c r="C1434" s="7"/>
      <c r="E1434" s="8"/>
      <c r="F1434" s="8"/>
      <c r="G1434" s="8"/>
      <c r="H1434" s="8"/>
      <c r="I1434" s="8"/>
      <c r="J1434" s="8"/>
      <c r="K1434" s="8"/>
      <c r="L1434" s="8"/>
    </row>
    <row r="1435" spans="3:12" x14ac:dyDescent="0.25">
      <c r="C1435" s="7"/>
      <c r="E1435" s="8"/>
      <c r="F1435" s="8"/>
      <c r="G1435" s="8"/>
      <c r="H1435" s="8"/>
      <c r="I1435" s="8"/>
      <c r="J1435" s="8"/>
      <c r="K1435" s="8"/>
      <c r="L1435" s="8"/>
    </row>
    <row r="1436" spans="3:12" x14ac:dyDescent="0.25">
      <c r="C1436" s="7"/>
      <c r="E1436" s="8"/>
      <c r="F1436" s="8"/>
      <c r="G1436" s="8"/>
      <c r="H1436" s="8"/>
      <c r="I1436" s="8"/>
      <c r="J1436" s="8"/>
      <c r="K1436" s="8"/>
      <c r="L1436" s="8"/>
    </row>
    <row r="1437" spans="3:12" x14ac:dyDescent="0.25">
      <c r="C1437" s="7"/>
      <c r="E1437" s="8"/>
      <c r="F1437" s="8"/>
      <c r="G1437" s="8"/>
      <c r="H1437" s="8"/>
      <c r="I1437" s="8"/>
      <c r="J1437" s="8"/>
      <c r="K1437" s="8"/>
      <c r="L1437" s="8"/>
    </row>
    <row r="1438" spans="3:12" x14ac:dyDescent="0.25">
      <c r="C1438" s="7"/>
      <c r="E1438" s="8"/>
      <c r="F1438" s="8"/>
      <c r="G1438" s="8"/>
      <c r="H1438" s="8"/>
      <c r="I1438" s="8"/>
      <c r="J1438" s="8"/>
      <c r="K1438" s="8"/>
      <c r="L1438" s="8"/>
    </row>
    <row r="1439" spans="3:12" x14ac:dyDescent="0.25">
      <c r="C1439" s="7"/>
      <c r="E1439" s="8"/>
      <c r="F1439" s="8"/>
      <c r="G1439" s="8"/>
      <c r="H1439" s="8"/>
      <c r="I1439" s="8"/>
      <c r="J1439" s="8"/>
      <c r="K1439" s="8"/>
      <c r="L1439" s="8"/>
    </row>
    <row r="1440" spans="3:12" x14ac:dyDescent="0.25">
      <c r="C1440" s="7"/>
      <c r="E1440" s="8"/>
      <c r="F1440" s="8"/>
      <c r="G1440" s="8"/>
      <c r="H1440" s="8"/>
      <c r="I1440" s="8"/>
      <c r="J1440" s="8"/>
      <c r="K1440" s="8"/>
      <c r="L1440" s="8"/>
    </row>
    <row r="1441" spans="3:12" x14ac:dyDescent="0.25">
      <c r="C1441" s="7"/>
      <c r="E1441" s="8"/>
      <c r="F1441" s="8"/>
      <c r="G1441" s="8"/>
      <c r="H1441" s="8"/>
      <c r="I1441" s="8"/>
      <c r="J1441" s="8"/>
      <c r="K1441" s="8"/>
      <c r="L1441" s="8"/>
    </row>
    <row r="1442" spans="3:12" x14ac:dyDescent="0.25">
      <c r="C1442" s="7"/>
      <c r="E1442" s="8"/>
      <c r="F1442" s="8"/>
      <c r="G1442" s="8"/>
      <c r="H1442" s="8"/>
      <c r="I1442" s="8"/>
      <c r="J1442" s="8"/>
      <c r="K1442" s="8"/>
      <c r="L1442" s="8"/>
    </row>
    <row r="1443" spans="3:12" x14ac:dyDescent="0.25">
      <c r="C1443" s="7"/>
      <c r="E1443" s="8"/>
      <c r="F1443" s="8"/>
      <c r="G1443" s="8"/>
      <c r="H1443" s="8"/>
      <c r="I1443" s="8"/>
      <c r="J1443" s="8"/>
      <c r="K1443" s="8"/>
      <c r="L1443" s="8"/>
    </row>
    <row r="1444" spans="3:12" x14ac:dyDescent="0.25">
      <c r="C1444" s="7"/>
      <c r="E1444" s="8"/>
      <c r="F1444" s="8"/>
      <c r="G1444" s="8"/>
      <c r="H1444" s="8"/>
      <c r="I1444" s="8"/>
      <c r="J1444" s="8"/>
      <c r="K1444" s="8"/>
      <c r="L1444" s="8"/>
    </row>
    <row r="1445" spans="3:12" x14ac:dyDescent="0.25">
      <c r="C1445" s="7"/>
      <c r="E1445" s="8"/>
      <c r="F1445" s="8"/>
      <c r="G1445" s="8"/>
      <c r="H1445" s="8"/>
      <c r="I1445" s="8"/>
      <c r="J1445" s="8"/>
      <c r="K1445" s="8"/>
      <c r="L1445" s="8"/>
    </row>
    <row r="1446" spans="3:12" x14ac:dyDescent="0.25">
      <c r="C1446" s="7"/>
      <c r="E1446" s="8"/>
      <c r="F1446" s="8"/>
      <c r="G1446" s="8"/>
      <c r="H1446" s="8"/>
      <c r="I1446" s="8"/>
      <c r="J1446" s="8"/>
      <c r="K1446" s="8"/>
      <c r="L1446" s="8"/>
    </row>
    <row r="1447" spans="3:12" x14ac:dyDescent="0.25">
      <c r="C1447" s="7"/>
      <c r="E1447" s="8"/>
      <c r="F1447" s="8"/>
      <c r="G1447" s="8"/>
      <c r="H1447" s="8"/>
      <c r="I1447" s="8"/>
      <c r="J1447" s="8"/>
      <c r="K1447" s="8"/>
      <c r="L1447" s="8"/>
    </row>
    <row r="1448" spans="3:12" x14ac:dyDescent="0.25">
      <c r="C1448" s="7"/>
      <c r="E1448" s="8"/>
      <c r="F1448" s="8"/>
      <c r="G1448" s="8"/>
      <c r="H1448" s="8"/>
      <c r="I1448" s="8"/>
      <c r="J1448" s="8"/>
      <c r="K1448" s="8"/>
      <c r="L1448" s="8"/>
    </row>
    <row r="1449" spans="3:12" x14ac:dyDescent="0.25">
      <c r="C1449" s="7"/>
      <c r="E1449" s="8"/>
      <c r="F1449" s="8"/>
      <c r="G1449" s="8"/>
      <c r="H1449" s="8"/>
      <c r="I1449" s="8"/>
      <c r="J1449" s="8"/>
      <c r="K1449" s="8"/>
      <c r="L1449" s="8"/>
    </row>
    <row r="1450" spans="3:12" x14ac:dyDescent="0.25">
      <c r="C1450" s="7"/>
      <c r="E1450" s="8"/>
      <c r="F1450" s="8"/>
      <c r="G1450" s="8"/>
      <c r="H1450" s="8"/>
      <c r="I1450" s="8"/>
      <c r="J1450" s="8"/>
      <c r="K1450" s="8"/>
      <c r="L1450" s="8"/>
    </row>
    <row r="1451" spans="3:12" x14ac:dyDescent="0.25">
      <c r="C1451" s="7"/>
      <c r="E1451" s="8"/>
      <c r="F1451" s="8"/>
      <c r="G1451" s="8"/>
      <c r="H1451" s="8"/>
      <c r="I1451" s="8"/>
      <c r="J1451" s="8"/>
      <c r="K1451" s="8"/>
      <c r="L1451" s="8"/>
    </row>
    <row r="1452" spans="3:12" x14ac:dyDescent="0.25">
      <c r="C1452" s="7"/>
      <c r="E1452" s="8"/>
      <c r="F1452" s="8"/>
      <c r="G1452" s="8"/>
      <c r="H1452" s="8"/>
      <c r="I1452" s="8"/>
      <c r="J1452" s="8"/>
      <c r="K1452" s="8"/>
      <c r="L1452" s="8"/>
    </row>
    <row r="1453" spans="3:12" x14ac:dyDescent="0.25">
      <c r="C1453" s="7"/>
      <c r="E1453" s="8"/>
      <c r="F1453" s="8"/>
      <c r="G1453" s="8"/>
      <c r="H1453" s="8"/>
      <c r="I1453" s="8"/>
      <c r="J1453" s="8"/>
      <c r="K1453" s="8"/>
      <c r="L1453" s="8"/>
    </row>
    <row r="1454" spans="3:12" x14ac:dyDescent="0.25">
      <c r="C1454" s="7"/>
      <c r="E1454" s="8"/>
      <c r="F1454" s="8"/>
      <c r="G1454" s="8"/>
      <c r="H1454" s="8"/>
      <c r="I1454" s="8"/>
      <c r="J1454" s="8"/>
      <c r="K1454" s="8"/>
      <c r="L1454" s="8"/>
    </row>
    <row r="1455" spans="3:12" x14ac:dyDescent="0.25">
      <c r="C1455" s="7"/>
      <c r="E1455" s="8"/>
      <c r="F1455" s="8"/>
      <c r="G1455" s="8"/>
      <c r="H1455" s="8"/>
      <c r="I1455" s="8"/>
      <c r="J1455" s="8"/>
      <c r="K1455" s="8"/>
      <c r="L1455" s="8"/>
    </row>
    <row r="1456" spans="3:12" x14ac:dyDescent="0.25">
      <c r="C1456" s="7"/>
      <c r="E1456" s="8"/>
      <c r="F1456" s="8"/>
      <c r="G1456" s="8"/>
      <c r="H1456" s="8"/>
      <c r="I1456" s="8"/>
      <c r="J1456" s="8"/>
      <c r="K1456" s="8"/>
      <c r="L1456" s="8"/>
    </row>
    <row r="1457" spans="3:12" x14ac:dyDescent="0.25">
      <c r="C1457" s="7"/>
      <c r="E1457" s="8"/>
      <c r="F1457" s="8"/>
      <c r="G1457" s="8"/>
      <c r="H1457" s="8"/>
      <c r="I1457" s="8"/>
      <c r="J1457" s="8"/>
      <c r="K1457" s="8"/>
      <c r="L1457" s="8"/>
    </row>
    <row r="1458" spans="3:12" x14ac:dyDescent="0.25">
      <c r="C1458" s="7"/>
      <c r="E1458" s="8"/>
      <c r="F1458" s="8"/>
      <c r="G1458" s="8"/>
      <c r="H1458" s="8"/>
      <c r="I1458" s="8"/>
      <c r="J1458" s="8"/>
      <c r="K1458" s="8"/>
      <c r="L1458" s="8"/>
    </row>
    <row r="1459" spans="3:12" x14ac:dyDescent="0.25">
      <c r="C1459" s="7"/>
      <c r="E1459" s="8"/>
      <c r="F1459" s="8"/>
      <c r="G1459" s="8"/>
      <c r="H1459" s="8"/>
      <c r="I1459" s="8"/>
      <c r="J1459" s="8"/>
      <c r="K1459" s="8"/>
      <c r="L1459" s="8"/>
    </row>
    <row r="1460" spans="3:12" x14ac:dyDescent="0.25">
      <c r="C1460" s="7"/>
      <c r="E1460" s="8"/>
      <c r="F1460" s="8"/>
      <c r="G1460" s="8"/>
      <c r="H1460" s="8"/>
      <c r="I1460" s="8"/>
      <c r="J1460" s="8"/>
      <c r="K1460" s="8"/>
      <c r="L1460" s="8"/>
    </row>
    <row r="1461" spans="3:12" x14ac:dyDescent="0.25">
      <c r="C1461" s="7"/>
      <c r="E1461" s="8"/>
      <c r="F1461" s="8"/>
      <c r="G1461" s="8"/>
      <c r="H1461" s="8"/>
      <c r="I1461" s="8"/>
      <c r="J1461" s="8"/>
      <c r="K1461" s="8"/>
      <c r="L1461" s="8"/>
    </row>
    <row r="1462" spans="3:12" x14ac:dyDescent="0.25">
      <c r="C1462" s="7"/>
      <c r="E1462" s="8"/>
      <c r="F1462" s="8"/>
      <c r="G1462" s="8"/>
      <c r="H1462" s="8"/>
      <c r="I1462" s="8"/>
      <c r="J1462" s="8"/>
      <c r="K1462" s="8"/>
      <c r="L1462" s="8"/>
    </row>
    <row r="1463" spans="3:12" x14ac:dyDescent="0.25">
      <c r="C1463" s="7"/>
      <c r="E1463" s="8"/>
      <c r="F1463" s="8"/>
      <c r="G1463" s="8"/>
      <c r="H1463" s="8"/>
      <c r="I1463" s="8"/>
      <c r="J1463" s="8"/>
      <c r="K1463" s="8"/>
      <c r="L1463" s="8"/>
    </row>
    <row r="1464" spans="3:12" x14ac:dyDescent="0.25">
      <c r="C1464" s="7"/>
      <c r="E1464" s="8"/>
      <c r="F1464" s="8"/>
      <c r="G1464" s="8"/>
      <c r="H1464" s="8"/>
      <c r="I1464" s="8"/>
      <c r="J1464" s="8"/>
      <c r="K1464" s="8"/>
      <c r="L1464" s="8"/>
    </row>
    <row r="1465" spans="3:12" x14ac:dyDescent="0.25">
      <c r="C1465" s="7"/>
      <c r="E1465" s="8"/>
      <c r="F1465" s="8"/>
      <c r="G1465" s="8"/>
      <c r="H1465" s="8"/>
      <c r="I1465" s="8"/>
      <c r="J1465" s="8"/>
      <c r="K1465" s="8"/>
      <c r="L1465" s="8"/>
    </row>
    <row r="1466" spans="3:12" x14ac:dyDescent="0.25">
      <c r="C1466" s="7"/>
      <c r="E1466" s="8"/>
      <c r="F1466" s="8"/>
      <c r="G1466" s="8"/>
      <c r="H1466" s="8"/>
      <c r="I1466" s="8"/>
      <c r="J1466" s="8"/>
      <c r="K1466" s="8"/>
      <c r="L1466" s="8"/>
    </row>
    <row r="1467" spans="3:12" x14ac:dyDescent="0.25">
      <c r="C1467" s="7"/>
      <c r="E1467" s="8"/>
      <c r="F1467" s="8"/>
      <c r="G1467" s="8"/>
      <c r="H1467" s="8"/>
      <c r="I1467" s="8"/>
      <c r="J1467" s="8"/>
      <c r="K1467" s="8"/>
      <c r="L1467" s="8"/>
    </row>
    <row r="1468" spans="3:12" x14ac:dyDescent="0.25">
      <c r="C1468" s="7"/>
      <c r="E1468" s="8"/>
      <c r="F1468" s="8"/>
      <c r="G1468" s="8"/>
      <c r="H1468" s="8"/>
      <c r="I1468" s="8"/>
      <c r="J1468" s="8"/>
      <c r="K1468" s="8"/>
      <c r="L1468" s="8"/>
    </row>
    <row r="1469" spans="3:12" x14ac:dyDescent="0.25">
      <c r="C1469" s="7"/>
      <c r="E1469" s="8"/>
      <c r="F1469" s="8"/>
      <c r="G1469" s="8"/>
      <c r="H1469" s="8"/>
      <c r="I1469" s="8"/>
      <c r="J1469" s="8"/>
      <c r="K1469" s="8"/>
      <c r="L1469" s="8"/>
    </row>
    <row r="1470" spans="3:12" x14ac:dyDescent="0.25">
      <c r="C1470" s="7"/>
      <c r="E1470" s="8"/>
      <c r="F1470" s="8"/>
      <c r="G1470" s="8"/>
      <c r="H1470" s="8"/>
      <c r="I1470" s="8"/>
      <c r="J1470" s="8"/>
      <c r="K1470" s="8"/>
      <c r="L1470" s="8"/>
    </row>
    <row r="1471" spans="3:12" x14ac:dyDescent="0.25">
      <c r="C1471" s="7"/>
      <c r="E1471" s="8"/>
      <c r="F1471" s="8"/>
      <c r="G1471" s="8"/>
      <c r="H1471" s="8"/>
      <c r="I1471" s="8"/>
      <c r="J1471" s="8"/>
      <c r="K1471" s="8"/>
      <c r="L1471" s="8"/>
    </row>
    <row r="1472" spans="3:12" x14ac:dyDescent="0.25">
      <c r="C1472" s="7"/>
      <c r="E1472" s="8"/>
      <c r="F1472" s="8"/>
      <c r="G1472" s="8"/>
      <c r="H1472" s="8"/>
      <c r="I1472" s="8"/>
      <c r="J1472" s="8"/>
      <c r="K1472" s="8"/>
      <c r="L1472" s="8"/>
    </row>
    <row r="1473" spans="3:12" x14ac:dyDescent="0.25">
      <c r="C1473" s="7"/>
      <c r="E1473" s="8"/>
      <c r="F1473" s="8"/>
      <c r="G1473" s="8"/>
      <c r="H1473" s="8"/>
      <c r="I1473" s="8"/>
      <c r="J1473" s="8"/>
      <c r="K1473" s="8"/>
      <c r="L1473" s="8"/>
    </row>
    <row r="1474" spans="3:12" x14ac:dyDescent="0.25">
      <c r="C1474" s="7"/>
      <c r="E1474" s="8"/>
      <c r="F1474" s="8"/>
      <c r="G1474" s="8"/>
      <c r="H1474" s="8"/>
      <c r="I1474" s="8"/>
      <c r="J1474" s="8"/>
      <c r="K1474" s="8"/>
      <c r="L1474" s="8"/>
    </row>
    <row r="1475" spans="3:12" x14ac:dyDescent="0.25">
      <c r="C1475" s="7"/>
      <c r="E1475" s="8"/>
      <c r="F1475" s="8"/>
      <c r="G1475" s="8"/>
      <c r="H1475" s="8"/>
      <c r="I1475" s="8"/>
      <c r="J1475" s="8"/>
      <c r="K1475" s="8"/>
      <c r="L1475" s="8"/>
    </row>
    <row r="1476" spans="3:12" x14ac:dyDescent="0.25">
      <c r="C1476" s="7"/>
      <c r="E1476" s="8"/>
      <c r="F1476" s="8"/>
      <c r="G1476" s="8"/>
      <c r="H1476" s="8"/>
      <c r="I1476" s="8"/>
      <c r="J1476" s="8"/>
      <c r="K1476" s="8"/>
      <c r="L1476" s="8"/>
    </row>
    <row r="1477" spans="3:12" x14ac:dyDescent="0.25">
      <c r="C1477" s="7"/>
      <c r="E1477" s="8"/>
      <c r="F1477" s="8"/>
      <c r="G1477" s="8"/>
      <c r="H1477" s="8"/>
      <c r="I1477" s="8"/>
      <c r="J1477" s="8"/>
      <c r="K1477" s="8"/>
      <c r="L1477" s="8"/>
    </row>
    <row r="1478" spans="3:12" x14ac:dyDescent="0.25">
      <c r="C1478" s="7"/>
      <c r="E1478" s="8"/>
      <c r="F1478" s="8"/>
      <c r="G1478" s="8"/>
      <c r="H1478" s="8"/>
      <c r="I1478" s="8"/>
      <c r="J1478" s="8"/>
      <c r="K1478" s="8"/>
      <c r="L1478" s="8"/>
    </row>
    <row r="1479" spans="3:12" x14ac:dyDescent="0.25">
      <c r="C1479" s="7"/>
      <c r="E1479" s="8"/>
      <c r="F1479" s="8"/>
      <c r="G1479" s="8"/>
      <c r="H1479" s="8"/>
      <c r="I1479" s="8"/>
      <c r="J1479" s="8"/>
      <c r="K1479" s="8"/>
      <c r="L1479" s="8"/>
    </row>
    <row r="1480" spans="3:12" x14ac:dyDescent="0.25">
      <c r="C1480" s="7"/>
      <c r="E1480" s="8"/>
      <c r="F1480" s="8"/>
      <c r="G1480" s="8"/>
      <c r="H1480" s="8"/>
      <c r="I1480" s="8"/>
      <c r="J1480" s="8"/>
      <c r="K1480" s="8"/>
      <c r="L1480" s="8"/>
    </row>
    <row r="1481" spans="3:12" x14ac:dyDescent="0.25">
      <c r="C1481" s="7"/>
      <c r="E1481" s="8"/>
      <c r="F1481" s="8"/>
      <c r="G1481" s="8"/>
      <c r="H1481" s="8"/>
      <c r="I1481" s="8"/>
      <c r="J1481" s="8"/>
      <c r="K1481" s="8"/>
      <c r="L1481" s="8"/>
    </row>
    <row r="1482" spans="3:12" x14ac:dyDescent="0.25">
      <c r="C1482" s="7"/>
      <c r="E1482" s="8"/>
      <c r="F1482" s="8"/>
      <c r="G1482" s="8"/>
      <c r="H1482" s="8"/>
      <c r="I1482" s="8"/>
      <c r="J1482" s="8"/>
      <c r="K1482" s="8"/>
      <c r="L1482" s="8"/>
    </row>
    <row r="1483" spans="3:12" x14ac:dyDescent="0.25">
      <c r="C1483" s="7"/>
      <c r="E1483" s="8"/>
      <c r="F1483" s="8"/>
      <c r="G1483" s="8"/>
      <c r="H1483" s="8"/>
      <c r="I1483" s="8"/>
      <c r="J1483" s="8"/>
      <c r="K1483" s="8"/>
      <c r="L1483" s="8"/>
    </row>
    <row r="1484" spans="3:12" x14ac:dyDescent="0.25">
      <c r="C1484" s="7"/>
      <c r="E1484" s="8"/>
      <c r="F1484" s="8"/>
      <c r="G1484" s="8"/>
      <c r="H1484" s="8"/>
      <c r="I1484" s="8"/>
      <c r="J1484" s="8"/>
      <c r="K1484" s="8"/>
      <c r="L1484" s="8"/>
    </row>
    <row r="1485" spans="3:12" x14ac:dyDescent="0.25">
      <c r="C1485" s="7"/>
      <c r="E1485" s="8"/>
      <c r="F1485" s="8"/>
      <c r="G1485" s="8"/>
      <c r="H1485" s="8"/>
      <c r="I1485" s="8"/>
      <c r="J1485" s="8"/>
      <c r="K1485" s="8"/>
      <c r="L1485" s="8"/>
    </row>
    <row r="1486" spans="3:12" x14ac:dyDescent="0.25">
      <c r="C1486" s="7"/>
      <c r="E1486" s="8"/>
      <c r="F1486" s="8"/>
      <c r="G1486" s="8"/>
      <c r="H1486" s="8"/>
      <c r="I1486" s="8"/>
      <c r="J1486" s="8"/>
      <c r="K1486" s="8"/>
      <c r="L1486" s="8"/>
    </row>
    <row r="1487" spans="3:12" x14ac:dyDescent="0.25">
      <c r="C1487" s="7"/>
      <c r="E1487" s="8"/>
      <c r="F1487" s="8"/>
      <c r="G1487" s="8"/>
      <c r="H1487" s="8"/>
      <c r="I1487" s="8"/>
      <c r="J1487" s="8"/>
      <c r="K1487" s="8"/>
      <c r="L1487" s="8"/>
    </row>
    <row r="1488" spans="3:12" x14ac:dyDescent="0.25">
      <c r="C1488" s="7"/>
      <c r="E1488" s="8"/>
      <c r="F1488" s="8"/>
      <c r="G1488" s="8"/>
      <c r="H1488" s="8"/>
      <c r="I1488" s="8"/>
      <c r="J1488" s="8"/>
      <c r="K1488" s="8"/>
      <c r="L1488" s="8"/>
    </row>
    <row r="1489" spans="3:12" x14ac:dyDescent="0.25">
      <c r="C1489" s="7"/>
      <c r="E1489" s="8"/>
      <c r="F1489" s="8"/>
      <c r="G1489" s="8"/>
      <c r="H1489" s="8"/>
      <c r="I1489" s="8"/>
      <c r="J1489" s="8"/>
      <c r="K1489" s="8"/>
      <c r="L1489" s="8"/>
    </row>
    <row r="1490" spans="3:12" x14ac:dyDescent="0.25">
      <c r="C1490" s="7"/>
      <c r="E1490" s="8"/>
      <c r="F1490" s="8"/>
      <c r="G1490" s="8"/>
      <c r="H1490" s="8"/>
      <c r="I1490" s="8"/>
      <c r="J1490" s="8"/>
      <c r="K1490" s="8"/>
      <c r="L1490" s="8"/>
    </row>
    <row r="1491" spans="3:12" x14ac:dyDescent="0.25">
      <c r="C1491" s="7"/>
      <c r="E1491" s="8"/>
      <c r="F1491" s="8"/>
      <c r="G1491" s="8"/>
      <c r="H1491" s="8"/>
      <c r="I1491" s="8"/>
      <c r="J1491" s="8"/>
      <c r="K1491" s="8"/>
      <c r="L1491" s="8"/>
    </row>
    <row r="1492" spans="3:12" x14ac:dyDescent="0.25">
      <c r="C1492" s="7"/>
      <c r="E1492" s="8"/>
      <c r="F1492" s="8"/>
      <c r="G1492" s="8"/>
      <c r="H1492" s="8"/>
      <c r="I1492" s="8"/>
      <c r="J1492" s="8"/>
      <c r="K1492" s="8"/>
      <c r="L1492" s="8"/>
    </row>
    <row r="1493" spans="3:12" x14ac:dyDescent="0.25">
      <c r="C1493" s="7"/>
      <c r="E1493" s="8"/>
      <c r="F1493" s="8"/>
      <c r="G1493" s="8"/>
      <c r="H1493" s="8"/>
      <c r="I1493" s="8"/>
      <c r="J1493" s="8"/>
      <c r="K1493" s="8"/>
      <c r="L1493" s="8"/>
    </row>
    <row r="1494" spans="3:12" x14ac:dyDescent="0.25">
      <c r="C1494" s="7"/>
      <c r="E1494" s="8"/>
      <c r="F1494" s="8"/>
      <c r="G1494" s="8"/>
      <c r="H1494" s="8"/>
      <c r="I1494" s="8"/>
      <c r="J1494" s="8"/>
      <c r="K1494" s="8"/>
      <c r="L1494" s="8"/>
    </row>
    <row r="1495" spans="3:12" x14ac:dyDescent="0.25">
      <c r="C1495" s="7"/>
      <c r="E1495" s="8"/>
      <c r="F1495" s="8"/>
      <c r="G1495" s="8"/>
      <c r="H1495" s="8"/>
      <c r="I1495" s="8"/>
      <c r="J1495" s="8"/>
      <c r="K1495" s="8"/>
      <c r="L1495" s="8"/>
    </row>
    <row r="1496" spans="3:12" x14ac:dyDescent="0.25">
      <c r="C1496" s="7"/>
      <c r="E1496" s="8"/>
      <c r="F1496" s="8"/>
      <c r="G1496" s="8"/>
      <c r="H1496" s="8"/>
      <c r="I1496" s="8"/>
      <c r="J1496" s="8"/>
      <c r="K1496" s="8"/>
      <c r="L1496" s="8"/>
    </row>
    <row r="1497" spans="3:12" x14ac:dyDescent="0.25">
      <c r="C1497" s="7"/>
      <c r="E1497" s="8"/>
      <c r="F1497" s="8"/>
      <c r="G1497" s="8"/>
      <c r="H1497" s="8"/>
      <c r="I1497" s="8"/>
      <c r="J1497" s="8"/>
      <c r="K1497" s="8"/>
      <c r="L1497" s="8"/>
    </row>
    <row r="1498" spans="3:12" x14ac:dyDescent="0.25">
      <c r="C1498" s="7"/>
      <c r="E1498" s="8"/>
      <c r="F1498" s="8"/>
      <c r="G1498" s="8"/>
      <c r="H1498" s="8"/>
      <c r="I1498" s="8"/>
      <c r="J1498" s="8"/>
      <c r="K1498" s="8"/>
      <c r="L1498" s="8"/>
    </row>
    <row r="1499" spans="3:12" x14ac:dyDescent="0.25">
      <c r="C1499" s="7"/>
      <c r="E1499" s="8"/>
      <c r="F1499" s="8"/>
      <c r="G1499" s="8"/>
      <c r="H1499" s="8"/>
      <c r="I1499" s="8"/>
      <c r="J1499" s="8"/>
      <c r="K1499" s="8"/>
      <c r="L1499" s="8"/>
    </row>
    <row r="1500" spans="3:12" x14ac:dyDescent="0.25">
      <c r="C1500" s="7"/>
      <c r="E1500" s="8"/>
      <c r="F1500" s="8"/>
      <c r="G1500" s="8"/>
      <c r="H1500" s="8"/>
      <c r="I1500" s="8"/>
      <c r="J1500" s="8"/>
      <c r="K1500" s="8"/>
      <c r="L1500" s="8"/>
    </row>
    <row r="1501" spans="3:12" x14ac:dyDescent="0.25">
      <c r="C1501" s="7"/>
      <c r="E1501" s="8"/>
      <c r="F1501" s="8"/>
      <c r="G1501" s="8"/>
      <c r="H1501" s="8"/>
      <c r="I1501" s="8"/>
      <c r="J1501" s="8"/>
      <c r="K1501" s="8"/>
      <c r="L1501" s="8"/>
    </row>
    <row r="1502" spans="3:12" x14ac:dyDescent="0.25">
      <c r="C1502" s="7"/>
      <c r="E1502" s="8"/>
      <c r="F1502" s="8"/>
      <c r="G1502" s="8"/>
      <c r="H1502" s="8"/>
      <c r="I1502" s="8"/>
      <c r="J1502" s="8"/>
      <c r="K1502" s="8"/>
      <c r="L1502" s="8"/>
    </row>
    <row r="1503" spans="3:12" x14ac:dyDescent="0.25">
      <c r="C1503" s="7"/>
      <c r="E1503" s="8"/>
      <c r="F1503" s="8"/>
      <c r="G1503" s="8"/>
      <c r="H1503" s="8"/>
      <c r="I1503" s="8"/>
      <c r="J1503" s="8"/>
      <c r="K1503" s="8"/>
      <c r="L1503" s="8"/>
    </row>
    <row r="1504" spans="3:12" x14ac:dyDescent="0.25">
      <c r="C1504" s="7"/>
      <c r="E1504" s="8"/>
      <c r="F1504" s="8"/>
      <c r="G1504" s="8"/>
      <c r="H1504" s="8"/>
      <c r="I1504" s="8"/>
      <c r="J1504" s="8"/>
      <c r="K1504" s="8"/>
      <c r="L1504" s="8"/>
    </row>
    <row r="1505" spans="3:12" x14ac:dyDescent="0.25">
      <c r="C1505" s="7"/>
      <c r="E1505" s="8"/>
      <c r="F1505" s="8"/>
      <c r="G1505" s="8"/>
      <c r="H1505" s="8"/>
      <c r="I1505" s="8"/>
      <c r="J1505" s="8"/>
      <c r="K1505" s="8"/>
      <c r="L1505" s="8"/>
    </row>
    <row r="1506" spans="3:12" x14ac:dyDescent="0.25">
      <c r="C1506" s="7"/>
      <c r="E1506" s="8"/>
      <c r="F1506" s="8"/>
      <c r="G1506" s="8"/>
      <c r="H1506" s="8"/>
      <c r="I1506" s="8"/>
      <c r="J1506" s="8"/>
      <c r="K1506" s="8"/>
      <c r="L1506" s="8"/>
    </row>
    <row r="1507" spans="3:12" x14ac:dyDescent="0.25">
      <c r="C1507" s="7"/>
      <c r="E1507" s="8"/>
      <c r="F1507" s="8"/>
      <c r="G1507" s="8"/>
      <c r="H1507" s="8"/>
      <c r="I1507" s="8"/>
      <c r="J1507" s="8"/>
      <c r="K1507" s="8"/>
      <c r="L1507" s="8"/>
    </row>
    <row r="1508" spans="3:12" x14ac:dyDescent="0.25">
      <c r="C1508" s="7"/>
      <c r="E1508" s="8"/>
      <c r="F1508" s="8"/>
      <c r="G1508" s="8"/>
      <c r="H1508" s="8"/>
      <c r="I1508" s="8"/>
      <c r="J1508" s="8"/>
      <c r="K1508" s="8"/>
      <c r="L1508" s="8"/>
    </row>
    <row r="1509" spans="3:12" x14ac:dyDescent="0.25">
      <c r="C1509" s="7"/>
      <c r="E1509" s="8"/>
      <c r="F1509" s="8"/>
      <c r="G1509" s="8"/>
      <c r="H1509" s="8"/>
      <c r="I1509" s="8"/>
      <c r="J1509" s="8"/>
      <c r="K1509" s="8"/>
      <c r="L1509" s="8"/>
    </row>
    <row r="1510" spans="3:12" x14ac:dyDescent="0.25">
      <c r="C1510" s="7"/>
      <c r="E1510" s="8"/>
      <c r="F1510" s="8"/>
      <c r="G1510" s="8"/>
      <c r="H1510" s="8"/>
      <c r="I1510" s="8"/>
      <c r="J1510" s="8"/>
      <c r="K1510" s="8"/>
      <c r="L1510" s="8"/>
    </row>
    <row r="1511" spans="3:12" x14ac:dyDescent="0.25">
      <c r="C1511" s="7"/>
      <c r="E1511" s="8"/>
      <c r="F1511" s="8"/>
      <c r="G1511" s="8"/>
      <c r="H1511" s="8"/>
      <c r="I1511" s="8"/>
      <c r="J1511" s="8"/>
      <c r="K1511" s="8"/>
      <c r="L1511" s="8"/>
    </row>
    <row r="1512" spans="3:12" x14ac:dyDescent="0.25">
      <c r="C1512" s="7"/>
      <c r="E1512" s="8"/>
      <c r="F1512" s="8"/>
      <c r="G1512" s="8"/>
      <c r="H1512" s="8"/>
      <c r="I1512" s="8"/>
      <c r="J1512" s="8"/>
      <c r="K1512" s="8"/>
      <c r="L1512" s="8"/>
    </row>
    <row r="1513" spans="3:12" x14ac:dyDescent="0.25">
      <c r="C1513" s="7"/>
      <c r="E1513" s="8"/>
      <c r="F1513" s="8"/>
      <c r="G1513" s="8"/>
      <c r="H1513" s="8"/>
      <c r="I1513" s="8"/>
      <c r="J1513" s="8"/>
      <c r="K1513" s="8"/>
      <c r="L1513" s="8"/>
    </row>
    <row r="1514" spans="3:12" x14ac:dyDescent="0.25">
      <c r="C1514" s="7"/>
      <c r="E1514" s="8"/>
      <c r="F1514" s="8"/>
      <c r="G1514" s="8"/>
      <c r="H1514" s="8"/>
      <c r="I1514" s="8"/>
      <c r="J1514" s="8"/>
      <c r="K1514" s="8"/>
      <c r="L1514" s="8"/>
    </row>
    <row r="1515" spans="3:12" x14ac:dyDescent="0.25">
      <c r="C1515" s="7"/>
      <c r="E1515" s="8"/>
      <c r="F1515" s="8"/>
      <c r="G1515" s="8"/>
      <c r="H1515" s="8"/>
      <c r="I1515" s="8"/>
      <c r="J1515" s="8"/>
      <c r="K1515" s="8"/>
      <c r="L1515" s="8"/>
    </row>
    <row r="1516" spans="3:12" x14ac:dyDescent="0.25">
      <c r="C1516" s="7"/>
      <c r="E1516" s="8"/>
      <c r="F1516" s="8"/>
      <c r="G1516" s="8"/>
      <c r="H1516" s="8"/>
      <c r="I1516" s="8"/>
      <c r="J1516" s="8"/>
      <c r="K1516" s="8"/>
      <c r="L1516" s="8"/>
    </row>
    <row r="1517" spans="3:12" x14ac:dyDescent="0.25">
      <c r="C1517" s="7"/>
      <c r="E1517" s="8"/>
      <c r="F1517" s="8"/>
      <c r="G1517" s="8"/>
      <c r="H1517" s="8"/>
      <c r="I1517" s="8"/>
      <c r="J1517" s="8"/>
      <c r="K1517" s="8"/>
      <c r="L1517" s="8"/>
    </row>
    <row r="1518" spans="3:12" x14ac:dyDescent="0.25">
      <c r="C1518" s="7"/>
      <c r="E1518" s="8"/>
      <c r="F1518" s="8"/>
      <c r="G1518" s="8"/>
      <c r="H1518" s="8"/>
      <c r="I1518" s="8"/>
      <c r="J1518" s="8"/>
      <c r="K1518" s="8"/>
      <c r="L1518" s="8"/>
    </row>
    <row r="1519" spans="3:12" x14ac:dyDescent="0.25">
      <c r="C1519" s="7"/>
      <c r="E1519" s="8"/>
      <c r="F1519" s="8"/>
      <c r="G1519" s="8"/>
      <c r="H1519" s="8"/>
      <c r="I1519" s="8"/>
      <c r="J1519" s="8"/>
      <c r="K1519" s="8"/>
      <c r="L1519" s="8"/>
    </row>
    <row r="1520" spans="3:12" x14ac:dyDescent="0.25">
      <c r="C1520" s="7"/>
      <c r="E1520" s="8"/>
      <c r="F1520" s="8"/>
      <c r="G1520" s="8"/>
      <c r="H1520" s="8"/>
      <c r="I1520" s="8"/>
      <c r="J1520" s="8"/>
      <c r="K1520" s="8"/>
      <c r="L1520" s="8"/>
    </row>
    <row r="1521" spans="3:12" x14ac:dyDescent="0.25">
      <c r="C1521" s="7"/>
      <c r="E1521" s="8"/>
      <c r="F1521" s="8"/>
      <c r="G1521" s="8"/>
      <c r="H1521" s="8"/>
      <c r="I1521" s="8"/>
      <c r="J1521" s="8"/>
      <c r="K1521" s="8"/>
      <c r="L1521" s="8"/>
    </row>
    <row r="1522" spans="3:12" x14ac:dyDescent="0.25">
      <c r="C1522" s="7"/>
      <c r="E1522" s="8"/>
      <c r="F1522" s="8"/>
      <c r="G1522" s="8"/>
      <c r="H1522" s="8"/>
      <c r="I1522" s="8"/>
      <c r="J1522" s="8"/>
      <c r="K1522" s="8"/>
      <c r="L1522" s="8"/>
    </row>
    <row r="1523" spans="3:12" x14ac:dyDescent="0.25">
      <c r="C1523" s="7"/>
      <c r="E1523" s="8"/>
      <c r="F1523" s="8"/>
      <c r="G1523" s="8"/>
      <c r="H1523" s="8"/>
      <c r="I1523" s="8"/>
      <c r="J1523" s="8"/>
      <c r="K1523" s="8"/>
      <c r="L1523" s="8"/>
    </row>
    <row r="1524" spans="3:12" x14ac:dyDescent="0.25">
      <c r="C1524" s="7"/>
      <c r="E1524" s="8"/>
      <c r="F1524" s="8"/>
      <c r="G1524" s="8"/>
      <c r="H1524" s="8"/>
      <c r="I1524" s="8"/>
      <c r="J1524" s="8"/>
      <c r="K1524" s="8"/>
      <c r="L1524" s="8"/>
    </row>
    <row r="1525" spans="3:12" x14ac:dyDescent="0.25">
      <c r="C1525" s="7"/>
      <c r="E1525" s="8"/>
      <c r="F1525" s="8"/>
      <c r="G1525" s="8"/>
      <c r="H1525" s="8"/>
      <c r="I1525" s="8"/>
      <c r="J1525" s="8"/>
      <c r="K1525" s="8"/>
      <c r="L1525" s="8"/>
    </row>
    <row r="1526" spans="3:12" x14ac:dyDescent="0.25">
      <c r="C1526" s="7"/>
      <c r="E1526" s="8"/>
      <c r="F1526" s="8"/>
      <c r="G1526" s="8"/>
      <c r="H1526" s="8"/>
      <c r="I1526" s="8"/>
      <c r="J1526" s="8"/>
      <c r="K1526" s="8"/>
      <c r="L1526" s="8"/>
    </row>
    <row r="1527" spans="3:12" x14ac:dyDescent="0.25">
      <c r="C1527" s="7"/>
      <c r="E1527" s="8"/>
      <c r="F1527" s="8"/>
      <c r="G1527" s="8"/>
      <c r="H1527" s="8"/>
      <c r="I1527" s="8"/>
      <c r="J1527" s="8"/>
      <c r="K1527" s="8"/>
      <c r="L1527" s="8"/>
    </row>
    <row r="1528" spans="3:12" x14ac:dyDescent="0.25">
      <c r="C1528" s="7"/>
      <c r="E1528" s="8"/>
      <c r="F1528" s="8"/>
      <c r="G1528" s="8"/>
      <c r="H1528" s="8"/>
      <c r="I1528" s="8"/>
      <c r="J1528" s="8"/>
      <c r="K1528" s="8"/>
      <c r="L1528" s="8"/>
    </row>
    <row r="1529" spans="3:12" x14ac:dyDescent="0.25">
      <c r="C1529" s="7"/>
      <c r="E1529" s="8"/>
      <c r="F1529" s="8"/>
      <c r="G1529" s="8"/>
      <c r="H1529" s="8"/>
      <c r="I1529" s="8"/>
      <c r="J1529" s="8"/>
      <c r="K1529" s="8"/>
      <c r="L1529" s="8"/>
    </row>
    <row r="1530" spans="3:12" x14ac:dyDescent="0.25">
      <c r="C1530" s="7"/>
      <c r="E1530" s="8"/>
      <c r="F1530" s="8"/>
      <c r="G1530" s="8"/>
      <c r="H1530" s="8"/>
      <c r="I1530" s="8"/>
      <c r="J1530" s="8"/>
      <c r="K1530" s="8"/>
      <c r="L1530" s="8"/>
    </row>
    <row r="1531" spans="3:12" x14ac:dyDescent="0.25">
      <c r="C1531" s="7"/>
      <c r="E1531" s="8"/>
      <c r="F1531" s="8"/>
      <c r="G1531" s="8"/>
      <c r="H1531" s="8"/>
      <c r="I1531" s="8"/>
      <c r="J1531" s="8"/>
      <c r="K1531" s="8"/>
      <c r="L1531" s="8"/>
    </row>
    <row r="1532" spans="3:12" x14ac:dyDescent="0.25">
      <c r="C1532" s="7"/>
      <c r="E1532" s="8"/>
      <c r="F1532" s="8"/>
      <c r="G1532" s="8"/>
      <c r="H1532" s="8"/>
      <c r="I1532" s="8"/>
      <c r="J1532" s="8"/>
      <c r="K1532" s="8"/>
      <c r="L1532" s="8"/>
    </row>
    <row r="1533" spans="3:12" x14ac:dyDescent="0.25">
      <c r="C1533" s="7"/>
      <c r="E1533" s="8"/>
      <c r="F1533" s="8"/>
      <c r="G1533" s="8"/>
      <c r="H1533" s="8"/>
      <c r="I1533" s="8"/>
      <c r="J1533" s="8"/>
      <c r="K1533" s="8"/>
      <c r="L1533" s="8"/>
    </row>
    <row r="1534" spans="3:12" x14ac:dyDescent="0.25">
      <c r="C1534" s="7"/>
      <c r="E1534" s="8"/>
      <c r="F1534" s="8"/>
      <c r="G1534" s="8"/>
      <c r="H1534" s="8"/>
      <c r="I1534" s="8"/>
      <c r="J1534" s="8"/>
      <c r="K1534" s="8"/>
      <c r="L1534" s="8"/>
    </row>
    <row r="1535" spans="3:12" x14ac:dyDescent="0.25">
      <c r="C1535" s="7"/>
      <c r="E1535" s="8"/>
      <c r="F1535" s="8"/>
      <c r="G1535" s="8"/>
      <c r="H1535" s="8"/>
      <c r="I1535" s="8"/>
      <c r="J1535" s="8"/>
      <c r="K1535" s="8"/>
      <c r="L1535" s="8"/>
    </row>
    <row r="1536" spans="3:12" x14ac:dyDescent="0.25">
      <c r="C1536" s="7"/>
      <c r="E1536" s="8"/>
      <c r="F1536" s="8"/>
      <c r="G1536" s="8"/>
      <c r="H1536" s="8"/>
      <c r="I1536" s="8"/>
      <c r="J1536" s="8"/>
      <c r="K1536" s="8"/>
      <c r="L1536" s="8"/>
    </row>
    <row r="1537" spans="3:12" x14ac:dyDescent="0.25">
      <c r="C1537" s="7"/>
      <c r="E1537" s="8"/>
      <c r="F1537" s="8"/>
      <c r="G1537" s="8"/>
      <c r="H1537" s="8"/>
      <c r="I1537" s="8"/>
      <c r="J1537" s="8"/>
      <c r="K1537" s="8"/>
      <c r="L1537" s="8"/>
    </row>
    <row r="1538" spans="3:12" x14ac:dyDescent="0.25">
      <c r="C1538" s="7"/>
      <c r="E1538" s="8"/>
      <c r="F1538" s="8"/>
      <c r="G1538" s="8"/>
      <c r="H1538" s="8"/>
      <c r="I1538" s="8"/>
      <c r="J1538" s="8"/>
      <c r="K1538" s="8"/>
      <c r="L1538" s="8"/>
    </row>
    <row r="1539" spans="3:12" x14ac:dyDescent="0.25">
      <c r="C1539" s="7"/>
      <c r="E1539" s="8"/>
      <c r="F1539" s="8"/>
      <c r="G1539" s="8"/>
      <c r="H1539" s="8"/>
      <c r="I1539" s="8"/>
      <c r="J1539" s="8"/>
      <c r="K1539" s="8"/>
      <c r="L1539" s="8"/>
    </row>
    <row r="1540" spans="3:12" x14ac:dyDescent="0.25">
      <c r="C1540" s="7"/>
      <c r="E1540" s="8"/>
      <c r="F1540" s="8"/>
      <c r="G1540" s="8"/>
      <c r="H1540" s="8"/>
      <c r="I1540" s="8"/>
      <c r="J1540" s="8"/>
      <c r="K1540" s="8"/>
      <c r="L1540" s="8"/>
    </row>
    <row r="1541" spans="3:12" x14ac:dyDescent="0.25">
      <c r="C1541" s="7"/>
      <c r="E1541" s="8"/>
      <c r="F1541" s="8"/>
      <c r="G1541" s="8"/>
      <c r="H1541" s="8"/>
      <c r="I1541" s="8"/>
      <c r="J1541" s="8"/>
      <c r="K1541" s="8"/>
      <c r="L1541" s="8"/>
    </row>
    <row r="1542" spans="3:12" x14ac:dyDescent="0.25">
      <c r="C1542" s="7"/>
      <c r="E1542" s="8"/>
      <c r="F1542" s="8"/>
      <c r="G1542" s="8"/>
      <c r="H1542" s="8"/>
      <c r="I1542" s="8"/>
      <c r="J1542" s="8"/>
      <c r="K1542" s="8"/>
      <c r="L1542" s="8"/>
    </row>
    <row r="1543" spans="3:12" x14ac:dyDescent="0.25">
      <c r="C1543" s="7"/>
      <c r="E1543" s="8"/>
      <c r="F1543" s="8"/>
      <c r="G1543" s="8"/>
      <c r="H1543" s="8"/>
      <c r="I1543" s="8"/>
      <c r="J1543" s="8"/>
      <c r="K1543" s="8"/>
      <c r="L1543" s="8"/>
    </row>
    <row r="1544" spans="3:12" x14ac:dyDescent="0.25">
      <c r="C1544" s="7"/>
      <c r="E1544" s="8"/>
      <c r="F1544" s="8"/>
      <c r="G1544" s="8"/>
      <c r="H1544" s="8"/>
      <c r="I1544" s="8"/>
      <c r="J1544" s="8"/>
      <c r="K1544" s="8"/>
      <c r="L1544" s="8"/>
    </row>
    <row r="1545" spans="3:12" x14ac:dyDescent="0.25">
      <c r="C1545" s="7"/>
      <c r="E1545" s="8"/>
      <c r="F1545" s="8"/>
      <c r="G1545" s="8"/>
      <c r="H1545" s="8"/>
      <c r="I1545" s="8"/>
      <c r="J1545" s="8"/>
      <c r="K1545" s="8"/>
      <c r="L1545" s="8"/>
    </row>
    <row r="1546" spans="3:12" x14ac:dyDescent="0.25">
      <c r="C1546" s="7"/>
      <c r="E1546" s="8"/>
      <c r="F1546" s="8"/>
      <c r="G1546" s="8"/>
      <c r="H1546" s="8"/>
      <c r="I1546" s="8"/>
      <c r="J1546" s="8"/>
      <c r="K1546" s="8"/>
      <c r="L1546" s="8"/>
    </row>
    <row r="1547" spans="3:12" x14ac:dyDescent="0.25">
      <c r="C1547" s="7"/>
      <c r="E1547" s="8"/>
      <c r="F1547" s="8"/>
      <c r="G1547" s="8"/>
      <c r="H1547" s="8"/>
      <c r="I1547" s="8"/>
      <c r="J1547" s="8"/>
      <c r="K1547" s="8"/>
      <c r="L1547" s="8"/>
    </row>
    <row r="1548" spans="3:12" x14ac:dyDescent="0.25">
      <c r="C1548" s="7"/>
      <c r="E1548" s="8"/>
      <c r="F1548" s="8"/>
      <c r="G1548" s="8"/>
      <c r="H1548" s="8"/>
      <c r="I1548" s="8"/>
      <c r="J1548" s="8"/>
      <c r="K1548" s="8"/>
      <c r="L1548" s="8"/>
    </row>
    <row r="1549" spans="3:12" x14ac:dyDescent="0.25">
      <c r="C1549" s="7"/>
      <c r="E1549" s="8"/>
      <c r="F1549" s="8"/>
      <c r="G1549" s="8"/>
      <c r="H1549" s="8"/>
      <c r="I1549" s="8"/>
      <c r="J1549" s="8"/>
      <c r="K1549" s="8"/>
      <c r="L1549" s="8"/>
    </row>
    <row r="1550" spans="3:12" x14ac:dyDescent="0.25">
      <c r="C1550" s="7"/>
      <c r="E1550" s="8"/>
      <c r="F1550" s="8"/>
      <c r="G1550" s="8"/>
      <c r="H1550" s="8"/>
      <c r="I1550" s="8"/>
      <c r="J1550" s="8"/>
      <c r="K1550" s="8"/>
      <c r="L1550" s="8"/>
    </row>
    <row r="1551" spans="3:12" x14ac:dyDescent="0.25">
      <c r="C1551" s="7"/>
      <c r="E1551" s="8"/>
      <c r="F1551" s="8"/>
      <c r="G1551" s="8"/>
      <c r="H1551" s="8"/>
      <c r="I1551" s="8"/>
      <c r="J1551" s="8"/>
      <c r="K1551" s="8"/>
      <c r="L1551" s="8"/>
    </row>
    <row r="1552" spans="3:12" x14ac:dyDescent="0.25">
      <c r="C1552" s="7"/>
      <c r="E1552" s="8"/>
      <c r="F1552" s="8"/>
      <c r="G1552" s="8"/>
      <c r="H1552" s="8"/>
      <c r="I1552" s="8"/>
      <c r="J1552" s="8"/>
      <c r="K1552" s="8"/>
      <c r="L1552" s="8"/>
    </row>
    <row r="1553" spans="3:12" x14ac:dyDescent="0.25">
      <c r="C1553" s="7"/>
      <c r="E1553" s="8"/>
      <c r="F1553" s="8"/>
      <c r="G1553" s="8"/>
      <c r="H1553" s="8"/>
      <c r="I1553" s="8"/>
      <c r="J1553" s="8"/>
      <c r="K1553" s="8"/>
      <c r="L1553" s="8"/>
    </row>
    <row r="1554" spans="3:12" x14ac:dyDescent="0.25">
      <c r="C1554" s="7"/>
      <c r="E1554" s="8"/>
      <c r="F1554" s="8"/>
      <c r="G1554" s="8"/>
      <c r="H1554" s="8"/>
      <c r="I1554" s="8"/>
      <c r="J1554" s="8"/>
      <c r="K1554" s="8"/>
      <c r="L1554" s="8"/>
    </row>
    <row r="1555" spans="3:12" x14ac:dyDescent="0.25">
      <c r="C1555" s="7"/>
      <c r="E1555" s="8"/>
      <c r="F1555" s="8"/>
      <c r="G1555" s="8"/>
      <c r="H1555" s="8"/>
      <c r="I1555" s="8"/>
      <c r="J1555" s="8"/>
      <c r="K1555" s="8"/>
      <c r="L1555" s="8"/>
    </row>
    <row r="1556" spans="3:12" x14ac:dyDescent="0.25">
      <c r="C1556" s="7"/>
      <c r="E1556" s="8"/>
      <c r="F1556" s="8"/>
      <c r="G1556" s="8"/>
      <c r="H1556" s="8"/>
      <c r="I1556" s="8"/>
      <c r="J1556" s="8"/>
      <c r="K1556" s="8"/>
      <c r="L1556" s="8"/>
    </row>
    <row r="1557" spans="3:12" x14ac:dyDescent="0.25">
      <c r="C1557" s="7"/>
      <c r="E1557" s="8"/>
      <c r="F1557" s="8"/>
      <c r="G1557" s="8"/>
      <c r="H1557" s="8"/>
      <c r="I1557" s="8"/>
      <c r="J1557" s="8"/>
      <c r="K1557" s="8"/>
      <c r="L1557" s="8"/>
    </row>
    <row r="1558" spans="3:12" x14ac:dyDescent="0.25">
      <c r="C1558" s="7"/>
      <c r="E1558" s="8"/>
      <c r="F1558" s="8"/>
      <c r="G1558" s="8"/>
      <c r="H1558" s="8"/>
      <c r="I1558" s="8"/>
      <c r="J1558" s="8"/>
      <c r="K1558" s="8"/>
      <c r="L1558" s="8"/>
    </row>
    <row r="1559" spans="3:12" x14ac:dyDescent="0.25">
      <c r="C1559" s="7"/>
      <c r="E1559" s="8"/>
      <c r="F1559" s="8"/>
      <c r="G1559" s="8"/>
      <c r="H1559" s="8"/>
      <c r="I1559" s="8"/>
      <c r="J1559" s="8"/>
      <c r="K1559" s="8"/>
      <c r="L1559" s="8"/>
    </row>
    <row r="1560" spans="3:12" x14ac:dyDescent="0.25">
      <c r="C1560" s="7"/>
      <c r="E1560" s="8"/>
      <c r="F1560" s="8"/>
      <c r="G1560" s="8"/>
      <c r="H1560" s="8"/>
      <c r="I1560" s="8"/>
      <c r="J1560" s="8"/>
      <c r="K1560" s="8"/>
      <c r="L1560" s="8"/>
    </row>
    <row r="1561" spans="3:12" x14ac:dyDescent="0.25">
      <c r="C1561" s="7"/>
      <c r="E1561" s="8"/>
      <c r="F1561" s="8"/>
      <c r="G1561" s="8"/>
      <c r="H1561" s="8"/>
      <c r="I1561" s="8"/>
      <c r="J1561" s="8"/>
      <c r="K1561" s="8"/>
      <c r="L1561" s="8"/>
    </row>
    <row r="1562" spans="3:12" x14ac:dyDescent="0.25">
      <c r="C1562" s="7"/>
      <c r="E1562" s="8"/>
      <c r="F1562" s="8"/>
      <c r="G1562" s="8"/>
      <c r="H1562" s="8"/>
      <c r="I1562" s="8"/>
      <c r="J1562" s="8"/>
      <c r="K1562" s="8"/>
      <c r="L1562" s="8"/>
    </row>
    <row r="1563" spans="3:12" x14ac:dyDescent="0.25">
      <c r="C1563" s="7"/>
      <c r="E1563" s="8"/>
      <c r="F1563" s="8"/>
      <c r="G1563" s="8"/>
      <c r="H1563" s="8"/>
      <c r="I1563" s="8"/>
      <c r="J1563" s="8"/>
      <c r="K1563" s="8"/>
      <c r="L1563" s="8"/>
    </row>
    <row r="1564" spans="3:12" x14ac:dyDescent="0.25">
      <c r="C1564" s="7"/>
      <c r="E1564" s="8"/>
      <c r="F1564" s="8"/>
      <c r="G1564" s="8"/>
      <c r="H1564" s="8"/>
      <c r="I1564" s="8"/>
      <c r="J1564" s="8"/>
      <c r="K1564" s="8"/>
      <c r="L1564" s="8"/>
    </row>
    <row r="1565" spans="3:12" x14ac:dyDescent="0.25">
      <c r="C1565" s="7"/>
      <c r="E1565" s="8"/>
      <c r="F1565" s="8"/>
      <c r="G1565" s="8"/>
      <c r="H1565" s="8"/>
      <c r="I1565" s="8"/>
      <c r="J1565" s="8"/>
      <c r="K1565" s="8"/>
      <c r="L1565" s="8"/>
    </row>
    <row r="1566" spans="3:12" x14ac:dyDescent="0.25">
      <c r="C1566" s="7"/>
      <c r="E1566" s="8"/>
      <c r="F1566" s="8"/>
      <c r="G1566" s="8"/>
      <c r="H1566" s="8"/>
      <c r="I1566" s="8"/>
      <c r="J1566" s="8"/>
      <c r="K1566" s="8"/>
      <c r="L1566" s="8"/>
    </row>
    <row r="1567" spans="3:12" x14ac:dyDescent="0.25">
      <c r="C1567" s="7"/>
      <c r="E1567" s="8"/>
      <c r="F1567" s="8"/>
      <c r="G1567" s="8"/>
      <c r="H1567" s="8"/>
      <c r="I1567" s="8"/>
      <c r="J1567" s="8"/>
      <c r="K1567" s="8"/>
      <c r="L1567" s="8"/>
    </row>
    <row r="1568" spans="3:12" x14ac:dyDescent="0.25">
      <c r="C1568" s="7"/>
      <c r="E1568" s="8"/>
      <c r="F1568" s="8"/>
      <c r="G1568" s="8"/>
      <c r="H1568" s="8"/>
      <c r="I1568" s="8"/>
      <c r="J1568" s="8"/>
      <c r="K1568" s="8"/>
      <c r="L1568" s="8"/>
    </row>
    <row r="1569" spans="3:12" x14ac:dyDescent="0.25">
      <c r="C1569" s="7"/>
      <c r="E1569" s="8"/>
      <c r="F1569" s="8"/>
      <c r="G1569" s="8"/>
      <c r="H1569" s="8"/>
      <c r="I1569" s="8"/>
      <c r="J1569" s="8"/>
      <c r="K1569" s="8"/>
      <c r="L1569" s="8"/>
    </row>
    <row r="1570" spans="3:12" x14ac:dyDescent="0.25">
      <c r="C1570" s="7"/>
      <c r="E1570" s="8"/>
      <c r="F1570" s="8"/>
      <c r="G1570" s="8"/>
      <c r="H1570" s="8"/>
      <c r="I1570" s="8"/>
      <c r="J1570" s="8"/>
      <c r="K1570" s="8"/>
      <c r="L1570" s="8"/>
    </row>
    <row r="1571" spans="3:12" x14ac:dyDescent="0.25">
      <c r="C1571" s="7"/>
      <c r="E1571" s="8"/>
      <c r="F1571" s="8"/>
      <c r="G1571" s="8"/>
      <c r="H1571" s="8"/>
      <c r="I1571" s="8"/>
      <c r="J1571" s="8"/>
      <c r="K1571" s="8"/>
      <c r="L1571" s="8"/>
    </row>
    <row r="1572" spans="3:12" x14ac:dyDescent="0.25">
      <c r="C1572" s="7"/>
      <c r="E1572" s="8"/>
      <c r="F1572" s="8"/>
      <c r="G1572" s="8"/>
      <c r="H1572" s="8"/>
      <c r="I1572" s="8"/>
      <c r="J1572" s="8"/>
      <c r="K1572" s="8"/>
      <c r="L1572" s="8"/>
    </row>
    <row r="1573" spans="3:12" x14ac:dyDescent="0.25">
      <c r="C1573" s="7"/>
      <c r="E1573" s="8"/>
      <c r="F1573" s="8"/>
      <c r="G1573" s="8"/>
      <c r="H1573" s="8"/>
      <c r="I1573" s="8"/>
      <c r="J1573" s="8"/>
      <c r="K1573" s="8"/>
      <c r="L1573" s="8"/>
    </row>
    <row r="1574" spans="3:12" x14ac:dyDescent="0.25">
      <c r="C1574" s="7"/>
      <c r="E1574" s="8"/>
      <c r="F1574" s="8"/>
      <c r="G1574" s="8"/>
      <c r="H1574" s="8"/>
      <c r="I1574" s="8"/>
      <c r="J1574" s="8"/>
      <c r="K1574" s="8"/>
      <c r="L1574" s="8"/>
    </row>
    <row r="1575" spans="3:12" x14ac:dyDescent="0.25">
      <c r="C1575" s="7"/>
      <c r="E1575" s="8"/>
      <c r="F1575" s="8"/>
      <c r="G1575" s="8"/>
      <c r="H1575" s="8"/>
      <c r="I1575" s="8"/>
      <c r="J1575" s="8"/>
      <c r="K1575" s="8"/>
      <c r="L1575" s="8"/>
    </row>
    <row r="1576" spans="3:12" x14ac:dyDescent="0.25">
      <c r="C1576" s="7"/>
      <c r="E1576" s="8"/>
      <c r="F1576" s="8"/>
      <c r="G1576" s="8"/>
      <c r="H1576" s="8"/>
      <c r="I1576" s="8"/>
      <c r="J1576" s="8"/>
      <c r="K1576" s="8"/>
      <c r="L1576" s="8"/>
    </row>
    <row r="1577" spans="3:12" x14ac:dyDescent="0.25">
      <c r="C1577" s="7"/>
      <c r="E1577" s="8"/>
      <c r="F1577" s="8"/>
      <c r="G1577" s="8"/>
      <c r="H1577" s="8"/>
      <c r="I1577" s="8"/>
      <c r="J1577" s="8"/>
      <c r="K1577" s="8"/>
      <c r="L1577" s="8"/>
    </row>
    <row r="1578" spans="3:12" x14ac:dyDescent="0.25">
      <c r="C1578" s="7"/>
      <c r="E1578" s="8"/>
      <c r="F1578" s="8"/>
      <c r="G1578" s="8"/>
      <c r="H1578" s="8"/>
      <c r="I1578" s="8"/>
      <c r="J1578" s="8"/>
      <c r="K1578" s="8"/>
      <c r="L1578" s="8"/>
    </row>
    <row r="1579" spans="3:12" x14ac:dyDescent="0.25">
      <c r="C1579" s="7"/>
      <c r="E1579" s="8"/>
      <c r="F1579" s="8"/>
      <c r="G1579" s="8"/>
      <c r="H1579" s="8"/>
      <c r="I1579" s="8"/>
      <c r="J1579" s="8"/>
      <c r="K1579" s="8"/>
      <c r="L1579" s="8"/>
    </row>
    <row r="1580" spans="3:12" x14ac:dyDescent="0.25">
      <c r="C1580" s="7"/>
      <c r="E1580" s="8"/>
      <c r="F1580" s="8"/>
      <c r="G1580" s="8"/>
      <c r="H1580" s="8"/>
      <c r="I1580" s="8"/>
      <c r="J1580" s="8"/>
      <c r="K1580" s="8"/>
      <c r="L1580" s="8"/>
    </row>
    <row r="1581" spans="3:12" x14ac:dyDescent="0.25">
      <c r="C1581" s="7"/>
      <c r="E1581" s="8"/>
      <c r="F1581" s="8"/>
      <c r="G1581" s="8"/>
      <c r="H1581" s="8"/>
      <c r="I1581" s="8"/>
      <c r="J1581" s="8"/>
      <c r="K1581" s="8"/>
      <c r="L1581" s="8"/>
    </row>
    <row r="1582" spans="3:12" x14ac:dyDescent="0.25">
      <c r="C1582" s="7"/>
      <c r="E1582" s="8"/>
      <c r="F1582" s="8"/>
      <c r="G1582" s="8"/>
      <c r="H1582" s="8"/>
      <c r="I1582" s="8"/>
      <c r="J1582" s="8"/>
      <c r="K1582" s="8"/>
      <c r="L1582" s="8"/>
    </row>
    <row r="1583" spans="3:12" x14ac:dyDescent="0.25">
      <c r="C1583" s="7"/>
      <c r="E1583" s="8"/>
      <c r="F1583" s="8"/>
      <c r="G1583" s="8"/>
      <c r="H1583" s="8"/>
      <c r="I1583" s="8"/>
      <c r="J1583" s="8"/>
      <c r="K1583" s="8"/>
      <c r="L1583" s="8"/>
    </row>
    <row r="1584" spans="3:12" x14ac:dyDescent="0.25">
      <c r="C1584" s="7"/>
      <c r="E1584" s="8"/>
      <c r="F1584" s="8"/>
      <c r="G1584" s="8"/>
      <c r="H1584" s="8"/>
      <c r="I1584" s="8"/>
      <c r="J1584" s="8"/>
      <c r="K1584" s="8"/>
      <c r="L1584" s="8"/>
    </row>
    <row r="1585" spans="3:12" x14ac:dyDescent="0.25">
      <c r="C1585" s="7"/>
      <c r="E1585" s="8"/>
      <c r="F1585" s="8"/>
      <c r="G1585" s="8"/>
      <c r="H1585" s="8"/>
      <c r="I1585" s="8"/>
      <c r="J1585" s="8"/>
      <c r="K1585" s="8"/>
      <c r="L1585" s="8"/>
    </row>
    <row r="1586" spans="3:12" x14ac:dyDescent="0.25">
      <c r="C1586" s="7"/>
      <c r="E1586" s="8"/>
      <c r="F1586" s="8"/>
      <c r="G1586" s="8"/>
      <c r="H1586" s="8"/>
      <c r="I1586" s="8"/>
      <c r="J1586" s="8"/>
      <c r="K1586" s="8"/>
      <c r="L1586" s="8"/>
    </row>
    <row r="1587" spans="3:12" x14ac:dyDescent="0.25">
      <c r="C1587" s="7"/>
      <c r="E1587" s="8"/>
      <c r="F1587" s="8"/>
      <c r="G1587" s="8"/>
      <c r="H1587" s="8"/>
      <c r="I1587" s="8"/>
      <c r="J1587" s="8"/>
      <c r="K1587" s="8"/>
      <c r="L1587" s="8"/>
    </row>
    <row r="1588" spans="3:12" x14ac:dyDescent="0.25">
      <c r="C1588" s="7"/>
      <c r="E1588" s="8"/>
      <c r="F1588" s="8"/>
      <c r="G1588" s="8"/>
      <c r="H1588" s="8"/>
      <c r="I1588" s="8"/>
      <c r="J1588" s="8"/>
      <c r="K1588" s="8"/>
      <c r="L1588" s="8"/>
    </row>
    <row r="1589" spans="3:12" x14ac:dyDescent="0.25">
      <c r="C1589" s="7"/>
      <c r="E1589" s="8"/>
      <c r="F1589" s="8"/>
      <c r="G1589" s="8"/>
      <c r="H1589" s="8"/>
      <c r="I1589" s="8"/>
      <c r="J1589" s="8"/>
      <c r="K1589" s="8"/>
      <c r="L1589" s="8"/>
    </row>
    <row r="1590" spans="3:12" x14ac:dyDescent="0.25">
      <c r="C1590" s="7"/>
      <c r="E1590" s="8"/>
      <c r="F1590" s="8"/>
      <c r="G1590" s="8"/>
      <c r="H1590" s="8"/>
      <c r="I1590" s="8"/>
      <c r="J1590" s="8"/>
      <c r="K1590" s="8"/>
      <c r="L1590" s="8"/>
    </row>
    <row r="1591" spans="3:12" x14ac:dyDescent="0.25">
      <c r="C1591" s="7"/>
      <c r="E1591" s="8"/>
      <c r="F1591" s="8"/>
      <c r="G1591" s="8"/>
      <c r="H1591" s="8"/>
      <c r="I1591" s="8"/>
      <c r="J1591" s="8"/>
      <c r="K1591" s="8"/>
      <c r="L1591" s="8"/>
    </row>
    <row r="1592" spans="3:12" x14ac:dyDescent="0.25">
      <c r="C1592" s="7"/>
      <c r="E1592" s="8"/>
      <c r="F1592" s="8"/>
      <c r="G1592" s="8"/>
      <c r="H1592" s="8"/>
      <c r="I1592" s="8"/>
      <c r="J1592" s="8"/>
      <c r="K1592" s="8"/>
      <c r="L1592" s="8"/>
    </row>
    <row r="1593" spans="3:12" x14ac:dyDescent="0.25">
      <c r="C1593" s="7"/>
      <c r="E1593" s="8"/>
      <c r="F1593" s="8"/>
      <c r="G1593" s="8"/>
      <c r="H1593" s="8"/>
      <c r="I1593" s="8"/>
      <c r="J1593" s="8"/>
      <c r="K1593" s="8"/>
      <c r="L1593" s="8"/>
    </row>
    <row r="1594" spans="3:12" x14ac:dyDescent="0.25">
      <c r="C1594" s="7"/>
      <c r="E1594" s="8"/>
      <c r="F1594" s="8"/>
      <c r="G1594" s="8"/>
      <c r="H1594" s="8"/>
      <c r="I1594" s="8"/>
      <c r="J1594" s="8"/>
      <c r="K1594" s="8"/>
      <c r="L1594" s="8"/>
    </row>
    <row r="1595" spans="3:12" x14ac:dyDescent="0.25">
      <c r="C1595" s="7"/>
      <c r="E1595" s="8"/>
      <c r="F1595" s="8"/>
      <c r="G1595" s="8"/>
      <c r="H1595" s="8"/>
      <c r="I1595" s="8"/>
      <c r="J1595" s="8"/>
      <c r="K1595" s="8"/>
      <c r="L1595" s="8"/>
    </row>
    <row r="1596" spans="3:12" x14ac:dyDescent="0.25">
      <c r="C1596" s="7"/>
      <c r="E1596" s="8"/>
      <c r="F1596" s="8"/>
      <c r="G1596" s="8"/>
      <c r="H1596" s="8"/>
      <c r="I1596" s="8"/>
      <c r="J1596" s="8"/>
      <c r="K1596" s="8"/>
      <c r="L1596" s="8"/>
    </row>
    <row r="1597" spans="3:12" x14ac:dyDescent="0.25">
      <c r="C1597" s="7"/>
      <c r="E1597" s="8"/>
      <c r="F1597" s="8"/>
      <c r="G1597" s="8"/>
      <c r="H1597" s="8"/>
      <c r="I1597" s="8"/>
      <c r="J1597" s="8"/>
      <c r="K1597" s="8"/>
      <c r="L1597" s="8"/>
    </row>
    <row r="1598" spans="3:12" x14ac:dyDescent="0.25">
      <c r="C1598" s="7"/>
      <c r="E1598" s="8"/>
      <c r="F1598" s="8"/>
      <c r="G1598" s="8"/>
      <c r="H1598" s="8"/>
      <c r="I1598" s="8"/>
      <c r="J1598" s="8"/>
      <c r="K1598" s="8"/>
      <c r="L1598" s="8"/>
    </row>
    <row r="1599" spans="3:12" x14ac:dyDescent="0.25">
      <c r="C1599" s="7"/>
      <c r="E1599" s="8"/>
      <c r="F1599" s="8"/>
      <c r="G1599" s="8"/>
      <c r="H1599" s="8"/>
      <c r="I1599" s="8"/>
      <c r="J1599" s="8"/>
      <c r="K1599" s="8"/>
      <c r="L1599" s="8"/>
    </row>
    <row r="1600" spans="3:12" x14ac:dyDescent="0.25">
      <c r="C1600" s="7"/>
      <c r="E1600" s="8"/>
      <c r="F1600" s="8"/>
      <c r="G1600" s="8"/>
      <c r="H1600" s="8"/>
      <c r="I1600" s="8"/>
      <c r="J1600" s="8"/>
      <c r="K1600" s="8"/>
      <c r="L1600" s="8"/>
    </row>
    <row r="1601" spans="3:12" x14ac:dyDescent="0.25">
      <c r="C1601" s="7"/>
      <c r="E1601" s="8"/>
      <c r="F1601" s="8"/>
      <c r="G1601" s="8"/>
      <c r="H1601" s="8"/>
      <c r="I1601" s="8"/>
      <c r="J1601" s="8"/>
      <c r="K1601" s="8"/>
      <c r="L1601" s="8"/>
    </row>
    <row r="1602" spans="3:12" x14ac:dyDescent="0.25">
      <c r="C1602" s="7"/>
      <c r="E1602" s="8"/>
      <c r="F1602" s="8"/>
      <c r="G1602" s="8"/>
      <c r="H1602" s="8"/>
      <c r="I1602" s="8"/>
      <c r="J1602" s="8"/>
      <c r="K1602" s="8"/>
      <c r="L1602" s="8"/>
    </row>
    <row r="1603" spans="3:12" x14ac:dyDescent="0.25">
      <c r="C1603" s="7"/>
      <c r="E1603" s="8"/>
      <c r="F1603" s="8"/>
      <c r="G1603" s="8"/>
      <c r="H1603" s="8"/>
      <c r="I1603" s="8"/>
      <c r="J1603" s="8"/>
      <c r="K1603" s="8"/>
      <c r="L1603" s="8"/>
    </row>
    <row r="1604" spans="3:12" x14ac:dyDescent="0.25">
      <c r="C1604" s="7"/>
      <c r="E1604" s="8"/>
      <c r="F1604" s="8"/>
      <c r="G1604" s="8"/>
      <c r="H1604" s="8"/>
      <c r="I1604" s="8"/>
      <c r="J1604" s="8"/>
      <c r="K1604" s="8"/>
      <c r="L1604" s="8"/>
    </row>
    <row r="1605" spans="3:12" x14ac:dyDescent="0.25">
      <c r="C1605" s="7"/>
      <c r="E1605" s="8"/>
      <c r="F1605" s="8"/>
      <c r="G1605" s="8"/>
      <c r="H1605" s="8"/>
      <c r="I1605" s="8"/>
      <c r="J1605" s="8"/>
      <c r="K1605" s="8"/>
      <c r="L1605" s="8"/>
    </row>
    <row r="1606" spans="3:12" x14ac:dyDescent="0.25">
      <c r="C1606" s="7"/>
      <c r="E1606" s="8"/>
      <c r="F1606" s="8"/>
      <c r="G1606" s="8"/>
      <c r="H1606" s="8"/>
      <c r="I1606" s="8"/>
      <c r="J1606" s="8"/>
      <c r="K1606" s="8"/>
      <c r="L1606" s="8"/>
    </row>
    <row r="1607" spans="3:12" x14ac:dyDescent="0.25">
      <c r="C1607" s="7"/>
      <c r="E1607" s="8"/>
      <c r="F1607" s="8"/>
      <c r="G1607" s="8"/>
      <c r="H1607" s="8"/>
      <c r="I1607" s="8"/>
      <c r="J1607" s="8"/>
      <c r="K1607" s="8"/>
      <c r="L1607" s="8"/>
    </row>
    <row r="1608" spans="3:12" x14ac:dyDescent="0.25">
      <c r="C1608" s="7"/>
      <c r="E1608" s="8"/>
      <c r="F1608" s="8"/>
      <c r="G1608" s="8"/>
      <c r="H1608" s="8"/>
      <c r="I1608" s="8"/>
      <c r="J1608" s="8"/>
      <c r="K1608" s="8"/>
      <c r="L1608" s="8"/>
    </row>
    <row r="1609" spans="3:12" x14ac:dyDescent="0.25">
      <c r="C1609" s="7"/>
      <c r="E1609" s="8"/>
      <c r="F1609" s="8"/>
      <c r="G1609" s="8"/>
      <c r="H1609" s="8"/>
      <c r="I1609" s="8"/>
      <c r="J1609" s="8"/>
      <c r="K1609" s="8"/>
      <c r="L1609" s="8"/>
    </row>
    <row r="1610" spans="3:12" x14ac:dyDescent="0.25">
      <c r="C1610" s="7"/>
      <c r="E1610" s="8"/>
      <c r="F1610" s="8"/>
      <c r="G1610" s="8"/>
      <c r="H1610" s="8"/>
      <c r="I1610" s="8"/>
      <c r="J1610" s="8"/>
      <c r="K1610" s="8"/>
      <c r="L1610" s="8"/>
    </row>
    <row r="1611" spans="3:12" x14ac:dyDescent="0.25">
      <c r="C1611" s="7"/>
      <c r="E1611" s="8"/>
      <c r="F1611" s="8"/>
      <c r="G1611" s="8"/>
      <c r="H1611" s="8"/>
      <c r="I1611" s="8"/>
      <c r="J1611" s="8"/>
      <c r="K1611" s="8"/>
      <c r="L1611" s="8"/>
    </row>
    <row r="1612" spans="3:12" x14ac:dyDescent="0.25">
      <c r="C1612" s="7"/>
      <c r="E1612" s="8"/>
      <c r="F1612" s="8"/>
      <c r="G1612" s="8"/>
      <c r="H1612" s="8"/>
      <c r="I1612" s="8"/>
      <c r="J1612" s="8"/>
      <c r="K1612" s="8"/>
      <c r="L1612" s="8"/>
    </row>
    <row r="1613" spans="3:12" x14ac:dyDescent="0.25">
      <c r="C1613" s="7"/>
      <c r="E1613" s="8"/>
      <c r="F1613" s="8"/>
      <c r="G1613" s="8"/>
      <c r="H1613" s="8"/>
      <c r="I1613" s="8"/>
      <c r="J1613" s="8"/>
      <c r="K1613" s="8"/>
      <c r="L1613" s="8"/>
    </row>
    <row r="1614" spans="3:12" x14ac:dyDescent="0.25">
      <c r="C1614" s="7"/>
      <c r="E1614" s="8"/>
      <c r="F1614" s="8"/>
      <c r="G1614" s="8"/>
      <c r="H1614" s="8"/>
      <c r="I1614" s="8"/>
      <c r="J1614" s="8"/>
      <c r="K1614" s="8"/>
      <c r="L1614" s="8"/>
    </row>
    <row r="1615" spans="3:12" x14ac:dyDescent="0.25">
      <c r="C1615" s="7"/>
      <c r="E1615" s="8"/>
      <c r="F1615" s="8"/>
      <c r="G1615" s="8"/>
      <c r="H1615" s="8"/>
      <c r="I1615" s="8"/>
      <c r="J1615" s="8"/>
      <c r="K1615" s="8"/>
      <c r="L1615" s="8"/>
    </row>
    <row r="1616" spans="3:12" x14ac:dyDescent="0.25">
      <c r="C1616" s="7"/>
      <c r="E1616" s="8"/>
      <c r="F1616" s="8"/>
      <c r="G1616" s="8"/>
      <c r="H1616" s="8"/>
      <c r="I1616" s="8"/>
      <c r="J1616" s="8"/>
      <c r="K1616" s="8"/>
      <c r="L1616" s="8"/>
    </row>
    <row r="1617" spans="3:12" x14ac:dyDescent="0.25">
      <c r="C1617" s="7"/>
      <c r="E1617" s="8"/>
      <c r="F1617" s="8"/>
      <c r="G1617" s="8"/>
      <c r="H1617" s="8"/>
      <c r="I1617" s="8"/>
      <c r="J1617" s="8"/>
      <c r="K1617" s="8"/>
      <c r="L1617" s="8"/>
    </row>
    <row r="1618" spans="3:12" x14ac:dyDescent="0.25">
      <c r="C1618" s="7"/>
      <c r="E1618" s="8"/>
      <c r="F1618" s="8"/>
      <c r="G1618" s="8"/>
      <c r="H1618" s="8"/>
      <c r="I1618" s="8"/>
      <c r="J1618" s="8"/>
      <c r="K1618" s="8"/>
      <c r="L1618" s="8"/>
    </row>
    <row r="1619" spans="3:12" x14ac:dyDescent="0.25">
      <c r="C1619" s="7"/>
      <c r="E1619" s="8"/>
      <c r="F1619" s="8"/>
      <c r="G1619" s="8"/>
      <c r="H1619" s="8"/>
      <c r="I1619" s="8"/>
      <c r="J1619" s="8"/>
      <c r="K1619" s="8"/>
      <c r="L1619" s="8"/>
    </row>
    <row r="1620" spans="3:12" x14ac:dyDescent="0.25">
      <c r="C1620" s="7"/>
      <c r="E1620" s="8"/>
      <c r="F1620" s="8"/>
      <c r="G1620" s="8"/>
      <c r="H1620" s="8"/>
      <c r="I1620" s="8"/>
      <c r="J1620" s="8"/>
      <c r="K1620" s="8"/>
      <c r="L1620" s="8"/>
    </row>
    <row r="1621" spans="3:12" x14ac:dyDescent="0.25">
      <c r="C1621" s="7"/>
      <c r="E1621" s="8"/>
      <c r="F1621" s="8"/>
      <c r="G1621" s="8"/>
      <c r="H1621" s="8"/>
      <c r="I1621" s="8"/>
      <c r="J1621" s="8"/>
      <c r="K1621" s="8"/>
      <c r="L1621" s="8"/>
    </row>
    <row r="1622" spans="3:12" x14ac:dyDescent="0.25">
      <c r="C1622" s="7"/>
      <c r="E1622" s="8"/>
      <c r="F1622" s="8"/>
      <c r="G1622" s="8"/>
      <c r="H1622" s="8"/>
      <c r="I1622" s="8"/>
      <c r="J1622" s="8"/>
      <c r="K1622" s="8"/>
      <c r="L1622" s="8"/>
    </row>
    <row r="1623" spans="3:12" x14ac:dyDescent="0.25">
      <c r="C1623" s="7"/>
      <c r="E1623" s="8"/>
      <c r="F1623" s="8"/>
      <c r="G1623" s="8"/>
      <c r="H1623" s="8"/>
      <c r="I1623" s="8"/>
      <c r="J1623" s="8"/>
      <c r="K1623" s="8"/>
      <c r="L1623" s="8"/>
    </row>
    <row r="1624" spans="3:12" x14ac:dyDescent="0.25">
      <c r="C1624" s="7"/>
      <c r="E1624" s="8"/>
      <c r="F1624" s="8"/>
      <c r="G1624" s="8"/>
      <c r="H1624" s="8"/>
      <c r="I1624" s="8"/>
      <c r="J1624" s="8"/>
      <c r="K1624" s="8"/>
      <c r="L1624" s="8"/>
    </row>
    <row r="1625" spans="3:12" x14ac:dyDescent="0.25">
      <c r="C1625" s="7"/>
      <c r="E1625" s="8"/>
      <c r="F1625" s="8"/>
      <c r="G1625" s="8"/>
      <c r="H1625" s="8"/>
      <c r="I1625" s="8"/>
      <c r="J1625" s="8"/>
      <c r="K1625" s="8"/>
      <c r="L1625" s="8"/>
    </row>
    <row r="1626" spans="3:12" x14ac:dyDescent="0.25">
      <c r="C1626" s="7"/>
      <c r="E1626" s="8"/>
      <c r="F1626" s="8"/>
      <c r="G1626" s="8"/>
      <c r="H1626" s="8"/>
      <c r="I1626" s="8"/>
      <c r="J1626" s="8"/>
      <c r="K1626" s="8"/>
      <c r="L1626" s="8"/>
    </row>
    <row r="1627" spans="3:12" x14ac:dyDescent="0.25">
      <c r="C1627" s="7"/>
      <c r="E1627" s="8"/>
      <c r="F1627" s="8"/>
      <c r="G1627" s="8"/>
      <c r="H1627" s="8"/>
      <c r="I1627" s="8"/>
      <c r="J1627" s="8"/>
      <c r="K1627" s="8"/>
      <c r="L1627" s="8"/>
    </row>
    <row r="1628" spans="3:12" x14ac:dyDescent="0.25">
      <c r="C1628" s="7"/>
      <c r="E1628" s="8"/>
      <c r="F1628" s="8"/>
      <c r="G1628" s="8"/>
      <c r="H1628" s="8"/>
      <c r="I1628" s="8"/>
      <c r="J1628" s="8"/>
      <c r="K1628" s="8"/>
      <c r="L1628" s="8"/>
    </row>
    <row r="1629" spans="3:12" x14ac:dyDescent="0.25">
      <c r="C1629" s="7"/>
      <c r="E1629" s="8"/>
      <c r="F1629" s="8"/>
      <c r="G1629" s="8"/>
      <c r="H1629" s="8"/>
      <c r="I1629" s="8"/>
      <c r="J1629" s="8"/>
      <c r="K1629" s="8"/>
      <c r="L1629" s="8"/>
    </row>
    <row r="1630" spans="3:12" x14ac:dyDescent="0.25">
      <c r="C1630" s="7"/>
      <c r="E1630" s="8"/>
      <c r="F1630" s="8"/>
      <c r="G1630" s="8"/>
      <c r="H1630" s="8"/>
      <c r="I1630" s="8"/>
      <c r="J1630" s="8"/>
      <c r="K1630" s="8"/>
      <c r="L1630" s="8"/>
    </row>
    <row r="1631" spans="3:12" x14ac:dyDescent="0.25">
      <c r="C1631" s="7"/>
      <c r="E1631" s="8"/>
      <c r="F1631" s="8"/>
      <c r="G1631" s="8"/>
      <c r="H1631" s="8"/>
      <c r="I1631" s="8"/>
      <c r="J1631" s="8"/>
      <c r="K1631" s="8"/>
      <c r="L1631" s="8"/>
    </row>
    <row r="1632" spans="3:12" x14ac:dyDescent="0.25">
      <c r="C1632" s="7"/>
      <c r="E1632" s="8"/>
      <c r="F1632" s="8"/>
      <c r="G1632" s="8"/>
      <c r="H1632" s="8"/>
      <c r="I1632" s="8"/>
      <c r="J1632" s="8"/>
      <c r="K1632" s="8"/>
      <c r="L1632" s="8"/>
    </row>
    <row r="1633" spans="3:12" x14ac:dyDescent="0.25">
      <c r="C1633" s="7"/>
      <c r="E1633" s="8"/>
      <c r="F1633" s="8"/>
      <c r="G1633" s="8"/>
      <c r="H1633" s="8"/>
      <c r="I1633" s="8"/>
      <c r="J1633" s="8"/>
      <c r="K1633" s="8"/>
      <c r="L1633" s="8"/>
    </row>
    <row r="1634" spans="3:12" x14ac:dyDescent="0.25">
      <c r="C1634" s="7"/>
      <c r="E1634" s="8"/>
      <c r="F1634" s="8"/>
      <c r="G1634" s="8"/>
      <c r="H1634" s="8"/>
      <c r="I1634" s="8"/>
      <c r="J1634" s="8"/>
      <c r="K1634" s="8"/>
      <c r="L1634" s="8"/>
    </row>
    <row r="1635" spans="3:12" x14ac:dyDescent="0.25">
      <c r="C1635" s="7"/>
      <c r="E1635" s="8"/>
      <c r="F1635" s="8"/>
      <c r="G1635" s="8"/>
      <c r="H1635" s="8"/>
      <c r="I1635" s="8"/>
      <c r="J1635" s="8"/>
      <c r="K1635" s="8"/>
      <c r="L1635" s="8"/>
    </row>
    <row r="1636" spans="3:12" x14ac:dyDescent="0.25">
      <c r="C1636" s="7"/>
      <c r="E1636" s="8"/>
      <c r="F1636" s="8"/>
      <c r="G1636" s="8"/>
      <c r="H1636" s="8"/>
      <c r="I1636" s="8"/>
      <c r="J1636" s="8"/>
      <c r="K1636" s="8"/>
      <c r="L1636" s="8"/>
    </row>
    <row r="1637" spans="3:12" x14ac:dyDescent="0.25">
      <c r="C1637" s="7"/>
      <c r="E1637" s="8"/>
      <c r="F1637" s="8"/>
      <c r="G1637" s="8"/>
      <c r="H1637" s="8"/>
      <c r="I1637" s="8"/>
      <c r="J1637" s="8"/>
      <c r="K1637" s="8"/>
      <c r="L1637" s="8"/>
    </row>
    <row r="1638" spans="3:12" x14ac:dyDescent="0.25">
      <c r="C1638" s="7"/>
      <c r="E1638" s="8"/>
      <c r="F1638" s="8"/>
      <c r="G1638" s="8"/>
      <c r="H1638" s="8"/>
      <c r="I1638" s="8"/>
      <c r="J1638" s="8"/>
      <c r="K1638" s="8"/>
      <c r="L1638" s="8"/>
    </row>
    <row r="1639" spans="3:12" x14ac:dyDescent="0.25">
      <c r="C1639" s="7"/>
      <c r="E1639" s="8"/>
      <c r="F1639" s="8"/>
      <c r="G1639" s="8"/>
      <c r="H1639" s="8"/>
      <c r="I1639" s="8"/>
      <c r="J1639" s="8"/>
      <c r="K1639" s="8"/>
      <c r="L1639" s="8"/>
    </row>
    <row r="1640" spans="3:12" x14ac:dyDescent="0.25">
      <c r="C1640" s="7"/>
      <c r="E1640" s="8"/>
      <c r="F1640" s="8"/>
      <c r="G1640" s="8"/>
      <c r="H1640" s="8"/>
      <c r="I1640" s="8"/>
      <c r="J1640" s="8"/>
      <c r="K1640" s="8"/>
      <c r="L1640" s="8"/>
    </row>
    <row r="1641" spans="3:12" x14ac:dyDescent="0.25">
      <c r="C1641" s="7"/>
      <c r="E1641" s="8"/>
      <c r="F1641" s="8"/>
      <c r="G1641" s="8"/>
      <c r="H1641" s="8"/>
      <c r="I1641" s="8"/>
      <c r="J1641" s="8"/>
      <c r="K1641" s="8"/>
      <c r="L1641" s="8"/>
    </row>
    <row r="1642" spans="3:12" x14ac:dyDescent="0.25">
      <c r="C1642" s="7"/>
      <c r="E1642" s="8"/>
      <c r="F1642" s="8"/>
      <c r="G1642" s="8"/>
      <c r="H1642" s="8"/>
      <c r="I1642" s="8"/>
      <c r="J1642" s="8"/>
      <c r="K1642" s="8"/>
      <c r="L1642" s="8"/>
    </row>
    <row r="1643" spans="3:12" x14ac:dyDescent="0.25">
      <c r="C1643" s="7"/>
      <c r="E1643" s="8"/>
      <c r="F1643" s="8"/>
      <c r="G1643" s="8"/>
      <c r="H1643" s="8"/>
      <c r="I1643" s="8"/>
      <c r="J1643" s="8"/>
      <c r="K1643" s="8"/>
      <c r="L1643" s="8"/>
    </row>
    <row r="1644" spans="3:12" x14ac:dyDescent="0.25">
      <c r="C1644" s="7"/>
      <c r="E1644" s="8"/>
      <c r="F1644" s="8"/>
      <c r="G1644" s="8"/>
      <c r="H1644" s="8"/>
      <c r="I1644" s="8"/>
      <c r="J1644" s="8"/>
      <c r="K1644" s="8"/>
      <c r="L1644" s="8"/>
    </row>
    <row r="1645" spans="3:12" x14ac:dyDescent="0.25">
      <c r="C1645" s="7"/>
      <c r="E1645" s="8"/>
      <c r="F1645" s="8"/>
      <c r="G1645" s="8"/>
      <c r="H1645" s="8"/>
      <c r="I1645" s="8"/>
      <c r="J1645" s="8"/>
      <c r="K1645" s="8"/>
      <c r="L1645" s="8"/>
    </row>
    <row r="1646" spans="3:12" x14ac:dyDescent="0.25">
      <c r="C1646" s="7"/>
      <c r="E1646" s="8"/>
      <c r="F1646" s="8"/>
      <c r="G1646" s="8"/>
      <c r="H1646" s="8"/>
      <c r="I1646" s="8"/>
      <c r="J1646" s="8"/>
      <c r="K1646" s="8"/>
      <c r="L1646" s="8"/>
    </row>
    <row r="1647" spans="3:12" x14ac:dyDescent="0.25">
      <c r="C1647" s="7"/>
      <c r="E1647" s="8"/>
      <c r="F1647" s="8"/>
      <c r="G1647" s="8"/>
      <c r="H1647" s="8"/>
      <c r="I1647" s="8"/>
      <c r="J1647" s="8"/>
      <c r="K1647" s="8"/>
      <c r="L1647" s="8"/>
    </row>
    <row r="1648" spans="3:12" x14ac:dyDescent="0.25">
      <c r="C1648" s="7"/>
      <c r="E1648" s="8"/>
      <c r="F1648" s="8"/>
      <c r="G1648" s="8"/>
      <c r="H1648" s="8"/>
      <c r="I1648" s="8"/>
      <c r="J1648" s="8"/>
      <c r="K1648" s="8"/>
      <c r="L1648" s="8"/>
    </row>
    <row r="1649" spans="3:12" x14ac:dyDescent="0.25">
      <c r="C1649" s="7"/>
      <c r="E1649" s="8"/>
      <c r="F1649" s="8"/>
      <c r="G1649" s="8"/>
      <c r="H1649" s="8"/>
      <c r="I1649" s="8"/>
      <c r="J1649" s="8"/>
      <c r="K1649" s="8"/>
      <c r="L1649" s="8"/>
    </row>
    <row r="1650" spans="3:12" x14ac:dyDescent="0.25">
      <c r="C1650" s="7"/>
      <c r="E1650" s="8"/>
      <c r="F1650" s="8"/>
      <c r="G1650" s="8"/>
      <c r="H1650" s="8"/>
      <c r="I1650" s="8"/>
      <c r="J1650" s="8"/>
      <c r="K1650" s="8"/>
      <c r="L1650" s="8"/>
    </row>
    <row r="1651" spans="3:12" x14ac:dyDescent="0.25">
      <c r="C1651" s="7"/>
      <c r="E1651" s="8"/>
      <c r="F1651" s="8"/>
      <c r="G1651" s="8"/>
      <c r="H1651" s="8"/>
      <c r="I1651" s="8"/>
      <c r="J1651" s="8"/>
      <c r="K1651" s="8"/>
      <c r="L1651" s="8"/>
    </row>
    <row r="1652" spans="3:12" x14ac:dyDescent="0.25">
      <c r="C1652" s="7"/>
      <c r="E1652" s="8"/>
      <c r="F1652" s="8"/>
      <c r="G1652" s="8"/>
      <c r="H1652" s="8"/>
      <c r="I1652" s="8"/>
      <c r="J1652" s="8"/>
      <c r="K1652" s="8"/>
      <c r="L1652" s="8"/>
    </row>
    <row r="1653" spans="3:12" x14ac:dyDescent="0.25">
      <c r="C1653" s="7"/>
      <c r="E1653" s="8"/>
      <c r="F1653" s="8"/>
      <c r="G1653" s="8"/>
      <c r="H1653" s="8"/>
      <c r="I1653" s="8"/>
      <c r="J1653" s="8"/>
      <c r="K1653" s="8"/>
      <c r="L1653" s="8"/>
    </row>
    <row r="1654" spans="3:12" x14ac:dyDescent="0.25">
      <c r="C1654" s="7"/>
      <c r="E1654" s="8"/>
      <c r="F1654" s="8"/>
      <c r="G1654" s="8"/>
      <c r="H1654" s="8"/>
      <c r="I1654" s="8"/>
      <c r="J1654" s="8"/>
      <c r="K1654" s="8"/>
      <c r="L1654" s="8"/>
    </row>
    <row r="1655" spans="3:12" x14ac:dyDescent="0.25">
      <c r="C1655" s="7"/>
      <c r="E1655" s="8"/>
      <c r="F1655" s="8"/>
      <c r="G1655" s="8"/>
      <c r="H1655" s="8"/>
      <c r="I1655" s="8"/>
      <c r="J1655" s="8"/>
      <c r="K1655" s="8"/>
      <c r="L1655" s="8"/>
    </row>
    <row r="1656" spans="3:12" x14ac:dyDescent="0.25">
      <c r="C1656" s="7"/>
      <c r="E1656" s="8"/>
      <c r="F1656" s="8"/>
      <c r="G1656" s="8"/>
      <c r="H1656" s="8"/>
      <c r="I1656" s="8"/>
      <c r="J1656" s="8"/>
      <c r="K1656" s="8"/>
      <c r="L1656" s="8"/>
    </row>
    <row r="1657" spans="3:12" x14ac:dyDescent="0.25">
      <c r="C1657" s="7"/>
      <c r="E1657" s="8"/>
      <c r="F1657" s="8"/>
      <c r="G1657" s="8"/>
      <c r="H1657" s="8"/>
      <c r="I1657" s="8"/>
      <c r="J1657" s="8"/>
      <c r="K1657" s="8"/>
      <c r="L1657" s="8"/>
    </row>
    <row r="1658" spans="3:12" x14ac:dyDescent="0.25">
      <c r="C1658" s="7"/>
      <c r="E1658" s="8"/>
      <c r="F1658" s="8"/>
      <c r="G1658" s="8"/>
      <c r="H1658" s="8"/>
      <c r="I1658" s="8"/>
      <c r="J1658" s="8"/>
      <c r="K1658" s="8"/>
      <c r="L1658" s="8"/>
    </row>
    <row r="1659" spans="3:12" x14ac:dyDescent="0.25">
      <c r="C1659" s="7"/>
      <c r="E1659" s="8"/>
      <c r="F1659" s="8"/>
      <c r="G1659" s="8"/>
      <c r="H1659" s="8"/>
      <c r="I1659" s="8"/>
      <c r="J1659" s="8"/>
      <c r="K1659" s="8"/>
      <c r="L1659" s="8"/>
    </row>
    <row r="1660" spans="3:12" x14ac:dyDescent="0.25">
      <c r="C1660" s="7"/>
      <c r="E1660" s="8"/>
      <c r="F1660" s="8"/>
      <c r="G1660" s="8"/>
      <c r="H1660" s="8"/>
      <c r="I1660" s="8"/>
      <c r="J1660" s="8"/>
      <c r="K1660" s="8"/>
      <c r="L1660" s="8"/>
    </row>
    <row r="1661" spans="3:12" x14ac:dyDescent="0.25">
      <c r="C1661" s="7"/>
      <c r="E1661" s="8"/>
      <c r="F1661" s="8"/>
      <c r="G1661" s="8"/>
      <c r="H1661" s="8"/>
      <c r="I1661" s="8"/>
      <c r="J1661" s="8"/>
      <c r="K1661" s="8"/>
      <c r="L1661" s="8"/>
    </row>
    <row r="1662" spans="3:12" x14ac:dyDescent="0.25">
      <c r="C1662" s="7"/>
      <c r="E1662" s="8"/>
      <c r="F1662" s="8"/>
      <c r="G1662" s="8"/>
      <c r="H1662" s="8"/>
      <c r="I1662" s="8"/>
      <c r="J1662" s="8"/>
      <c r="K1662" s="8"/>
      <c r="L1662" s="8"/>
    </row>
    <row r="1663" spans="3:12" x14ac:dyDescent="0.25">
      <c r="C1663" s="7"/>
      <c r="E1663" s="8"/>
      <c r="F1663" s="8"/>
      <c r="G1663" s="8"/>
      <c r="H1663" s="8"/>
      <c r="I1663" s="8"/>
      <c r="J1663" s="8"/>
      <c r="K1663" s="8"/>
      <c r="L1663" s="8"/>
    </row>
    <row r="1664" spans="3:12" x14ac:dyDescent="0.25">
      <c r="C1664" s="7"/>
      <c r="E1664" s="8"/>
      <c r="F1664" s="8"/>
      <c r="G1664" s="8"/>
      <c r="H1664" s="8"/>
      <c r="I1664" s="8"/>
      <c r="J1664" s="8"/>
      <c r="K1664" s="8"/>
      <c r="L1664" s="8"/>
    </row>
    <row r="1665" spans="3:12" x14ac:dyDescent="0.25">
      <c r="C1665" s="7"/>
      <c r="E1665" s="8"/>
      <c r="F1665" s="8"/>
      <c r="G1665" s="8"/>
      <c r="H1665" s="8"/>
      <c r="I1665" s="8"/>
      <c r="J1665" s="8"/>
      <c r="K1665" s="8"/>
      <c r="L1665" s="8"/>
    </row>
    <row r="1666" spans="3:12" x14ac:dyDescent="0.25">
      <c r="C1666" s="7"/>
      <c r="E1666" s="8"/>
      <c r="F1666" s="8"/>
      <c r="G1666" s="8"/>
      <c r="H1666" s="8"/>
      <c r="I1666" s="8"/>
      <c r="J1666" s="8"/>
      <c r="K1666" s="8"/>
      <c r="L1666" s="8"/>
    </row>
    <row r="1667" spans="3:12" x14ac:dyDescent="0.25">
      <c r="C1667" s="7"/>
      <c r="E1667" s="8"/>
      <c r="F1667" s="8"/>
      <c r="G1667" s="8"/>
      <c r="H1667" s="8"/>
      <c r="I1667" s="8"/>
      <c r="J1667" s="8"/>
      <c r="K1667" s="8"/>
      <c r="L1667" s="8"/>
    </row>
    <row r="1668" spans="3:12" x14ac:dyDescent="0.25">
      <c r="C1668" s="7"/>
      <c r="E1668" s="8"/>
      <c r="F1668" s="8"/>
      <c r="G1668" s="8"/>
      <c r="H1668" s="8"/>
      <c r="I1668" s="8"/>
      <c r="J1668" s="8"/>
      <c r="K1668" s="8"/>
      <c r="L1668" s="8"/>
    </row>
    <row r="1669" spans="3:12" x14ac:dyDescent="0.25">
      <c r="C1669" s="7"/>
      <c r="E1669" s="8"/>
      <c r="F1669" s="8"/>
      <c r="G1669" s="8"/>
      <c r="H1669" s="8"/>
      <c r="I1669" s="8"/>
      <c r="J1669" s="8"/>
      <c r="K1669" s="8"/>
      <c r="L1669" s="8"/>
    </row>
    <row r="1670" spans="3:12" x14ac:dyDescent="0.25">
      <c r="C1670" s="7"/>
      <c r="E1670" s="8"/>
      <c r="F1670" s="8"/>
      <c r="G1670" s="8"/>
      <c r="H1670" s="8"/>
      <c r="I1670" s="8"/>
      <c r="J1670" s="8"/>
      <c r="K1670" s="8"/>
      <c r="L1670" s="8"/>
    </row>
    <row r="1671" spans="3:12" x14ac:dyDescent="0.25">
      <c r="C1671" s="7"/>
      <c r="E1671" s="8"/>
      <c r="F1671" s="8"/>
      <c r="G1671" s="8"/>
      <c r="H1671" s="8"/>
      <c r="I1671" s="8"/>
      <c r="J1671" s="8"/>
      <c r="K1671" s="8"/>
      <c r="L1671" s="8"/>
    </row>
    <row r="1672" spans="3:12" x14ac:dyDescent="0.25">
      <c r="C1672" s="7"/>
      <c r="E1672" s="8"/>
      <c r="F1672" s="8"/>
      <c r="G1672" s="8"/>
      <c r="H1672" s="8"/>
      <c r="I1672" s="8"/>
      <c r="J1672" s="8"/>
      <c r="K1672" s="8"/>
      <c r="L1672" s="8"/>
    </row>
    <row r="1673" spans="3:12" x14ac:dyDescent="0.25">
      <c r="C1673" s="7"/>
      <c r="E1673" s="8"/>
      <c r="F1673" s="8"/>
      <c r="G1673" s="8"/>
      <c r="H1673" s="8"/>
      <c r="I1673" s="8"/>
      <c r="J1673" s="8"/>
      <c r="K1673" s="8"/>
      <c r="L1673" s="8"/>
    </row>
    <row r="1674" spans="3:12" x14ac:dyDescent="0.25">
      <c r="C1674" s="7"/>
      <c r="E1674" s="8"/>
      <c r="F1674" s="8"/>
      <c r="G1674" s="8"/>
      <c r="H1674" s="8"/>
      <c r="I1674" s="8"/>
      <c r="J1674" s="8"/>
      <c r="K1674" s="8"/>
      <c r="L1674" s="8"/>
    </row>
    <row r="1675" spans="3:12" x14ac:dyDescent="0.25">
      <c r="C1675" s="7"/>
      <c r="E1675" s="8"/>
      <c r="F1675" s="8"/>
      <c r="G1675" s="8"/>
      <c r="H1675" s="8"/>
      <c r="I1675" s="8"/>
      <c r="J1675" s="8"/>
      <c r="K1675" s="8"/>
      <c r="L1675" s="8"/>
    </row>
    <row r="1676" spans="3:12" x14ac:dyDescent="0.25">
      <c r="C1676" s="7"/>
      <c r="E1676" s="8"/>
      <c r="F1676" s="8"/>
      <c r="G1676" s="8"/>
      <c r="H1676" s="8"/>
      <c r="I1676" s="8"/>
      <c r="J1676" s="8"/>
      <c r="K1676" s="8"/>
      <c r="L1676" s="8"/>
    </row>
    <row r="1677" spans="3:12" x14ac:dyDescent="0.25">
      <c r="C1677" s="7"/>
      <c r="E1677" s="8"/>
      <c r="F1677" s="8"/>
      <c r="G1677" s="8"/>
      <c r="H1677" s="8"/>
      <c r="I1677" s="8"/>
      <c r="J1677" s="8"/>
      <c r="K1677" s="8"/>
      <c r="L1677" s="8"/>
    </row>
    <row r="1678" spans="3:12" x14ac:dyDescent="0.25">
      <c r="C1678" s="7"/>
      <c r="E1678" s="8"/>
      <c r="F1678" s="8"/>
      <c r="G1678" s="8"/>
      <c r="H1678" s="8"/>
      <c r="I1678" s="8"/>
      <c r="J1678" s="8"/>
      <c r="K1678" s="8"/>
      <c r="L1678" s="8"/>
    </row>
    <row r="1679" spans="3:12" x14ac:dyDescent="0.25">
      <c r="C1679" s="7"/>
      <c r="E1679" s="8"/>
      <c r="F1679" s="8"/>
      <c r="G1679" s="8"/>
      <c r="H1679" s="8"/>
      <c r="I1679" s="8"/>
      <c r="J1679" s="8"/>
      <c r="K1679" s="8"/>
      <c r="L1679" s="8"/>
    </row>
    <row r="1680" spans="3:12" x14ac:dyDescent="0.25">
      <c r="C1680" s="7"/>
      <c r="E1680" s="8"/>
      <c r="F1680" s="8"/>
      <c r="G1680" s="8"/>
      <c r="H1680" s="8"/>
      <c r="I1680" s="8"/>
      <c r="J1680" s="8"/>
      <c r="K1680" s="8"/>
      <c r="L1680" s="8"/>
    </row>
    <row r="1681" spans="3:12" x14ac:dyDescent="0.25">
      <c r="C1681" s="7"/>
      <c r="E1681" s="8"/>
      <c r="F1681" s="8"/>
      <c r="G1681" s="8"/>
      <c r="H1681" s="8"/>
      <c r="I1681" s="8"/>
      <c r="J1681" s="8"/>
      <c r="K1681" s="8"/>
      <c r="L1681" s="8"/>
    </row>
    <row r="1682" spans="3:12" x14ac:dyDescent="0.25">
      <c r="C1682" s="7"/>
      <c r="E1682" s="8"/>
      <c r="F1682" s="8"/>
      <c r="G1682" s="8"/>
      <c r="H1682" s="8"/>
      <c r="I1682" s="8"/>
      <c r="J1682" s="8"/>
      <c r="K1682" s="8"/>
      <c r="L1682" s="8"/>
    </row>
    <row r="1683" spans="3:12" x14ac:dyDescent="0.25">
      <c r="C1683" s="7"/>
      <c r="E1683" s="8"/>
      <c r="F1683" s="8"/>
      <c r="G1683" s="8"/>
      <c r="H1683" s="8"/>
      <c r="I1683" s="8"/>
      <c r="J1683" s="8"/>
      <c r="K1683" s="8"/>
      <c r="L1683" s="8"/>
    </row>
    <row r="1684" spans="3:12" x14ac:dyDescent="0.25">
      <c r="C1684" s="7"/>
      <c r="E1684" s="8"/>
      <c r="F1684" s="8"/>
      <c r="G1684" s="8"/>
      <c r="H1684" s="8"/>
      <c r="I1684" s="8"/>
      <c r="J1684" s="8"/>
      <c r="K1684" s="8"/>
      <c r="L1684" s="8"/>
    </row>
    <row r="1685" spans="3:12" x14ac:dyDescent="0.25">
      <c r="C1685" s="7"/>
      <c r="E1685" s="8"/>
      <c r="F1685" s="8"/>
      <c r="G1685" s="8"/>
      <c r="H1685" s="8"/>
      <c r="I1685" s="8"/>
      <c r="J1685" s="8"/>
      <c r="K1685" s="8"/>
      <c r="L1685" s="8"/>
    </row>
    <row r="1686" spans="3:12" x14ac:dyDescent="0.25">
      <c r="C1686" s="7"/>
      <c r="E1686" s="8"/>
      <c r="F1686" s="8"/>
      <c r="G1686" s="8"/>
      <c r="H1686" s="8"/>
      <c r="I1686" s="8"/>
      <c r="J1686" s="8"/>
      <c r="K1686" s="8"/>
      <c r="L1686" s="8"/>
    </row>
    <row r="1687" spans="3:12" x14ac:dyDescent="0.25">
      <c r="C1687" s="7"/>
      <c r="E1687" s="8"/>
      <c r="F1687" s="8"/>
      <c r="G1687" s="8"/>
      <c r="H1687" s="8"/>
      <c r="I1687" s="8"/>
      <c r="J1687" s="8"/>
      <c r="K1687" s="8"/>
      <c r="L1687" s="8"/>
    </row>
    <row r="1688" spans="3:12" x14ac:dyDescent="0.25">
      <c r="C1688" s="7"/>
      <c r="E1688" s="8"/>
      <c r="F1688" s="8"/>
      <c r="G1688" s="8"/>
      <c r="H1688" s="8"/>
      <c r="I1688" s="8"/>
      <c r="J1688" s="8"/>
      <c r="K1688" s="8"/>
      <c r="L1688" s="8"/>
    </row>
    <row r="1689" spans="3:12" x14ac:dyDescent="0.25">
      <c r="C1689" s="7"/>
      <c r="E1689" s="8"/>
      <c r="F1689" s="8"/>
      <c r="G1689" s="8"/>
      <c r="H1689" s="8"/>
      <c r="I1689" s="8"/>
      <c r="J1689" s="8"/>
      <c r="K1689" s="8"/>
      <c r="L1689" s="8"/>
    </row>
    <row r="1690" spans="3:12" x14ac:dyDescent="0.25">
      <c r="C1690" s="7"/>
      <c r="E1690" s="8"/>
      <c r="F1690" s="8"/>
      <c r="G1690" s="8"/>
      <c r="H1690" s="8"/>
      <c r="I1690" s="8"/>
      <c r="J1690" s="8"/>
      <c r="K1690" s="8"/>
      <c r="L1690" s="8"/>
    </row>
    <row r="1691" spans="3:12" x14ac:dyDescent="0.25">
      <c r="C1691" s="7"/>
      <c r="E1691" s="8"/>
      <c r="F1691" s="8"/>
      <c r="G1691" s="8"/>
      <c r="H1691" s="8"/>
      <c r="I1691" s="8"/>
      <c r="J1691" s="8"/>
      <c r="K1691" s="8"/>
      <c r="L1691" s="8"/>
    </row>
    <row r="1692" spans="3:12" x14ac:dyDescent="0.25">
      <c r="C1692" s="7"/>
      <c r="E1692" s="8"/>
      <c r="F1692" s="8"/>
      <c r="G1692" s="8"/>
      <c r="H1692" s="8"/>
      <c r="I1692" s="8"/>
      <c r="J1692" s="8"/>
      <c r="K1692" s="8"/>
      <c r="L1692" s="8"/>
    </row>
    <row r="1693" spans="3:12" x14ac:dyDescent="0.25">
      <c r="C1693" s="7"/>
      <c r="E1693" s="8"/>
      <c r="F1693" s="8"/>
      <c r="G1693" s="8"/>
      <c r="H1693" s="8"/>
      <c r="I1693" s="8"/>
      <c r="J1693" s="8"/>
      <c r="K1693" s="8"/>
      <c r="L1693" s="8"/>
    </row>
    <row r="1694" spans="3:12" x14ac:dyDescent="0.25">
      <c r="C1694" s="7"/>
      <c r="E1694" s="8"/>
      <c r="F1694" s="8"/>
      <c r="G1694" s="8"/>
      <c r="H1694" s="8"/>
      <c r="I1694" s="8"/>
      <c r="J1694" s="8"/>
      <c r="K1694" s="8"/>
      <c r="L1694" s="8"/>
    </row>
    <row r="1695" spans="3:12" x14ac:dyDescent="0.25">
      <c r="C1695" s="7"/>
      <c r="E1695" s="8"/>
      <c r="F1695" s="8"/>
      <c r="G1695" s="8"/>
      <c r="H1695" s="8"/>
      <c r="I1695" s="8"/>
      <c r="J1695" s="8"/>
      <c r="K1695" s="8"/>
      <c r="L1695" s="8"/>
    </row>
    <row r="1696" spans="3:12" x14ac:dyDescent="0.25">
      <c r="C1696" s="7"/>
      <c r="E1696" s="8"/>
      <c r="F1696" s="8"/>
      <c r="G1696" s="8"/>
      <c r="H1696" s="8"/>
      <c r="I1696" s="8"/>
      <c r="J1696" s="8"/>
      <c r="K1696" s="8"/>
      <c r="L1696" s="8"/>
    </row>
    <row r="1697" spans="3:12" x14ac:dyDescent="0.25">
      <c r="C1697" s="7"/>
      <c r="E1697" s="8"/>
      <c r="F1697" s="8"/>
      <c r="G1697" s="8"/>
      <c r="H1697" s="8"/>
      <c r="I1697" s="8"/>
      <c r="J1697" s="8"/>
      <c r="K1697" s="8"/>
      <c r="L1697" s="8"/>
    </row>
    <row r="1698" spans="3:12" x14ac:dyDescent="0.25">
      <c r="C1698" s="7"/>
      <c r="E1698" s="8"/>
      <c r="F1698" s="8"/>
      <c r="G1698" s="8"/>
      <c r="H1698" s="8"/>
      <c r="I1698" s="8"/>
      <c r="J1698" s="8"/>
      <c r="K1698" s="8"/>
      <c r="L1698" s="8"/>
    </row>
    <row r="1699" spans="3:12" x14ac:dyDescent="0.25">
      <c r="C1699" s="7"/>
      <c r="E1699" s="8"/>
      <c r="F1699" s="8"/>
      <c r="G1699" s="8"/>
      <c r="H1699" s="8"/>
      <c r="I1699" s="8"/>
      <c r="J1699" s="8"/>
      <c r="K1699" s="8"/>
      <c r="L1699" s="8"/>
    </row>
    <row r="1700" spans="3:12" x14ac:dyDescent="0.25">
      <c r="C1700" s="7"/>
      <c r="E1700" s="8"/>
      <c r="F1700" s="8"/>
      <c r="G1700" s="8"/>
      <c r="H1700" s="8"/>
      <c r="I1700" s="8"/>
      <c r="J1700" s="8"/>
      <c r="K1700" s="8"/>
      <c r="L1700" s="8"/>
    </row>
    <row r="1701" spans="3:12" x14ac:dyDescent="0.25">
      <c r="C1701" s="7"/>
      <c r="E1701" s="8"/>
      <c r="F1701" s="8"/>
      <c r="G1701" s="8"/>
      <c r="H1701" s="8"/>
      <c r="I1701" s="8"/>
      <c r="J1701" s="8"/>
      <c r="K1701" s="8"/>
      <c r="L1701" s="8"/>
    </row>
    <row r="1702" spans="3:12" x14ac:dyDescent="0.25">
      <c r="C1702" s="7"/>
      <c r="E1702" s="8"/>
      <c r="F1702" s="8"/>
      <c r="G1702" s="8"/>
      <c r="H1702" s="8"/>
      <c r="I1702" s="8"/>
      <c r="J1702" s="8"/>
      <c r="K1702" s="8"/>
      <c r="L1702" s="8"/>
    </row>
    <row r="1703" spans="3:12" x14ac:dyDescent="0.25">
      <c r="C1703" s="7"/>
      <c r="E1703" s="8"/>
      <c r="F1703" s="8"/>
      <c r="G1703" s="8"/>
      <c r="H1703" s="8"/>
      <c r="I1703" s="8"/>
      <c r="J1703" s="8"/>
      <c r="K1703" s="8"/>
      <c r="L1703" s="8"/>
    </row>
    <row r="1704" spans="3:12" x14ac:dyDescent="0.25">
      <c r="C1704" s="7"/>
      <c r="E1704" s="8"/>
      <c r="F1704" s="8"/>
      <c r="G1704" s="8"/>
      <c r="H1704" s="8"/>
      <c r="I1704" s="8"/>
      <c r="J1704" s="8"/>
      <c r="K1704" s="8"/>
      <c r="L1704" s="8"/>
    </row>
    <row r="1705" spans="3:12" x14ac:dyDescent="0.25">
      <c r="C1705" s="7"/>
      <c r="E1705" s="8"/>
      <c r="F1705" s="8"/>
      <c r="G1705" s="8"/>
      <c r="H1705" s="8"/>
      <c r="I1705" s="8"/>
      <c r="J1705" s="8"/>
      <c r="K1705" s="8"/>
      <c r="L1705" s="8"/>
    </row>
    <row r="1706" spans="3:12" x14ac:dyDescent="0.25">
      <c r="C1706" s="7"/>
      <c r="E1706" s="8"/>
      <c r="F1706" s="8"/>
      <c r="G1706" s="8"/>
      <c r="H1706" s="8"/>
      <c r="I1706" s="8"/>
      <c r="J1706" s="8"/>
      <c r="K1706" s="8"/>
      <c r="L1706" s="8"/>
    </row>
    <row r="1707" spans="3:12" x14ac:dyDescent="0.25">
      <c r="C1707" s="7"/>
      <c r="E1707" s="8"/>
      <c r="F1707" s="8"/>
      <c r="G1707" s="8"/>
      <c r="H1707" s="8"/>
      <c r="I1707" s="8"/>
      <c r="J1707" s="8"/>
      <c r="K1707" s="8"/>
      <c r="L1707" s="8"/>
    </row>
    <row r="1708" spans="3:12" x14ac:dyDescent="0.25">
      <c r="C1708" s="7"/>
      <c r="E1708" s="8"/>
      <c r="F1708" s="8"/>
      <c r="G1708" s="8"/>
      <c r="H1708" s="8"/>
      <c r="I1708" s="8"/>
      <c r="J1708" s="8"/>
      <c r="K1708" s="8"/>
      <c r="L1708" s="8"/>
    </row>
    <row r="1709" spans="3:12" x14ac:dyDescent="0.25">
      <c r="C1709" s="7"/>
      <c r="E1709" s="8"/>
      <c r="F1709" s="8"/>
      <c r="G1709" s="8"/>
      <c r="H1709" s="8"/>
      <c r="I1709" s="8"/>
      <c r="J1709" s="8"/>
      <c r="K1709" s="8"/>
      <c r="L1709" s="8"/>
    </row>
    <row r="1710" spans="3:12" x14ac:dyDescent="0.25">
      <c r="C1710" s="7"/>
      <c r="E1710" s="8"/>
      <c r="F1710" s="8"/>
      <c r="G1710" s="8"/>
      <c r="H1710" s="8"/>
      <c r="I1710" s="8"/>
      <c r="J1710" s="8"/>
      <c r="K1710" s="8"/>
      <c r="L1710" s="8"/>
    </row>
    <row r="1711" spans="3:12" x14ac:dyDescent="0.25">
      <c r="C1711" s="7"/>
      <c r="E1711" s="8"/>
      <c r="F1711" s="8"/>
      <c r="G1711" s="8"/>
      <c r="H1711" s="8"/>
      <c r="I1711" s="8"/>
      <c r="J1711" s="8"/>
      <c r="K1711" s="8"/>
      <c r="L1711" s="8"/>
    </row>
    <row r="1712" spans="3:12" x14ac:dyDescent="0.25">
      <c r="C1712" s="7"/>
      <c r="E1712" s="8"/>
      <c r="F1712" s="8"/>
      <c r="G1712" s="8"/>
      <c r="H1712" s="8"/>
      <c r="I1712" s="8"/>
      <c r="J1712" s="8"/>
      <c r="K1712" s="8"/>
      <c r="L1712" s="8"/>
    </row>
    <row r="1713" spans="3:12" x14ac:dyDescent="0.25">
      <c r="C1713" s="7"/>
      <c r="E1713" s="8"/>
      <c r="F1713" s="8"/>
      <c r="G1713" s="8"/>
      <c r="H1713" s="8"/>
      <c r="I1713" s="8"/>
      <c r="J1713" s="8"/>
      <c r="K1713" s="8"/>
      <c r="L1713" s="8"/>
    </row>
    <row r="1714" spans="3:12" x14ac:dyDescent="0.25">
      <c r="C1714" s="7"/>
      <c r="E1714" s="8"/>
      <c r="F1714" s="8"/>
      <c r="G1714" s="8"/>
      <c r="H1714" s="8"/>
      <c r="I1714" s="8"/>
      <c r="J1714" s="8"/>
      <c r="K1714" s="8"/>
      <c r="L1714" s="8"/>
    </row>
    <row r="1715" spans="3:12" x14ac:dyDescent="0.25">
      <c r="C1715" s="7"/>
      <c r="E1715" s="8"/>
      <c r="F1715" s="8"/>
      <c r="G1715" s="8"/>
      <c r="H1715" s="8"/>
      <c r="I1715" s="8"/>
      <c r="J1715" s="8"/>
      <c r="K1715" s="8"/>
      <c r="L1715" s="8"/>
    </row>
    <row r="1716" spans="3:12" x14ac:dyDescent="0.25">
      <c r="C1716" s="7"/>
      <c r="E1716" s="8"/>
      <c r="F1716" s="8"/>
      <c r="G1716" s="8"/>
      <c r="H1716" s="8"/>
      <c r="I1716" s="8"/>
      <c r="J1716" s="8"/>
      <c r="K1716" s="8"/>
      <c r="L1716" s="8"/>
    </row>
    <row r="1717" spans="3:12" x14ac:dyDescent="0.25">
      <c r="C1717" s="7"/>
      <c r="E1717" s="8"/>
      <c r="F1717" s="8"/>
      <c r="G1717" s="8"/>
      <c r="H1717" s="8"/>
      <c r="I1717" s="8"/>
      <c r="J1717" s="8"/>
      <c r="K1717" s="8"/>
      <c r="L1717" s="8"/>
    </row>
    <row r="1718" spans="3:12" x14ac:dyDescent="0.25">
      <c r="C1718" s="7"/>
      <c r="E1718" s="8"/>
      <c r="F1718" s="8"/>
      <c r="G1718" s="8"/>
      <c r="H1718" s="8"/>
      <c r="I1718" s="8"/>
      <c r="J1718" s="8"/>
      <c r="K1718" s="8"/>
      <c r="L1718" s="8"/>
    </row>
    <row r="1719" spans="3:12" x14ac:dyDescent="0.25">
      <c r="C1719" s="7"/>
      <c r="E1719" s="8"/>
      <c r="F1719" s="8"/>
      <c r="G1719" s="8"/>
      <c r="H1719" s="8"/>
      <c r="I1719" s="8"/>
      <c r="J1719" s="8"/>
      <c r="K1719" s="8"/>
      <c r="L1719" s="8"/>
    </row>
    <row r="1720" spans="3:12" x14ac:dyDescent="0.25">
      <c r="C1720" s="7"/>
      <c r="E1720" s="8"/>
      <c r="F1720" s="8"/>
      <c r="G1720" s="8"/>
      <c r="H1720" s="8"/>
      <c r="I1720" s="8"/>
      <c r="J1720" s="8"/>
      <c r="K1720" s="8"/>
      <c r="L1720" s="8"/>
    </row>
    <row r="1721" spans="3:12" x14ac:dyDescent="0.25">
      <c r="C1721" s="7"/>
      <c r="E1721" s="8"/>
      <c r="F1721" s="8"/>
      <c r="G1721" s="8"/>
      <c r="H1721" s="8"/>
      <c r="I1721" s="8"/>
      <c r="J1721" s="8"/>
      <c r="K1721" s="8"/>
      <c r="L1721" s="8"/>
    </row>
    <row r="1722" spans="3:12" x14ac:dyDescent="0.25">
      <c r="C1722" s="7"/>
      <c r="E1722" s="8"/>
      <c r="F1722" s="8"/>
      <c r="G1722" s="8"/>
      <c r="H1722" s="8"/>
      <c r="I1722" s="8"/>
      <c r="J1722" s="8"/>
      <c r="K1722" s="8"/>
      <c r="L1722" s="8"/>
    </row>
    <row r="1723" spans="3:12" x14ac:dyDescent="0.25">
      <c r="C1723" s="7"/>
      <c r="E1723" s="8"/>
      <c r="F1723" s="8"/>
      <c r="G1723" s="8"/>
      <c r="H1723" s="8"/>
      <c r="I1723" s="8"/>
      <c r="J1723" s="8"/>
      <c r="K1723" s="8"/>
      <c r="L1723" s="8"/>
    </row>
    <row r="1724" spans="3:12" x14ac:dyDescent="0.25">
      <c r="C1724" s="7"/>
      <c r="E1724" s="8"/>
      <c r="F1724" s="8"/>
      <c r="G1724" s="8"/>
      <c r="H1724" s="8"/>
      <c r="I1724" s="8"/>
      <c r="J1724" s="8"/>
      <c r="K1724" s="8"/>
      <c r="L1724" s="8"/>
    </row>
    <row r="1725" spans="3:12" x14ac:dyDescent="0.25">
      <c r="C1725" s="7"/>
      <c r="E1725" s="8"/>
      <c r="F1725" s="8"/>
      <c r="G1725" s="8"/>
      <c r="H1725" s="8"/>
      <c r="I1725" s="8"/>
      <c r="J1725" s="8"/>
      <c r="K1725" s="8"/>
      <c r="L1725" s="8"/>
    </row>
    <row r="1726" spans="3:12" x14ac:dyDescent="0.25">
      <c r="C1726" s="7"/>
      <c r="E1726" s="8"/>
      <c r="F1726" s="8"/>
      <c r="G1726" s="8"/>
      <c r="H1726" s="8"/>
      <c r="I1726" s="8"/>
      <c r="J1726" s="8"/>
      <c r="K1726" s="8"/>
      <c r="L1726" s="8"/>
    </row>
    <row r="1727" spans="3:12" x14ac:dyDescent="0.25">
      <c r="C1727" s="7"/>
      <c r="E1727" s="8"/>
      <c r="F1727" s="8"/>
      <c r="G1727" s="8"/>
      <c r="H1727" s="8"/>
      <c r="I1727" s="8"/>
      <c r="J1727" s="8"/>
      <c r="K1727" s="8"/>
      <c r="L1727" s="8"/>
    </row>
    <row r="1728" spans="3:12" x14ac:dyDescent="0.25">
      <c r="C1728" s="7"/>
      <c r="E1728" s="8"/>
      <c r="F1728" s="8"/>
      <c r="G1728" s="8"/>
      <c r="H1728" s="8"/>
      <c r="I1728" s="8"/>
      <c r="J1728" s="8"/>
      <c r="K1728" s="8"/>
      <c r="L1728" s="8"/>
    </row>
    <row r="1729" spans="3:12" x14ac:dyDescent="0.25">
      <c r="C1729" s="7"/>
      <c r="E1729" s="8"/>
      <c r="F1729" s="8"/>
      <c r="G1729" s="8"/>
      <c r="H1729" s="8"/>
      <c r="I1729" s="8"/>
      <c r="J1729" s="8"/>
      <c r="K1729" s="8"/>
      <c r="L1729" s="8"/>
    </row>
    <row r="1730" spans="3:12" x14ac:dyDescent="0.25">
      <c r="C1730" s="7"/>
      <c r="E1730" s="8"/>
      <c r="F1730" s="8"/>
      <c r="G1730" s="8"/>
      <c r="H1730" s="8"/>
      <c r="I1730" s="8"/>
      <c r="J1730" s="8"/>
      <c r="K1730" s="8"/>
      <c r="L1730" s="8"/>
    </row>
    <row r="1731" spans="3:12" x14ac:dyDescent="0.25">
      <c r="C1731" s="7"/>
      <c r="E1731" s="8"/>
      <c r="F1731" s="8"/>
      <c r="G1731" s="8"/>
      <c r="H1731" s="8"/>
      <c r="I1731" s="8"/>
      <c r="J1731" s="8"/>
      <c r="K1731" s="8"/>
      <c r="L1731" s="8"/>
    </row>
    <row r="1732" spans="3:12" x14ac:dyDescent="0.25">
      <c r="C1732" s="7"/>
      <c r="E1732" s="8"/>
      <c r="F1732" s="8"/>
      <c r="G1732" s="8"/>
      <c r="H1732" s="8"/>
      <c r="I1732" s="8"/>
      <c r="J1732" s="8"/>
      <c r="K1732" s="8"/>
      <c r="L1732" s="8"/>
    </row>
    <row r="1733" spans="3:12" x14ac:dyDescent="0.25">
      <c r="C1733" s="7"/>
      <c r="E1733" s="8"/>
      <c r="F1733" s="8"/>
      <c r="G1733" s="8"/>
      <c r="H1733" s="8"/>
      <c r="I1733" s="8"/>
      <c r="J1733" s="8"/>
      <c r="K1733" s="8"/>
      <c r="L1733" s="8"/>
    </row>
    <row r="1734" spans="3:12" x14ac:dyDescent="0.25">
      <c r="C1734" s="7"/>
      <c r="E1734" s="8"/>
      <c r="F1734" s="8"/>
      <c r="G1734" s="8"/>
      <c r="H1734" s="8"/>
      <c r="I1734" s="8"/>
      <c r="J1734" s="8"/>
      <c r="K1734" s="8"/>
      <c r="L1734" s="8"/>
    </row>
    <row r="1735" spans="3:12" x14ac:dyDescent="0.25">
      <c r="C1735" s="7"/>
      <c r="E1735" s="8"/>
      <c r="F1735" s="8"/>
      <c r="G1735" s="8"/>
      <c r="H1735" s="8"/>
      <c r="I1735" s="8"/>
      <c r="J1735" s="8"/>
      <c r="K1735" s="8"/>
      <c r="L1735" s="8"/>
    </row>
    <row r="1736" spans="3:12" x14ac:dyDescent="0.25">
      <c r="C1736" s="7"/>
      <c r="E1736" s="8"/>
      <c r="F1736" s="8"/>
      <c r="G1736" s="8"/>
      <c r="H1736" s="8"/>
      <c r="I1736" s="8"/>
      <c r="J1736" s="8"/>
      <c r="K1736" s="8"/>
      <c r="L1736" s="8"/>
    </row>
    <row r="1737" spans="3:12" x14ac:dyDescent="0.25">
      <c r="C1737" s="7"/>
      <c r="E1737" s="8"/>
      <c r="F1737" s="8"/>
      <c r="G1737" s="8"/>
      <c r="H1737" s="8"/>
      <c r="I1737" s="8"/>
      <c r="J1737" s="8"/>
      <c r="K1737" s="8"/>
      <c r="L1737" s="8"/>
    </row>
    <row r="1738" spans="3:12" x14ac:dyDescent="0.25">
      <c r="C1738" s="7"/>
      <c r="E1738" s="8"/>
      <c r="F1738" s="8"/>
      <c r="G1738" s="8"/>
      <c r="H1738" s="8"/>
      <c r="I1738" s="8"/>
      <c r="J1738" s="8"/>
      <c r="K1738" s="8"/>
      <c r="L1738" s="8"/>
    </row>
    <row r="1739" spans="3:12" x14ac:dyDescent="0.25">
      <c r="C1739" s="7"/>
      <c r="E1739" s="8"/>
      <c r="F1739" s="8"/>
      <c r="G1739" s="8"/>
      <c r="H1739" s="8"/>
      <c r="I1739" s="8"/>
      <c r="J1739" s="8"/>
      <c r="K1739" s="8"/>
      <c r="L1739" s="8"/>
    </row>
    <row r="1740" spans="3:12" x14ac:dyDescent="0.25">
      <c r="C1740" s="7"/>
      <c r="E1740" s="8"/>
      <c r="F1740" s="8"/>
      <c r="G1740" s="8"/>
      <c r="H1740" s="8"/>
      <c r="I1740" s="8"/>
      <c r="J1740" s="8"/>
      <c r="K1740" s="8"/>
      <c r="L1740" s="8"/>
    </row>
    <row r="1741" spans="3:12" x14ac:dyDescent="0.25">
      <c r="C1741" s="7"/>
      <c r="E1741" s="8"/>
      <c r="F1741" s="8"/>
      <c r="G1741" s="8"/>
      <c r="H1741" s="8"/>
      <c r="I1741" s="8"/>
      <c r="J1741" s="8"/>
      <c r="K1741" s="8"/>
      <c r="L1741" s="8"/>
    </row>
    <row r="1742" spans="3:12" x14ac:dyDescent="0.25">
      <c r="C1742" s="7"/>
      <c r="E1742" s="8"/>
      <c r="F1742" s="8"/>
      <c r="G1742" s="8"/>
      <c r="H1742" s="8"/>
      <c r="I1742" s="8"/>
      <c r="J1742" s="8"/>
      <c r="K1742" s="8"/>
      <c r="L1742" s="8"/>
    </row>
    <row r="1743" spans="3:12" x14ac:dyDescent="0.25">
      <c r="C1743" s="7"/>
      <c r="E1743" s="8"/>
      <c r="F1743" s="8"/>
      <c r="G1743" s="8"/>
      <c r="H1743" s="8"/>
      <c r="I1743" s="8"/>
      <c r="J1743" s="8"/>
      <c r="K1743" s="8"/>
      <c r="L1743" s="8"/>
    </row>
    <row r="1744" spans="3:12" x14ac:dyDescent="0.25">
      <c r="C1744" s="7"/>
      <c r="E1744" s="8"/>
      <c r="F1744" s="8"/>
      <c r="G1744" s="8"/>
      <c r="H1744" s="8"/>
      <c r="I1744" s="8"/>
      <c r="J1744" s="8"/>
      <c r="K1744" s="8"/>
      <c r="L1744" s="8"/>
    </row>
    <row r="1745" spans="3:12" x14ac:dyDescent="0.25">
      <c r="C1745" s="7"/>
      <c r="E1745" s="8"/>
      <c r="F1745" s="8"/>
      <c r="G1745" s="8"/>
      <c r="H1745" s="8"/>
      <c r="I1745" s="8"/>
      <c r="J1745" s="8"/>
      <c r="K1745" s="8"/>
      <c r="L1745" s="8"/>
    </row>
    <row r="1746" spans="3:12" x14ac:dyDescent="0.25">
      <c r="C1746" s="7"/>
      <c r="E1746" s="8"/>
      <c r="F1746" s="8"/>
      <c r="G1746" s="8"/>
      <c r="H1746" s="8"/>
      <c r="I1746" s="8"/>
      <c r="J1746" s="8"/>
      <c r="K1746" s="8"/>
      <c r="L1746" s="8"/>
    </row>
    <row r="1747" spans="3:12" x14ac:dyDescent="0.25">
      <c r="C1747" s="7"/>
      <c r="E1747" s="8"/>
      <c r="F1747" s="8"/>
      <c r="G1747" s="8"/>
      <c r="H1747" s="8"/>
      <c r="I1747" s="8"/>
      <c r="J1747" s="8"/>
      <c r="K1747" s="8"/>
      <c r="L1747" s="8"/>
    </row>
    <row r="1748" spans="3:12" x14ac:dyDescent="0.25">
      <c r="C1748" s="7"/>
      <c r="E1748" s="8"/>
      <c r="F1748" s="8"/>
      <c r="G1748" s="8"/>
      <c r="H1748" s="8"/>
      <c r="I1748" s="8"/>
      <c r="J1748" s="8"/>
      <c r="K1748" s="8"/>
      <c r="L1748" s="8"/>
    </row>
    <row r="1749" spans="3:12" x14ac:dyDescent="0.25">
      <c r="C1749" s="7"/>
      <c r="E1749" s="8"/>
      <c r="F1749" s="8"/>
      <c r="G1749" s="8"/>
      <c r="H1749" s="8"/>
      <c r="I1749" s="8"/>
      <c r="J1749" s="8"/>
      <c r="K1749" s="8"/>
      <c r="L1749" s="8"/>
    </row>
    <row r="1750" spans="3:12" x14ac:dyDescent="0.25">
      <c r="C1750" s="7"/>
      <c r="E1750" s="8"/>
      <c r="F1750" s="8"/>
      <c r="G1750" s="8"/>
      <c r="H1750" s="8"/>
      <c r="I1750" s="8"/>
      <c r="J1750" s="8"/>
      <c r="K1750" s="8"/>
      <c r="L1750" s="8"/>
    </row>
    <row r="1751" spans="3:12" x14ac:dyDescent="0.25">
      <c r="C1751" s="7"/>
      <c r="E1751" s="8"/>
      <c r="F1751" s="8"/>
      <c r="G1751" s="8"/>
      <c r="H1751" s="8"/>
      <c r="I1751" s="8"/>
      <c r="J1751" s="8"/>
      <c r="K1751" s="8"/>
      <c r="L1751" s="8"/>
    </row>
    <row r="1752" spans="3:12" x14ac:dyDescent="0.25">
      <c r="C1752" s="7"/>
      <c r="E1752" s="8"/>
      <c r="F1752" s="8"/>
      <c r="G1752" s="8"/>
      <c r="H1752" s="8"/>
      <c r="I1752" s="8"/>
      <c r="J1752" s="8"/>
      <c r="K1752" s="8"/>
      <c r="L1752" s="8"/>
    </row>
    <row r="1753" spans="3:12" x14ac:dyDescent="0.25">
      <c r="C1753" s="7"/>
      <c r="E1753" s="8"/>
      <c r="F1753" s="8"/>
      <c r="G1753" s="8"/>
      <c r="H1753" s="8"/>
      <c r="I1753" s="8"/>
      <c r="J1753" s="8"/>
      <c r="K1753" s="8"/>
      <c r="L1753" s="8"/>
    </row>
    <row r="1754" spans="3:12" x14ac:dyDescent="0.25">
      <c r="C1754" s="7"/>
      <c r="E1754" s="8"/>
      <c r="F1754" s="8"/>
      <c r="G1754" s="8"/>
      <c r="H1754" s="8"/>
      <c r="I1754" s="8"/>
      <c r="J1754" s="8"/>
      <c r="K1754" s="8"/>
      <c r="L1754" s="8"/>
    </row>
    <row r="1755" spans="3:12" x14ac:dyDescent="0.25">
      <c r="C1755" s="7"/>
      <c r="E1755" s="8"/>
      <c r="F1755" s="8"/>
      <c r="G1755" s="8"/>
      <c r="H1755" s="8"/>
      <c r="I1755" s="8"/>
      <c r="J1755" s="8"/>
      <c r="K1755" s="8"/>
      <c r="L1755" s="8"/>
    </row>
    <row r="1756" spans="3:12" x14ac:dyDescent="0.25">
      <c r="C1756" s="7"/>
      <c r="E1756" s="8"/>
      <c r="F1756" s="8"/>
      <c r="G1756" s="8"/>
      <c r="H1756" s="8"/>
      <c r="I1756" s="8"/>
      <c r="J1756" s="8"/>
      <c r="K1756" s="8"/>
      <c r="L1756" s="8"/>
    </row>
    <row r="1757" spans="3:12" x14ac:dyDescent="0.25">
      <c r="C1757" s="7"/>
      <c r="E1757" s="8"/>
      <c r="F1757" s="8"/>
      <c r="G1757" s="8"/>
      <c r="H1757" s="8"/>
      <c r="I1757" s="8"/>
      <c r="J1757" s="8"/>
      <c r="K1757" s="8"/>
      <c r="L1757" s="8"/>
    </row>
    <row r="1758" spans="3:12" x14ac:dyDescent="0.25">
      <c r="C1758" s="7"/>
      <c r="E1758" s="8"/>
      <c r="F1758" s="8"/>
      <c r="G1758" s="8"/>
      <c r="H1758" s="8"/>
      <c r="I1758" s="8"/>
      <c r="J1758" s="8"/>
      <c r="K1758" s="8"/>
      <c r="L1758" s="8"/>
    </row>
    <row r="1759" spans="3:12" x14ac:dyDescent="0.25">
      <c r="C1759" s="7"/>
      <c r="E1759" s="8"/>
      <c r="F1759" s="8"/>
      <c r="G1759" s="8"/>
      <c r="H1759" s="8"/>
      <c r="I1759" s="8"/>
      <c r="J1759" s="8"/>
      <c r="K1759" s="8"/>
      <c r="L1759" s="8"/>
    </row>
    <row r="1760" spans="3:12" x14ac:dyDescent="0.25">
      <c r="C1760" s="7"/>
      <c r="E1760" s="8"/>
      <c r="F1760" s="8"/>
      <c r="G1760" s="8"/>
      <c r="H1760" s="8"/>
      <c r="I1760" s="8"/>
      <c r="J1760" s="8"/>
      <c r="K1760" s="8"/>
      <c r="L1760" s="8"/>
    </row>
    <row r="1761" spans="3:12" x14ac:dyDescent="0.25">
      <c r="C1761" s="7"/>
      <c r="E1761" s="8"/>
      <c r="F1761" s="8"/>
      <c r="G1761" s="8"/>
      <c r="H1761" s="8"/>
      <c r="I1761" s="8"/>
      <c r="J1761" s="8"/>
      <c r="K1761" s="8"/>
      <c r="L1761" s="8"/>
    </row>
    <row r="1762" spans="3:12" x14ac:dyDescent="0.25">
      <c r="C1762" s="7"/>
      <c r="E1762" s="8"/>
      <c r="F1762" s="8"/>
      <c r="G1762" s="8"/>
      <c r="H1762" s="8"/>
      <c r="I1762" s="8"/>
      <c r="J1762" s="8"/>
      <c r="K1762" s="8"/>
      <c r="L1762" s="8"/>
    </row>
    <row r="1763" spans="3:12" x14ac:dyDescent="0.25">
      <c r="C1763" s="7"/>
      <c r="E1763" s="8"/>
      <c r="F1763" s="8"/>
      <c r="G1763" s="8"/>
      <c r="H1763" s="8"/>
      <c r="I1763" s="8"/>
      <c r="J1763" s="8"/>
      <c r="K1763" s="8"/>
      <c r="L1763" s="8"/>
    </row>
    <row r="1764" spans="3:12" x14ac:dyDescent="0.25">
      <c r="C1764" s="7"/>
      <c r="E1764" s="8"/>
      <c r="F1764" s="8"/>
      <c r="G1764" s="8"/>
      <c r="H1764" s="8"/>
      <c r="I1764" s="8"/>
      <c r="J1764" s="8"/>
      <c r="K1764" s="8"/>
      <c r="L1764" s="8"/>
    </row>
    <row r="1765" spans="3:12" x14ac:dyDescent="0.25">
      <c r="C1765" s="7"/>
      <c r="E1765" s="8"/>
      <c r="F1765" s="8"/>
      <c r="G1765" s="8"/>
      <c r="H1765" s="8"/>
      <c r="I1765" s="8"/>
      <c r="J1765" s="8"/>
      <c r="K1765" s="8"/>
      <c r="L1765" s="8"/>
    </row>
    <row r="1766" spans="3:12" x14ac:dyDescent="0.25">
      <c r="C1766" s="7"/>
      <c r="E1766" s="8"/>
      <c r="F1766" s="8"/>
      <c r="G1766" s="8"/>
      <c r="H1766" s="8"/>
      <c r="I1766" s="8"/>
      <c r="J1766" s="8"/>
      <c r="K1766" s="8"/>
      <c r="L1766" s="8"/>
    </row>
    <row r="1767" spans="3:12" x14ac:dyDescent="0.25">
      <c r="C1767" s="7"/>
      <c r="E1767" s="8"/>
      <c r="F1767" s="8"/>
      <c r="G1767" s="8"/>
      <c r="H1767" s="8"/>
      <c r="I1767" s="8"/>
      <c r="J1767" s="8"/>
      <c r="K1767" s="8"/>
      <c r="L1767" s="8"/>
    </row>
    <row r="1768" spans="3:12" x14ac:dyDescent="0.25">
      <c r="C1768" s="7"/>
      <c r="E1768" s="8"/>
      <c r="F1768" s="8"/>
      <c r="G1768" s="8"/>
      <c r="H1768" s="8"/>
      <c r="I1768" s="8"/>
      <c r="J1768" s="8"/>
      <c r="K1768" s="8"/>
      <c r="L1768" s="8"/>
    </row>
    <row r="1769" spans="3:12" x14ac:dyDescent="0.25">
      <c r="C1769" s="7"/>
      <c r="E1769" s="8"/>
      <c r="F1769" s="8"/>
      <c r="G1769" s="8"/>
      <c r="H1769" s="8"/>
      <c r="I1769" s="8"/>
      <c r="J1769" s="8"/>
      <c r="K1769" s="8"/>
      <c r="L1769" s="8"/>
    </row>
    <row r="1770" spans="3:12" x14ac:dyDescent="0.25">
      <c r="C1770" s="7"/>
      <c r="E1770" s="8"/>
      <c r="F1770" s="8"/>
      <c r="G1770" s="8"/>
      <c r="H1770" s="8"/>
      <c r="I1770" s="8"/>
      <c r="J1770" s="8"/>
      <c r="K1770" s="8"/>
      <c r="L1770" s="8"/>
    </row>
    <row r="1771" spans="3:12" x14ac:dyDescent="0.25">
      <c r="C1771" s="7"/>
      <c r="E1771" s="8"/>
      <c r="F1771" s="8"/>
      <c r="G1771" s="8"/>
      <c r="H1771" s="8"/>
      <c r="I1771" s="8"/>
      <c r="J1771" s="8"/>
      <c r="K1771" s="8"/>
      <c r="L1771" s="8"/>
    </row>
    <row r="1772" spans="3:12" x14ac:dyDescent="0.25">
      <c r="C1772" s="7"/>
      <c r="E1772" s="8"/>
      <c r="F1772" s="8"/>
      <c r="G1772" s="8"/>
      <c r="H1772" s="8"/>
      <c r="I1772" s="8"/>
      <c r="J1772" s="8"/>
      <c r="K1772" s="8"/>
      <c r="L1772" s="8"/>
    </row>
    <row r="1773" spans="3:12" x14ac:dyDescent="0.25">
      <c r="C1773" s="7"/>
      <c r="E1773" s="8"/>
      <c r="F1773" s="8"/>
      <c r="G1773" s="8"/>
      <c r="H1773" s="8"/>
      <c r="I1773" s="8"/>
      <c r="J1773" s="8"/>
      <c r="K1773" s="8"/>
      <c r="L1773" s="8"/>
    </row>
    <row r="1774" spans="3:12" x14ac:dyDescent="0.25">
      <c r="C1774" s="7"/>
      <c r="E1774" s="8"/>
      <c r="F1774" s="8"/>
      <c r="G1774" s="8"/>
      <c r="H1774" s="8"/>
      <c r="I1774" s="8"/>
      <c r="J1774" s="8"/>
      <c r="K1774" s="8"/>
      <c r="L1774" s="8"/>
    </row>
    <row r="1775" spans="3:12" x14ac:dyDescent="0.25">
      <c r="C1775" s="7"/>
      <c r="E1775" s="8"/>
      <c r="F1775" s="8"/>
      <c r="G1775" s="8"/>
      <c r="H1775" s="8"/>
      <c r="I1775" s="8"/>
      <c r="J1775" s="8"/>
      <c r="K1775" s="8"/>
      <c r="L1775" s="8"/>
    </row>
    <row r="1776" spans="3:12" x14ac:dyDescent="0.25">
      <c r="C1776" s="7"/>
      <c r="E1776" s="8"/>
      <c r="F1776" s="8"/>
      <c r="G1776" s="8"/>
      <c r="H1776" s="8"/>
      <c r="I1776" s="8"/>
      <c r="J1776" s="8"/>
      <c r="K1776" s="8"/>
      <c r="L1776" s="8"/>
    </row>
    <row r="1777" spans="3:12" x14ac:dyDescent="0.25">
      <c r="C1777" s="7"/>
      <c r="E1777" s="8"/>
      <c r="F1777" s="8"/>
      <c r="G1777" s="8"/>
      <c r="H1777" s="8"/>
      <c r="I1777" s="8"/>
      <c r="J1777" s="8"/>
      <c r="K1777" s="8"/>
      <c r="L1777" s="8"/>
    </row>
    <row r="1778" spans="3:12" x14ac:dyDescent="0.25">
      <c r="C1778" s="7"/>
      <c r="E1778" s="8"/>
      <c r="F1778" s="8"/>
      <c r="G1778" s="8"/>
      <c r="H1778" s="8"/>
      <c r="I1778" s="8"/>
      <c r="J1778" s="8"/>
      <c r="K1778" s="8"/>
      <c r="L1778" s="8"/>
    </row>
    <row r="1779" spans="3:12" x14ac:dyDescent="0.25">
      <c r="C1779" s="7"/>
      <c r="E1779" s="8"/>
      <c r="F1779" s="8"/>
      <c r="G1779" s="8"/>
      <c r="H1779" s="8"/>
      <c r="I1779" s="8"/>
      <c r="J1779" s="8"/>
      <c r="K1779" s="8"/>
      <c r="L1779" s="8"/>
    </row>
    <row r="1780" spans="3:12" x14ac:dyDescent="0.25">
      <c r="C1780" s="7"/>
      <c r="E1780" s="8"/>
      <c r="F1780" s="8"/>
      <c r="G1780" s="8"/>
      <c r="H1780" s="8"/>
      <c r="I1780" s="8"/>
      <c r="J1780" s="8"/>
      <c r="K1780" s="8"/>
      <c r="L1780" s="8"/>
    </row>
    <row r="1781" spans="3:12" x14ac:dyDescent="0.25">
      <c r="C1781" s="7"/>
      <c r="E1781" s="8"/>
      <c r="F1781" s="8"/>
      <c r="G1781" s="8"/>
      <c r="H1781" s="8"/>
      <c r="I1781" s="8"/>
      <c r="J1781" s="8"/>
      <c r="K1781" s="8"/>
      <c r="L1781" s="8"/>
    </row>
    <row r="1782" spans="3:12" x14ac:dyDescent="0.25">
      <c r="C1782" s="7"/>
      <c r="E1782" s="8"/>
      <c r="F1782" s="8"/>
      <c r="G1782" s="8"/>
      <c r="H1782" s="8"/>
      <c r="I1782" s="8"/>
      <c r="J1782" s="8"/>
      <c r="K1782" s="8"/>
      <c r="L1782" s="8"/>
    </row>
    <row r="1783" spans="3:12" x14ac:dyDescent="0.25">
      <c r="C1783" s="7"/>
      <c r="E1783" s="8"/>
      <c r="F1783" s="8"/>
      <c r="G1783" s="8"/>
      <c r="H1783" s="8"/>
      <c r="I1783" s="8"/>
      <c r="J1783" s="8"/>
      <c r="K1783" s="8"/>
      <c r="L1783" s="8"/>
    </row>
    <row r="1784" spans="3:12" x14ac:dyDescent="0.25">
      <c r="C1784" s="7"/>
      <c r="E1784" s="8"/>
      <c r="F1784" s="8"/>
      <c r="G1784" s="8"/>
      <c r="H1784" s="8"/>
      <c r="I1784" s="8"/>
      <c r="J1784" s="8"/>
      <c r="K1784" s="8"/>
      <c r="L1784" s="8"/>
    </row>
    <row r="1785" spans="3:12" x14ac:dyDescent="0.25">
      <c r="C1785" s="7"/>
      <c r="E1785" s="8"/>
      <c r="F1785" s="8"/>
      <c r="G1785" s="8"/>
      <c r="H1785" s="8"/>
      <c r="I1785" s="8"/>
      <c r="J1785" s="8"/>
      <c r="K1785" s="8"/>
      <c r="L1785" s="8"/>
    </row>
    <row r="1786" spans="3:12" x14ac:dyDescent="0.25">
      <c r="C1786" s="7"/>
      <c r="E1786" s="8"/>
      <c r="F1786" s="8"/>
      <c r="G1786" s="8"/>
      <c r="H1786" s="8"/>
      <c r="I1786" s="8"/>
      <c r="J1786" s="8"/>
      <c r="K1786" s="8"/>
      <c r="L1786" s="8"/>
    </row>
    <row r="1787" spans="3:12" x14ac:dyDescent="0.25">
      <c r="C1787" s="7"/>
      <c r="E1787" s="8"/>
      <c r="F1787" s="8"/>
      <c r="G1787" s="8"/>
      <c r="H1787" s="8"/>
      <c r="I1787" s="8"/>
      <c r="J1787" s="8"/>
      <c r="K1787" s="8"/>
      <c r="L1787" s="8"/>
    </row>
    <row r="1788" spans="3:12" x14ac:dyDescent="0.25">
      <c r="C1788" s="7"/>
      <c r="E1788" s="8"/>
      <c r="F1788" s="8"/>
      <c r="G1788" s="8"/>
      <c r="H1788" s="8"/>
      <c r="I1788" s="8"/>
      <c r="J1788" s="8"/>
      <c r="K1788" s="8"/>
      <c r="L1788" s="8"/>
    </row>
    <row r="1789" spans="3:12" x14ac:dyDescent="0.25">
      <c r="C1789" s="7"/>
      <c r="E1789" s="8"/>
      <c r="F1789" s="8"/>
      <c r="G1789" s="8"/>
      <c r="H1789" s="8"/>
      <c r="I1789" s="8"/>
      <c r="J1789" s="8"/>
      <c r="K1789" s="8"/>
      <c r="L1789" s="8"/>
    </row>
    <row r="1790" spans="3:12" x14ac:dyDescent="0.25">
      <c r="C1790" s="7"/>
      <c r="E1790" s="8"/>
      <c r="F1790" s="8"/>
      <c r="G1790" s="8"/>
      <c r="H1790" s="8"/>
      <c r="I1790" s="8"/>
      <c r="J1790" s="8"/>
      <c r="K1790" s="8"/>
      <c r="L1790" s="8"/>
    </row>
    <row r="1791" spans="3:12" x14ac:dyDescent="0.25">
      <c r="C1791" s="7"/>
      <c r="E1791" s="8"/>
      <c r="F1791" s="8"/>
      <c r="G1791" s="8"/>
      <c r="H1791" s="8"/>
      <c r="I1791" s="8"/>
      <c r="J1791" s="8"/>
      <c r="K1791" s="8"/>
      <c r="L1791" s="8"/>
    </row>
    <row r="1792" spans="3:12" x14ac:dyDescent="0.25">
      <c r="C1792" s="7"/>
      <c r="E1792" s="8"/>
      <c r="F1792" s="8"/>
      <c r="G1792" s="8"/>
      <c r="H1792" s="8"/>
      <c r="I1792" s="8"/>
      <c r="J1792" s="8"/>
      <c r="K1792" s="8"/>
      <c r="L1792" s="8"/>
    </row>
    <row r="1793" spans="3:12" x14ac:dyDescent="0.25">
      <c r="C1793" s="7"/>
      <c r="E1793" s="8"/>
      <c r="F1793" s="8"/>
      <c r="G1793" s="8"/>
      <c r="H1793" s="8"/>
      <c r="I1793" s="8"/>
      <c r="J1793" s="8"/>
      <c r="K1793" s="8"/>
      <c r="L1793" s="8"/>
    </row>
    <row r="1794" spans="3:12" x14ac:dyDescent="0.25">
      <c r="C1794" s="7"/>
      <c r="E1794" s="8"/>
      <c r="F1794" s="8"/>
      <c r="G1794" s="8"/>
      <c r="H1794" s="8"/>
      <c r="I1794" s="8"/>
      <c r="J1794" s="8"/>
      <c r="K1794" s="8"/>
      <c r="L1794" s="8"/>
    </row>
    <row r="1795" spans="3:12" x14ac:dyDescent="0.25">
      <c r="C1795" s="7"/>
      <c r="E1795" s="8"/>
      <c r="F1795" s="8"/>
      <c r="G1795" s="8"/>
      <c r="H1795" s="8"/>
      <c r="I1795" s="8"/>
      <c r="J1795" s="8"/>
      <c r="K1795" s="8"/>
      <c r="L1795" s="8"/>
    </row>
    <row r="1796" spans="3:12" x14ac:dyDescent="0.25">
      <c r="C1796" s="7"/>
      <c r="E1796" s="8"/>
      <c r="F1796" s="8"/>
      <c r="G1796" s="8"/>
      <c r="H1796" s="8"/>
      <c r="I1796" s="8"/>
      <c r="J1796" s="8"/>
      <c r="K1796" s="8"/>
      <c r="L1796" s="8"/>
    </row>
    <row r="1797" spans="3:12" x14ac:dyDescent="0.25">
      <c r="C1797" s="7"/>
      <c r="E1797" s="8"/>
      <c r="F1797" s="8"/>
      <c r="G1797" s="8"/>
      <c r="H1797" s="8"/>
      <c r="I1797" s="8"/>
      <c r="J1797" s="8"/>
      <c r="K1797" s="8"/>
      <c r="L1797" s="8"/>
    </row>
    <row r="1798" spans="3:12" x14ac:dyDescent="0.25">
      <c r="C1798" s="7"/>
      <c r="E1798" s="8"/>
      <c r="F1798" s="8"/>
      <c r="G1798" s="8"/>
      <c r="H1798" s="8"/>
      <c r="I1798" s="8"/>
      <c r="J1798" s="8"/>
      <c r="K1798" s="8"/>
      <c r="L1798" s="8"/>
    </row>
    <row r="1799" spans="3:12" x14ac:dyDescent="0.25">
      <c r="C1799" s="7"/>
      <c r="E1799" s="8"/>
      <c r="F1799" s="8"/>
      <c r="G1799" s="8"/>
      <c r="H1799" s="8"/>
      <c r="I1799" s="8"/>
      <c r="J1799" s="8"/>
      <c r="K1799" s="8"/>
      <c r="L1799" s="8"/>
    </row>
    <row r="1800" spans="3:12" x14ac:dyDescent="0.25">
      <c r="C1800" s="7"/>
      <c r="E1800" s="8"/>
      <c r="F1800" s="8"/>
      <c r="G1800" s="8"/>
      <c r="H1800" s="8"/>
      <c r="I1800" s="8"/>
      <c r="J1800" s="8"/>
      <c r="K1800" s="8"/>
      <c r="L1800" s="8"/>
    </row>
    <row r="1801" spans="3:12" x14ac:dyDescent="0.25">
      <c r="C1801" s="7"/>
      <c r="E1801" s="8"/>
      <c r="F1801" s="8"/>
      <c r="G1801" s="8"/>
      <c r="H1801" s="8"/>
      <c r="I1801" s="8"/>
      <c r="J1801" s="8"/>
      <c r="K1801" s="8"/>
      <c r="L1801" s="8"/>
    </row>
    <row r="1802" spans="3:12" x14ac:dyDescent="0.25">
      <c r="C1802" s="7"/>
      <c r="E1802" s="8"/>
      <c r="F1802" s="8"/>
      <c r="G1802" s="8"/>
      <c r="H1802" s="8"/>
      <c r="I1802" s="8"/>
      <c r="J1802" s="8"/>
      <c r="K1802" s="8"/>
      <c r="L1802" s="8"/>
    </row>
    <row r="1803" spans="3:12" x14ac:dyDescent="0.25">
      <c r="C1803" s="7"/>
      <c r="E1803" s="8"/>
      <c r="F1803" s="8"/>
      <c r="G1803" s="8"/>
      <c r="H1803" s="8"/>
      <c r="I1803" s="8"/>
      <c r="J1803" s="8"/>
      <c r="K1803" s="8"/>
      <c r="L1803" s="8"/>
    </row>
    <row r="1804" spans="3:12" x14ac:dyDescent="0.25">
      <c r="C1804" s="7"/>
      <c r="E1804" s="8"/>
      <c r="F1804" s="8"/>
      <c r="G1804" s="8"/>
      <c r="H1804" s="8"/>
      <c r="I1804" s="8"/>
      <c r="J1804" s="8"/>
      <c r="K1804" s="8"/>
      <c r="L1804" s="8"/>
    </row>
    <row r="1805" spans="3:12" x14ac:dyDescent="0.25">
      <c r="C1805" s="7"/>
      <c r="E1805" s="8"/>
      <c r="F1805" s="8"/>
      <c r="G1805" s="8"/>
      <c r="H1805" s="8"/>
      <c r="I1805" s="8"/>
      <c r="J1805" s="8"/>
      <c r="K1805" s="8"/>
      <c r="L1805" s="8"/>
    </row>
    <row r="1806" spans="3:12" x14ac:dyDescent="0.25">
      <c r="C1806" s="7"/>
      <c r="E1806" s="8"/>
      <c r="F1806" s="8"/>
      <c r="G1806" s="8"/>
      <c r="H1806" s="8"/>
      <c r="I1806" s="8"/>
      <c r="J1806" s="8"/>
      <c r="K1806" s="8"/>
      <c r="L1806" s="8"/>
    </row>
    <row r="1807" spans="3:12" x14ac:dyDescent="0.25">
      <c r="C1807" s="7"/>
      <c r="E1807" s="8"/>
      <c r="F1807" s="8"/>
      <c r="G1807" s="8"/>
      <c r="H1807" s="8"/>
      <c r="I1807" s="8"/>
      <c r="J1807" s="8"/>
      <c r="K1807" s="8"/>
      <c r="L1807" s="8"/>
    </row>
    <row r="1808" spans="3:12" x14ac:dyDescent="0.25">
      <c r="C1808" s="7"/>
      <c r="E1808" s="8"/>
      <c r="F1808" s="8"/>
      <c r="G1808" s="8"/>
      <c r="H1808" s="8"/>
      <c r="I1808" s="8"/>
      <c r="J1808" s="8"/>
      <c r="K1808" s="8"/>
      <c r="L1808" s="8"/>
    </row>
    <row r="1809" spans="3:12" x14ac:dyDescent="0.25">
      <c r="C1809" s="7"/>
      <c r="E1809" s="8"/>
      <c r="F1809" s="8"/>
      <c r="G1809" s="8"/>
      <c r="H1809" s="8"/>
      <c r="I1809" s="8"/>
      <c r="J1809" s="8"/>
      <c r="K1809" s="8"/>
      <c r="L1809" s="8"/>
    </row>
    <row r="1810" spans="3:12" x14ac:dyDescent="0.25">
      <c r="C1810" s="7"/>
      <c r="E1810" s="8"/>
      <c r="F1810" s="8"/>
      <c r="G1810" s="8"/>
      <c r="H1810" s="8"/>
      <c r="I1810" s="8"/>
      <c r="J1810" s="8"/>
      <c r="K1810" s="8"/>
      <c r="L1810" s="8"/>
    </row>
    <row r="1811" spans="3:12" x14ac:dyDescent="0.25">
      <c r="C1811" s="7"/>
      <c r="E1811" s="8"/>
      <c r="F1811" s="8"/>
      <c r="G1811" s="8"/>
      <c r="H1811" s="8"/>
      <c r="I1811" s="8"/>
      <c r="J1811" s="8"/>
      <c r="K1811" s="8"/>
      <c r="L1811" s="8"/>
    </row>
    <row r="1812" spans="3:12" x14ac:dyDescent="0.25">
      <c r="C1812" s="7"/>
      <c r="E1812" s="8"/>
      <c r="F1812" s="8"/>
      <c r="G1812" s="8"/>
      <c r="H1812" s="8"/>
      <c r="I1812" s="8"/>
      <c r="J1812" s="8"/>
      <c r="K1812" s="8"/>
      <c r="L1812" s="8"/>
    </row>
    <row r="1813" spans="3:12" x14ac:dyDescent="0.25">
      <c r="C1813" s="7"/>
      <c r="E1813" s="8"/>
      <c r="F1813" s="8"/>
      <c r="G1813" s="8"/>
      <c r="H1813" s="8"/>
      <c r="I1813" s="8"/>
      <c r="J1813" s="8"/>
      <c r="K1813" s="8"/>
      <c r="L1813" s="8"/>
    </row>
    <row r="1814" spans="3:12" x14ac:dyDescent="0.25">
      <c r="C1814" s="7"/>
      <c r="E1814" s="8"/>
      <c r="F1814" s="8"/>
      <c r="G1814" s="8"/>
      <c r="H1814" s="8"/>
      <c r="I1814" s="8"/>
      <c r="J1814" s="8"/>
      <c r="K1814" s="8"/>
      <c r="L1814" s="8"/>
    </row>
    <row r="1815" spans="3:12" x14ac:dyDescent="0.25">
      <c r="C1815" s="7"/>
      <c r="E1815" s="8"/>
      <c r="F1815" s="8"/>
      <c r="G1815" s="8"/>
      <c r="H1815" s="8"/>
      <c r="I1815" s="8"/>
      <c r="J1815" s="8"/>
      <c r="K1815" s="8"/>
      <c r="L1815" s="8"/>
    </row>
    <row r="1816" spans="3:12" x14ac:dyDescent="0.25">
      <c r="C1816" s="7"/>
      <c r="E1816" s="8"/>
      <c r="F1816" s="8"/>
      <c r="G1816" s="8"/>
      <c r="H1816" s="8"/>
      <c r="I1816" s="8"/>
      <c r="J1816" s="8"/>
      <c r="K1816" s="8"/>
      <c r="L1816" s="8"/>
    </row>
    <row r="1817" spans="3:12" x14ac:dyDescent="0.25">
      <c r="C1817" s="7"/>
      <c r="E1817" s="8"/>
      <c r="F1817" s="8"/>
      <c r="G1817" s="8"/>
      <c r="H1817" s="8"/>
      <c r="I1817" s="8"/>
      <c r="J1817" s="8"/>
      <c r="K1817" s="8"/>
      <c r="L1817" s="8"/>
    </row>
    <row r="1818" spans="3:12" x14ac:dyDescent="0.25">
      <c r="C1818" s="7"/>
      <c r="E1818" s="8"/>
      <c r="F1818" s="8"/>
      <c r="G1818" s="8"/>
      <c r="H1818" s="8"/>
      <c r="I1818" s="8"/>
      <c r="J1818" s="8"/>
      <c r="K1818" s="8"/>
      <c r="L1818" s="8"/>
    </row>
    <row r="1819" spans="3:12" x14ac:dyDescent="0.25">
      <c r="C1819" s="7"/>
      <c r="E1819" s="8"/>
      <c r="F1819" s="8"/>
      <c r="G1819" s="8"/>
      <c r="H1819" s="8"/>
      <c r="I1819" s="8"/>
      <c r="J1819" s="8"/>
      <c r="K1819" s="8"/>
      <c r="L1819" s="8"/>
    </row>
    <row r="1820" spans="3:12" x14ac:dyDescent="0.25">
      <c r="C1820" s="7"/>
      <c r="E1820" s="8"/>
      <c r="F1820" s="8"/>
      <c r="G1820" s="8"/>
      <c r="H1820" s="8"/>
      <c r="I1820" s="8"/>
      <c r="J1820" s="8"/>
      <c r="K1820" s="8"/>
      <c r="L1820" s="8"/>
    </row>
    <row r="1821" spans="3:12" x14ac:dyDescent="0.25">
      <c r="C1821" s="7"/>
      <c r="E1821" s="8"/>
      <c r="F1821" s="8"/>
      <c r="G1821" s="8"/>
      <c r="H1821" s="8"/>
      <c r="I1821" s="8"/>
      <c r="J1821" s="8"/>
      <c r="K1821" s="8"/>
      <c r="L1821" s="8"/>
    </row>
    <row r="1822" spans="3:12" x14ac:dyDescent="0.25">
      <c r="C1822" s="7"/>
      <c r="E1822" s="8"/>
      <c r="F1822" s="8"/>
      <c r="G1822" s="8"/>
      <c r="H1822" s="8"/>
      <c r="I1822" s="8"/>
      <c r="J1822" s="8"/>
      <c r="K1822" s="8"/>
      <c r="L1822" s="8"/>
    </row>
    <row r="1823" spans="3:12" x14ac:dyDescent="0.25">
      <c r="C1823" s="7"/>
      <c r="E1823" s="8"/>
      <c r="F1823" s="8"/>
      <c r="G1823" s="8"/>
      <c r="H1823" s="8"/>
      <c r="I1823" s="8"/>
      <c r="J1823" s="8"/>
      <c r="K1823" s="8"/>
      <c r="L1823" s="8"/>
    </row>
    <row r="1824" spans="3:12" x14ac:dyDescent="0.25">
      <c r="C1824" s="7"/>
      <c r="E1824" s="8"/>
      <c r="F1824" s="8"/>
      <c r="G1824" s="8"/>
      <c r="H1824" s="8"/>
      <c r="I1824" s="8"/>
      <c r="J1824" s="8"/>
      <c r="K1824" s="8"/>
      <c r="L1824" s="8"/>
    </row>
    <row r="1825" spans="3:12" x14ac:dyDescent="0.25">
      <c r="C1825" s="7"/>
      <c r="E1825" s="8"/>
      <c r="F1825" s="8"/>
      <c r="G1825" s="8"/>
      <c r="H1825" s="8"/>
      <c r="I1825" s="8"/>
      <c r="J1825" s="8"/>
      <c r="K1825" s="8"/>
      <c r="L1825" s="8"/>
    </row>
    <row r="1826" spans="3:12" x14ac:dyDescent="0.25">
      <c r="C1826" s="7"/>
      <c r="E1826" s="8"/>
      <c r="F1826" s="8"/>
      <c r="G1826" s="8"/>
      <c r="H1826" s="8"/>
      <c r="I1826" s="8"/>
      <c r="J1826" s="8"/>
      <c r="K1826" s="8"/>
      <c r="L1826" s="8"/>
    </row>
    <row r="1827" spans="3:12" x14ac:dyDescent="0.25">
      <c r="C1827" s="7"/>
      <c r="E1827" s="8"/>
      <c r="F1827" s="8"/>
      <c r="G1827" s="8"/>
      <c r="H1827" s="8"/>
      <c r="I1827" s="8"/>
      <c r="J1827" s="8"/>
      <c r="K1827" s="8"/>
      <c r="L1827" s="8"/>
    </row>
    <row r="1828" spans="3:12" x14ac:dyDescent="0.25">
      <c r="C1828" s="7"/>
      <c r="E1828" s="8"/>
      <c r="F1828" s="8"/>
      <c r="G1828" s="8"/>
      <c r="H1828" s="8"/>
      <c r="I1828" s="8"/>
      <c r="J1828" s="8"/>
      <c r="K1828" s="8"/>
      <c r="L1828" s="8"/>
    </row>
    <row r="1829" spans="3:12" x14ac:dyDescent="0.25">
      <c r="C1829" s="7"/>
      <c r="E1829" s="8"/>
      <c r="F1829" s="8"/>
      <c r="G1829" s="8"/>
      <c r="H1829" s="8"/>
      <c r="I1829" s="8"/>
      <c r="J1829" s="8"/>
      <c r="K1829" s="8"/>
      <c r="L1829" s="8"/>
    </row>
    <row r="1830" spans="3:12" x14ac:dyDescent="0.25">
      <c r="C1830" s="7"/>
      <c r="E1830" s="8"/>
      <c r="F1830" s="8"/>
      <c r="G1830" s="8"/>
      <c r="H1830" s="8"/>
      <c r="I1830" s="8"/>
      <c r="J1830" s="8"/>
      <c r="K1830" s="8"/>
      <c r="L1830" s="8"/>
    </row>
    <row r="1831" spans="3:12" x14ac:dyDescent="0.25">
      <c r="C1831" s="7"/>
      <c r="E1831" s="8"/>
      <c r="F1831" s="8"/>
      <c r="G1831" s="8"/>
      <c r="H1831" s="8"/>
      <c r="I1831" s="8"/>
      <c r="J1831" s="8"/>
      <c r="K1831" s="8"/>
      <c r="L1831" s="8"/>
    </row>
    <row r="1832" spans="3:12" x14ac:dyDescent="0.25">
      <c r="C1832" s="7"/>
      <c r="E1832" s="8"/>
      <c r="F1832" s="8"/>
      <c r="G1832" s="8"/>
      <c r="H1832" s="8"/>
      <c r="I1832" s="8"/>
      <c r="J1832" s="8"/>
      <c r="K1832" s="8"/>
      <c r="L1832" s="8"/>
    </row>
    <row r="1833" spans="3:12" x14ac:dyDescent="0.25">
      <c r="C1833" s="7"/>
      <c r="E1833" s="8"/>
      <c r="F1833" s="8"/>
      <c r="G1833" s="8"/>
      <c r="H1833" s="8"/>
      <c r="I1833" s="8"/>
      <c r="J1833" s="8"/>
      <c r="K1833" s="8"/>
      <c r="L1833" s="8"/>
    </row>
    <row r="1834" spans="3:12" x14ac:dyDescent="0.25">
      <c r="C1834" s="7"/>
      <c r="E1834" s="8"/>
      <c r="F1834" s="8"/>
      <c r="G1834" s="8"/>
      <c r="H1834" s="8"/>
      <c r="I1834" s="8"/>
      <c r="J1834" s="8"/>
      <c r="K1834" s="8"/>
      <c r="L1834" s="8"/>
    </row>
    <row r="1835" spans="3:12" x14ac:dyDescent="0.25">
      <c r="C1835" s="7"/>
      <c r="E1835" s="8"/>
      <c r="F1835" s="8"/>
      <c r="G1835" s="8"/>
      <c r="H1835" s="8"/>
      <c r="I1835" s="8"/>
      <c r="J1835" s="8"/>
      <c r="K1835" s="8"/>
      <c r="L1835" s="8"/>
    </row>
    <row r="1836" spans="3:12" x14ac:dyDescent="0.25">
      <c r="C1836" s="7"/>
      <c r="E1836" s="8"/>
      <c r="F1836" s="8"/>
      <c r="G1836" s="8"/>
      <c r="H1836" s="8"/>
      <c r="I1836" s="8"/>
      <c r="J1836" s="8"/>
      <c r="K1836" s="8"/>
      <c r="L1836" s="8"/>
    </row>
    <row r="1837" spans="3:12" x14ac:dyDescent="0.25">
      <c r="C1837" s="7"/>
      <c r="E1837" s="8"/>
      <c r="F1837" s="8"/>
      <c r="G1837" s="8"/>
      <c r="H1837" s="8"/>
      <c r="I1837" s="8"/>
      <c r="J1837" s="8"/>
      <c r="K1837" s="8"/>
      <c r="L1837" s="8"/>
    </row>
    <row r="1838" spans="3:12" x14ac:dyDescent="0.25">
      <c r="C1838" s="7"/>
      <c r="E1838" s="8"/>
      <c r="F1838" s="8"/>
      <c r="G1838" s="8"/>
      <c r="H1838" s="8"/>
      <c r="I1838" s="8"/>
      <c r="J1838" s="8"/>
      <c r="K1838" s="8"/>
      <c r="L1838" s="8"/>
    </row>
    <row r="1839" spans="3:12" x14ac:dyDescent="0.25">
      <c r="C1839" s="7"/>
      <c r="E1839" s="8"/>
      <c r="F1839" s="8"/>
      <c r="G1839" s="8"/>
      <c r="H1839" s="8"/>
      <c r="I1839" s="8"/>
      <c r="J1839" s="8"/>
      <c r="K1839" s="8"/>
      <c r="L1839" s="8"/>
    </row>
    <row r="1840" spans="3:12" x14ac:dyDescent="0.25">
      <c r="C1840" s="7"/>
      <c r="E1840" s="8"/>
      <c r="F1840" s="8"/>
      <c r="G1840" s="8"/>
      <c r="H1840" s="8"/>
      <c r="I1840" s="8"/>
      <c r="J1840" s="8"/>
      <c r="K1840" s="8"/>
      <c r="L1840" s="8"/>
    </row>
    <row r="1841" spans="3:12" x14ac:dyDescent="0.25">
      <c r="C1841" s="7"/>
      <c r="E1841" s="8"/>
      <c r="F1841" s="8"/>
      <c r="G1841" s="8"/>
      <c r="H1841" s="8"/>
      <c r="I1841" s="8"/>
      <c r="J1841" s="8"/>
      <c r="K1841" s="8"/>
      <c r="L1841" s="8"/>
    </row>
    <row r="1842" spans="3:12" x14ac:dyDescent="0.25">
      <c r="C1842" s="7"/>
      <c r="E1842" s="8"/>
      <c r="F1842" s="8"/>
      <c r="G1842" s="8"/>
      <c r="H1842" s="8"/>
      <c r="I1842" s="8"/>
      <c r="J1842" s="8"/>
      <c r="K1842" s="8"/>
      <c r="L1842" s="8"/>
    </row>
    <row r="1843" spans="3:12" x14ac:dyDescent="0.25">
      <c r="C1843" s="7"/>
      <c r="E1843" s="8"/>
      <c r="F1843" s="8"/>
      <c r="G1843" s="8"/>
      <c r="H1843" s="8"/>
      <c r="I1843" s="8"/>
      <c r="J1843" s="8"/>
      <c r="K1843" s="8"/>
      <c r="L1843" s="8"/>
    </row>
    <row r="1844" spans="3:12" x14ac:dyDescent="0.25">
      <c r="C1844" s="7"/>
      <c r="E1844" s="8"/>
      <c r="F1844" s="8"/>
      <c r="G1844" s="8"/>
      <c r="H1844" s="8"/>
      <c r="I1844" s="8"/>
      <c r="J1844" s="8"/>
      <c r="K1844" s="8"/>
      <c r="L1844" s="8"/>
    </row>
    <row r="1845" spans="3:12" x14ac:dyDescent="0.25">
      <c r="C1845" s="7"/>
      <c r="E1845" s="8"/>
      <c r="F1845" s="8"/>
      <c r="G1845" s="8"/>
      <c r="H1845" s="8"/>
      <c r="I1845" s="8"/>
      <c r="J1845" s="8"/>
      <c r="K1845" s="8"/>
      <c r="L1845" s="8"/>
    </row>
    <row r="1846" spans="3:12" x14ac:dyDescent="0.25">
      <c r="C1846" s="7"/>
      <c r="E1846" s="8"/>
      <c r="F1846" s="8"/>
      <c r="G1846" s="8"/>
      <c r="H1846" s="8"/>
      <c r="I1846" s="8"/>
      <c r="J1846" s="8"/>
      <c r="K1846" s="8"/>
      <c r="L1846" s="8"/>
    </row>
    <row r="1847" spans="3:12" x14ac:dyDescent="0.25">
      <c r="C1847" s="7"/>
      <c r="E1847" s="8"/>
      <c r="F1847" s="8"/>
      <c r="G1847" s="8"/>
      <c r="H1847" s="8"/>
      <c r="I1847" s="8"/>
      <c r="J1847" s="8"/>
      <c r="K1847" s="8"/>
      <c r="L1847" s="8"/>
    </row>
    <row r="1848" spans="3:12" x14ac:dyDescent="0.25">
      <c r="C1848" s="7"/>
      <c r="E1848" s="8"/>
      <c r="F1848" s="8"/>
      <c r="G1848" s="8"/>
      <c r="H1848" s="8"/>
      <c r="I1848" s="8"/>
      <c r="J1848" s="8"/>
      <c r="K1848" s="8"/>
      <c r="L1848" s="8"/>
    </row>
    <row r="1849" spans="3:12" x14ac:dyDescent="0.25">
      <c r="C1849" s="7"/>
      <c r="E1849" s="8"/>
      <c r="F1849" s="8"/>
      <c r="G1849" s="8"/>
      <c r="H1849" s="8"/>
      <c r="I1849" s="8"/>
      <c r="J1849" s="8"/>
      <c r="K1849" s="8"/>
      <c r="L1849" s="8"/>
    </row>
    <row r="1850" spans="3:12" x14ac:dyDescent="0.25">
      <c r="C1850" s="7"/>
      <c r="E1850" s="8"/>
      <c r="F1850" s="8"/>
      <c r="G1850" s="8"/>
      <c r="H1850" s="8"/>
      <c r="I1850" s="8"/>
      <c r="J1850" s="8"/>
      <c r="K1850" s="8"/>
      <c r="L1850" s="8"/>
    </row>
    <row r="1851" spans="3:12" x14ac:dyDescent="0.25">
      <c r="C1851" s="7"/>
      <c r="E1851" s="8"/>
      <c r="F1851" s="8"/>
      <c r="G1851" s="8"/>
      <c r="H1851" s="8"/>
      <c r="I1851" s="8"/>
      <c r="J1851" s="8"/>
      <c r="K1851" s="8"/>
      <c r="L1851" s="8"/>
    </row>
    <row r="1852" spans="3:12" x14ac:dyDescent="0.25">
      <c r="C1852" s="7"/>
      <c r="E1852" s="8"/>
      <c r="F1852" s="8"/>
      <c r="G1852" s="8"/>
      <c r="H1852" s="8"/>
      <c r="I1852" s="8"/>
      <c r="J1852" s="8"/>
      <c r="K1852" s="8"/>
      <c r="L1852" s="8"/>
    </row>
    <row r="1853" spans="3:12" x14ac:dyDescent="0.25">
      <c r="C1853" s="7"/>
      <c r="E1853" s="8"/>
      <c r="F1853" s="8"/>
      <c r="G1853" s="8"/>
      <c r="H1853" s="8"/>
      <c r="I1853" s="8"/>
      <c r="J1853" s="8"/>
      <c r="K1853" s="8"/>
      <c r="L1853" s="8"/>
    </row>
    <row r="1854" spans="3:12" x14ac:dyDescent="0.25">
      <c r="C1854" s="7"/>
      <c r="E1854" s="8"/>
      <c r="F1854" s="8"/>
      <c r="G1854" s="8"/>
      <c r="H1854" s="8"/>
      <c r="I1854" s="8"/>
      <c r="J1854" s="8"/>
      <c r="K1854" s="8"/>
      <c r="L1854" s="8"/>
    </row>
    <row r="1855" spans="3:12" x14ac:dyDescent="0.25">
      <c r="C1855" s="7"/>
      <c r="E1855" s="8"/>
      <c r="F1855" s="8"/>
      <c r="G1855" s="8"/>
      <c r="H1855" s="8"/>
      <c r="I1855" s="8"/>
      <c r="J1855" s="8"/>
      <c r="K1855" s="8"/>
      <c r="L1855" s="8"/>
    </row>
    <row r="1856" spans="3:12" x14ac:dyDescent="0.25">
      <c r="C1856" s="7"/>
      <c r="E1856" s="8"/>
      <c r="F1856" s="8"/>
      <c r="G1856" s="8"/>
      <c r="H1856" s="8"/>
      <c r="I1856" s="8"/>
      <c r="J1856" s="8"/>
      <c r="K1856" s="8"/>
      <c r="L1856" s="8"/>
    </row>
    <row r="1857" spans="3:12" x14ac:dyDescent="0.25">
      <c r="C1857" s="7"/>
      <c r="E1857" s="8"/>
      <c r="F1857" s="8"/>
      <c r="G1857" s="8"/>
      <c r="H1857" s="8"/>
      <c r="I1857" s="8"/>
      <c r="J1857" s="8"/>
      <c r="K1857" s="8"/>
      <c r="L1857" s="8"/>
    </row>
    <row r="1858" spans="3:12" x14ac:dyDescent="0.25">
      <c r="C1858" s="7"/>
      <c r="E1858" s="8"/>
      <c r="F1858" s="8"/>
      <c r="G1858" s="8"/>
      <c r="H1858" s="8"/>
      <c r="I1858" s="8"/>
      <c r="J1858" s="8"/>
      <c r="K1858" s="8"/>
      <c r="L1858" s="8"/>
    </row>
    <row r="1859" spans="3:12" x14ac:dyDescent="0.25">
      <c r="C1859" s="7"/>
      <c r="E1859" s="8"/>
      <c r="F1859" s="8"/>
      <c r="G1859" s="8"/>
      <c r="H1859" s="8"/>
      <c r="I1859" s="8"/>
      <c r="J1859" s="8"/>
      <c r="K1859" s="8"/>
      <c r="L1859" s="8"/>
    </row>
    <row r="1860" spans="3:12" x14ac:dyDescent="0.25">
      <c r="C1860" s="7"/>
      <c r="E1860" s="8"/>
      <c r="F1860" s="8"/>
      <c r="G1860" s="8"/>
      <c r="H1860" s="8"/>
      <c r="I1860" s="8"/>
      <c r="J1860" s="8"/>
      <c r="K1860" s="8"/>
      <c r="L1860" s="8"/>
    </row>
    <row r="1861" spans="3:12" x14ac:dyDescent="0.25">
      <c r="C1861" s="7"/>
      <c r="E1861" s="8"/>
      <c r="F1861" s="8"/>
      <c r="G1861" s="8"/>
      <c r="H1861" s="8"/>
      <c r="I1861" s="8"/>
      <c r="J1861" s="8"/>
      <c r="K1861" s="8"/>
      <c r="L1861" s="8"/>
    </row>
    <row r="1862" spans="3:12" x14ac:dyDescent="0.25">
      <c r="C1862" s="7"/>
      <c r="E1862" s="8"/>
      <c r="F1862" s="8"/>
      <c r="G1862" s="8"/>
      <c r="H1862" s="8"/>
      <c r="I1862" s="8"/>
      <c r="J1862" s="8"/>
      <c r="K1862" s="8"/>
      <c r="L1862" s="8"/>
    </row>
    <row r="1863" spans="3:12" x14ac:dyDescent="0.25">
      <c r="C1863" s="7"/>
      <c r="E1863" s="8"/>
      <c r="F1863" s="8"/>
      <c r="G1863" s="8"/>
      <c r="H1863" s="8"/>
      <c r="I1863" s="8"/>
      <c r="J1863" s="8"/>
      <c r="K1863" s="8"/>
      <c r="L1863" s="8"/>
    </row>
    <row r="1864" spans="3:12" x14ac:dyDescent="0.25">
      <c r="C1864" s="7"/>
      <c r="E1864" s="8"/>
      <c r="F1864" s="8"/>
      <c r="G1864" s="8"/>
      <c r="H1864" s="8"/>
      <c r="I1864" s="8"/>
      <c r="J1864" s="8"/>
      <c r="K1864" s="8"/>
      <c r="L1864" s="8"/>
    </row>
    <row r="1865" spans="3:12" x14ac:dyDescent="0.25">
      <c r="C1865" s="7"/>
      <c r="E1865" s="8"/>
      <c r="F1865" s="8"/>
      <c r="G1865" s="8"/>
      <c r="H1865" s="8"/>
      <c r="I1865" s="8"/>
      <c r="J1865" s="8"/>
      <c r="K1865" s="8"/>
      <c r="L1865" s="8"/>
    </row>
    <row r="1866" spans="3:12" x14ac:dyDescent="0.25">
      <c r="C1866" s="7"/>
      <c r="E1866" s="8"/>
      <c r="F1866" s="8"/>
      <c r="G1866" s="8"/>
      <c r="H1866" s="8"/>
      <c r="I1866" s="8"/>
      <c r="J1866" s="8"/>
      <c r="K1866" s="8"/>
      <c r="L1866" s="8"/>
    </row>
    <row r="1867" spans="3:12" x14ac:dyDescent="0.25">
      <c r="C1867" s="7"/>
      <c r="E1867" s="8"/>
      <c r="F1867" s="8"/>
      <c r="G1867" s="8"/>
      <c r="H1867" s="8"/>
      <c r="I1867" s="8"/>
      <c r="J1867" s="8"/>
      <c r="K1867" s="8"/>
      <c r="L1867" s="8"/>
    </row>
    <row r="1868" spans="3:12" x14ac:dyDescent="0.25">
      <c r="C1868" s="7"/>
      <c r="E1868" s="8"/>
      <c r="F1868" s="8"/>
      <c r="G1868" s="8"/>
      <c r="H1868" s="8"/>
      <c r="I1868" s="8"/>
      <c r="J1868" s="8"/>
      <c r="K1868" s="8"/>
      <c r="L1868" s="8"/>
    </row>
    <row r="1869" spans="3:12" x14ac:dyDescent="0.25">
      <c r="C1869" s="7"/>
      <c r="E1869" s="8"/>
      <c r="F1869" s="8"/>
      <c r="G1869" s="8"/>
      <c r="H1869" s="8"/>
      <c r="I1869" s="8"/>
      <c r="J1869" s="8"/>
      <c r="K1869" s="8"/>
      <c r="L1869" s="8"/>
    </row>
    <row r="1870" spans="3:12" x14ac:dyDescent="0.25">
      <c r="C1870" s="7"/>
      <c r="E1870" s="8"/>
      <c r="F1870" s="8"/>
      <c r="G1870" s="8"/>
      <c r="H1870" s="8"/>
      <c r="I1870" s="8"/>
      <c r="J1870" s="8"/>
      <c r="K1870" s="8"/>
      <c r="L1870" s="8"/>
    </row>
    <row r="1871" spans="3:12" x14ac:dyDescent="0.25">
      <c r="C1871" s="7"/>
      <c r="E1871" s="8"/>
      <c r="F1871" s="8"/>
      <c r="G1871" s="8"/>
      <c r="H1871" s="8"/>
      <c r="I1871" s="8"/>
      <c r="J1871" s="8"/>
      <c r="K1871" s="8"/>
      <c r="L1871" s="8"/>
    </row>
    <row r="1872" spans="3:12" x14ac:dyDescent="0.25">
      <c r="C1872" s="7"/>
      <c r="E1872" s="8"/>
      <c r="F1872" s="8"/>
      <c r="G1872" s="8"/>
      <c r="H1872" s="8"/>
      <c r="I1872" s="8"/>
      <c r="J1872" s="8"/>
      <c r="K1872" s="8"/>
      <c r="L1872" s="8"/>
    </row>
    <row r="1873" spans="3:12" x14ac:dyDescent="0.25">
      <c r="C1873" s="7"/>
      <c r="E1873" s="8"/>
      <c r="F1873" s="8"/>
      <c r="G1873" s="8"/>
      <c r="H1873" s="8"/>
      <c r="I1873" s="8"/>
      <c r="J1873" s="8"/>
      <c r="K1873" s="8"/>
      <c r="L1873" s="8"/>
    </row>
    <row r="1874" spans="3:12" x14ac:dyDescent="0.25">
      <c r="C1874" s="7"/>
      <c r="E1874" s="8"/>
      <c r="F1874" s="8"/>
      <c r="G1874" s="8"/>
      <c r="H1874" s="8"/>
      <c r="I1874" s="8"/>
      <c r="J1874" s="8"/>
      <c r="K1874" s="8"/>
      <c r="L1874" s="8"/>
    </row>
    <row r="1875" spans="3:12" x14ac:dyDescent="0.25">
      <c r="C1875" s="7"/>
      <c r="E1875" s="8"/>
      <c r="F1875" s="8"/>
      <c r="G1875" s="8"/>
      <c r="H1875" s="8"/>
      <c r="I1875" s="8"/>
      <c r="J1875" s="8"/>
      <c r="K1875" s="8"/>
      <c r="L1875" s="8"/>
    </row>
    <row r="1876" spans="3:12" x14ac:dyDescent="0.25">
      <c r="C1876" s="7"/>
      <c r="E1876" s="8"/>
      <c r="F1876" s="8"/>
      <c r="G1876" s="8"/>
      <c r="H1876" s="8"/>
      <c r="I1876" s="8"/>
      <c r="J1876" s="8"/>
      <c r="K1876" s="8"/>
      <c r="L1876" s="8"/>
    </row>
    <row r="1877" spans="3:12" x14ac:dyDescent="0.25">
      <c r="C1877" s="7"/>
      <c r="E1877" s="8"/>
      <c r="F1877" s="8"/>
      <c r="G1877" s="8"/>
      <c r="H1877" s="8"/>
      <c r="I1877" s="8"/>
      <c r="J1877" s="8"/>
      <c r="K1877" s="8"/>
      <c r="L1877" s="8"/>
    </row>
    <row r="1878" spans="3:12" x14ac:dyDescent="0.25">
      <c r="C1878" s="7"/>
      <c r="E1878" s="8"/>
      <c r="F1878" s="8"/>
      <c r="G1878" s="8"/>
      <c r="H1878" s="8"/>
      <c r="I1878" s="8"/>
      <c r="J1878" s="8"/>
      <c r="K1878" s="8"/>
      <c r="L1878" s="8"/>
    </row>
    <row r="1879" spans="3:12" x14ac:dyDescent="0.25">
      <c r="C1879" s="7"/>
      <c r="E1879" s="8"/>
      <c r="F1879" s="8"/>
      <c r="G1879" s="8"/>
      <c r="H1879" s="8"/>
      <c r="I1879" s="8"/>
      <c r="J1879" s="8"/>
      <c r="K1879" s="8"/>
      <c r="L1879" s="8"/>
    </row>
    <row r="1880" spans="3:12" x14ac:dyDescent="0.25">
      <c r="C1880" s="7"/>
      <c r="E1880" s="8"/>
      <c r="F1880" s="8"/>
      <c r="G1880" s="8"/>
      <c r="H1880" s="8"/>
      <c r="I1880" s="8"/>
      <c r="J1880" s="8"/>
      <c r="K1880" s="8"/>
      <c r="L1880" s="8"/>
    </row>
    <row r="1881" spans="3:12" x14ac:dyDescent="0.25">
      <c r="C1881" s="7"/>
      <c r="E1881" s="8"/>
      <c r="F1881" s="8"/>
      <c r="G1881" s="8"/>
      <c r="H1881" s="8"/>
      <c r="I1881" s="8"/>
      <c r="J1881" s="8"/>
      <c r="K1881" s="8"/>
      <c r="L1881" s="8"/>
    </row>
    <row r="1882" spans="3:12" x14ac:dyDescent="0.25">
      <c r="C1882" s="7"/>
      <c r="E1882" s="8"/>
      <c r="F1882" s="8"/>
      <c r="G1882" s="8"/>
      <c r="H1882" s="8"/>
      <c r="I1882" s="8"/>
      <c r="J1882" s="8"/>
      <c r="K1882" s="8"/>
      <c r="L1882" s="8"/>
    </row>
    <row r="1883" spans="3:12" x14ac:dyDescent="0.25">
      <c r="C1883" s="7"/>
      <c r="E1883" s="8"/>
      <c r="F1883" s="8"/>
      <c r="G1883" s="8"/>
      <c r="H1883" s="8"/>
      <c r="I1883" s="8"/>
      <c r="J1883" s="8"/>
      <c r="K1883" s="8"/>
      <c r="L1883" s="8"/>
    </row>
    <row r="1884" spans="3:12" x14ac:dyDescent="0.25">
      <c r="C1884" s="7"/>
      <c r="E1884" s="8"/>
      <c r="F1884" s="8"/>
      <c r="G1884" s="8"/>
      <c r="H1884" s="8"/>
      <c r="I1884" s="8"/>
      <c r="J1884" s="8"/>
      <c r="K1884" s="8"/>
      <c r="L1884" s="8"/>
    </row>
    <row r="1885" spans="3:12" x14ac:dyDescent="0.25">
      <c r="C1885" s="7"/>
      <c r="E1885" s="8"/>
      <c r="F1885" s="8"/>
      <c r="G1885" s="8"/>
      <c r="H1885" s="8"/>
      <c r="I1885" s="8"/>
      <c r="J1885" s="8"/>
      <c r="K1885" s="8"/>
      <c r="L1885" s="8"/>
    </row>
    <row r="1886" spans="3:12" x14ac:dyDescent="0.25">
      <c r="C1886" s="7"/>
      <c r="E1886" s="8"/>
      <c r="F1886" s="8"/>
      <c r="G1886" s="8"/>
      <c r="H1886" s="8"/>
      <c r="I1886" s="8"/>
      <c r="J1886" s="8"/>
      <c r="K1886" s="8"/>
      <c r="L1886" s="8"/>
    </row>
    <row r="1887" spans="3:12" x14ac:dyDescent="0.25">
      <c r="C1887" s="7"/>
      <c r="E1887" s="8"/>
      <c r="F1887" s="8"/>
      <c r="G1887" s="8"/>
      <c r="H1887" s="8"/>
      <c r="I1887" s="8"/>
      <c r="J1887" s="8"/>
      <c r="K1887" s="8"/>
      <c r="L1887" s="8"/>
    </row>
    <row r="1888" spans="3:12" x14ac:dyDescent="0.25">
      <c r="C1888" s="7"/>
      <c r="E1888" s="8"/>
      <c r="F1888" s="8"/>
      <c r="G1888" s="8"/>
      <c r="H1888" s="8"/>
      <c r="I1888" s="8"/>
      <c r="J1888" s="8"/>
      <c r="K1888" s="8"/>
      <c r="L1888" s="8"/>
    </row>
    <row r="1889" spans="3:12" x14ac:dyDescent="0.25">
      <c r="C1889" s="7"/>
      <c r="E1889" s="8"/>
      <c r="F1889" s="8"/>
      <c r="G1889" s="8"/>
      <c r="H1889" s="8"/>
      <c r="I1889" s="8"/>
      <c r="J1889" s="8"/>
      <c r="K1889" s="8"/>
      <c r="L1889" s="8"/>
    </row>
    <row r="1890" spans="3:12" x14ac:dyDescent="0.25">
      <c r="C1890" s="7"/>
      <c r="E1890" s="8"/>
      <c r="F1890" s="8"/>
      <c r="G1890" s="8"/>
      <c r="H1890" s="8"/>
      <c r="I1890" s="8"/>
      <c r="J1890" s="8"/>
      <c r="K1890" s="8"/>
      <c r="L1890" s="8"/>
    </row>
    <row r="1891" spans="3:12" x14ac:dyDescent="0.25">
      <c r="C1891" s="7"/>
      <c r="E1891" s="8"/>
      <c r="F1891" s="8"/>
      <c r="G1891" s="8"/>
      <c r="H1891" s="8"/>
      <c r="I1891" s="8"/>
      <c r="J1891" s="8"/>
      <c r="K1891" s="8"/>
      <c r="L1891" s="8"/>
    </row>
    <row r="1892" spans="3:12" x14ac:dyDescent="0.25">
      <c r="C1892" s="7"/>
      <c r="E1892" s="8"/>
      <c r="F1892" s="8"/>
      <c r="G1892" s="8"/>
      <c r="H1892" s="8"/>
      <c r="I1892" s="8"/>
      <c r="J1892" s="8"/>
      <c r="K1892" s="8"/>
      <c r="L1892" s="8"/>
    </row>
    <row r="1893" spans="3:12" x14ac:dyDescent="0.25">
      <c r="C1893" s="7"/>
      <c r="E1893" s="8"/>
      <c r="F1893" s="8"/>
      <c r="G1893" s="8"/>
      <c r="H1893" s="8"/>
      <c r="I1893" s="8"/>
      <c r="J1893" s="8"/>
      <c r="K1893" s="8"/>
      <c r="L1893" s="8"/>
    </row>
    <row r="1894" spans="3:12" x14ac:dyDescent="0.25">
      <c r="C1894" s="7"/>
      <c r="E1894" s="8"/>
      <c r="F1894" s="8"/>
      <c r="G1894" s="8"/>
      <c r="H1894" s="8"/>
      <c r="I1894" s="8"/>
      <c r="J1894" s="8"/>
      <c r="K1894" s="8"/>
      <c r="L1894" s="8"/>
    </row>
    <row r="1895" spans="3:12" x14ac:dyDescent="0.25">
      <c r="C1895" s="7"/>
      <c r="E1895" s="8"/>
      <c r="F1895" s="8"/>
      <c r="G1895" s="8"/>
      <c r="H1895" s="8"/>
      <c r="I1895" s="8"/>
      <c r="J1895" s="8"/>
      <c r="K1895" s="8"/>
      <c r="L1895" s="8"/>
    </row>
    <row r="1896" spans="3:12" x14ac:dyDescent="0.25">
      <c r="C1896" s="7"/>
      <c r="E1896" s="8"/>
      <c r="F1896" s="8"/>
      <c r="G1896" s="8"/>
      <c r="H1896" s="8"/>
      <c r="I1896" s="8"/>
      <c r="J1896" s="8"/>
      <c r="K1896" s="8"/>
      <c r="L1896" s="8"/>
    </row>
    <row r="1897" spans="3:12" x14ac:dyDescent="0.25">
      <c r="C1897" s="7"/>
      <c r="E1897" s="8"/>
      <c r="F1897" s="8"/>
      <c r="G1897" s="8"/>
      <c r="H1897" s="8"/>
      <c r="I1897" s="8"/>
      <c r="J1897" s="8"/>
      <c r="K1897" s="8"/>
      <c r="L1897" s="8"/>
    </row>
    <row r="1898" spans="3:12" x14ac:dyDescent="0.25">
      <c r="C1898" s="7"/>
      <c r="E1898" s="8"/>
      <c r="F1898" s="8"/>
      <c r="G1898" s="8"/>
      <c r="H1898" s="8"/>
      <c r="I1898" s="8"/>
      <c r="J1898" s="8"/>
      <c r="K1898" s="8"/>
      <c r="L1898" s="8"/>
    </row>
    <row r="1899" spans="3:12" x14ac:dyDescent="0.25">
      <c r="C1899" s="7"/>
      <c r="E1899" s="8"/>
      <c r="F1899" s="8"/>
      <c r="G1899" s="8"/>
      <c r="H1899" s="8"/>
      <c r="I1899" s="8"/>
      <c r="J1899" s="8"/>
      <c r="K1899" s="8"/>
      <c r="L1899" s="8"/>
    </row>
    <row r="1900" spans="3:12" x14ac:dyDescent="0.25">
      <c r="C1900" s="7"/>
      <c r="E1900" s="8"/>
      <c r="F1900" s="8"/>
      <c r="G1900" s="8"/>
      <c r="H1900" s="8"/>
      <c r="I1900" s="8"/>
      <c r="J1900" s="8"/>
      <c r="K1900" s="8"/>
      <c r="L1900" s="8"/>
    </row>
    <row r="1901" spans="3:12" x14ac:dyDescent="0.25">
      <c r="C1901" s="7"/>
      <c r="E1901" s="8"/>
      <c r="F1901" s="8"/>
      <c r="G1901" s="8"/>
      <c r="H1901" s="8"/>
      <c r="I1901" s="8"/>
      <c r="J1901" s="8"/>
      <c r="K1901" s="8"/>
      <c r="L1901" s="8"/>
    </row>
    <row r="1902" spans="3:12" x14ac:dyDescent="0.25">
      <c r="C1902" s="7"/>
      <c r="E1902" s="8"/>
      <c r="F1902" s="8"/>
      <c r="G1902" s="8"/>
      <c r="H1902" s="8"/>
      <c r="I1902" s="8"/>
      <c r="J1902" s="8"/>
      <c r="K1902" s="8"/>
      <c r="L1902" s="8"/>
    </row>
    <row r="1903" spans="3:12" x14ac:dyDescent="0.25">
      <c r="C1903" s="7"/>
      <c r="E1903" s="8"/>
      <c r="F1903" s="8"/>
      <c r="G1903" s="8"/>
      <c r="H1903" s="8"/>
      <c r="I1903" s="8"/>
      <c r="J1903" s="8"/>
      <c r="K1903" s="8"/>
      <c r="L1903" s="8"/>
    </row>
    <row r="1904" spans="3:12" x14ac:dyDescent="0.25">
      <c r="C1904" s="7"/>
      <c r="E1904" s="8"/>
      <c r="F1904" s="8"/>
      <c r="G1904" s="8"/>
      <c r="H1904" s="8"/>
      <c r="I1904" s="8"/>
      <c r="J1904" s="8"/>
      <c r="K1904" s="8"/>
      <c r="L1904" s="8"/>
    </row>
    <row r="1905" spans="3:12" x14ac:dyDescent="0.25">
      <c r="C1905" s="7"/>
      <c r="E1905" s="8"/>
      <c r="F1905" s="8"/>
      <c r="G1905" s="8"/>
      <c r="H1905" s="8"/>
      <c r="I1905" s="8"/>
      <c r="J1905" s="8"/>
      <c r="K1905" s="8"/>
      <c r="L1905" s="8"/>
    </row>
    <row r="1906" spans="3:12" x14ac:dyDescent="0.25">
      <c r="C1906" s="7"/>
      <c r="E1906" s="8"/>
      <c r="F1906" s="8"/>
      <c r="G1906" s="8"/>
      <c r="H1906" s="8"/>
      <c r="I1906" s="8"/>
      <c r="J1906" s="8"/>
      <c r="K1906" s="8"/>
      <c r="L1906" s="8"/>
    </row>
    <row r="1907" spans="3:12" x14ac:dyDescent="0.25">
      <c r="C1907" s="7"/>
      <c r="E1907" s="8"/>
      <c r="F1907" s="8"/>
      <c r="G1907" s="8"/>
      <c r="H1907" s="8"/>
      <c r="I1907" s="8"/>
      <c r="J1907" s="8"/>
      <c r="K1907" s="8"/>
      <c r="L1907" s="8"/>
    </row>
    <row r="1908" spans="3:12" x14ac:dyDescent="0.25">
      <c r="C1908" s="7"/>
      <c r="E1908" s="8"/>
      <c r="F1908" s="8"/>
      <c r="G1908" s="8"/>
      <c r="H1908" s="8"/>
      <c r="I1908" s="8"/>
      <c r="J1908" s="8"/>
      <c r="K1908" s="8"/>
      <c r="L1908" s="8"/>
    </row>
    <row r="1909" spans="3:12" x14ac:dyDescent="0.25">
      <c r="C1909" s="7"/>
      <c r="E1909" s="8"/>
      <c r="F1909" s="8"/>
      <c r="G1909" s="8"/>
      <c r="H1909" s="8"/>
      <c r="I1909" s="8"/>
      <c r="J1909" s="8"/>
      <c r="K1909" s="8"/>
      <c r="L1909" s="8"/>
    </row>
    <row r="1910" spans="3:12" x14ac:dyDescent="0.25">
      <c r="C1910" s="7"/>
      <c r="E1910" s="8"/>
      <c r="F1910" s="8"/>
      <c r="G1910" s="8"/>
      <c r="H1910" s="8"/>
      <c r="I1910" s="8"/>
      <c r="J1910" s="8"/>
      <c r="K1910" s="8"/>
      <c r="L1910" s="8"/>
    </row>
    <row r="1911" spans="3:12" x14ac:dyDescent="0.25">
      <c r="C1911" s="7"/>
      <c r="E1911" s="8"/>
      <c r="F1911" s="8"/>
      <c r="G1911" s="8"/>
      <c r="H1911" s="8"/>
      <c r="I1911" s="8"/>
      <c r="J1911" s="8"/>
      <c r="K1911" s="8"/>
      <c r="L1911" s="8"/>
    </row>
    <row r="1912" spans="3:12" x14ac:dyDescent="0.25">
      <c r="C1912" s="7"/>
      <c r="E1912" s="8"/>
      <c r="F1912" s="8"/>
      <c r="G1912" s="8"/>
      <c r="H1912" s="8"/>
      <c r="I1912" s="8"/>
      <c r="J1912" s="8"/>
      <c r="K1912" s="8"/>
      <c r="L1912" s="8"/>
    </row>
    <row r="1913" spans="3:12" x14ac:dyDescent="0.25">
      <c r="C1913" s="7"/>
      <c r="E1913" s="8"/>
      <c r="F1913" s="8"/>
      <c r="G1913" s="8"/>
      <c r="H1913" s="8"/>
      <c r="I1913" s="8"/>
      <c r="J1913" s="8"/>
      <c r="K1913" s="8"/>
      <c r="L1913" s="8"/>
    </row>
    <row r="1914" spans="3:12" x14ac:dyDescent="0.25">
      <c r="C1914" s="7"/>
      <c r="E1914" s="8"/>
      <c r="F1914" s="8"/>
      <c r="G1914" s="8"/>
      <c r="H1914" s="8"/>
      <c r="I1914" s="8"/>
      <c r="J1914" s="8"/>
      <c r="K1914" s="8"/>
      <c r="L1914" s="8"/>
    </row>
    <row r="1915" spans="3:12" x14ac:dyDescent="0.25">
      <c r="C1915" s="7"/>
      <c r="E1915" s="8"/>
      <c r="F1915" s="8"/>
      <c r="G1915" s="8"/>
      <c r="H1915" s="8"/>
      <c r="I1915" s="8"/>
      <c r="J1915" s="8"/>
      <c r="K1915" s="8"/>
      <c r="L1915" s="8"/>
    </row>
    <row r="1916" spans="3:12" x14ac:dyDescent="0.25">
      <c r="C1916" s="7"/>
      <c r="E1916" s="8"/>
      <c r="F1916" s="8"/>
      <c r="G1916" s="8"/>
      <c r="H1916" s="8"/>
      <c r="I1916" s="8"/>
      <c r="J1916" s="8"/>
      <c r="K1916" s="8"/>
      <c r="L1916" s="8"/>
    </row>
    <row r="1917" spans="3:12" x14ac:dyDescent="0.25">
      <c r="C1917" s="7"/>
      <c r="E1917" s="8"/>
      <c r="F1917" s="8"/>
      <c r="G1917" s="8"/>
      <c r="H1917" s="8"/>
      <c r="I1917" s="8"/>
      <c r="J1917" s="8"/>
      <c r="K1917" s="8"/>
      <c r="L1917" s="8"/>
    </row>
    <row r="1918" spans="3:12" x14ac:dyDescent="0.25">
      <c r="C1918" s="7"/>
      <c r="E1918" s="8"/>
      <c r="F1918" s="8"/>
      <c r="G1918" s="8"/>
      <c r="H1918" s="8"/>
      <c r="I1918" s="8"/>
      <c r="J1918" s="8"/>
      <c r="K1918" s="8"/>
      <c r="L1918" s="8"/>
    </row>
    <row r="1919" spans="3:12" x14ac:dyDescent="0.25">
      <c r="C1919" s="7"/>
      <c r="E1919" s="8"/>
      <c r="F1919" s="8"/>
      <c r="G1919" s="8"/>
      <c r="H1919" s="8"/>
      <c r="I1919" s="8"/>
      <c r="J1919" s="8"/>
      <c r="K1919" s="8"/>
      <c r="L1919" s="8"/>
    </row>
    <row r="1920" spans="3:12" x14ac:dyDescent="0.25">
      <c r="C1920" s="7"/>
      <c r="E1920" s="8"/>
      <c r="F1920" s="8"/>
      <c r="G1920" s="8"/>
      <c r="H1920" s="8"/>
      <c r="I1920" s="8"/>
      <c r="J1920" s="8"/>
      <c r="K1920" s="8"/>
      <c r="L1920" s="8"/>
    </row>
    <row r="1921" spans="3:12" x14ac:dyDescent="0.25">
      <c r="C1921" s="7"/>
      <c r="E1921" s="8"/>
      <c r="F1921" s="8"/>
      <c r="G1921" s="8"/>
      <c r="H1921" s="8"/>
      <c r="I1921" s="8"/>
      <c r="J1921" s="8"/>
      <c r="K1921" s="8"/>
      <c r="L1921" s="8"/>
    </row>
    <row r="1922" spans="3:12" x14ac:dyDescent="0.25">
      <c r="C1922" s="7"/>
      <c r="E1922" s="8"/>
      <c r="F1922" s="8"/>
      <c r="G1922" s="8"/>
      <c r="H1922" s="8"/>
      <c r="I1922" s="8"/>
      <c r="J1922" s="8"/>
      <c r="K1922" s="8"/>
      <c r="L1922" s="8"/>
    </row>
    <row r="1923" spans="3:12" x14ac:dyDescent="0.25">
      <c r="C1923" s="7"/>
      <c r="E1923" s="8"/>
      <c r="F1923" s="8"/>
      <c r="G1923" s="8"/>
      <c r="H1923" s="8"/>
      <c r="I1923" s="8"/>
      <c r="J1923" s="8"/>
      <c r="K1923" s="8"/>
      <c r="L1923" s="8"/>
    </row>
    <row r="1924" spans="3:12" x14ac:dyDescent="0.25">
      <c r="C1924" s="7"/>
      <c r="E1924" s="8"/>
      <c r="F1924" s="8"/>
      <c r="G1924" s="8"/>
      <c r="H1924" s="8"/>
      <c r="I1924" s="8"/>
      <c r="J1924" s="8"/>
      <c r="K1924" s="8"/>
      <c r="L1924" s="8"/>
    </row>
    <row r="1925" spans="3:12" x14ac:dyDescent="0.25">
      <c r="C1925" s="7"/>
      <c r="E1925" s="8"/>
      <c r="F1925" s="8"/>
      <c r="G1925" s="8"/>
      <c r="H1925" s="8"/>
      <c r="I1925" s="8"/>
      <c r="J1925" s="8"/>
      <c r="K1925" s="8"/>
      <c r="L1925" s="8"/>
    </row>
    <row r="1926" spans="3:12" x14ac:dyDescent="0.25">
      <c r="C1926" s="7"/>
      <c r="E1926" s="8"/>
      <c r="F1926" s="8"/>
      <c r="G1926" s="8"/>
      <c r="H1926" s="8"/>
      <c r="I1926" s="8"/>
      <c r="J1926" s="8"/>
      <c r="K1926" s="8"/>
      <c r="L1926" s="8"/>
    </row>
    <row r="1927" spans="3:12" x14ac:dyDescent="0.25">
      <c r="C1927" s="7"/>
      <c r="E1927" s="8"/>
      <c r="F1927" s="8"/>
      <c r="G1927" s="8"/>
      <c r="H1927" s="8"/>
      <c r="I1927" s="8"/>
      <c r="J1927" s="8"/>
      <c r="K1927" s="8"/>
      <c r="L1927" s="8"/>
    </row>
    <row r="1928" spans="3:12" x14ac:dyDescent="0.25">
      <c r="C1928" s="7"/>
      <c r="E1928" s="8"/>
      <c r="F1928" s="8"/>
      <c r="G1928" s="8"/>
      <c r="H1928" s="8"/>
      <c r="I1928" s="8"/>
      <c r="J1928" s="8"/>
      <c r="K1928" s="8"/>
      <c r="L1928" s="8"/>
    </row>
    <row r="1929" spans="3:12" x14ac:dyDescent="0.25">
      <c r="C1929" s="7"/>
      <c r="E1929" s="8"/>
      <c r="F1929" s="8"/>
      <c r="G1929" s="8"/>
      <c r="H1929" s="8"/>
      <c r="I1929" s="8"/>
      <c r="J1929" s="8"/>
      <c r="K1929" s="8"/>
      <c r="L1929" s="8"/>
    </row>
    <row r="1930" spans="3:12" x14ac:dyDescent="0.25">
      <c r="C1930" s="7"/>
      <c r="E1930" s="8"/>
      <c r="F1930" s="8"/>
      <c r="G1930" s="8"/>
      <c r="H1930" s="8"/>
      <c r="I1930" s="8"/>
      <c r="J1930" s="8"/>
      <c r="K1930" s="8"/>
      <c r="L1930" s="8"/>
    </row>
    <row r="1931" spans="3:12" x14ac:dyDescent="0.25">
      <c r="C1931" s="7"/>
      <c r="E1931" s="8"/>
      <c r="F1931" s="8"/>
      <c r="G1931" s="8"/>
      <c r="H1931" s="8"/>
      <c r="I1931" s="8"/>
      <c r="J1931" s="8"/>
      <c r="K1931" s="8"/>
      <c r="L1931" s="8"/>
    </row>
    <row r="1932" spans="3:12" x14ac:dyDescent="0.25">
      <c r="C1932" s="7"/>
      <c r="E1932" s="8"/>
      <c r="F1932" s="8"/>
      <c r="G1932" s="8"/>
      <c r="H1932" s="8"/>
      <c r="I1932" s="8"/>
      <c r="J1932" s="8"/>
      <c r="K1932" s="8"/>
      <c r="L1932" s="8"/>
    </row>
    <row r="1933" spans="3:12" x14ac:dyDescent="0.25">
      <c r="C1933" s="7"/>
      <c r="E1933" s="8"/>
      <c r="F1933" s="8"/>
      <c r="G1933" s="8"/>
      <c r="H1933" s="8"/>
      <c r="I1933" s="8"/>
      <c r="J1933" s="8"/>
      <c r="K1933" s="8"/>
      <c r="L1933" s="8"/>
    </row>
    <row r="1934" spans="3:12" x14ac:dyDescent="0.25">
      <c r="C1934" s="7"/>
      <c r="E1934" s="8"/>
      <c r="F1934" s="8"/>
      <c r="G1934" s="8"/>
      <c r="H1934" s="8"/>
      <c r="I1934" s="8"/>
      <c r="J1934" s="8"/>
      <c r="K1934" s="8"/>
      <c r="L1934" s="8"/>
    </row>
    <row r="1935" spans="3:12" x14ac:dyDescent="0.25">
      <c r="C1935" s="7"/>
      <c r="E1935" s="8"/>
      <c r="F1935" s="8"/>
      <c r="G1935" s="8"/>
      <c r="H1935" s="8"/>
      <c r="I1935" s="8"/>
      <c r="J1935" s="8"/>
      <c r="K1935" s="8"/>
      <c r="L1935" s="8"/>
    </row>
    <row r="1936" spans="3:12" x14ac:dyDescent="0.25">
      <c r="C1936" s="7"/>
      <c r="E1936" s="8"/>
      <c r="F1936" s="8"/>
      <c r="G1936" s="8"/>
      <c r="H1936" s="8"/>
      <c r="I1936" s="8"/>
      <c r="J1936" s="8"/>
      <c r="K1936" s="8"/>
      <c r="L1936" s="8"/>
    </row>
    <row r="1937" spans="3:12" x14ac:dyDescent="0.25">
      <c r="C1937" s="7"/>
      <c r="E1937" s="8"/>
      <c r="F1937" s="8"/>
      <c r="G1937" s="8"/>
      <c r="H1937" s="8"/>
      <c r="I1937" s="8"/>
      <c r="J1937" s="8"/>
      <c r="K1937" s="8"/>
      <c r="L1937" s="8"/>
    </row>
    <row r="1938" spans="3:12" x14ac:dyDescent="0.25">
      <c r="C1938" s="7"/>
      <c r="E1938" s="8"/>
      <c r="F1938" s="8"/>
      <c r="G1938" s="8"/>
      <c r="H1938" s="8"/>
      <c r="I1938" s="8"/>
      <c r="J1938" s="8"/>
      <c r="K1938" s="8"/>
      <c r="L1938" s="8"/>
    </row>
    <row r="1939" spans="3:12" x14ac:dyDescent="0.25">
      <c r="C1939" s="7"/>
      <c r="E1939" s="8"/>
      <c r="F1939" s="8"/>
      <c r="G1939" s="8"/>
      <c r="H1939" s="8"/>
      <c r="I1939" s="8"/>
      <c r="J1939" s="8"/>
      <c r="K1939" s="8"/>
      <c r="L1939" s="8"/>
    </row>
    <row r="1940" spans="3:12" x14ac:dyDescent="0.25">
      <c r="C1940" s="7"/>
      <c r="E1940" s="8"/>
      <c r="F1940" s="8"/>
      <c r="G1940" s="8"/>
      <c r="H1940" s="8"/>
      <c r="I1940" s="8"/>
      <c r="J1940" s="8"/>
      <c r="K1940" s="8"/>
      <c r="L1940" s="8"/>
    </row>
    <row r="1941" spans="3:12" x14ac:dyDescent="0.25">
      <c r="C1941" s="7"/>
      <c r="E1941" s="8"/>
      <c r="F1941" s="8"/>
      <c r="G1941" s="8"/>
      <c r="H1941" s="8"/>
      <c r="I1941" s="8"/>
      <c r="J1941" s="8"/>
      <c r="K1941" s="8"/>
      <c r="L1941" s="8"/>
    </row>
    <row r="1942" spans="3:12" x14ac:dyDescent="0.25">
      <c r="C1942" s="7"/>
      <c r="E1942" s="8"/>
      <c r="F1942" s="8"/>
      <c r="G1942" s="8"/>
      <c r="H1942" s="8"/>
      <c r="I1942" s="8"/>
      <c r="J1942" s="8"/>
      <c r="K1942" s="8"/>
      <c r="L1942" s="8"/>
    </row>
    <row r="1943" spans="3:12" x14ac:dyDescent="0.25">
      <c r="C1943" s="7"/>
      <c r="E1943" s="8"/>
      <c r="F1943" s="8"/>
      <c r="G1943" s="8"/>
      <c r="H1943" s="8"/>
      <c r="I1943" s="8"/>
      <c r="J1943" s="8"/>
      <c r="K1943" s="8"/>
      <c r="L1943" s="8"/>
    </row>
    <row r="1944" spans="3:12" x14ac:dyDescent="0.25">
      <c r="C1944" s="7"/>
      <c r="E1944" s="8"/>
      <c r="F1944" s="8"/>
      <c r="G1944" s="8"/>
      <c r="H1944" s="8"/>
      <c r="I1944" s="8"/>
      <c r="J1944" s="8"/>
      <c r="K1944" s="8"/>
      <c r="L1944" s="8"/>
    </row>
    <row r="1945" spans="3:12" x14ac:dyDescent="0.25">
      <c r="C1945" s="7"/>
      <c r="E1945" s="8"/>
      <c r="F1945" s="8"/>
      <c r="G1945" s="8"/>
      <c r="H1945" s="8"/>
      <c r="I1945" s="8"/>
      <c r="J1945" s="8"/>
      <c r="K1945" s="8"/>
      <c r="L1945" s="8"/>
    </row>
    <row r="1946" spans="3:12" x14ac:dyDescent="0.25">
      <c r="C1946" s="7"/>
      <c r="E1946" s="8"/>
      <c r="F1946" s="8"/>
      <c r="G1946" s="8"/>
      <c r="H1946" s="8"/>
      <c r="I1946" s="8"/>
      <c r="J1946" s="8"/>
      <c r="K1946" s="8"/>
      <c r="L1946" s="8"/>
    </row>
    <row r="1947" spans="3:12" x14ac:dyDescent="0.25">
      <c r="C1947" s="7"/>
      <c r="E1947" s="8"/>
      <c r="F1947" s="8"/>
      <c r="G1947" s="8"/>
      <c r="H1947" s="8"/>
      <c r="I1947" s="8"/>
      <c r="J1947" s="8"/>
      <c r="K1947" s="8"/>
      <c r="L1947" s="8"/>
    </row>
    <row r="1948" spans="3:12" x14ac:dyDescent="0.25">
      <c r="C1948" s="7"/>
      <c r="E1948" s="8"/>
      <c r="F1948" s="8"/>
      <c r="G1948" s="8"/>
      <c r="H1948" s="8"/>
      <c r="I1948" s="8"/>
      <c r="J1948" s="8"/>
      <c r="K1948" s="8"/>
      <c r="L1948" s="8"/>
    </row>
    <row r="1949" spans="3:12" x14ac:dyDescent="0.25">
      <c r="C1949" s="7"/>
      <c r="E1949" s="8"/>
      <c r="F1949" s="8"/>
      <c r="G1949" s="8"/>
      <c r="H1949" s="8"/>
      <c r="I1949" s="8"/>
      <c r="J1949" s="8"/>
      <c r="K1949" s="8"/>
      <c r="L1949" s="8"/>
    </row>
    <row r="1950" spans="3:12" x14ac:dyDescent="0.25">
      <c r="C1950" s="7"/>
      <c r="E1950" s="8"/>
      <c r="F1950" s="8"/>
      <c r="G1950" s="8"/>
      <c r="H1950" s="8"/>
      <c r="I1950" s="8"/>
      <c r="J1950" s="8"/>
      <c r="K1950" s="8"/>
      <c r="L1950" s="8"/>
    </row>
    <row r="1951" spans="3:12" x14ac:dyDescent="0.25">
      <c r="C1951" s="7"/>
      <c r="E1951" s="8"/>
      <c r="F1951" s="8"/>
      <c r="G1951" s="8"/>
      <c r="H1951" s="8"/>
      <c r="I1951" s="8"/>
      <c r="J1951" s="8"/>
      <c r="K1951" s="8"/>
      <c r="L1951" s="8"/>
    </row>
    <row r="1952" spans="3:12" x14ac:dyDescent="0.25">
      <c r="C1952" s="7"/>
      <c r="E1952" s="8"/>
      <c r="F1952" s="8"/>
      <c r="G1952" s="8"/>
      <c r="H1952" s="8"/>
      <c r="I1952" s="8"/>
      <c r="J1952" s="8"/>
      <c r="K1952" s="8"/>
      <c r="L1952" s="8"/>
    </row>
    <row r="1953" spans="3:12" x14ac:dyDescent="0.25">
      <c r="C1953" s="7"/>
      <c r="E1953" s="8"/>
      <c r="F1953" s="8"/>
      <c r="G1953" s="8"/>
      <c r="H1953" s="8"/>
      <c r="I1953" s="8"/>
      <c r="J1953" s="8"/>
      <c r="K1953" s="8"/>
      <c r="L1953" s="8"/>
    </row>
    <row r="1954" spans="3:12" x14ac:dyDescent="0.25">
      <c r="C1954" s="7"/>
      <c r="E1954" s="8"/>
      <c r="F1954" s="8"/>
      <c r="G1954" s="8"/>
      <c r="H1954" s="8"/>
      <c r="I1954" s="8"/>
      <c r="J1954" s="8"/>
      <c r="K1954" s="8"/>
      <c r="L1954" s="8"/>
    </row>
    <row r="1955" spans="3:12" x14ac:dyDescent="0.25">
      <c r="C1955" s="7"/>
      <c r="E1955" s="8"/>
      <c r="F1955" s="8"/>
      <c r="G1955" s="8"/>
      <c r="H1955" s="8"/>
      <c r="I1955" s="8"/>
      <c r="J1955" s="8"/>
      <c r="K1955" s="8"/>
      <c r="L1955" s="8"/>
    </row>
    <row r="1956" spans="3:12" x14ac:dyDescent="0.25">
      <c r="C1956" s="7"/>
      <c r="E1956" s="8"/>
      <c r="F1956" s="8"/>
      <c r="G1956" s="8"/>
      <c r="H1956" s="8"/>
      <c r="I1956" s="8"/>
      <c r="J1956" s="8"/>
      <c r="K1956" s="8"/>
      <c r="L1956" s="8"/>
    </row>
    <row r="1957" spans="3:12" x14ac:dyDescent="0.25">
      <c r="C1957" s="7"/>
      <c r="E1957" s="8"/>
      <c r="F1957" s="8"/>
      <c r="G1957" s="8"/>
      <c r="H1957" s="8"/>
      <c r="I1957" s="8"/>
      <c r="J1957" s="8"/>
      <c r="K1957" s="8"/>
      <c r="L1957" s="8"/>
    </row>
    <row r="1958" spans="3:12" x14ac:dyDescent="0.25">
      <c r="C1958" s="7"/>
      <c r="E1958" s="8"/>
      <c r="F1958" s="8"/>
      <c r="G1958" s="8"/>
      <c r="H1958" s="8"/>
      <c r="I1958" s="8"/>
      <c r="J1958" s="8"/>
      <c r="K1958" s="8"/>
      <c r="L1958" s="8"/>
    </row>
    <row r="1959" spans="3:12" x14ac:dyDescent="0.25">
      <c r="C1959" s="7"/>
      <c r="E1959" s="8"/>
      <c r="F1959" s="8"/>
      <c r="G1959" s="8"/>
      <c r="H1959" s="8"/>
      <c r="I1959" s="8"/>
      <c r="J1959" s="8"/>
      <c r="K1959" s="8"/>
      <c r="L1959" s="8"/>
    </row>
    <row r="1960" spans="3:12" x14ac:dyDescent="0.25">
      <c r="C1960" s="7"/>
      <c r="E1960" s="8"/>
      <c r="F1960" s="8"/>
      <c r="G1960" s="8"/>
      <c r="H1960" s="8"/>
      <c r="I1960" s="8"/>
      <c r="J1960" s="8"/>
      <c r="K1960" s="8"/>
      <c r="L1960" s="8"/>
    </row>
    <row r="1961" spans="3:12" x14ac:dyDescent="0.25">
      <c r="C1961" s="7"/>
      <c r="E1961" s="8"/>
      <c r="F1961" s="8"/>
      <c r="G1961" s="8"/>
      <c r="H1961" s="8"/>
      <c r="I1961" s="8"/>
      <c r="J1961" s="8"/>
      <c r="K1961" s="8"/>
      <c r="L1961" s="8"/>
    </row>
    <row r="1962" spans="3:12" x14ac:dyDescent="0.25">
      <c r="C1962" s="7"/>
      <c r="E1962" s="8"/>
      <c r="F1962" s="8"/>
      <c r="G1962" s="8"/>
      <c r="H1962" s="8"/>
      <c r="I1962" s="8"/>
      <c r="J1962" s="8"/>
      <c r="K1962" s="8"/>
      <c r="L1962" s="8"/>
    </row>
    <row r="1963" spans="3:12" x14ac:dyDescent="0.25">
      <c r="C1963" s="7"/>
      <c r="E1963" s="8"/>
      <c r="F1963" s="8"/>
      <c r="G1963" s="8"/>
      <c r="H1963" s="8"/>
      <c r="I1963" s="8"/>
      <c r="J1963" s="8"/>
      <c r="K1963" s="8"/>
      <c r="L1963" s="8"/>
    </row>
    <row r="1964" spans="3:12" x14ac:dyDescent="0.25">
      <c r="C1964" s="7"/>
      <c r="E1964" s="8"/>
      <c r="F1964" s="8"/>
      <c r="G1964" s="8"/>
      <c r="H1964" s="8"/>
      <c r="I1964" s="8"/>
      <c r="J1964" s="8"/>
      <c r="K1964" s="8"/>
      <c r="L1964" s="8"/>
    </row>
    <row r="1965" spans="3:12" x14ac:dyDescent="0.25">
      <c r="C1965" s="7"/>
      <c r="E1965" s="8"/>
      <c r="F1965" s="8"/>
      <c r="G1965" s="8"/>
      <c r="H1965" s="8"/>
      <c r="I1965" s="8"/>
      <c r="J1965" s="8"/>
      <c r="K1965" s="8"/>
      <c r="L1965" s="8"/>
    </row>
    <row r="1966" spans="3:12" x14ac:dyDescent="0.25">
      <c r="C1966" s="7"/>
      <c r="E1966" s="8"/>
      <c r="F1966" s="8"/>
      <c r="G1966" s="8"/>
      <c r="H1966" s="8"/>
      <c r="I1966" s="8"/>
      <c r="J1966" s="8"/>
      <c r="K1966" s="8"/>
      <c r="L1966" s="8"/>
    </row>
    <row r="1967" spans="3:12" x14ac:dyDescent="0.25">
      <c r="C1967" s="7"/>
      <c r="E1967" s="8"/>
      <c r="F1967" s="8"/>
      <c r="G1967" s="8"/>
      <c r="H1967" s="8"/>
      <c r="I1967" s="8"/>
      <c r="J1967" s="8"/>
      <c r="K1967" s="8"/>
      <c r="L1967" s="8"/>
    </row>
    <row r="1968" spans="3:12" x14ac:dyDescent="0.25">
      <c r="C1968" s="7"/>
      <c r="E1968" s="8"/>
      <c r="F1968" s="8"/>
      <c r="G1968" s="8"/>
      <c r="H1968" s="8"/>
      <c r="I1968" s="8"/>
      <c r="J1968" s="8"/>
      <c r="K1968" s="8"/>
      <c r="L1968" s="8"/>
    </row>
    <row r="1969" spans="3:12" x14ac:dyDescent="0.25">
      <c r="C1969" s="7"/>
      <c r="E1969" s="8"/>
      <c r="F1969" s="8"/>
      <c r="G1969" s="8"/>
      <c r="H1969" s="8"/>
      <c r="I1969" s="8"/>
      <c r="J1969" s="8"/>
      <c r="K1969" s="8"/>
      <c r="L1969" s="8"/>
    </row>
    <row r="1970" spans="3:12" x14ac:dyDescent="0.25">
      <c r="C1970" s="7"/>
      <c r="E1970" s="8"/>
      <c r="F1970" s="8"/>
      <c r="G1970" s="8"/>
      <c r="H1970" s="8"/>
      <c r="I1970" s="8"/>
      <c r="J1970" s="8"/>
      <c r="K1970" s="8"/>
      <c r="L1970" s="8"/>
    </row>
    <row r="1971" spans="3:12" x14ac:dyDescent="0.25">
      <c r="C1971" s="7"/>
      <c r="E1971" s="8"/>
      <c r="F1971" s="8"/>
      <c r="G1971" s="8"/>
      <c r="H1971" s="8"/>
      <c r="I1971" s="8"/>
      <c r="J1971" s="8"/>
      <c r="K1971" s="8"/>
      <c r="L1971" s="8"/>
    </row>
    <row r="1972" spans="3:12" x14ac:dyDescent="0.25">
      <c r="C1972" s="7"/>
      <c r="E1972" s="8"/>
      <c r="F1972" s="8"/>
      <c r="G1972" s="8"/>
      <c r="H1972" s="8"/>
      <c r="I1972" s="8"/>
      <c r="J1972" s="8"/>
      <c r="K1972" s="8"/>
      <c r="L1972" s="8"/>
    </row>
    <row r="1973" spans="3:12" x14ac:dyDescent="0.25">
      <c r="C1973" s="7"/>
      <c r="E1973" s="8"/>
      <c r="F1973" s="8"/>
      <c r="G1973" s="8"/>
      <c r="H1973" s="8"/>
      <c r="I1973" s="8"/>
      <c r="J1973" s="8"/>
      <c r="K1973" s="8"/>
      <c r="L1973" s="8"/>
    </row>
    <row r="1974" spans="3:12" x14ac:dyDescent="0.25">
      <c r="C1974" s="7"/>
      <c r="E1974" s="8"/>
      <c r="F1974" s="8"/>
      <c r="G1974" s="8"/>
      <c r="H1974" s="8"/>
      <c r="I1974" s="8"/>
      <c r="J1974" s="8"/>
      <c r="K1974" s="8"/>
      <c r="L1974" s="8"/>
    </row>
    <row r="1975" spans="3:12" x14ac:dyDescent="0.25">
      <c r="C1975" s="7"/>
      <c r="E1975" s="8"/>
      <c r="F1975" s="8"/>
      <c r="G1975" s="8"/>
      <c r="H1975" s="8"/>
      <c r="I1975" s="8"/>
      <c r="J1975" s="8"/>
      <c r="K1975" s="8"/>
      <c r="L1975" s="8"/>
    </row>
    <row r="1976" spans="3:12" x14ac:dyDescent="0.25">
      <c r="C1976" s="7"/>
      <c r="E1976" s="8"/>
      <c r="F1976" s="8"/>
      <c r="G1976" s="8"/>
      <c r="H1976" s="8"/>
      <c r="I1976" s="8"/>
      <c r="J1976" s="8"/>
      <c r="K1976" s="8"/>
      <c r="L1976" s="8"/>
    </row>
    <row r="1977" spans="3:12" x14ac:dyDescent="0.25">
      <c r="C1977" s="7"/>
      <c r="E1977" s="8"/>
      <c r="F1977" s="8"/>
      <c r="G1977" s="8"/>
      <c r="H1977" s="8"/>
      <c r="I1977" s="8"/>
      <c r="J1977" s="8"/>
      <c r="K1977" s="8"/>
      <c r="L1977" s="8"/>
    </row>
    <row r="1978" spans="3:12" x14ac:dyDescent="0.25">
      <c r="C1978" s="7"/>
      <c r="E1978" s="8"/>
      <c r="F1978" s="8"/>
      <c r="G1978" s="8"/>
      <c r="H1978" s="8"/>
      <c r="I1978" s="8"/>
      <c r="J1978" s="8"/>
      <c r="K1978" s="8"/>
      <c r="L1978" s="8"/>
    </row>
    <row r="1979" spans="3:12" x14ac:dyDescent="0.25">
      <c r="C1979" s="7"/>
      <c r="E1979" s="8"/>
      <c r="F1979" s="8"/>
      <c r="G1979" s="8"/>
      <c r="H1979" s="8"/>
      <c r="I1979" s="8"/>
      <c r="J1979" s="8"/>
      <c r="K1979" s="8"/>
      <c r="L1979" s="8"/>
    </row>
    <row r="1980" spans="3:12" x14ac:dyDescent="0.25">
      <c r="C1980" s="7"/>
      <c r="E1980" s="8"/>
      <c r="F1980" s="8"/>
      <c r="G1980" s="8"/>
      <c r="H1980" s="8"/>
      <c r="I1980" s="8"/>
      <c r="J1980" s="8"/>
      <c r="K1980" s="8"/>
      <c r="L1980" s="8"/>
    </row>
    <row r="1981" spans="3:12" x14ac:dyDescent="0.25">
      <c r="C1981" s="7"/>
      <c r="E1981" s="8"/>
      <c r="F1981" s="8"/>
      <c r="G1981" s="8"/>
      <c r="H1981" s="8"/>
      <c r="I1981" s="8"/>
      <c r="J1981" s="8"/>
      <c r="K1981" s="8"/>
      <c r="L1981" s="8"/>
    </row>
    <row r="1982" spans="3:12" x14ac:dyDescent="0.25">
      <c r="C1982" s="7"/>
      <c r="E1982" s="8"/>
      <c r="F1982" s="8"/>
      <c r="G1982" s="8"/>
      <c r="H1982" s="8"/>
      <c r="I1982" s="8"/>
      <c r="J1982" s="8"/>
      <c r="K1982" s="8"/>
      <c r="L1982" s="8"/>
    </row>
    <row r="1983" spans="3:12" x14ac:dyDescent="0.25">
      <c r="C1983" s="7"/>
      <c r="E1983" s="8"/>
      <c r="F1983" s="8"/>
      <c r="G1983" s="8"/>
      <c r="H1983" s="8"/>
      <c r="I1983" s="8"/>
      <c r="J1983" s="8"/>
      <c r="K1983" s="8"/>
      <c r="L1983" s="8"/>
    </row>
    <row r="1984" spans="3:12" x14ac:dyDescent="0.25">
      <c r="C1984" s="7"/>
      <c r="E1984" s="8"/>
      <c r="F1984" s="8"/>
      <c r="G1984" s="8"/>
      <c r="H1984" s="8"/>
      <c r="I1984" s="8"/>
      <c r="J1984" s="8"/>
      <c r="K1984" s="8"/>
      <c r="L1984" s="8"/>
    </row>
    <row r="1985" spans="3:12" x14ac:dyDescent="0.25">
      <c r="C1985" s="7"/>
      <c r="E1985" s="8"/>
      <c r="F1985" s="8"/>
      <c r="G1985" s="8"/>
      <c r="H1985" s="8"/>
      <c r="I1985" s="8"/>
      <c r="J1985" s="8"/>
      <c r="K1985" s="8"/>
      <c r="L1985" s="8"/>
    </row>
    <row r="1986" spans="3:12" x14ac:dyDescent="0.25">
      <c r="C1986" s="7"/>
      <c r="E1986" s="8"/>
      <c r="F1986" s="8"/>
      <c r="G1986" s="8"/>
      <c r="H1986" s="8"/>
      <c r="I1986" s="8"/>
      <c r="J1986" s="8"/>
      <c r="K1986" s="8"/>
      <c r="L1986" s="8"/>
    </row>
    <row r="1987" spans="3:12" x14ac:dyDescent="0.25">
      <c r="C1987" s="7"/>
      <c r="E1987" s="8"/>
      <c r="F1987" s="8"/>
      <c r="G1987" s="8"/>
      <c r="H1987" s="8"/>
      <c r="I1987" s="8"/>
      <c r="J1987" s="8"/>
      <c r="K1987" s="8"/>
      <c r="L1987" s="8"/>
    </row>
    <row r="1988" spans="3:12" x14ac:dyDescent="0.25">
      <c r="C1988" s="7"/>
      <c r="E1988" s="8"/>
      <c r="F1988" s="8"/>
      <c r="G1988" s="8"/>
      <c r="H1988" s="8"/>
      <c r="I1988" s="8"/>
      <c r="J1988" s="8"/>
      <c r="K1988" s="8"/>
      <c r="L1988" s="8"/>
    </row>
    <row r="1989" spans="3:12" x14ac:dyDescent="0.25">
      <c r="C1989" s="7"/>
      <c r="E1989" s="8"/>
      <c r="F1989" s="8"/>
      <c r="G1989" s="8"/>
      <c r="H1989" s="8"/>
      <c r="I1989" s="8"/>
      <c r="J1989" s="8"/>
      <c r="K1989" s="8"/>
      <c r="L1989" s="8"/>
    </row>
    <row r="1990" spans="3:12" x14ac:dyDescent="0.25">
      <c r="C1990" s="7"/>
      <c r="E1990" s="8"/>
      <c r="F1990" s="8"/>
      <c r="G1990" s="8"/>
      <c r="H1990" s="8"/>
      <c r="I1990" s="8"/>
      <c r="J1990" s="8"/>
      <c r="K1990" s="8"/>
      <c r="L1990" s="8"/>
    </row>
    <row r="1991" spans="3:12" x14ac:dyDescent="0.25">
      <c r="C1991" s="7"/>
      <c r="E1991" s="8"/>
      <c r="F1991" s="8"/>
      <c r="G1991" s="8"/>
      <c r="H1991" s="8"/>
      <c r="I1991" s="8"/>
      <c r="J1991" s="8"/>
      <c r="K1991" s="8"/>
      <c r="L1991" s="8"/>
    </row>
    <row r="1992" spans="3:12" x14ac:dyDescent="0.25">
      <c r="C1992" s="7"/>
      <c r="E1992" s="8"/>
      <c r="F1992" s="8"/>
      <c r="G1992" s="8"/>
      <c r="H1992" s="8"/>
      <c r="I1992" s="8"/>
      <c r="J1992" s="8"/>
      <c r="K1992" s="8"/>
      <c r="L1992" s="8"/>
    </row>
    <row r="1993" spans="3:12" x14ac:dyDescent="0.25">
      <c r="C1993" s="7"/>
      <c r="E1993" s="8"/>
      <c r="F1993" s="8"/>
      <c r="G1993" s="8"/>
      <c r="H1993" s="8"/>
      <c r="I1993" s="8"/>
      <c r="J1993" s="8"/>
      <c r="K1993" s="8"/>
      <c r="L1993" s="8"/>
    </row>
    <row r="1994" spans="3:12" x14ac:dyDescent="0.25">
      <c r="C1994" s="7"/>
      <c r="E1994" s="8"/>
      <c r="F1994" s="8"/>
      <c r="G1994" s="8"/>
      <c r="H1994" s="8"/>
      <c r="I1994" s="8"/>
      <c r="J1994" s="8"/>
      <c r="K1994" s="8"/>
      <c r="L1994" s="8"/>
    </row>
    <row r="1995" spans="3:12" x14ac:dyDescent="0.25">
      <c r="C1995" s="7"/>
      <c r="E1995" s="8"/>
      <c r="F1995" s="8"/>
      <c r="G1995" s="8"/>
      <c r="H1995" s="8"/>
      <c r="I1995" s="8"/>
      <c r="J1995" s="8"/>
      <c r="K1995" s="8"/>
      <c r="L1995" s="8"/>
    </row>
    <row r="1996" spans="3:12" x14ac:dyDescent="0.25">
      <c r="C1996" s="7"/>
      <c r="E1996" s="8"/>
      <c r="F1996" s="8"/>
      <c r="G1996" s="8"/>
      <c r="H1996" s="8"/>
      <c r="I1996" s="8"/>
      <c r="J1996" s="8"/>
      <c r="K1996" s="8"/>
      <c r="L1996" s="8"/>
    </row>
    <row r="1997" spans="3:12" x14ac:dyDescent="0.25">
      <c r="C1997" s="7"/>
      <c r="E1997" s="8"/>
      <c r="F1997" s="8"/>
      <c r="G1997" s="8"/>
      <c r="H1997" s="8"/>
      <c r="I1997" s="8"/>
      <c r="J1997" s="8"/>
      <c r="K1997" s="8"/>
      <c r="L1997" s="8"/>
    </row>
    <row r="1998" spans="3:12" x14ac:dyDescent="0.25">
      <c r="C1998" s="7"/>
      <c r="E1998" s="8"/>
      <c r="F1998" s="8"/>
      <c r="G1998" s="8"/>
      <c r="H1998" s="8"/>
      <c r="I1998" s="8"/>
      <c r="J1998" s="8"/>
      <c r="K1998" s="8"/>
      <c r="L1998" s="8"/>
    </row>
    <row r="1999" spans="3:12" x14ac:dyDescent="0.25">
      <c r="C1999" s="7"/>
      <c r="E1999" s="8"/>
      <c r="F1999" s="8"/>
      <c r="G1999" s="8"/>
      <c r="H1999" s="8"/>
      <c r="I1999" s="8"/>
      <c r="J1999" s="8"/>
      <c r="K1999" s="8"/>
      <c r="L1999" s="8"/>
    </row>
    <row r="2000" spans="3:12" x14ac:dyDescent="0.25">
      <c r="C2000" s="7"/>
      <c r="E2000" s="8"/>
      <c r="F2000" s="8"/>
      <c r="G2000" s="8"/>
      <c r="H2000" s="8"/>
      <c r="I2000" s="8"/>
      <c r="J2000" s="8"/>
      <c r="K2000" s="8"/>
      <c r="L2000" s="8"/>
    </row>
    <row r="2001" spans="3:12" x14ac:dyDescent="0.25">
      <c r="C2001" s="7"/>
      <c r="E2001" s="8"/>
      <c r="F2001" s="8"/>
      <c r="G2001" s="8"/>
      <c r="H2001" s="8"/>
      <c r="I2001" s="8"/>
      <c r="J2001" s="8"/>
      <c r="K2001" s="8"/>
      <c r="L2001" s="8"/>
    </row>
    <row r="2002" spans="3:12" x14ac:dyDescent="0.25">
      <c r="C2002" s="7"/>
      <c r="E2002" s="8"/>
      <c r="F2002" s="8"/>
      <c r="G2002" s="8"/>
      <c r="H2002" s="8"/>
      <c r="I2002" s="8"/>
      <c r="J2002" s="8"/>
      <c r="K2002" s="8"/>
      <c r="L2002" s="8"/>
    </row>
    <row r="2003" spans="3:12" x14ac:dyDescent="0.25">
      <c r="C2003" s="7"/>
      <c r="E2003" s="8"/>
      <c r="F2003" s="8"/>
      <c r="G2003" s="8"/>
      <c r="H2003" s="8"/>
      <c r="I2003" s="8"/>
      <c r="J2003" s="8"/>
      <c r="K2003" s="8"/>
      <c r="L2003" s="8"/>
    </row>
    <row r="2004" spans="3:12" x14ac:dyDescent="0.25">
      <c r="C2004" s="7"/>
      <c r="E2004" s="8"/>
      <c r="F2004" s="8"/>
      <c r="G2004" s="8"/>
      <c r="H2004" s="8"/>
      <c r="I2004" s="8"/>
      <c r="J2004" s="8"/>
      <c r="K2004" s="8"/>
      <c r="L2004" s="8"/>
    </row>
    <row r="2005" spans="3:12" x14ac:dyDescent="0.25">
      <c r="C2005" s="7"/>
      <c r="E2005" s="8"/>
      <c r="F2005" s="8"/>
      <c r="G2005" s="8"/>
      <c r="H2005" s="8"/>
      <c r="I2005" s="8"/>
      <c r="J2005" s="8"/>
      <c r="K2005" s="8"/>
      <c r="L2005" s="8"/>
    </row>
    <row r="2006" spans="3:12" x14ac:dyDescent="0.25">
      <c r="C2006" s="7"/>
      <c r="E2006" s="8"/>
      <c r="F2006" s="8"/>
      <c r="G2006" s="8"/>
      <c r="H2006" s="8"/>
      <c r="I2006" s="8"/>
      <c r="J2006" s="8"/>
      <c r="K2006" s="8"/>
      <c r="L2006" s="8"/>
    </row>
    <row r="2007" spans="3:12" x14ac:dyDescent="0.25">
      <c r="C2007" s="7"/>
      <c r="E2007" s="8"/>
      <c r="F2007" s="8"/>
      <c r="G2007" s="8"/>
      <c r="H2007" s="8"/>
      <c r="I2007" s="8"/>
      <c r="J2007" s="8"/>
      <c r="K2007" s="8"/>
      <c r="L2007" s="8"/>
    </row>
    <row r="2008" spans="3:12" x14ac:dyDescent="0.25">
      <c r="C2008" s="7"/>
      <c r="E2008" s="8"/>
      <c r="F2008" s="8"/>
      <c r="G2008" s="8"/>
      <c r="H2008" s="8"/>
      <c r="I2008" s="8"/>
      <c r="J2008" s="8"/>
      <c r="K2008" s="8"/>
      <c r="L2008" s="8"/>
    </row>
    <row r="2009" spans="3:12" x14ac:dyDescent="0.25">
      <c r="C2009" s="7"/>
      <c r="E2009" s="8"/>
      <c r="F2009" s="8"/>
      <c r="G2009" s="8"/>
      <c r="H2009" s="8"/>
      <c r="I2009" s="8"/>
      <c r="J2009" s="8"/>
      <c r="K2009" s="8"/>
      <c r="L2009" s="8"/>
    </row>
    <row r="2010" spans="3:12" x14ac:dyDescent="0.25">
      <c r="C2010" s="7"/>
      <c r="E2010" s="8"/>
      <c r="F2010" s="8"/>
      <c r="G2010" s="8"/>
      <c r="H2010" s="8"/>
      <c r="I2010" s="8"/>
      <c r="J2010" s="8"/>
      <c r="K2010" s="8"/>
      <c r="L2010" s="8"/>
    </row>
    <row r="2011" spans="3:12" x14ac:dyDescent="0.25">
      <c r="C2011" s="7"/>
      <c r="E2011" s="8"/>
      <c r="F2011" s="8"/>
      <c r="G2011" s="8"/>
      <c r="H2011" s="8"/>
      <c r="I2011" s="8"/>
      <c r="J2011" s="8"/>
      <c r="K2011" s="8"/>
      <c r="L2011" s="8"/>
    </row>
    <row r="2012" spans="3:12" x14ac:dyDescent="0.25">
      <c r="C2012" s="7"/>
      <c r="E2012" s="8"/>
      <c r="F2012" s="8"/>
      <c r="G2012" s="8"/>
      <c r="H2012" s="8"/>
      <c r="I2012" s="8"/>
      <c r="J2012" s="8"/>
      <c r="K2012" s="8"/>
      <c r="L2012" s="8"/>
    </row>
    <row r="2013" spans="3:12" x14ac:dyDescent="0.25">
      <c r="C2013" s="7"/>
      <c r="E2013" s="8"/>
      <c r="F2013" s="8"/>
      <c r="G2013" s="8"/>
      <c r="H2013" s="8"/>
      <c r="I2013" s="8"/>
      <c r="J2013" s="8"/>
      <c r="K2013" s="8"/>
      <c r="L2013" s="8"/>
    </row>
    <row r="2014" spans="3:12" x14ac:dyDescent="0.25">
      <c r="C2014" s="7"/>
      <c r="E2014" s="8"/>
      <c r="F2014" s="8"/>
      <c r="G2014" s="8"/>
      <c r="H2014" s="8"/>
      <c r="I2014" s="8"/>
      <c r="J2014" s="8"/>
      <c r="K2014" s="8"/>
      <c r="L2014" s="8"/>
    </row>
    <row r="2015" spans="3:12" x14ac:dyDescent="0.25">
      <c r="C2015" s="7"/>
      <c r="E2015" s="8"/>
      <c r="F2015" s="8"/>
      <c r="G2015" s="8"/>
      <c r="H2015" s="8"/>
      <c r="I2015" s="8"/>
      <c r="J2015" s="8"/>
      <c r="K2015" s="8"/>
      <c r="L2015" s="8"/>
    </row>
    <row r="2016" spans="3:12" x14ac:dyDescent="0.25">
      <c r="C2016" s="7"/>
      <c r="E2016" s="8"/>
      <c r="F2016" s="8"/>
      <c r="G2016" s="8"/>
      <c r="H2016" s="8"/>
      <c r="I2016" s="8"/>
      <c r="J2016" s="8"/>
      <c r="K2016" s="8"/>
      <c r="L2016" s="8"/>
    </row>
    <row r="2017" spans="3:12" x14ac:dyDescent="0.25">
      <c r="C2017" s="7"/>
      <c r="E2017" s="8"/>
      <c r="F2017" s="8"/>
      <c r="G2017" s="8"/>
      <c r="H2017" s="8"/>
      <c r="I2017" s="8"/>
      <c r="J2017" s="8"/>
      <c r="K2017" s="8"/>
      <c r="L2017" s="8"/>
    </row>
    <row r="2018" spans="3:12" x14ac:dyDescent="0.25">
      <c r="C2018" s="7"/>
      <c r="E2018" s="8"/>
      <c r="F2018" s="8"/>
      <c r="G2018" s="8"/>
      <c r="H2018" s="8"/>
      <c r="I2018" s="8"/>
      <c r="J2018" s="8"/>
      <c r="K2018" s="8"/>
      <c r="L2018" s="8"/>
    </row>
    <row r="2019" spans="3:12" x14ac:dyDescent="0.25">
      <c r="C2019" s="7"/>
      <c r="E2019" s="8"/>
      <c r="F2019" s="8"/>
      <c r="G2019" s="8"/>
      <c r="H2019" s="8"/>
      <c r="I2019" s="8"/>
      <c r="J2019" s="8"/>
      <c r="K2019" s="8"/>
      <c r="L2019" s="8"/>
    </row>
    <row r="2020" spans="3:12" x14ac:dyDescent="0.25">
      <c r="C2020" s="7"/>
      <c r="E2020" s="8"/>
      <c r="F2020" s="8"/>
      <c r="G2020" s="8"/>
      <c r="H2020" s="8"/>
      <c r="I2020" s="8"/>
      <c r="J2020" s="8"/>
      <c r="K2020" s="8"/>
      <c r="L2020" s="8"/>
    </row>
    <row r="2021" spans="3:12" x14ac:dyDescent="0.25">
      <c r="C2021" s="7"/>
      <c r="E2021" s="8"/>
      <c r="F2021" s="8"/>
      <c r="G2021" s="8"/>
      <c r="H2021" s="8"/>
      <c r="I2021" s="8"/>
      <c r="J2021" s="8"/>
      <c r="K2021" s="8"/>
      <c r="L2021" s="8"/>
    </row>
    <row r="2022" spans="3:12" x14ac:dyDescent="0.25">
      <c r="C2022" s="7"/>
      <c r="E2022" s="8"/>
      <c r="F2022" s="8"/>
      <c r="G2022" s="8"/>
      <c r="H2022" s="8"/>
      <c r="I2022" s="8"/>
      <c r="J2022" s="8"/>
      <c r="K2022" s="8"/>
      <c r="L2022" s="8"/>
    </row>
    <row r="2023" spans="3:12" x14ac:dyDescent="0.25">
      <c r="C2023" s="7"/>
      <c r="E2023" s="8"/>
      <c r="F2023" s="8"/>
      <c r="G2023" s="8"/>
      <c r="H2023" s="8"/>
      <c r="I2023" s="8"/>
      <c r="J2023" s="8"/>
      <c r="K2023" s="8"/>
      <c r="L2023" s="8"/>
    </row>
    <row r="2024" spans="3:12" x14ac:dyDescent="0.25">
      <c r="C2024" s="7"/>
      <c r="E2024" s="8"/>
      <c r="F2024" s="8"/>
      <c r="G2024" s="8"/>
      <c r="H2024" s="8"/>
      <c r="I2024" s="8"/>
      <c r="J2024" s="8"/>
      <c r="K2024" s="8"/>
      <c r="L2024" s="8"/>
    </row>
    <row r="2025" spans="3:12" x14ac:dyDescent="0.25">
      <c r="C2025" s="7"/>
      <c r="E2025" s="8"/>
      <c r="F2025" s="8"/>
      <c r="G2025" s="8"/>
      <c r="H2025" s="8"/>
      <c r="I2025" s="8"/>
      <c r="J2025" s="8"/>
      <c r="K2025" s="8"/>
      <c r="L2025" s="8"/>
    </row>
    <row r="2026" spans="3:12" x14ac:dyDescent="0.25">
      <c r="C2026" s="7"/>
      <c r="E2026" s="8"/>
      <c r="F2026" s="8"/>
      <c r="G2026" s="8"/>
      <c r="H2026" s="8"/>
      <c r="I2026" s="8"/>
      <c r="J2026" s="8"/>
      <c r="K2026" s="8"/>
      <c r="L2026" s="8"/>
    </row>
    <row r="2027" spans="3:12" x14ac:dyDescent="0.25">
      <c r="C2027" s="7"/>
      <c r="E2027" s="8"/>
      <c r="F2027" s="8"/>
      <c r="G2027" s="8"/>
      <c r="H2027" s="8"/>
      <c r="I2027" s="8"/>
      <c r="J2027" s="8"/>
      <c r="K2027" s="8"/>
      <c r="L2027" s="8"/>
    </row>
    <row r="2028" spans="3:12" x14ac:dyDescent="0.25">
      <c r="C2028" s="7"/>
      <c r="E2028" s="8"/>
      <c r="F2028" s="8"/>
      <c r="G2028" s="8"/>
      <c r="H2028" s="8"/>
      <c r="I2028" s="8"/>
      <c r="J2028" s="8"/>
      <c r="K2028" s="8"/>
      <c r="L2028" s="8"/>
    </row>
    <row r="2029" spans="3:12" x14ac:dyDescent="0.25">
      <c r="C2029" s="7"/>
      <c r="E2029" s="8"/>
      <c r="F2029" s="8"/>
      <c r="G2029" s="8"/>
      <c r="H2029" s="8"/>
      <c r="I2029" s="8"/>
      <c r="J2029" s="8"/>
      <c r="K2029" s="8"/>
      <c r="L2029" s="8"/>
    </row>
    <row r="2030" spans="3:12" x14ac:dyDescent="0.25">
      <c r="C2030" s="7"/>
      <c r="E2030" s="8"/>
      <c r="F2030" s="8"/>
      <c r="G2030" s="8"/>
      <c r="H2030" s="8"/>
      <c r="I2030" s="8"/>
      <c r="J2030" s="8"/>
      <c r="K2030" s="8"/>
      <c r="L2030" s="8"/>
    </row>
    <row r="2031" spans="3:12" x14ac:dyDescent="0.25">
      <c r="C2031" s="7"/>
      <c r="E2031" s="8"/>
      <c r="F2031" s="8"/>
      <c r="G2031" s="8"/>
      <c r="H2031" s="8"/>
      <c r="I2031" s="8"/>
      <c r="J2031" s="8"/>
      <c r="K2031" s="8"/>
      <c r="L2031" s="8"/>
    </row>
    <row r="2032" spans="3:12" x14ac:dyDescent="0.25">
      <c r="C2032" s="7"/>
      <c r="E2032" s="8"/>
      <c r="F2032" s="8"/>
      <c r="G2032" s="8"/>
      <c r="H2032" s="8"/>
      <c r="I2032" s="8"/>
      <c r="J2032" s="8"/>
      <c r="K2032" s="8"/>
      <c r="L2032" s="8"/>
    </row>
    <row r="2033" spans="3:12" x14ac:dyDescent="0.25">
      <c r="C2033" s="7"/>
      <c r="E2033" s="8"/>
      <c r="F2033" s="8"/>
      <c r="G2033" s="8"/>
      <c r="H2033" s="8"/>
      <c r="I2033" s="8"/>
      <c r="J2033" s="8"/>
      <c r="K2033" s="8"/>
      <c r="L2033" s="8"/>
    </row>
    <row r="2034" spans="3:12" x14ac:dyDescent="0.25">
      <c r="C2034" s="7"/>
      <c r="E2034" s="8"/>
      <c r="F2034" s="8"/>
      <c r="G2034" s="8"/>
      <c r="H2034" s="8"/>
      <c r="I2034" s="8"/>
      <c r="J2034" s="8"/>
      <c r="K2034" s="8"/>
      <c r="L2034" s="8"/>
    </row>
    <row r="2035" spans="3:12" x14ac:dyDescent="0.25">
      <c r="C2035" s="7"/>
      <c r="E2035" s="8"/>
      <c r="F2035" s="8"/>
      <c r="G2035" s="8"/>
      <c r="H2035" s="8"/>
      <c r="I2035" s="8"/>
      <c r="J2035" s="8"/>
      <c r="K2035" s="8"/>
      <c r="L2035" s="8"/>
    </row>
    <row r="2036" spans="3:12" x14ac:dyDescent="0.25">
      <c r="C2036" s="7"/>
      <c r="E2036" s="8"/>
      <c r="F2036" s="8"/>
      <c r="G2036" s="8"/>
      <c r="H2036" s="8"/>
      <c r="I2036" s="8"/>
      <c r="J2036" s="8"/>
      <c r="K2036" s="8"/>
      <c r="L2036" s="8"/>
    </row>
    <row r="2037" spans="3:12" x14ac:dyDescent="0.25">
      <c r="C2037" s="7"/>
      <c r="E2037" s="8"/>
      <c r="F2037" s="8"/>
      <c r="G2037" s="8"/>
      <c r="H2037" s="8"/>
      <c r="I2037" s="8"/>
      <c r="J2037" s="8"/>
      <c r="K2037" s="8"/>
      <c r="L2037" s="8"/>
    </row>
    <row r="2038" spans="3:12" x14ac:dyDescent="0.25">
      <c r="C2038" s="7"/>
      <c r="E2038" s="8"/>
      <c r="F2038" s="8"/>
      <c r="G2038" s="8"/>
      <c r="H2038" s="8"/>
      <c r="I2038" s="8"/>
      <c r="J2038" s="8"/>
      <c r="K2038" s="8"/>
      <c r="L2038" s="8"/>
    </row>
    <row r="2039" spans="3:12" x14ac:dyDescent="0.25">
      <c r="C2039" s="7"/>
      <c r="E2039" s="8"/>
      <c r="F2039" s="8"/>
      <c r="G2039" s="8"/>
      <c r="H2039" s="8"/>
      <c r="I2039" s="8"/>
      <c r="J2039" s="8"/>
      <c r="K2039" s="8"/>
      <c r="L2039" s="8"/>
    </row>
    <row r="2040" spans="3:12" x14ac:dyDescent="0.25">
      <c r="C2040" s="7"/>
      <c r="E2040" s="8"/>
      <c r="F2040" s="8"/>
      <c r="G2040" s="8"/>
      <c r="H2040" s="8"/>
      <c r="I2040" s="8"/>
      <c r="J2040" s="8"/>
      <c r="K2040" s="8"/>
      <c r="L2040" s="8"/>
    </row>
    <row r="2041" spans="3:12" x14ac:dyDescent="0.25">
      <c r="C2041" s="7"/>
      <c r="E2041" s="8"/>
      <c r="F2041" s="8"/>
      <c r="G2041" s="8"/>
      <c r="H2041" s="8"/>
      <c r="I2041" s="8"/>
      <c r="J2041" s="8"/>
      <c r="K2041" s="8"/>
      <c r="L2041" s="8"/>
    </row>
    <row r="2042" spans="3:12" x14ac:dyDescent="0.25">
      <c r="C2042" s="7"/>
      <c r="E2042" s="8"/>
      <c r="F2042" s="8"/>
      <c r="G2042" s="8"/>
      <c r="H2042" s="8"/>
      <c r="I2042" s="8"/>
      <c r="J2042" s="8"/>
      <c r="K2042" s="8"/>
      <c r="L2042" s="8"/>
    </row>
    <row r="2043" spans="3:12" x14ac:dyDescent="0.25">
      <c r="C2043" s="7"/>
      <c r="E2043" s="8"/>
      <c r="F2043" s="8"/>
      <c r="G2043" s="8"/>
      <c r="H2043" s="8"/>
      <c r="I2043" s="8"/>
      <c r="J2043" s="8"/>
      <c r="K2043" s="8"/>
      <c r="L2043" s="8"/>
    </row>
    <row r="2044" spans="3:12" x14ac:dyDescent="0.25">
      <c r="C2044" s="7"/>
      <c r="E2044" s="8"/>
      <c r="F2044" s="8"/>
      <c r="G2044" s="8"/>
      <c r="H2044" s="8"/>
      <c r="I2044" s="8"/>
      <c r="J2044" s="8"/>
      <c r="K2044" s="8"/>
      <c r="L2044" s="8"/>
    </row>
    <row r="2045" spans="3:12" x14ac:dyDescent="0.25">
      <c r="C2045" s="7"/>
      <c r="E2045" s="8"/>
      <c r="F2045" s="8"/>
      <c r="G2045" s="8"/>
      <c r="H2045" s="8"/>
      <c r="I2045" s="8"/>
      <c r="J2045" s="8"/>
      <c r="K2045" s="8"/>
      <c r="L2045" s="8"/>
    </row>
    <row r="2046" spans="3:12" x14ac:dyDescent="0.25">
      <c r="C2046" s="7"/>
      <c r="E2046" s="8"/>
      <c r="F2046" s="8"/>
      <c r="G2046" s="8"/>
      <c r="H2046" s="8"/>
      <c r="I2046" s="8"/>
      <c r="J2046" s="8"/>
      <c r="K2046" s="8"/>
      <c r="L2046" s="8"/>
    </row>
    <row r="2047" spans="3:12" x14ac:dyDescent="0.25">
      <c r="C2047" s="7"/>
      <c r="E2047" s="8"/>
      <c r="F2047" s="8"/>
      <c r="G2047" s="8"/>
      <c r="H2047" s="8"/>
      <c r="I2047" s="8"/>
      <c r="J2047" s="8"/>
      <c r="K2047" s="8"/>
      <c r="L2047" s="8"/>
    </row>
    <row r="2048" spans="3:12" x14ac:dyDescent="0.25">
      <c r="C2048" s="7"/>
      <c r="E2048" s="8"/>
      <c r="F2048" s="8"/>
      <c r="G2048" s="8"/>
      <c r="H2048" s="8"/>
      <c r="I2048" s="8"/>
      <c r="J2048" s="8"/>
      <c r="K2048" s="8"/>
      <c r="L2048" s="8"/>
    </row>
    <row r="2049" spans="3:12" x14ac:dyDescent="0.25">
      <c r="C2049" s="7"/>
      <c r="E2049" s="8"/>
      <c r="F2049" s="8"/>
      <c r="G2049" s="8"/>
      <c r="H2049" s="8"/>
      <c r="I2049" s="8"/>
      <c r="J2049" s="8"/>
      <c r="K2049" s="8"/>
      <c r="L2049" s="8"/>
    </row>
    <row r="2050" spans="3:12" x14ac:dyDescent="0.25">
      <c r="C2050" s="7"/>
      <c r="E2050" s="8"/>
      <c r="F2050" s="8"/>
      <c r="G2050" s="8"/>
      <c r="H2050" s="8"/>
      <c r="I2050" s="8"/>
      <c r="J2050" s="8"/>
      <c r="K2050" s="8"/>
      <c r="L2050" s="8"/>
    </row>
    <row r="2051" spans="3:12" x14ac:dyDescent="0.25">
      <c r="C2051" s="7"/>
      <c r="E2051" s="8"/>
      <c r="F2051" s="8"/>
      <c r="G2051" s="8"/>
      <c r="H2051" s="8"/>
      <c r="I2051" s="8"/>
      <c r="J2051" s="8"/>
      <c r="K2051" s="8"/>
      <c r="L2051" s="8"/>
    </row>
    <row r="2052" spans="3:12" x14ac:dyDescent="0.25">
      <c r="C2052" s="7"/>
      <c r="E2052" s="8"/>
      <c r="F2052" s="8"/>
      <c r="G2052" s="8"/>
      <c r="H2052" s="8"/>
      <c r="I2052" s="8"/>
      <c r="J2052" s="8"/>
      <c r="K2052" s="8"/>
      <c r="L2052" s="8"/>
    </row>
    <row r="2053" spans="3:12" x14ac:dyDescent="0.25">
      <c r="C2053" s="7"/>
      <c r="E2053" s="8"/>
      <c r="F2053" s="8"/>
      <c r="G2053" s="8"/>
      <c r="H2053" s="8"/>
      <c r="I2053" s="8"/>
      <c r="J2053" s="8"/>
      <c r="K2053" s="8"/>
      <c r="L2053" s="8"/>
    </row>
    <row r="2054" spans="3:12" x14ac:dyDescent="0.25">
      <c r="C2054" s="7"/>
      <c r="E2054" s="8"/>
      <c r="F2054" s="8"/>
      <c r="G2054" s="8"/>
      <c r="H2054" s="8"/>
      <c r="I2054" s="8"/>
      <c r="J2054" s="8"/>
      <c r="K2054" s="8"/>
      <c r="L2054" s="8"/>
    </row>
    <row r="2055" spans="3:12" x14ac:dyDescent="0.25">
      <c r="C2055" s="7"/>
      <c r="E2055" s="8"/>
      <c r="F2055" s="8"/>
      <c r="G2055" s="8"/>
      <c r="H2055" s="8"/>
      <c r="I2055" s="8"/>
      <c r="J2055" s="8"/>
      <c r="K2055" s="8"/>
      <c r="L2055" s="8"/>
    </row>
    <row r="2056" spans="3:12" x14ac:dyDescent="0.25">
      <c r="C2056" s="7"/>
      <c r="E2056" s="8"/>
      <c r="F2056" s="8"/>
      <c r="G2056" s="8"/>
      <c r="H2056" s="8"/>
      <c r="I2056" s="8"/>
      <c r="J2056" s="8"/>
      <c r="K2056" s="8"/>
      <c r="L2056" s="8"/>
    </row>
    <row r="2057" spans="3:12" x14ac:dyDescent="0.25">
      <c r="C2057" s="7"/>
      <c r="E2057" s="8"/>
      <c r="F2057" s="8"/>
      <c r="G2057" s="8"/>
      <c r="H2057" s="8"/>
      <c r="I2057" s="8"/>
      <c r="J2057" s="8"/>
      <c r="K2057" s="8"/>
      <c r="L2057" s="8"/>
    </row>
    <row r="2058" spans="3:12" x14ac:dyDescent="0.25">
      <c r="C2058" s="7"/>
      <c r="E2058" s="8"/>
      <c r="F2058" s="8"/>
      <c r="G2058" s="8"/>
      <c r="H2058" s="8"/>
      <c r="I2058" s="8"/>
      <c r="J2058" s="8"/>
      <c r="K2058" s="8"/>
      <c r="L2058" s="8"/>
    </row>
    <row r="2059" spans="3:12" x14ac:dyDescent="0.25">
      <c r="C2059" s="7"/>
      <c r="E2059" s="8"/>
      <c r="F2059" s="8"/>
      <c r="G2059" s="8"/>
      <c r="H2059" s="8"/>
      <c r="I2059" s="8"/>
      <c r="J2059" s="8"/>
      <c r="K2059" s="8"/>
      <c r="L2059" s="8"/>
    </row>
    <row r="2060" spans="3:12" x14ac:dyDescent="0.25">
      <c r="C2060" s="7"/>
      <c r="E2060" s="8"/>
      <c r="F2060" s="8"/>
      <c r="G2060" s="8"/>
      <c r="H2060" s="8"/>
      <c r="I2060" s="8"/>
      <c r="J2060" s="8"/>
      <c r="K2060" s="8"/>
      <c r="L2060" s="8"/>
    </row>
    <row r="2061" spans="3:12" x14ac:dyDescent="0.25">
      <c r="C2061" s="7"/>
      <c r="E2061" s="8"/>
      <c r="F2061" s="8"/>
      <c r="G2061" s="8"/>
      <c r="H2061" s="8"/>
      <c r="I2061" s="8"/>
      <c r="J2061" s="8"/>
      <c r="K2061" s="8"/>
      <c r="L2061" s="8"/>
    </row>
    <row r="2062" spans="3:12" x14ac:dyDescent="0.25">
      <c r="C2062" s="7"/>
      <c r="E2062" s="8"/>
      <c r="F2062" s="8"/>
      <c r="G2062" s="8"/>
      <c r="H2062" s="8"/>
      <c r="I2062" s="8"/>
      <c r="J2062" s="8"/>
      <c r="K2062" s="8"/>
      <c r="L2062" s="8"/>
    </row>
    <row r="2063" spans="3:12" x14ac:dyDescent="0.25">
      <c r="C2063" s="7"/>
      <c r="E2063" s="8"/>
      <c r="F2063" s="8"/>
      <c r="G2063" s="8"/>
      <c r="H2063" s="8"/>
      <c r="I2063" s="8"/>
      <c r="J2063" s="8"/>
      <c r="K2063" s="8"/>
      <c r="L2063" s="8"/>
    </row>
    <row r="2064" spans="3:12" x14ac:dyDescent="0.25">
      <c r="C2064" s="7"/>
      <c r="E2064" s="8"/>
      <c r="F2064" s="8"/>
      <c r="G2064" s="8"/>
      <c r="H2064" s="8"/>
      <c r="I2064" s="8"/>
      <c r="J2064" s="8"/>
      <c r="K2064" s="8"/>
      <c r="L2064" s="8"/>
    </row>
    <row r="2065" spans="3:12" x14ac:dyDescent="0.25">
      <c r="C2065" s="7"/>
      <c r="E2065" s="8"/>
      <c r="F2065" s="8"/>
      <c r="G2065" s="8"/>
      <c r="H2065" s="8"/>
      <c r="I2065" s="8"/>
      <c r="J2065" s="8"/>
      <c r="K2065" s="8"/>
      <c r="L2065" s="8"/>
    </row>
    <row r="2066" spans="3:12" x14ac:dyDescent="0.25">
      <c r="C2066" s="7"/>
      <c r="E2066" s="8"/>
      <c r="F2066" s="8"/>
      <c r="G2066" s="8"/>
      <c r="H2066" s="8"/>
      <c r="I2066" s="8"/>
      <c r="J2066" s="8"/>
      <c r="K2066" s="8"/>
      <c r="L2066" s="8"/>
    </row>
    <row r="2067" spans="3:12" x14ac:dyDescent="0.25">
      <c r="C2067" s="7"/>
      <c r="E2067" s="8"/>
      <c r="F2067" s="8"/>
      <c r="G2067" s="8"/>
      <c r="H2067" s="8"/>
      <c r="I2067" s="8"/>
      <c r="J2067" s="8"/>
      <c r="K2067" s="8"/>
      <c r="L2067" s="8"/>
    </row>
    <row r="2068" spans="3:12" x14ac:dyDescent="0.25">
      <c r="C2068" s="7"/>
      <c r="E2068" s="8"/>
      <c r="F2068" s="8"/>
      <c r="G2068" s="8"/>
      <c r="H2068" s="8"/>
      <c r="I2068" s="8"/>
      <c r="J2068" s="8"/>
      <c r="K2068" s="8"/>
      <c r="L2068" s="8"/>
    </row>
    <row r="2069" spans="3:12" x14ac:dyDescent="0.25">
      <c r="C2069" s="7"/>
      <c r="E2069" s="8"/>
      <c r="F2069" s="8"/>
      <c r="G2069" s="8"/>
      <c r="H2069" s="8"/>
      <c r="I2069" s="8"/>
      <c r="J2069" s="8"/>
      <c r="K2069" s="8"/>
      <c r="L2069" s="8"/>
    </row>
    <row r="2070" spans="3:12" x14ac:dyDescent="0.25">
      <c r="C2070" s="7"/>
      <c r="E2070" s="8"/>
      <c r="F2070" s="8"/>
      <c r="G2070" s="8"/>
      <c r="H2070" s="8"/>
      <c r="I2070" s="8"/>
      <c r="J2070" s="8"/>
      <c r="K2070" s="8"/>
      <c r="L2070" s="8"/>
    </row>
    <row r="2071" spans="3:12" x14ac:dyDescent="0.25">
      <c r="C2071" s="7"/>
      <c r="E2071" s="8"/>
      <c r="F2071" s="8"/>
      <c r="G2071" s="8"/>
      <c r="H2071" s="8"/>
      <c r="I2071" s="8"/>
      <c r="J2071" s="8"/>
      <c r="K2071" s="8"/>
      <c r="L2071" s="8"/>
    </row>
    <row r="2072" spans="3:12" x14ac:dyDescent="0.25">
      <c r="C2072" s="7"/>
      <c r="E2072" s="8"/>
      <c r="F2072" s="8"/>
      <c r="G2072" s="8"/>
      <c r="H2072" s="8"/>
      <c r="I2072" s="8"/>
      <c r="J2072" s="8"/>
      <c r="K2072" s="8"/>
      <c r="L2072" s="8"/>
    </row>
    <row r="2073" spans="3:12" x14ac:dyDescent="0.25">
      <c r="C2073" s="7"/>
      <c r="E2073" s="8"/>
      <c r="F2073" s="8"/>
      <c r="G2073" s="8"/>
      <c r="H2073" s="8"/>
      <c r="I2073" s="8"/>
      <c r="J2073" s="8"/>
      <c r="K2073" s="8"/>
      <c r="L2073" s="8"/>
    </row>
    <row r="2074" spans="3:12" x14ac:dyDescent="0.25">
      <c r="C2074" s="7"/>
      <c r="E2074" s="8"/>
      <c r="F2074" s="8"/>
      <c r="G2074" s="8"/>
      <c r="H2074" s="8"/>
      <c r="I2074" s="8"/>
      <c r="J2074" s="8"/>
      <c r="K2074" s="8"/>
      <c r="L2074" s="8"/>
    </row>
    <row r="2075" spans="3:12" x14ac:dyDescent="0.25">
      <c r="C2075" s="7"/>
      <c r="E2075" s="8"/>
      <c r="F2075" s="8"/>
      <c r="G2075" s="8"/>
      <c r="H2075" s="8"/>
      <c r="I2075" s="8"/>
      <c r="J2075" s="8"/>
      <c r="K2075" s="8"/>
      <c r="L2075" s="8"/>
    </row>
    <row r="2076" spans="3:12" x14ac:dyDescent="0.25">
      <c r="C2076" s="7"/>
      <c r="E2076" s="8"/>
      <c r="F2076" s="8"/>
      <c r="G2076" s="8"/>
      <c r="H2076" s="8"/>
      <c r="I2076" s="8"/>
      <c r="J2076" s="8"/>
      <c r="K2076" s="8"/>
      <c r="L2076" s="8"/>
    </row>
    <row r="2077" spans="3:12" x14ac:dyDescent="0.25">
      <c r="C2077" s="7"/>
      <c r="E2077" s="8"/>
      <c r="F2077" s="8"/>
      <c r="G2077" s="8"/>
      <c r="H2077" s="8"/>
      <c r="I2077" s="8"/>
      <c r="J2077" s="8"/>
      <c r="K2077" s="8"/>
      <c r="L2077" s="8"/>
    </row>
    <row r="2078" spans="3:12" x14ac:dyDescent="0.25">
      <c r="C2078" s="7"/>
      <c r="E2078" s="8"/>
      <c r="F2078" s="8"/>
      <c r="G2078" s="8"/>
      <c r="H2078" s="8"/>
      <c r="I2078" s="8"/>
      <c r="J2078" s="8"/>
      <c r="K2078" s="8"/>
      <c r="L2078" s="8"/>
    </row>
    <row r="2079" spans="3:12" x14ac:dyDescent="0.25">
      <c r="C2079" s="7"/>
      <c r="E2079" s="8"/>
      <c r="F2079" s="8"/>
      <c r="G2079" s="8"/>
      <c r="H2079" s="8"/>
      <c r="I2079" s="8"/>
      <c r="J2079" s="8"/>
      <c r="K2079" s="8"/>
      <c r="L2079" s="8"/>
    </row>
    <row r="2080" spans="3:12" x14ac:dyDescent="0.25">
      <c r="C2080" s="7"/>
      <c r="E2080" s="8"/>
      <c r="F2080" s="8"/>
      <c r="G2080" s="8"/>
      <c r="H2080" s="8"/>
      <c r="I2080" s="8"/>
      <c r="J2080" s="8"/>
      <c r="K2080" s="8"/>
      <c r="L2080" s="8"/>
    </row>
    <row r="2081" spans="3:12" x14ac:dyDescent="0.25">
      <c r="C2081" s="7"/>
      <c r="E2081" s="8"/>
      <c r="F2081" s="8"/>
      <c r="G2081" s="8"/>
      <c r="H2081" s="8"/>
      <c r="I2081" s="8"/>
      <c r="J2081" s="8"/>
      <c r="K2081" s="8"/>
      <c r="L2081" s="8"/>
    </row>
    <row r="2082" spans="3:12" x14ac:dyDescent="0.25">
      <c r="C2082" s="7"/>
      <c r="E2082" s="8"/>
      <c r="F2082" s="8"/>
      <c r="G2082" s="8"/>
      <c r="H2082" s="8"/>
      <c r="I2082" s="8"/>
      <c r="J2082" s="8"/>
      <c r="K2082" s="8"/>
      <c r="L2082" s="8"/>
    </row>
    <row r="2083" spans="3:12" x14ac:dyDescent="0.25">
      <c r="C2083" s="7"/>
      <c r="E2083" s="8"/>
      <c r="F2083" s="8"/>
      <c r="G2083" s="8"/>
      <c r="H2083" s="8"/>
      <c r="I2083" s="8"/>
      <c r="J2083" s="8"/>
      <c r="K2083" s="8"/>
      <c r="L2083" s="8"/>
    </row>
    <row r="2084" spans="3:12" x14ac:dyDescent="0.25">
      <c r="C2084" s="7"/>
      <c r="E2084" s="8"/>
      <c r="F2084" s="8"/>
      <c r="G2084" s="8"/>
      <c r="H2084" s="8"/>
      <c r="I2084" s="8"/>
      <c r="J2084" s="8"/>
      <c r="K2084" s="8"/>
      <c r="L2084" s="8"/>
    </row>
    <row r="2085" spans="3:12" x14ac:dyDescent="0.25">
      <c r="C2085" s="7"/>
      <c r="E2085" s="8"/>
      <c r="F2085" s="8"/>
      <c r="G2085" s="8"/>
      <c r="H2085" s="8"/>
      <c r="I2085" s="8"/>
      <c r="J2085" s="8"/>
      <c r="K2085" s="8"/>
      <c r="L2085" s="8"/>
    </row>
    <row r="2086" spans="3:12" x14ac:dyDescent="0.25">
      <c r="C2086" s="7"/>
      <c r="E2086" s="8"/>
      <c r="F2086" s="8"/>
      <c r="G2086" s="8"/>
      <c r="H2086" s="8"/>
      <c r="I2086" s="8"/>
      <c r="J2086" s="8"/>
      <c r="K2086" s="8"/>
      <c r="L2086" s="8"/>
    </row>
    <row r="2087" spans="3:12" x14ac:dyDescent="0.25">
      <c r="C2087" s="7"/>
      <c r="E2087" s="8"/>
      <c r="F2087" s="8"/>
      <c r="G2087" s="8"/>
      <c r="H2087" s="8"/>
      <c r="I2087" s="8"/>
      <c r="J2087" s="8"/>
      <c r="K2087" s="8"/>
      <c r="L2087" s="8"/>
    </row>
    <row r="2088" spans="3:12" x14ac:dyDescent="0.25">
      <c r="C2088" s="7"/>
      <c r="E2088" s="8"/>
      <c r="F2088" s="8"/>
      <c r="G2088" s="8"/>
      <c r="H2088" s="8"/>
      <c r="I2088" s="8"/>
      <c r="J2088" s="8"/>
      <c r="K2088" s="8"/>
      <c r="L2088" s="8"/>
    </row>
    <row r="2089" spans="3:12" x14ac:dyDescent="0.25">
      <c r="C2089" s="7"/>
      <c r="E2089" s="8"/>
      <c r="F2089" s="8"/>
      <c r="G2089" s="8"/>
      <c r="H2089" s="8"/>
      <c r="I2089" s="8"/>
      <c r="J2089" s="8"/>
      <c r="K2089" s="8"/>
      <c r="L2089" s="8"/>
    </row>
    <row r="2090" spans="3:12" x14ac:dyDescent="0.25">
      <c r="C2090" s="7"/>
      <c r="E2090" s="8"/>
      <c r="F2090" s="8"/>
      <c r="G2090" s="8"/>
      <c r="H2090" s="8"/>
      <c r="I2090" s="8"/>
      <c r="J2090" s="8"/>
      <c r="K2090" s="8"/>
      <c r="L2090" s="8"/>
    </row>
    <row r="2091" spans="3:12" x14ac:dyDescent="0.25">
      <c r="C2091" s="7"/>
      <c r="E2091" s="8"/>
      <c r="F2091" s="8"/>
      <c r="G2091" s="8"/>
      <c r="H2091" s="8"/>
      <c r="I2091" s="8"/>
      <c r="J2091" s="8"/>
      <c r="K2091" s="8"/>
      <c r="L2091" s="8"/>
    </row>
    <row r="2092" spans="3:12" x14ac:dyDescent="0.25">
      <c r="C2092" s="7"/>
      <c r="E2092" s="8"/>
      <c r="F2092" s="8"/>
      <c r="G2092" s="8"/>
      <c r="H2092" s="8"/>
      <c r="I2092" s="8"/>
      <c r="J2092" s="8"/>
      <c r="K2092" s="8"/>
      <c r="L2092" s="8"/>
    </row>
    <row r="2093" spans="3:12" x14ac:dyDescent="0.25">
      <c r="C2093" s="7"/>
      <c r="E2093" s="8"/>
      <c r="F2093" s="8"/>
      <c r="G2093" s="8"/>
      <c r="H2093" s="8"/>
      <c r="I2093" s="8"/>
      <c r="J2093" s="8"/>
      <c r="K2093" s="8"/>
      <c r="L2093" s="8"/>
    </row>
    <row r="2094" spans="3:12" x14ac:dyDescent="0.25">
      <c r="C2094" s="7"/>
      <c r="E2094" s="8"/>
      <c r="F2094" s="8"/>
      <c r="G2094" s="8"/>
      <c r="H2094" s="8"/>
      <c r="I2094" s="8"/>
      <c r="J2094" s="8"/>
      <c r="K2094" s="8"/>
      <c r="L2094" s="8"/>
    </row>
    <row r="2095" spans="3:12" x14ac:dyDescent="0.25">
      <c r="C2095" s="7"/>
      <c r="E2095" s="8"/>
      <c r="F2095" s="8"/>
      <c r="G2095" s="8"/>
      <c r="H2095" s="8"/>
      <c r="I2095" s="8"/>
      <c r="J2095" s="8"/>
      <c r="K2095" s="8"/>
      <c r="L2095" s="8"/>
    </row>
    <row r="2096" spans="3:12" x14ac:dyDescent="0.25">
      <c r="C2096" s="7"/>
      <c r="E2096" s="8"/>
      <c r="F2096" s="8"/>
      <c r="G2096" s="8"/>
      <c r="H2096" s="8"/>
      <c r="I2096" s="8"/>
      <c r="J2096" s="8"/>
      <c r="K2096" s="8"/>
      <c r="L2096" s="8"/>
    </row>
    <row r="2097" spans="3:12" x14ac:dyDescent="0.25">
      <c r="C2097" s="7"/>
      <c r="E2097" s="8"/>
      <c r="F2097" s="8"/>
      <c r="G2097" s="8"/>
      <c r="H2097" s="8"/>
      <c r="I2097" s="8"/>
      <c r="J2097" s="8"/>
      <c r="K2097" s="8"/>
      <c r="L2097" s="8"/>
    </row>
    <row r="2098" spans="3:12" x14ac:dyDescent="0.25">
      <c r="C2098" s="7"/>
      <c r="E2098" s="8"/>
      <c r="F2098" s="8"/>
      <c r="G2098" s="8"/>
      <c r="H2098" s="8"/>
      <c r="I2098" s="8"/>
      <c r="J2098" s="8"/>
      <c r="K2098" s="8"/>
      <c r="L2098" s="8"/>
    </row>
    <row r="2099" spans="3:12" x14ac:dyDescent="0.25">
      <c r="C2099" s="7"/>
      <c r="E2099" s="8"/>
      <c r="F2099" s="8"/>
      <c r="G2099" s="8"/>
      <c r="H2099" s="8"/>
      <c r="I2099" s="8"/>
      <c r="J2099" s="8"/>
      <c r="K2099" s="8"/>
      <c r="L2099" s="8"/>
    </row>
    <row r="2100" spans="3:12" x14ac:dyDescent="0.25">
      <c r="C2100" s="7"/>
      <c r="E2100" s="8"/>
      <c r="F2100" s="8"/>
      <c r="G2100" s="8"/>
      <c r="H2100" s="8"/>
      <c r="I2100" s="8"/>
      <c r="J2100" s="8"/>
      <c r="K2100" s="8"/>
      <c r="L2100" s="8"/>
    </row>
    <row r="2101" spans="3:12" x14ac:dyDescent="0.25">
      <c r="C2101" s="7"/>
      <c r="E2101" s="8"/>
      <c r="F2101" s="8"/>
      <c r="G2101" s="8"/>
      <c r="H2101" s="8"/>
      <c r="I2101" s="8"/>
      <c r="J2101" s="8"/>
      <c r="K2101" s="8"/>
      <c r="L2101" s="8"/>
    </row>
    <row r="2102" spans="3:12" x14ac:dyDescent="0.25">
      <c r="C2102" s="7"/>
      <c r="E2102" s="8"/>
      <c r="F2102" s="8"/>
      <c r="G2102" s="8"/>
      <c r="H2102" s="8"/>
      <c r="I2102" s="8"/>
      <c r="J2102" s="8"/>
      <c r="K2102" s="8"/>
      <c r="L2102" s="8"/>
    </row>
    <row r="2103" spans="3:12" x14ac:dyDescent="0.25">
      <c r="C2103" s="7"/>
      <c r="E2103" s="8"/>
      <c r="F2103" s="8"/>
      <c r="G2103" s="8"/>
      <c r="H2103" s="8"/>
      <c r="I2103" s="8"/>
      <c r="J2103" s="8"/>
      <c r="K2103" s="8"/>
      <c r="L2103" s="8"/>
    </row>
    <row r="2104" spans="3:12" x14ac:dyDescent="0.25">
      <c r="C2104" s="7"/>
      <c r="E2104" s="8"/>
      <c r="F2104" s="8"/>
      <c r="G2104" s="8"/>
      <c r="H2104" s="8"/>
      <c r="I2104" s="8"/>
      <c r="J2104" s="8"/>
      <c r="K2104" s="8"/>
      <c r="L2104" s="8"/>
    </row>
    <row r="2105" spans="3:12" x14ac:dyDescent="0.25">
      <c r="C2105" s="7"/>
      <c r="E2105" s="8"/>
      <c r="F2105" s="8"/>
      <c r="G2105" s="8"/>
      <c r="H2105" s="8"/>
      <c r="I2105" s="8"/>
      <c r="J2105" s="8"/>
      <c r="K2105" s="8"/>
      <c r="L2105" s="8"/>
    </row>
    <row r="2106" spans="3:12" x14ac:dyDescent="0.25">
      <c r="C2106" s="7"/>
      <c r="E2106" s="8"/>
      <c r="F2106" s="8"/>
      <c r="G2106" s="8"/>
      <c r="H2106" s="8"/>
      <c r="I2106" s="8"/>
      <c r="J2106" s="8"/>
      <c r="K2106" s="8"/>
      <c r="L2106" s="8"/>
    </row>
    <row r="2107" spans="3:12" x14ac:dyDescent="0.25">
      <c r="C2107" s="7"/>
      <c r="E2107" s="8"/>
      <c r="F2107" s="8"/>
      <c r="G2107" s="8"/>
      <c r="H2107" s="8"/>
      <c r="I2107" s="8"/>
      <c r="J2107" s="8"/>
      <c r="K2107" s="8"/>
      <c r="L2107" s="8"/>
    </row>
    <row r="2108" spans="3:12" x14ac:dyDescent="0.25">
      <c r="C2108" s="7"/>
      <c r="E2108" s="8"/>
      <c r="F2108" s="8"/>
      <c r="G2108" s="8"/>
      <c r="H2108" s="8"/>
      <c r="I2108" s="8"/>
      <c r="J2108" s="8"/>
      <c r="K2108" s="8"/>
      <c r="L2108" s="8"/>
    </row>
    <row r="2109" spans="3:12" x14ac:dyDescent="0.25">
      <c r="C2109" s="7"/>
      <c r="E2109" s="8"/>
      <c r="F2109" s="8"/>
      <c r="G2109" s="8"/>
      <c r="H2109" s="8"/>
      <c r="I2109" s="8"/>
      <c r="J2109" s="8"/>
      <c r="K2109" s="8"/>
      <c r="L2109" s="8"/>
    </row>
    <row r="2110" spans="3:12" x14ac:dyDescent="0.25">
      <c r="C2110" s="7"/>
      <c r="E2110" s="8"/>
      <c r="F2110" s="8"/>
      <c r="G2110" s="8"/>
      <c r="H2110" s="8"/>
      <c r="I2110" s="8"/>
      <c r="J2110" s="8"/>
      <c r="K2110" s="8"/>
      <c r="L2110" s="8"/>
    </row>
    <row r="2111" spans="3:12" x14ac:dyDescent="0.25">
      <c r="C2111" s="7"/>
      <c r="E2111" s="8"/>
      <c r="F2111" s="8"/>
      <c r="G2111" s="8"/>
      <c r="H2111" s="8"/>
      <c r="I2111" s="8"/>
      <c r="J2111" s="8"/>
      <c r="K2111" s="8"/>
      <c r="L2111" s="8"/>
    </row>
    <row r="2112" spans="3:12" x14ac:dyDescent="0.25">
      <c r="C2112" s="7"/>
      <c r="E2112" s="8"/>
      <c r="F2112" s="8"/>
      <c r="G2112" s="8"/>
      <c r="H2112" s="8"/>
      <c r="I2112" s="8"/>
      <c r="J2112" s="8"/>
      <c r="K2112" s="8"/>
      <c r="L2112" s="8"/>
    </row>
    <row r="2113" spans="3:12" x14ac:dyDescent="0.25">
      <c r="C2113" s="7"/>
      <c r="E2113" s="8"/>
      <c r="F2113" s="8"/>
      <c r="G2113" s="8"/>
      <c r="H2113" s="8"/>
      <c r="I2113" s="8"/>
      <c r="J2113" s="8"/>
      <c r="K2113" s="8"/>
      <c r="L2113" s="8"/>
    </row>
    <row r="2114" spans="3:12" x14ac:dyDescent="0.25">
      <c r="C2114" s="7"/>
      <c r="E2114" s="8"/>
      <c r="F2114" s="8"/>
      <c r="G2114" s="8"/>
      <c r="H2114" s="8"/>
      <c r="I2114" s="8"/>
      <c r="J2114" s="8"/>
      <c r="K2114" s="8"/>
      <c r="L2114" s="8"/>
    </row>
    <row r="2115" spans="3:12" x14ac:dyDescent="0.25">
      <c r="C2115" s="7"/>
      <c r="E2115" s="8"/>
      <c r="F2115" s="8"/>
      <c r="G2115" s="8"/>
      <c r="H2115" s="8"/>
      <c r="I2115" s="8"/>
      <c r="J2115" s="8"/>
      <c r="K2115" s="8"/>
      <c r="L2115" s="8"/>
    </row>
    <row r="2116" spans="3:12" x14ac:dyDescent="0.25">
      <c r="C2116" s="7"/>
      <c r="E2116" s="8"/>
      <c r="F2116" s="8"/>
      <c r="G2116" s="8"/>
      <c r="H2116" s="8"/>
      <c r="I2116" s="8"/>
      <c r="J2116" s="8"/>
      <c r="K2116" s="8"/>
      <c r="L2116" s="8"/>
    </row>
    <row r="2117" spans="3:12" x14ac:dyDescent="0.25">
      <c r="C2117" s="7"/>
      <c r="E2117" s="8"/>
      <c r="F2117" s="8"/>
      <c r="G2117" s="8"/>
      <c r="H2117" s="8"/>
      <c r="I2117" s="8"/>
      <c r="J2117" s="8"/>
      <c r="K2117" s="8"/>
      <c r="L2117" s="8"/>
    </row>
    <row r="2118" spans="3:12" x14ac:dyDescent="0.25">
      <c r="C2118" s="7"/>
      <c r="E2118" s="8"/>
      <c r="F2118" s="8"/>
      <c r="G2118" s="8"/>
      <c r="H2118" s="8"/>
      <c r="I2118" s="8"/>
      <c r="J2118" s="8"/>
      <c r="K2118" s="8"/>
      <c r="L2118" s="8"/>
    </row>
    <row r="2119" spans="3:12" x14ac:dyDescent="0.25">
      <c r="C2119" s="7"/>
      <c r="E2119" s="8"/>
      <c r="F2119" s="8"/>
      <c r="G2119" s="8"/>
      <c r="H2119" s="8"/>
      <c r="I2119" s="8"/>
      <c r="J2119" s="8"/>
      <c r="K2119" s="8"/>
      <c r="L2119" s="8"/>
    </row>
    <row r="2120" spans="3:12" x14ac:dyDescent="0.25">
      <c r="C2120" s="7"/>
      <c r="E2120" s="8"/>
      <c r="F2120" s="8"/>
      <c r="G2120" s="8"/>
      <c r="H2120" s="8"/>
      <c r="I2120" s="8"/>
      <c r="J2120" s="8"/>
      <c r="K2120" s="8"/>
      <c r="L2120" s="8"/>
    </row>
    <row r="2121" spans="3:12" x14ac:dyDescent="0.25">
      <c r="C2121" s="7"/>
      <c r="E2121" s="8"/>
      <c r="F2121" s="8"/>
      <c r="G2121" s="8"/>
      <c r="H2121" s="8"/>
      <c r="I2121" s="8"/>
      <c r="J2121" s="8"/>
      <c r="K2121" s="8"/>
      <c r="L2121" s="8"/>
    </row>
    <row r="2122" spans="3:12" x14ac:dyDescent="0.25">
      <c r="C2122" s="7"/>
      <c r="E2122" s="8"/>
      <c r="F2122" s="8"/>
      <c r="G2122" s="8"/>
      <c r="H2122" s="8"/>
      <c r="I2122" s="8"/>
      <c r="J2122" s="8"/>
      <c r="K2122" s="8"/>
      <c r="L2122" s="8"/>
    </row>
    <row r="2123" spans="3:12" x14ac:dyDescent="0.25">
      <c r="C2123" s="7"/>
      <c r="E2123" s="8"/>
      <c r="F2123" s="8"/>
      <c r="G2123" s="8"/>
      <c r="H2123" s="8"/>
      <c r="I2123" s="8"/>
      <c r="J2123" s="8"/>
      <c r="K2123" s="8"/>
      <c r="L2123" s="8"/>
    </row>
    <row r="2124" spans="3:12" x14ac:dyDescent="0.25">
      <c r="C2124" s="7"/>
      <c r="E2124" s="8"/>
      <c r="F2124" s="8"/>
      <c r="G2124" s="8"/>
      <c r="H2124" s="8"/>
      <c r="I2124" s="8"/>
      <c r="J2124" s="8"/>
      <c r="K2124" s="8"/>
      <c r="L2124" s="8"/>
    </row>
    <row r="2125" spans="3:12" x14ac:dyDescent="0.25">
      <c r="C2125" s="7"/>
      <c r="E2125" s="8"/>
      <c r="F2125" s="8"/>
      <c r="G2125" s="8"/>
      <c r="H2125" s="8"/>
      <c r="I2125" s="8"/>
      <c r="J2125" s="8"/>
      <c r="K2125" s="8"/>
      <c r="L2125" s="8"/>
    </row>
    <row r="2126" spans="3:12" x14ac:dyDescent="0.25">
      <c r="C2126" s="7"/>
      <c r="E2126" s="8"/>
      <c r="F2126" s="8"/>
      <c r="G2126" s="8"/>
      <c r="H2126" s="8"/>
      <c r="I2126" s="8"/>
      <c r="J2126" s="8"/>
      <c r="K2126" s="8"/>
      <c r="L2126" s="8"/>
    </row>
    <row r="2127" spans="3:12" x14ac:dyDescent="0.25">
      <c r="C2127" s="7"/>
      <c r="E2127" s="8"/>
      <c r="F2127" s="8"/>
      <c r="G2127" s="8"/>
      <c r="H2127" s="8"/>
      <c r="I2127" s="8"/>
      <c r="J2127" s="8"/>
      <c r="K2127" s="8"/>
      <c r="L2127" s="8"/>
    </row>
    <row r="2128" spans="3:12" x14ac:dyDescent="0.25">
      <c r="C2128" s="7"/>
      <c r="E2128" s="8"/>
      <c r="F2128" s="8"/>
      <c r="G2128" s="8"/>
      <c r="H2128" s="8"/>
      <c r="I2128" s="8"/>
      <c r="J2128" s="8"/>
      <c r="K2128" s="8"/>
      <c r="L2128" s="8"/>
    </row>
    <row r="2129" spans="3:12" x14ac:dyDescent="0.25">
      <c r="C2129" s="7"/>
      <c r="E2129" s="8"/>
      <c r="F2129" s="8"/>
      <c r="G2129" s="8"/>
      <c r="H2129" s="8"/>
      <c r="I2129" s="8"/>
      <c r="J2129" s="8"/>
      <c r="K2129" s="8"/>
      <c r="L2129" s="8"/>
    </row>
    <row r="2130" spans="3:12" x14ac:dyDescent="0.25">
      <c r="C2130" s="7"/>
      <c r="E2130" s="8"/>
      <c r="F2130" s="8"/>
      <c r="G2130" s="8"/>
      <c r="H2130" s="8"/>
      <c r="I2130" s="8"/>
      <c r="J2130" s="8"/>
      <c r="K2130" s="8"/>
      <c r="L2130" s="8"/>
    </row>
    <row r="2131" spans="3:12" x14ac:dyDescent="0.25">
      <c r="C2131" s="7"/>
      <c r="E2131" s="8"/>
      <c r="F2131" s="8"/>
      <c r="G2131" s="8"/>
      <c r="H2131" s="8"/>
      <c r="I2131" s="8"/>
      <c r="J2131" s="8"/>
      <c r="K2131" s="8"/>
      <c r="L2131" s="8"/>
    </row>
    <row r="2132" spans="3:12" x14ac:dyDescent="0.25">
      <c r="C2132" s="7"/>
      <c r="E2132" s="8"/>
      <c r="F2132" s="8"/>
      <c r="G2132" s="8"/>
      <c r="H2132" s="8"/>
      <c r="I2132" s="8"/>
      <c r="J2132" s="8"/>
      <c r="K2132" s="8"/>
      <c r="L2132" s="8"/>
    </row>
    <row r="2133" spans="3:12" x14ac:dyDescent="0.25">
      <c r="C2133" s="7"/>
      <c r="E2133" s="8"/>
      <c r="F2133" s="8"/>
      <c r="G2133" s="8"/>
      <c r="H2133" s="8"/>
      <c r="I2133" s="8"/>
      <c r="J2133" s="8"/>
      <c r="K2133" s="8"/>
      <c r="L2133" s="8"/>
    </row>
    <row r="2134" spans="3:12" x14ac:dyDescent="0.25">
      <c r="C2134" s="7"/>
      <c r="E2134" s="8"/>
      <c r="F2134" s="8"/>
      <c r="G2134" s="8"/>
      <c r="H2134" s="8"/>
      <c r="I2134" s="8"/>
      <c r="J2134" s="8"/>
      <c r="K2134" s="8"/>
      <c r="L2134" s="8"/>
    </row>
    <row r="2135" spans="3:12" x14ac:dyDescent="0.25">
      <c r="C2135" s="7"/>
      <c r="E2135" s="8"/>
      <c r="F2135" s="8"/>
      <c r="G2135" s="8"/>
      <c r="H2135" s="8"/>
      <c r="I2135" s="8"/>
      <c r="J2135" s="8"/>
      <c r="K2135" s="8"/>
      <c r="L2135" s="8"/>
    </row>
    <row r="2136" spans="3:12" x14ac:dyDescent="0.25">
      <c r="C2136" s="7"/>
      <c r="E2136" s="8"/>
      <c r="F2136" s="8"/>
      <c r="G2136" s="8"/>
      <c r="H2136" s="8"/>
      <c r="I2136" s="8"/>
      <c r="J2136" s="8"/>
      <c r="K2136" s="8"/>
      <c r="L2136" s="8"/>
    </row>
    <row r="2137" spans="3:12" x14ac:dyDescent="0.25">
      <c r="C2137" s="7"/>
      <c r="E2137" s="8"/>
      <c r="F2137" s="8"/>
      <c r="G2137" s="8"/>
      <c r="H2137" s="8"/>
      <c r="I2137" s="8"/>
      <c r="J2137" s="8"/>
      <c r="K2137" s="8"/>
      <c r="L2137" s="8"/>
    </row>
    <row r="2138" spans="3:12" x14ac:dyDescent="0.25">
      <c r="C2138" s="7"/>
      <c r="E2138" s="8"/>
      <c r="F2138" s="8"/>
      <c r="G2138" s="8"/>
      <c r="H2138" s="8"/>
      <c r="I2138" s="8"/>
      <c r="J2138" s="8"/>
      <c r="K2138" s="8"/>
      <c r="L2138" s="8"/>
    </row>
    <row r="2139" spans="3:12" x14ac:dyDescent="0.25">
      <c r="C2139" s="7"/>
      <c r="E2139" s="8"/>
      <c r="F2139" s="8"/>
      <c r="G2139" s="8"/>
      <c r="H2139" s="8"/>
      <c r="I2139" s="8"/>
      <c r="J2139" s="8"/>
      <c r="K2139" s="8"/>
      <c r="L2139" s="8"/>
    </row>
    <row r="2140" spans="3:12" x14ac:dyDescent="0.25">
      <c r="C2140" s="7"/>
      <c r="E2140" s="8"/>
      <c r="F2140" s="8"/>
      <c r="G2140" s="8"/>
      <c r="H2140" s="8"/>
      <c r="I2140" s="8"/>
      <c r="J2140" s="8"/>
      <c r="K2140" s="8"/>
      <c r="L2140" s="8"/>
    </row>
    <row r="2141" spans="3:12" x14ac:dyDescent="0.25">
      <c r="C2141" s="7"/>
      <c r="E2141" s="8"/>
      <c r="F2141" s="8"/>
      <c r="G2141" s="8"/>
      <c r="H2141" s="8"/>
      <c r="I2141" s="8"/>
      <c r="J2141" s="8"/>
      <c r="K2141" s="8"/>
      <c r="L2141" s="8"/>
    </row>
    <row r="2142" spans="3:12" x14ac:dyDescent="0.25">
      <c r="C2142" s="7"/>
      <c r="E2142" s="8"/>
      <c r="F2142" s="8"/>
      <c r="G2142" s="8"/>
      <c r="H2142" s="8"/>
      <c r="I2142" s="8"/>
      <c r="J2142" s="8"/>
      <c r="K2142" s="8"/>
      <c r="L2142" s="8"/>
    </row>
    <row r="2143" spans="3:12" x14ac:dyDescent="0.25">
      <c r="C2143" s="7"/>
      <c r="E2143" s="8"/>
      <c r="F2143" s="8"/>
      <c r="G2143" s="8"/>
      <c r="H2143" s="8"/>
      <c r="I2143" s="8"/>
      <c r="J2143" s="8"/>
      <c r="K2143" s="8"/>
      <c r="L2143" s="8"/>
    </row>
    <row r="2144" spans="3:12" x14ac:dyDescent="0.25">
      <c r="C2144" s="7"/>
      <c r="E2144" s="8"/>
      <c r="F2144" s="8"/>
      <c r="G2144" s="8"/>
      <c r="H2144" s="8"/>
      <c r="I2144" s="8"/>
      <c r="J2144" s="8"/>
      <c r="K2144" s="8"/>
      <c r="L2144" s="8"/>
    </row>
    <row r="2145" spans="3:12" x14ac:dyDescent="0.25">
      <c r="C2145" s="7"/>
      <c r="E2145" s="8"/>
      <c r="F2145" s="8"/>
      <c r="G2145" s="8"/>
      <c r="H2145" s="8"/>
      <c r="I2145" s="8"/>
      <c r="J2145" s="8"/>
      <c r="K2145" s="8"/>
      <c r="L2145" s="8"/>
    </row>
    <row r="2146" spans="3:12" x14ac:dyDescent="0.25">
      <c r="C2146" s="7"/>
      <c r="E2146" s="8"/>
      <c r="F2146" s="8"/>
      <c r="G2146" s="8"/>
      <c r="H2146" s="8"/>
      <c r="I2146" s="8"/>
      <c r="J2146" s="8"/>
      <c r="K2146" s="8"/>
      <c r="L2146" s="8"/>
    </row>
    <row r="2147" spans="3:12" x14ac:dyDescent="0.25">
      <c r="C2147" s="7"/>
      <c r="E2147" s="8"/>
      <c r="F2147" s="8"/>
      <c r="G2147" s="8"/>
      <c r="H2147" s="8"/>
      <c r="I2147" s="8"/>
      <c r="J2147" s="8"/>
      <c r="K2147" s="8"/>
      <c r="L2147" s="8"/>
    </row>
    <row r="2148" spans="3:12" x14ac:dyDescent="0.25">
      <c r="C2148" s="7"/>
      <c r="E2148" s="8"/>
      <c r="F2148" s="8"/>
      <c r="G2148" s="8"/>
      <c r="H2148" s="8"/>
      <c r="I2148" s="8"/>
      <c r="J2148" s="8"/>
      <c r="K2148" s="8"/>
      <c r="L2148" s="8"/>
    </row>
    <row r="2149" spans="3:12" x14ac:dyDescent="0.25">
      <c r="C2149" s="7"/>
      <c r="E2149" s="8"/>
      <c r="F2149" s="8"/>
      <c r="G2149" s="8"/>
      <c r="H2149" s="8"/>
      <c r="I2149" s="8"/>
      <c r="J2149" s="8"/>
      <c r="K2149" s="8"/>
      <c r="L2149" s="8"/>
    </row>
    <row r="2150" spans="3:12" x14ac:dyDescent="0.25">
      <c r="C2150" s="7"/>
      <c r="E2150" s="8"/>
      <c r="F2150" s="8"/>
      <c r="G2150" s="8"/>
      <c r="H2150" s="8"/>
      <c r="I2150" s="8"/>
      <c r="J2150" s="8"/>
      <c r="K2150" s="8"/>
      <c r="L2150" s="8"/>
    </row>
    <row r="2151" spans="3:12" x14ac:dyDescent="0.25">
      <c r="C2151" s="7"/>
      <c r="E2151" s="8"/>
      <c r="F2151" s="8"/>
      <c r="G2151" s="8"/>
      <c r="H2151" s="8"/>
      <c r="I2151" s="8"/>
      <c r="J2151" s="8"/>
      <c r="K2151" s="8"/>
      <c r="L2151" s="8"/>
    </row>
    <row r="2152" spans="3:12" x14ac:dyDescent="0.25">
      <c r="C2152" s="7"/>
      <c r="E2152" s="8"/>
      <c r="F2152" s="8"/>
      <c r="G2152" s="8"/>
      <c r="H2152" s="8"/>
      <c r="I2152" s="8"/>
      <c r="J2152" s="8"/>
      <c r="K2152" s="8"/>
      <c r="L2152" s="8"/>
    </row>
    <row r="2153" spans="3:12" x14ac:dyDescent="0.25">
      <c r="C2153" s="7"/>
      <c r="E2153" s="8"/>
      <c r="F2153" s="8"/>
      <c r="G2153" s="8"/>
      <c r="H2153" s="8"/>
      <c r="I2153" s="8"/>
      <c r="J2153" s="8"/>
      <c r="K2153" s="8"/>
      <c r="L2153" s="8"/>
    </row>
    <row r="2154" spans="3:12" x14ac:dyDescent="0.25">
      <c r="C2154" s="7"/>
      <c r="E2154" s="8"/>
      <c r="F2154" s="8"/>
      <c r="G2154" s="8"/>
      <c r="H2154" s="8"/>
      <c r="I2154" s="8"/>
      <c r="J2154" s="8"/>
      <c r="K2154" s="8"/>
      <c r="L2154" s="8"/>
    </row>
    <row r="2155" spans="3:12" x14ac:dyDescent="0.25">
      <c r="C2155" s="7"/>
      <c r="E2155" s="8"/>
      <c r="F2155" s="8"/>
      <c r="G2155" s="8"/>
      <c r="H2155" s="8"/>
      <c r="I2155" s="8"/>
      <c r="J2155" s="8"/>
      <c r="K2155" s="8"/>
      <c r="L2155" s="8"/>
    </row>
    <row r="2156" spans="3:12" x14ac:dyDescent="0.25">
      <c r="C2156" s="7"/>
      <c r="E2156" s="8"/>
      <c r="F2156" s="8"/>
      <c r="G2156" s="8"/>
      <c r="H2156" s="8"/>
      <c r="I2156" s="8"/>
      <c r="J2156" s="8"/>
      <c r="K2156" s="8"/>
      <c r="L2156" s="8"/>
    </row>
    <row r="2157" spans="3:12" x14ac:dyDescent="0.25">
      <c r="C2157" s="7"/>
      <c r="E2157" s="8"/>
      <c r="F2157" s="8"/>
      <c r="G2157" s="8"/>
      <c r="H2157" s="8"/>
      <c r="I2157" s="8"/>
      <c r="J2157" s="8"/>
      <c r="K2157" s="8"/>
      <c r="L2157" s="8"/>
    </row>
    <row r="2158" spans="3:12" x14ac:dyDescent="0.25">
      <c r="C2158" s="7"/>
      <c r="E2158" s="8"/>
      <c r="F2158" s="8"/>
      <c r="G2158" s="8"/>
      <c r="H2158" s="8"/>
      <c r="I2158" s="8"/>
      <c r="J2158" s="8"/>
      <c r="K2158" s="8"/>
      <c r="L2158" s="8"/>
    </row>
    <row r="2159" spans="3:12" x14ac:dyDescent="0.25">
      <c r="C2159" s="7"/>
      <c r="E2159" s="8"/>
      <c r="F2159" s="8"/>
      <c r="G2159" s="8"/>
      <c r="H2159" s="8"/>
      <c r="I2159" s="8"/>
      <c r="J2159" s="8"/>
      <c r="K2159" s="8"/>
      <c r="L2159" s="8"/>
    </row>
    <row r="2160" spans="3:12" x14ac:dyDescent="0.25">
      <c r="C2160" s="7"/>
      <c r="E2160" s="8"/>
      <c r="F2160" s="8"/>
      <c r="G2160" s="8"/>
      <c r="H2160" s="8"/>
      <c r="I2160" s="8"/>
      <c r="J2160" s="8"/>
      <c r="K2160" s="8"/>
      <c r="L2160" s="8"/>
    </row>
    <row r="2161" spans="3:12" x14ac:dyDescent="0.25">
      <c r="C2161" s="7"/>
      <c r="E2161" s="8"/>
      <c r="F2161" s="8"/>
      <c r="G2161" s="8"/>
      <c r="H2161" s="8"/>
      <c r="I2161" s="8"/>
      <c r="J2161" s="8"/>
      <c r="K2161" s="8"/>
      <c r="L2161" s="8"/>
    </row>
    <row r="2162" spans="3:12" x14ac:dyDescent="0.25">
      <c r="C2162" s="7"/>
      <c r="E2162" s="8"/>
      <c r="F2162" s="8"/>
      <c r="G2162" s="8"/>
      <c r="H2162" s="8"/>
      <c r="I2162" s="8"/>
      <c r="J2162" s="8"/>
      <c r="K2162" s="8"/>
      <c r="L2162" s="8"/>
    </row>
    <row r="2163" spans="3:12" x14ac:dyDescent="0.25">
      <c r="C2163" s="7"/>
      <c r="E2163" s="8"/>
      <c r="F2163" s="8"/>
      <c r="G2163" s="8"/>
      <c r="H2163" s="8"/>
      <c r="I2163" s="8"/>
      <c r="J2163" s="8"/>
      <c r="K2163" s="8"/>
      <c r="L2163" s="8"/>
    </row>
    <row r="2164" spans="3:12" x14ac:dyDescent="0.25">
      <c r="C2164" s="7"/>
      <c r="E2164" s="8"/>
      <c r="F2164" s="8"/>
      <c r="G2164" s="8"/>
      <c r="H2164" s="8"/>
      <c r="I2164" s="8"/>
      <c r="J2164" s="8"/>
      <c r="K2164" s="8"/>
      <c r="L2164" s="8"/>
    </row>
    <row r="2165" spans="3:12" x14ac:dyDescent="0.25">
      <c r="C2165" s="7"/>
      <c r="E2165" s="8"/>
      <c r="F2165" s="8"/>
      <c r="G2165" s="8"/>
      <c r="H2165" s="8"/>
      <c r="I2165" s="8"/>
      <c r="J2165" s="8"/>
      <c r="K2165" s="8"/>
      <c r="L2165" s="8"/>
    </row>
    <row r="2166" spans="3:12" x14ac:dyDescent="0.25">
      <c r="C2166" s="7"/>
      <c r="E2166" s="8"/>
      <c r="F2166" s="8"/>
      <c r="G2166" s="8"/>
      <c r="H2166" s="8"/>
      <c r="I2166" s="8"/>
      <c r="J2166" s="8"/>
      <c r="K2166" s="8"/>
      <c r="L2166" s="8"/>
    </row>
    <row r="2167" spans="3:12" x14ac:dyDescent="0.25">
      <c r="C2167" s="7"/>
      <c r="E2167" s="8"/>
      <c r="F2167" s="8"/>
      <c r="G2167" s="8"/>
      <c r="H2167" s="8"/>
      <c r="I2167" s="8"/>
      <c r="J2167" s="8"/>
      <c r="K2167" s="8"/>
      <c r="L2167" s="8"/>
    </row>
    <row r="2168" spans="3:12" x14ac:dyDescent="0.25">
      <c r="C2168" s="7"/>
      <c r="E2168" s="8"/>
      <c r="F2168" s="8"/>
      <c r="G2168" s="8"/>
      <c r="H2168" s="8"/>
      <c r="I2168" s="8"/>
      <c r="J2168" s="8"/>
      <c r="K2168" s="8"/>
      <c r="L2168" s="8"/>
    </row>
    <row r="2169" spans="3:12" x14ac:dyDescent="0.25">
      <c r="C2169" s="7"/>
      <c r="E2169" s="8"/>
      <c r="F2169" s="8"/>
      <c r="G2169" s="8"/>
      <c r="H2169" s="8"/>
      <c r="I2169" s="8"/>
      <c r="J2169" s="8"/>
      <c r="K2169" s="8"/>
      <c r="L2169" s="8"/>
    </row>
    <row r="2170" spans="3:12" x14ac:dyDescent="0.25">
      <c r="C2170" s="7"/>
      <c r="E2170" s="8"/>
      <c r="F2170" s="8"/>
      <c r="G2170" s="8"/>
      <c r="H2170" s="8"/>
      <c r="I2170" s="8"/>
      <c r="J2170" s="8"/>
      <c r="K2170" s="8"/>
      <c r="L2170" s="8"/>
    </row>
    <row r="2171" spans="3:12" x14ac:dyDescent="0.25">
      <c r="C2171" s="7"/>
      <c r="E2171" s="8"/>
      <c r="F2171" s="8"/>
      <c r="G2171" s="8"/>
      <c r="H2171" s="8"/>
      <c r="I2171" s="8"/>
      <c r="J2171" s="8"/>
      <c r="K2171" s="8"/>
      <c r="L2171" s="8"/>
    </row>
    <row r="2172" spans="3:12" x14ac:dyDescent="0.25">
      <c r="C2172" s="7"/>
      <c r="E2172" s="8"/>
      <c r="F2172" s="8"/>
      <c r="G2172" s="8"/>
      <c r="H2172" s="8"/>
      <c r="I2172" s="8"/>
      <c r="J2172" s="8"/>
      <c r="K2172" s="8"/>
      <c r="L2172" s="8"/>
    </row>
    <row r="2173" spans="3:12" x14ac:dyDescent="0.25">
      <c r="C2173" s="7"/>
      <c r="E2173" s="8"/>
      <c r="F2173" s="8"/>
      <c r="G2173" s="8"/>
      <c r="H2173" s="8"/>
      <c r="I2173" s="8"/>
      <c r="J2173" s="8"/>
      <c r="K2173" s="8"/>
      <c r="L2173" s="8"/>
    </row>
    <row r="2174" spans="3:12" x14ac:dyDescent="0.25">
      <c r="C2174" s="7"/>
      <c r="E2174" s="8"/>
      <c r="F2174" s="8"/>
      <c r="G2174" s="8"/>
      <c r="H2174" s="8"/>
      <c r="I2174" s="8"/>
      <c r="J2174" s="8"/>
      <c r="K2174" s="8"/>
      <c r="L2174" s="8"/>
    </row>
    <row r="2175" spans="3:12" x14ac:dyDescent="0.25">
      <c r="C2175" s="7"/>
      <c r="E2175" s="8"/>
      <c r="F2175" s="8"/>
      <c r="G2175" s="8"/>
      <c r="H2175" s="8"/>
      <c r="I2175" s="8"/>
      <c r="J2175" s="8"/>
      <c r="K2175" s="8"/>
      <c r="L2175" s="8"/>
    </row>
    <row r="2176" spans="3:12" x14ac:dyDescent="0.25">
      <c r="C2176" s="7"/>
      <c r="E2176" s="8"/>
      <c r="F2176" s="8"/>
      <c r="G2176" s="8"/>
      <c r="H2176" s="8"/>
      <c r="I2176" s="8"/>
      <c r="J2176" s="8"/>
      <c r="K2176" s="8"/>
      <c r="L2176" s="8"/>
    </row>
    <row r="2177" spans="3:12" x14ac:dyDescent="0.25">
      <c r="C2177" s="7"/>
      <c r="E2177" s="8"/>
      <c r="F2177" s="8"/>
      <c r="G2177" s="8"/>
      <c r="H2177" s="8"/>
      <c r="I2177" s="8"/>
      <c r="J2177" s="8"/>
      <c r="K2177" s="8"/>
      <c r="L2177" s="8"/>
    </row>
    <row r="2178" spans="3:12" x14ac:dyDescent="0.25">
      <c r="C2178" s="7"/>
      <c r="E2178" s="8"/>
      <c r="F2178" s="8"/>
      <c r="G2178" s="8"/>
      <c r="H2178" s="8"/>
      <c r="I2178" s="8"/>
      <c r="J2178" s="8"/>
      <c r="K2178" s="8"/>
      <c r="L2178" s="8"/>
    </row>
    <row r="2179" spans="3:12" x14ac:dyDescent="0.25">
      <c r="C2179" s="7"/>
      <c r="E2179" s="8"/>
      <c r="F2179" s="8"/>
      <c r="G2179" s="8"/>
      <c r="H2179" s="8"/>
      <c r="I2179" s="8"/>
      <c r="J2179" s="8"/>
      <c r="K2179" s="8"/>
      <c r="L2179" s="8"/>
    </row>
    <row r="2180" spans="3:12" x14ac:dyDescent="0.25">
      <c r="C2180" s="7"/>
      <c r="E2180" s="8"/>
      <c r="F2180" s="8"/>
      <c r="G2180" s="8"/>
      <c r="H2180" s="8"/>
      <c r="I2180" s="8"/>
      <c r="J2180" s="8"/>
      <c r="K2180" s="8"/>
      <c r="L2180" s="8"/>
    </row>
    <row r="2181" spans="3:12" x14ac:dyDescent="0.25">
      <c r="C2181" s="7"/>
      <c r="E2181" s="8"/>
      <c r="F2181" s="8"/>
      <c r="G2181" s="8"/>
      <c r="H2181" s="8"/>
      <c r="I2181" s="8"/>
      <c r="J2181" s="8"/>
      <c r="K2181" s="8"/>
      <c r="L2181" s="8"/>
    </row>
    <row r="2182" spans="3:12" x14ac:dyDescent="0.25">
      <c r="C2182" s="7"/>
      <c r="E2182" s="8"/>
      <c r="F2182" s="8"/>
      <c r="G2182" s="8"/>
      <c r="H2182" s="8"/>
      <c r="I2182" s="8"/>
      <c r="J2182" s="8"/>
      <c r="K2182" s="8"/>
      <c r="L2182" s="8"/>
    </row>
    <row r="2183" spans="3:12" x14ac:dyDescent="0.25">
      <c r="C2183" s="7"/>
      <c r="E2183" s="8"/>
      <c r="F2183" s="8"/>
      <c r="G2183" s="8"/>
      <c r="H2183" s="8"/>
      <c r="I2183" s="8"/>
      <c r="J2183" s="8"/>
      <c r="K2183" s="8"/>
      <c r="L2183" s="8"/>
    </row>
    <row r="2184" spans="3:12" x14ac:dyDescent="0.25">
      <c r="C2184" s="7"/>
      <c r="E2184" s="8"/>
      <c r="F2184" s="8"/>
      <c r="G2184" s="8"/>
      <c r="H2184" s="8"/>
      <c r="I2184" s="8"/>
      <c r="J2184" s="8"/>
      <c r="K2184" s="8"/>
      <c r="L2184" s="8"/>
    </row>
    <row r="2185" spans="3:12" x14ac:dyDescent="0.25">
      <c r="C2185" s="7"/>
      <c r="E2185" s="8"/>
      <c r="F2185" s="8"/>
      <c r="G2185" s="8"/>
      <c r="H2185" s="8"/>
      <c r="I2185" s="8"/>
      <c r="J2185" s="8"/>
      <c r="K2185" s="8"/>
      <c r="L2185" s="8"/>
    </row>
    <row r="2186" spans="3:12" x14ac:dyDescent="0.25">
      <c r="C2186" s="7"/>
      <c r="E2186" s="8"/>
      <c r="F2186" s="8"/>
      <c r="G2186" s="8"/>
      <c r="H2186" s="8"/>
      <c r="I2186" s="8"/>
      <c r="J2186" s="8"/>
      <c r="K2186" s="8"/>
      <c r="L2186" s="8"/>
    </row>
    <row r="2187" spans="3:12" x14ac:dyDescent="0.25">
      <c r="C2187" s="7"/>
      <c r="E2187" s="8"/>
      <c r="F2187" s="8"/>
      <c r="G2187" s="8"/>
      <c r="H2187" s="8"/>
      <c r="I2187" s="8"/>
      <c r="J2187" s="8"/>
      <c r="K2187" s="8"/>
      <c r="L2187" s="8"/>
    </row>
    <row r="2188" spans="3:12" x14ac:dyDescent="0.25">
      <c r="C2188" s="7"/>
      <c r="E2188" s="8"/>
      <c r="F2188" s="8"/>
      <c r="G2188" s="8"/>
      <c r="H2188" s="8"/>
      <c r="I2188" s="8"/>
      <c r="J2188" s="8"/>
      <c r="K2188" s="8"/>
      <c r="L2188" s="8"/>
    </row>
    <row r="2189" spans="3:12" x14ac:dyDescent="0.25">
      <c r="C2189" s="7"/>
      <c r="E2189" s="8"/>
      <c r="F2189" s="8"/>
      <c r="G2189" s="8"/>
      <c r="H2189" s="8"/>
      <c r="I2189" s="8"/>
      <c r="J2189" s="8"/>
      <c r="K2189" s="8"/>
      <c r="L2189" s="8"/>
    </row>
    <row r="2190" spans="3:12" x14ac:dyDescent="0.25">
      <c r="C2190" s="7"/>
      <c r="E2190" s="8"/>
      <c r="F2190" s="8"/>
      <c r="G2190" s="8"/>
      <c r="H2190" s="8"/>
      <c r="I2190" s="8"/>
      <c r="J2190" s="8"/>
      <c r="K2190" s="8"/>
      <c r="L2190" s="8"/>
    </row>
    <row r="2191" spans="3:12" x14ac:dyDescent="0.25">
      <c r="C2191" s="7"/>
      <c r="E2191" s="8"/>
      <c r="F2191" s="8"/>
      <c r="G2191" s="8"/>
      <c r="H2191" s="8"/>
      <c r="I2191" s="8"/>
      <c r="J2191" s="8"/>
      <c r="K2191" s="8"/>
      <c r="L2191" s="8"/>
    </row>
    <row r="2192" spans="3:12" x14ac:dyDescent="0.25">
      <c r="C2192" s="7"/>
      <c r="E2192" s="8"/>
      <c r="F2192" s="8"/>
      <c r="G2192" s="8"/>
      <c r="H2192" s="8"/>
      <c r="I2192" s="8"/>
      <c r="J2192" s="8"/>
      <c r="K2192" s="8"/>
      <c r="L2192" s="8"/>
    </row>
    <row r="2193" spans="3:12" x14ac:dyDescent="0.25">
      <c r="C2193" s="7"/>
      <c r="E2193" s="8"/>
      <c r="F2193" s="8"/>
      <c r="G2193" s="8"/>
      <c r="H2193" s="8"/>
      <c r="I2193" s="8"/>
      <c r="J2193" s="8"/>
      <c r="K2193" s="8"/>
      <c r="L2193" s="8"/>
    </row>
    <row r="2194" spans="3:12" x14ac:dyDescent="0.25">
      <c r="C2194" s="7"/>
      <c r="E2194" s="8"/>
      <c r="F2194" s="8"/>
      <c r="G2194" s="8"/>
      <c r="H2194" s="8"/>
      <c r="I2194" s="8"/>
      <c r="J2194" s="8"/>
      <c r="K2194" s="8"/>
      <c r="L2194" s="8"/>
    </row>
    <row r="2195" spans="3:12" x14ac:dyDescent="0.25">
      <c r="C2195" s="7"/>
      <c r="E2195" s="8"/>
      <c r="F2195" s="8"/>
      <c r="G2195" s="8"/>
      <c r="H2195" s="8"/>
      <c r="I2195" s="8"/>
      <c r="J2195" s="8"/>
      <c r="K2195" s="8"/>
      <c r="L2195" s="8"/>
    </row>
    <row r="2196" spans="3:12" x14ac:dyDescent="0.25">
      <c r="C2196" s="7"/>
      <c r="E2196" s="8"/>
      <c r="F2196" s="8"/>
      <c r="G2196" s="8"/>
      <c r="H2196" s="8"/>
      <c r="I2196" s="8"/>
      <c r="J2196" s="8"/>
      <c r="K2196" s="8"/>
      <c r="L2196" s="8"/>
    </row>
    <row r="2197" spans="3:12" x14ac:dyDescent="0.25">
      <c r="C2197" s="7"/>
      <c r="E2197" s="8"/>
      <c r="F2197" s="8"/>
      <c r="G2197" s="8"/>
      <c r="H2197" s="8"/>
      <c r="I2197" s="8"/>
      <c r="J2197" s="8"/>
      <c r="K2197" s="8"/>
      <c r="L2197" s="8"/>
    </row>
    <row r="2198" spans="3:12" x14ac:dyDescent="0.25">
      <c r="C2198" s="7"/>
      <c r="E2198" s="8"/>
      <c r="F2198" s="8"/>
      <c r="G2198" s="8"/>
      <c r="H2198" s="8"/>
      <c r="I2198" s="8"/>
      <c r="J2198" s="8"/>
      <c r="K2198" s="8"/>
      <c r="L2198" s="8"/>
    </row>
    <row r="2199" spans="3:12" x14ac:dyDescent="0.25">
      <c r="C2199" s="7"/>
      <c r="E2199" s="8"/>
      <c r="F2199" s="8"/>
      <c r="G2199" s="8"/>
      <c r="H2199" s="8"/>
      <c r="I2199" s="8"/>
      <c r="J2199" s="8"/>
      <c r="K2199" s="8"/>
      <c r="L2199" s="8"/>
    </row>
    <row r="2200" spans="3:12" x14ac:dyDescent="0.25">
      <c r="C2200" s="7"/>
      <c r="E2200" s="8"/>
      <c r="F2200" s="8"/>
      <c r="G2200" s="8"/>
      <c r="H2200" s="8"/>
      <c r="I2200" s="8"/>
      <c r="J2200" s="8"/>
      <c r="K2200" s="8"/>
      <c r="L2200" s="8"/>
    </row>
    <row r="2201" spans="3:12" x14ac:dyDescent="0.25">
      <c r="C2201" s="7"/>
      <c r="E2201" s="8"/>
      <c r="F2201" s="8"/>
      <c r="G2201" s="8"/>
      <c r="H2201" s="8"/>
      <c r="I2201" s="8"/>
      <c r="J2201" s="8"/>
      <c r="K2201" s="8"/>
      <c r="L2201" s="8"/>
    </row>
    <row r="2202" spans="3:12" x14ac:dyDescent="0.25">
      <c r="C2202" s="7"/>
      <c r="E2202" s="8"/>
      <c r="F2202" s="8"/>
      <c r="G2202" s="8"/>
      <c r="H2202" s="8"/>
      <c r="I2202" s="8"/>
      <c r="J2202" s="8"/>
      <c r="K2202" s="8"/>
      <c r="L2202" s="8"/>
    </row>
    <row r="2203" spans="3:12" x14ac:dyDescent="0.25">
      <c r="C2203" s="7"/>
      <c r="E2203" s="8"/>
      <c r="F2203" s="8"/>
      <c r="G2203" s="8"/>
      <c r="H2203" s="8"/>
      <c r="I2203" s="8"/>
      <c r="J2203" s="8"/>
      <c r="K2203" s="8"/>
      <c r="L2203" s="8"/>
    </row>
    <row r="2204" spans="3:12" x14ac:dyDescent="0.25">
      <c r="C2204" s="7"/>
      <c r="E2204" s="8"/>
      <c r="F2204" s="8"/>
      <c r="G2204" s="8"/>
      <c r="H2204" s="8"/>
      <c r="I2204" s="8"/>
      <c r="J2204" s="8"/>
      <c r="K2204" s="8"/>
      <c r="L2204" s="8"/>
    </row>
    <row r="2205" spans="3:12" x14ac:dyDescent="0.25">
      <c r="C2205" s="7"/>
      <c r="E2205" s="8"/>
      <c r="F2205" s="8"/>
      <c r="G2205" s="8"/>
      <c r="H2205" s="8"/>
      <c r="I2205" s="8"/>
      <c r="J2205" s="8"/>
      <c r="K2205" s="8"/>
      <c r="L2205" s="8"/>
    </row>
    <row r="2206" spans="3:12" x14ac:dyDescent="0.25">
      <c r="C2206" s="7"/>
      <c r="E2206" s="8"/>
      <c r="F2206" s="8"/>
      <c r="G2206" s="8"/>
      <c r="H2206" s="8"/>
      <c r="I2206" s="8"/>
      <c r="J2206" s="8"/>
      <c r="K2206" s="8"/>
      <c r="L2206" s="8"/>
    </row>
    <row r="2207" spans="3:12" x14ac:dyDescent="0.25">
      <c r="C2207" s="7"/>
      <c r="E2207" s="8"/>
      <c r="F2207" s="8"/>
      <c r="G2207" s="8"/>
      <c r="H2207" s="8"/>
      <c r="I2207" s="8"/>
      <c r="J2207" s="8"/>
      <c r="K2207" s="8"/>
      <c r="L2207" s="8"/>
    </row>
    <row r="2208" spans="3:12" x14ac:dyDescent="0.25">
      <c r="C2208" s="7"/>
      <c r="E2208" s="8"/>
      <c r="F2208" s="8"/>
      <c r="G2208" s="8"/>
      <c r="H2208" s="8"/>
      <c r="I2208" s="8"/>
      <c r="J2208" s="8"/>
      <c r="K2208" s="8"/>
      <c r="L2208" s="8"/>
    </row>
    <row r="2209" spans="3:12" x14ac:dyDescent="0.25">
      <c r="C2209" s="7"/>
      <c r="E2209" s="8"/>
      <c r="F2209" s="8"/>
      <c r="G2209" s="8"/>
      <c r="H2209" s="8"/>
      <c r="I2209" s="8"/>
      <c r="J2209" s="8"/>
      <c r="K2209" s="8"/>
      <c r="L2209" s="8"/>
    </row>
    <row r="2210" spans="3:12" x14ac:dyDescent="0.25">
      <c r="C2210" s="7"/>
      <c r="E2210" s="8"/>
      <c r="F2210" s="8"/>
      <c r="G2210" s="8"/>
      <c r="H2210" s="8"/>
      <c r="I2210" s="8"/>
      <c r="J2210" s="8"/>
      <c r="K2210" s="8"/>
      <c r="L2210" s="8"/>
    </row>
    <row r="2211" spans="3:12" x14ac:dyDescent="0.25">
      <c r="C2211" s="7"/>
      <c r="E2211" s="8"/>
      <c r="F2211" s="8"/>
      <c r="G2211" s="8"/>
      <c r="H2211" s="8"/>
      <c r="I2211" s="8"/>
      <c r="J2211" s="8"/>
      <c r="K2211" s="8"/>
      <c r="L2211" s="8"/>
    </row>
    <row r="2212" spans="3:12" x14ac:dyDescent="0.25">
      <c r="C2212" s="7"/>
      <c r="E2212" s="8"/>
      <c r="F2212" s="8"/>
      <c r="G2212" s="8"/>
      <c r="H2212" s="8"/>
      <c r="I2212" s="8"/>
      <c r="J2212" s="8"/>
      <c r="K2212" s="8"/>
      <c r="L2212" s="8"/>
    </row>
    <row r="2213" spans="3:12" x14ac:dyDescent="0.25">
      <c r="C2213" s="7"/>
      <c r="E2213" s="8"/>
      <c r="F2213" s="8"/>
      <c r="G2213" s="8"/>
      <c r="H2213" s="8"/>
      <c r="I2213" s="8"/>
      <c r="J2213" s="8"/>
      <c r="K2213" s="8"/>
      <c r="L2213" s="8"/>
    </row>
    <row r="2214" spans="3:12" x14ac:dyDescent="0.25">
      <c r="C2214" s="7"/>
      <c r="E2214" s="8"/>
      <c r="F2214" s="8"/>
      <c r="G2214" s="8"/>
      <c r="H2214" s="8"/>
      <c r="I2214" s="8"/>
      <c r="J2214" s="8"/>
      <c r="K2214" s="8"/>
      <c r="L2214" s="8"/>
    </row>
    <row r="2215" spans="3:12" x14ac:dyDescent="0.25">
      <c r="C2215" s="7"/>
      <c r="E2215" s="8"/>
      <c r="F2215" s="8"/>
      <c r="G2215" s="8"/>
      <c r="H2215" s="8"/>
      <c r="I2215" s="8"/>
      <c r="J2215" s="8"/>
      <c r="K2215" s="8"/>
      <c r="L2215" s="8"/>
    </row>
    <row r="2216" spans="3:12" x14ac:dyDescent="0.25">
      <c r="C2216" s="7"/>
      <c r="E2216" s="8"/>
      <c r="F2216" s="8"/>
      <c r="G2216" s="8"/>
      <c r="H2216" s="8"/>
      <c r="I2216" s="8"/>
      <c r="J2216" s="8"/>
      <c r="K2216" s="8"/>
      <c r="L2216" s="8"/>
    </row>
    <row r="2217" spans="3:12" x14ac:dyDescent="0.25">
      <c r="C2217" s="7"/>
      <c r="E2217" s="8"/>
      <c r="F2217" s="8"/>
      <c r="G2217" s="8"/>
      <c r="H2217" s="8"/>
      <c r="I2217" s="8"/>
      <c r="J2217" s="8"/>
      <c r="K2217" s="8"/>
      <c r="L2217" s="8"/>
    </row>
    <row r="2218" spans="3:12" x14ac:dyDescent="0.25">
      <c r="C2218" s="7"/>
      <c r="E2218" s="8"/>
      <c r="F2218" s="8"/>
      <c r="G2218" s="8"/>
      <c r="H2218" s="8"/>
      <c r="I2218" s="8"/>
      <c r="J2218" s="8"/>
      <c r="K2218" s="8"/>
      <c r="L2218" s="8"/>
    </row>
    <row r="2219" spans="3:12" x14ac:dyDescent="0.25">
      <c r="C2219" s="7"/>
      <c r="E2219" s="8"/>
      <c r="F2219" s="8"/>
      <c r="G2219" s="8"/>
      <c r="H2219" s="8"/>
      <c r="I2219" s="8"/>
      <c r="J2219" s="8"/>
      <c r="K2219" s="8"/>
      <c r="L2219" s="8"/>
    </row>
    <row r="2220" spans="3:12" x14ac:dyDescent="0.25">
      <c r="C2220" s="7"/>
      <c r="E2220" s="8"/>
      <c r="F2220" s="8"/>
      <c r="G2220" s="8"/>
      <c r="H2220" s="8"/>
      <c r="I2220" s="8"/>
      <c r="J2220" s="8"/>
      <c r="K2220" s="8"/>
      <c r="L2220" s="8"/>
    </row>
    <row r="2221" spans="3:12" x14ac:dyDescent="0.25">
      <c r="C2221" s="7"/>
      <c r="E2221" s="8"/>
      <c r="F2221" s="8"/>
      <c r="G2221" s="8"/>
      <c r="H2221" s="8"/>
      <c r="I2221" s="8"/>
      <c r="J2221" s="8"/>
      <c r="K2221" s="8"/>
      <c r="L2221" s="8"/>
    </row>
    <row r="2222" spans="3:12" x14ac:dyDescent="0.25">
      <c r="C2222" s="7"/>
      <c r="E2222" s="8"/>
      <c r="F2222" s="8"/>
      <c r="G2222" s="8"/>
      <c r="H2222" s="8"/>
      <c r="I2222" s="8"/>
      <c r="J2222" s="8"/>
      <c r="K2222" s="8"/>
      <c r="L2222" s="8"/>
    </row>
    <row r="2223" spans="3:12" x14ac:dyDescent="0.25">
      <c r="C2223" s="7"/>
      <c r="E2223" s="8"/>
      <c r="F2223" s="8"/>
      <c r="G2223" s="8"/>
      <c r="H2223" s="8"/>
      <c r="I2223" s="8"/>
      <c r="J2223" s="8"/>
      <c r="K2223" s="8"/>
      <c r="L2223" s="8"/>
    </row>
    <row r="2224" spans="3:12" x14ac:dyDescent="0.25">
      <c r="C2224" s="7"/>
      <c r="E2224" s="8"/>
      <c r="F2224" s="8"/>
      <c r="G2224" s="8"/>
      <c r="H2224" s="8"/>
      <c r="I2224" s="8"/>
      <c r="J2224" s="8"/>
      <c r="K2224" s="8"/>
      <c r="L2224" s="8"/>
    </row>
    <row r="2225" spans="3:12" x14ac:dyDescent="0.25">
      <c r="C2225" s="7"/>
      <c r="E2225" s="8"/>
      <c r="F2225" s="8"/>
      <c r="G2225" s="8"/>
      <c r="H2225" s="8"/>
      <c r="I2225" s="8"/>
      <c r="J2225" s="8"/>
      <c r="K2225" s="8"/>
      <c r="L2225" s="8"/>
    </row>
    <row r="2226" spans="3:12" x14ac:dyDescent="0.25">
      <c r="C2226" s="7"/>
      <c r="E2226" s="8"/>
      <c r="F2226" s="8"/>
      <c r="G2226" s="8"/>
      <c r="H2226" s="8"/>
      <c r="I2226" s="8"/>
      <c r="J2226" s="8"/>
      <c r="K2226" s="8"/>
      <c r="L2226" s="8"/>
    </row>
    <row r="2227" spans="3:12" x14ac:dyDescent="0.25">
      <c r="C2227" s="7"/>
      <c r="E2227" s="8"/>
      <c r="F2227" s="8"/>
      <c r="G2227" s="8"/>
      <c r="H2227" s="8"/>
      <c r="I2227" s="8"/>
      <c r="J2227" s="8"/>
      <c r="K2227" s="8"/>
      <c r="L2227" s="8"/>
    </row>
    <row r="2228" spans="3:12" x14ac:dyDescent="0.25">
      <c r="C2228" s="7"/>
      <c r="E2228" s="8"/>
      <c r="F2228" s="8"/>
      <c r="G2228" s="8"/>
      <c r="H2228" s="8"/>
      <c r="I2228" s="8"/>
      <c r="J2228" s="8"/>
      <c r="K2228" s="8"/>
      <c r="L2228" s="8"/>
    </row>
    <row r="2229" spans="3:12" x14ac:dyDescent="0.25">
      <c r="C2229" s="7"/>
      <c r="E2229" s="8"/>
      <c r="F2229" s="8"/>
      <c r="G2229" s="8"/>
      <c r="H2229" s="8"/>
      <c r="I2229" s="8"/>
      <c r="J2229" s="8"/>
      <c r="K2229" s="8"/>
      <c r="L2229" s="8"/>
    </row>
    <row r="2230" spans="3:12" x14ac:dyDescent="0.25">
      <c r="C2230" s="7"/>
      <c r="E2230" s="8"/>
      <c r="F2230" s="8"/>
      <c r="G2230" s="8"/>
      <c r="H2230" s="8"/>
      <c r="I2230" s="8"/>
      <c r="J2230" s="8"/>
      <c r="K2230" s="8"/>
      <c r="L2230" s="8"/>
    </row>
    <row r="2231" spans="3:12" x14ac:dyDescent="0.25">
      <c r="C2231" s="7"/>
      <c r="E2231" s="8"/>
      <c r="F2231" s="8"/>
      <c r="G2231" s="8"/>
      <c r="H2231" s="8"/>
      <c r="I2231" s="8"/>
      <c r="J2231" s="8"/>
      <c r="K2231" s="8"/>
      <c r="L2231" s="8"/>
    </row>
    <row r="2232" spans="3:12" x14ac:dyDescent="0.25">
      <c r="C2232" s="7"/>
      <c r="E2232" s="8"/>
      <c r="F2232" s="8"/>
      <c r="G2232" s="8"/>
      <c r="H2232" s="8"/>
      <c r="I2232" s="8"/>
      <c r="J2232" s="8"/>
      <c r="K2232" s="8"/>
      <c r="L2232" s="8"/>
    </row>
    <row r="2233" spans="3:12" x14ac:dyDescent="0.25">
      <c r="C2233" s="7"/>
      <c r="E2233" s="8"/>
      <c r="F2233" s="8"/>
      <c r="G2233" s="8"/>
      <c r="H2233" s="8"/>
      <c r="I2233" s="8"/>
      <c r="J2233" s="8"/>
      <c r="K2233" s="8"/>
      <c r="L2233" s="8"/>
    </row>
    <row r="2234" spans="3:12" x14ac:dyDescent="0.25">
      <c r="C2234" s="7"/>
      <c r="E2234" s="8"/>
      <c r="F2234" s="8"/>
      <c r="G2234" s="8"/>
      <c r="H2234" s="8"/>
      <c r="I2234" s="8"/>
      <c r="J2234" s="8"/>
      <c r="K2234" s="8"/>
      <c r="L2234" s="8"/>
    </row>
    <row r="2235" spans="3:12" x14ac:dyDescent="0.25">
      <c r="C2235" s="7"/>
      <c r="E2235" s="8"/>
      <c r="F2235" s="8"/>
      <c r="G2235" s="8"/>
      <c r="H2235" s="8"/>
      <c r="I2235" s="8"/>
      <c r="J2235" s="8"/>
      <c r="K2235" s="8"/>
      <c r="L2235" s="8"/>
    </row>
    <row r="2236" spans="3:12" x14ac:dyDescent="0.25">
      <c r="C2236" s="7"/>
      <c r="E2236" s="8"/>
      <c r="F2236" s="8"/>
      <c r="G2236" s="8"/>
      <c r="H2236" s="8"/>
      <c r="I2236" s="8"/>
      <c r="J2236" s="8"/>
      <c r="K2236" s="8"/>
      <c r="L2236" s="8"/>
    </row>
    <row r="2237" spans="3:12" x14ac:dyDescent="0.25">
      <c r="C2237" s="7"/>
      <c r="E2237" s="8"/>
      <c r="F2237" s="8"/>
      <c r="G2237" s="8"/>
      <c r="H2237" s="8"/>
      <c r="I2237" s="8"/>
      <c r="J2237" s="8"/>
      <c r="K2237" s="8"/>
      <c r="L2237" s="8"/>
    </row>
    <row r="2238" spans="3:12" x14ac:dyDescent="0.25">
      <c r="C2238" s="7"/>
      <c r="E2238" s="8"/>
      <c r="F2238" s="8"/>
      <c r="G2238" s="8"/>
      <c r="H2238" s="8"/>
      <c r="I2238" s="8"/>
      <c r="J2238" s="8"/>
      <c r="K2238" s="8"/>
      <c r="L2238" s="8"/>
    </row>
    <row r="2239" spans="3:12" x14ac:dyDescent="0.25">
      <c r="C2239" s="7"/>
      <c r="E2239" s="8"/>
      <c r="F2239" s="8"/>
      <c r="G2239" s="8"/>
      <c r="H2239" s="8"/>
      <c r="I2239" s="8"/>
      <c r="J2239" s="8"/>
      <c r="K2239" s="8"/>
      <c r="L2239" s="8"/>
    </row>
    <row r="2240" spans="3:12" x14ac:dyDescent="0.25">
      <c r="C2240" s="7"/>
      <c r="E2240" s="8"/>
      <c r="F2240" s="8"/>
      <c r="G2240" s="8"/>
      <c r="H2240" s="8"/>
      <c r="I2240" s="8"/>
      <c r="J2240" s="8"/>
      <c r="K2240" s="8"/>
      <c r="L2240" s="8"/>
    </row>
    <row r="2241" spans="3:12" x14ac:dyDescent="0.25">
      <c r="C2241" s="7"/>
      <c r="E2241" s="8"/>
      <c r="F2241" s="8"/>
      <c r="G2241" s="8"/>
      <c r="H2241" s="8"/>
      <c r="I2241" s="8"/>
      <c r="J2241" s="8"/>
      <c r="K2241" s="8"/>
      <c r="L2241" s="8"/>
    </row>
    <row r="2242" spans="3:12" x14ac:dyDescent="0.25">
      <c r="C2242" s="7"/>
      <c r="E2242" s="8"/>
      <c r="F2242" s="8"/>
      <c r="G2242" s="8"/>
      <c r="H2242" s="8"/>
      <c r="I2242" s="8"/>
      <c r="J2242" s="8"/>
      <c r="K2242" s="8"/>
      <c r="L2242" s="8"/>
    </row>
    <row r="2243" spans="3:12" x14ac:dyDescent="0.25">
      <c r="C2243" s="7"/>
      <c r="E2243" s="8"/>
      <c r="F2243" s="8"/>
      <c r="G2243" s="8"/>
      <c r="H2243" s="8"/>
      <c r="I2243" s="8"/>
      <c r="J2243" s="8"/>
      <c r="K2243" s="8"/>
      <c r="L2243" s="8"/>
    </row>
    <row r="2244" spans="3:12" x14ac:dyDescent="0.25">
      <c r="C2244" s="7"/>
      <c r="E2244" s="8"/>
      <c r="F2244" s="8"/>
      <c r="G2244" s="8"/>
      <c r="H2244" s="8"/>
      <c r="I2244" s="8"/>
      <c r="J2244" s="8"/>
      <c r="K2244" s="8"/>
      <c r="L2244" s="8"/>
    </row>
    <row r="2245" spans="3:12" x14ac:dyDescent="0.25">
      <c r="C2245" s="7"/>
      <c r="E2245" s="8"/>
      <c r="F2245" s="8"/>
      <c r="G2245" s="8"/>
      <c r="H2245" s="8"/>
      <c r="I2245" s="8"/>
      <c r="J2245" s="8"/>
      <c r="K2245" s="8"/>
      <c r="L2245" s="8"/>
    </row>
    <row r="2246" spans="3:12" x14ac:dyDescent="0.25">
      <c r="C2246" s="7"/>
      <c r="E2246" s="8"/>
      <c r="F2246" s="8"/>
      <c r="G2246" s="8"/>
      <c r="H2246" s="8"/>
      <c r="I2246" s="8"/>
      <c r="J2246" s="8"/>
      <c r="K2246" s="8"/>
      <c r="L2246" s="8"/>
    </row>
    <row r="2247" spans="3:12" x14ac:dyDescent="0.25">
      <c r="C2247" s="7"/>
      <c r="E2247" s="8"/>
      <c r="F2247" s="8"/>
      <c r="G2247" s="8"/>
      <c r="H2247" s="8"/>
      <c r="I2247" s="8"/>
      <c r="J2247" s="8"/>
      <c r="K2247" s="8"/>
      <c r="L2247" s="8"/>
    </row>
    <row r="2248" spans="3:12" x14ac:dyDescent="0.25">
      <c r="C2248" s="7"/>
      <c r="E2248" s="8"/>
      <c r="F2248" s="8"/>
      <c r="G2248" s="8"/>
      <c r="H2248" s="8"/>
      <c r="I2248" s="8"/>
      <c r="J2248" s="8"/>
      <c r="K2248" s="8"/>
      <c r="L2248" s="8"/>
    </row>
    <row r="2249" spans="3:12" x14ac:dyDescent="0.25">
      <c r="C2249" s="7"/>
      <c r="E2249" s="8"/>
      <c r="F2249" s="8"/>
      <c r="G2249" s="8"/>
      <c r="H2249" s="8"/>
      <c r="I2249" s="8"/>
      <c r="J2249" s="8"/>
      <c r="K2249" s="8"/>
      <c r="L2249" s="8"/>
    </row>
    <row r="2250" spans="3:12" x14ac:dyDescent="0.25">
      <c r="C2250" s="7"/>
      <c r="E2250" s="8"/>
      <c r="F2250" s="8"/>
      <c r="G2250" s="8"/>
      <c r="H2250" s="8"/>
      <c r="I2250" s="8"/>
      <c r="J2250" s="8"/>
      <c r="K2250" s="8"/>
      <c r="L2250" s="8"/>
    </row>
    <row r="2251" spans="3:12" x14ac:dyDescent="0.25">
      <c r="C2251" s="7"/>
      <c r="E2251" s="8"/>
      <c r="F2251" s="8"/>
      <c r="G2251" s="8"/>
      <c r="H2251" s="8"/>
      <c r="I2251" s="8"/>
      <c r="J2251" s="8"/>
      <c r="K2251" s="8"/>
      <c r="L2251" s="8"/>
    </row>
    <row r="2252" spans="3:12" x14ac:dyDescent="0.25">
      <c r="C2252" s="7"/>
      <c r="E2252" s="8"/>
      <c r="F2252" s="8"/>
      <c r="G2252" s="8"/>
      <c r="H2252" s="8"/>
      <c r="I2252" s="8"/>
      <c r="J2252" s="8"/>
      <c r="K2252" s="8"/>
      <c r="L2252" s="8"/>
    </row>
    <row r="2253" spans="3:12" x14ac:dyDescent="0.25">
      <c r="C2253" s="7"/>
      <c r="E2253" s="8"/>
      <c r="F2253" s="8"/>
      <c r="G2253" s="8"/>
      <c r="H2253" s="8"/>
      <c r="I2253" s="8"/>
      <c r="J2253" s="8"/>
      <c r="K2253" s="8"/>
      <c r="L2253" s="8"/>
    </row>
    <row r="2254" spans="3:12" x14ac:dyDescent="0.25">
      <c r="C2254" s="7"/>
      <c r="E2254" s="8"/>
      <c r="F2254" s="8"/>
      <c r="G2254" s="8"/>
      <c r="H2254" s="8"/>
      <c r="I2254" s="8"/>
      <c r="J2254" s="8"/>
      <c r="K2254" s="8"/>
      <c r="L2254" s="8"/>
    </row>
    <row r="2255" spans="3:12" x14ac:dyDescent="0.25">
      <c r="C2255" s="7"/>
      <c r="E2255" s="8"/>
      <c r="F2255" s="8"/>
      <c r="G2255" s="8"/>
      <c r="H2255" s="8"/>
      <c r="I2255" s="8"/>
      <c r="J2255" s="8"/>
      <c r="K2255" s="8"/>
      <c r="L2255" s="8"/>
    </row>
    <row r="2256" spans="3:12" x14ac:dyDescent="0.25">
      <c r="C2256" s="7"/>
      <c r="E2256" s="8"/>
      <c r="F2256" s="8"/>
      <c r="G2256" s="8"/>
      <c r="H2256" s="8"/>
      <c r="I2256" s="8"/>
      <c r="J2256" s="8"/>
      <c r="K2256" s="8"/>
      <c r="L2256" s="8"/>
    </row>
    <row r="2257" spans="3:12" x14ac:dyDescent="0.25">
      <c r="C2257" s="7"/>
      <c r="E2257" s="8"/>
      <c r="F2257" s="8"/>
      <c r="G2257" s="8"/>
      <c r="H2257" s="8"/>
      <c r="I2257" s="8"/>
      <c r="J2257" s="8"/>
      <c r="K2257" s="8"/>
      <c r="L2257" s="8"/>
    </row>
    <row r="2258" spans="3:12" x14ac:dyDescent="0.25">
      <c r="C2258" s="7"/>
      <c r="E2258" s="8"/>
      <c r="F2258" s="8"/>
      <c r="G2258" s="8"/>
      <c r="H2258" s="8"/>
      <c r="I2258" s="8"/>
      <c r="J2258" s="8"/>
      <c r="K2258" s="8"/>
      <c r="L2258" s="8"/>
    </row>
    <row r="2259" spans="3:12" x14ac:dyDescent="0.25">
      <c r="C2259" s="7"/>
      <c r="E2259" s="8"/>
      <c r="F2259" s="8"/>
      <c r="G2259" s="8"/>
      <c r="H2259" s="8"/>
      <c r="I2259" s="8"/>
      <c r="J2259" s="8"/>
      <c r="K2259" s="8"/>
      <c r="L2259" s="8"/>
    </row>
    <row r="2260" spans="3:12" x14ac:dyDescent="0.25">
      <c r="C2260" s="7"/>
      <c r="E2260" s="8"/>
      <c r="F2260" s="8"/>
      <c r="G2260" s="8"/>
      <c r="H2260" s="8"/>
      <c r="I2260" s="8"/>
      <c r="J2260" s="8"/>
      <c r="K2260" s="8"/>
      <c r="L2260" s="8"/>
    </row>
    <row r="2261" spans="3:12" x14ac:dyDescent="0.25">
      <c r="C2261" s="7"/>
      <c r="E2261" s="8"/>
      <c r="F2261" s="8"/>
      <c r="G2261" s="8"/>
      <c r="H2261" s="8"/>
      <c r="I2261" s="8"/>
      <c r="J2261" s="8"/>
      <c r="K2261" s="8"/>
      <c r="L2261" s="8"/>
    </row>
    <row r="2262" spans="3:12" x14ac:dyDescent="0.25">
      <c r="C2262" s="7"/>
      <c r="E2262" s="8"/>
      <c r="F2262" s="8"/>
      <c r="G2262" s="8"/>
      <c r="H2262" s="8"/>
      <c r="I2262" s="8"/>
      <c r="J2262" s="8"/>
      <c r="K2262" s="8"/>
      <c r="L2262" s="8"/>
    </row>
    <row r="2263" spans="3:12" x14ac:dyDescent="0.25">
      <c r="C2263" s="7"/>
      <c r="E2263" s="8"/>
      <c r="F2263" s="8"/>
      <c r="G2263" s="8"/>
      <c r="H2263" s="8"/>
      <c r="I2263" s="8"/>
      <c r="J2263" s="8"/>
      <c r="K2263" s="8"/>
      <c r="L2263" s="8"/>
    </row>
    <row r="2264" spans="3:12" x14ac:dyDescent="0.25">
      <c r="C2264" s="7"/>
      <c r="E2264" s="8"/>
      <c r="F2264" s="8"/>
      <c r="G2264" s="8"/>
      <c r="H2264" s="8"/>
      <c r="I2264" s="8"/>
      <c r="J2264" s="8"/>
      <c r="K2264" s="8"/>
      <c r="L2264" s="8"/>
    </row>
    <row r="2265" spans="3:12" x14ac:dyDescent="0.25">
      <c r="C2265" s="7"/>
      <c r="E2265" s="8"/>
      <c r="F2265" s="8"/>
      <c r="G2265" s="8"/>
      <c r="H2265" s="8"/>
      <c r="I2265" s="8"/>
      <c r="J2265" s="8"/>
      <c r="K2265" s="8"/>
      <c r="L2265" s="8"/>
    </row>
    <row r="2266" spans="3:12" x14ac:dyDescent="0.25">
      <c r="C2266" s="7"/>
      <c r="E2266" s="8"/>
      <c r="F2266" s="8"/>
      <c r="G2266" s="8"/>
      <c r="H2266" s="8"/>
      <c r="I2266" s="8"/>
      <c r="J2266" s="8"/>
      <c r="K2266" s="8"/>
      <c r="L2266" s="8"/>
    </row>
    <row r="2267" spans="3:12" x14ac:dyDescent="0.25">
      <c r="C2267" s="7"/>
      <c r="E2267" s="8"/>
      <c r="F2267" s="8"/>
      <c r="G2267" s="8"/>
      <c r="H2267" s="8"/>
      <c r="I2267" s="8"/>
      <c r="J2267" s="8"/>
      <c r="K2267" s="8"/>
      <c r="L2267" s="8"/>
    </row>
    <row r="2268" spans="3:12" x14ac:dyDescent="0.25">
      <c r="C2268" s="7"/>
      <c r="E2268" s="8"/>
      <c r="F2268" s="8"/>
      <c r="G2268" s="8"/>
      <c r="H2268" s="8"/>
      <c r="I2268" s="8"/>
      <c r="J2268" s="8"/>
      <c r="K2268" s="8"/>
      <c r="L2268" s="8"/>
    </row>
    <row r="2269" spans="3:12" x14ac:dyDescent="0.25">
      <c r="C2269" s="7"/>
      <c r="E2269" s="8"/>
      <c r="F2269" s="8"/>
      <c r="G2269" s="8"/>
      <c r="H2269" s="8"/>
      <c r="I2269" s="8"/>
      <c r="J2269" s="8"/>
      <c r="K2269" s="8"/>
      <c r="L2269" s="8"/>
    </row>
    <row r="2270" spans="3:12" x14ac:dyDescent="0.25">
      <c r="C2270" s="7"/>
      <c r="E2270" s="8"/>
      <c r="F2270" s="8"/>
      <c r="G2270" s="8"/>
      <c r="H2270" s="8"/>
      <c r="I2270" s="8"/>
      <c r="J2270" s="8"/>
      <c r="K2270" s="8"/>
      <c r="L2270" s="8"/>
    </row>
    <row r="2271" spans="3:12" x14ac:dyDescent="0.25">
      <c r="C2271" s="7"/>
      <c r="E2271" s="8"/>
      <c r="F2271" s="8"/>
      <c r="G2271" s="8"/>
      <c r="H2271" s="8"/>
      <c r="I2271" s="8"/>
      <c r="J2271" s="8"/>
      <c r="K2271" s="8"/>
      <c r="L2271" s="8"/>
    </row>
    <row r="2272" spans="3:12" x14ac:dyDescent="0.25">
      <c r="C2272" s="7"/>
      <c r="E2272" s="8"/>
      <c r="F2272" s="8"/>
      <c r="G2272" s="8"/>
      <c r="H2272" s="8"/>
      <c r="I2272" s="8"/>
      <c r="J2272" s="8"/>
      <c r="K2272" s="8"/>
      <c r="L2272" s="8"/>
    </row>
    <row r="2273" spans="3:12" x14ac:dyDescent="0.25">
      <c r="C2273" s="7"/>
      <c r="E2273" s="8"/>
      <c r="F2273" s="8"/>
      <c r="G2273" s="8"/>
      <c r="H2273" s="8"/>
      <c r="I2273" s="8"/>
      <c r="J2273" s="8"/>
      <c r="K2273" s="8"/>
      <c r="L2273" s="8"/>
    </row>
    <row r="2274" spans="3:12" x14ac:dyDescent="0.25">
      <c r="C2274" s="7"/>
      <c r="E2274" s="8"/>
      <c r="F2274" s="8"/>
      <c r="G2274" s="8"/>
      <c r="H2274" s="8"/>
      <c r="I2274" s="8"/>
      <c r="J2274" s="8"/>
      <c r="K2274" s="8"/>
      <c r="L2274" s="8"/>
    </row>
    <row r="2275" spans="3:12" x14ac:dyDescent="0.25">
      <c r="C2275" s="7"/>
      <c r="E2275" s="8"/>
      <c r="F2275" s="8"/>
      <c r="G2275" s="8"/>
      <c r="H2275" s="8"/>
      <c r="I2275" s="8"/>
      <c r="J2275" s="8"/>
      <c r="K2275" s="8"/>
      <c r="L2275" s="8"/>
    </row>
    <row r="2276" spans="3:12" x14ac:dyDescent="0.25">
      <c r="C2276" s="7"/>
      <c r="E2276" s="8"/>
      <c r="F2276" s="8"/>
      <c r="G2276" s="8"/>
      <c r="H2276" s="8"/>
      <c r="I2276" s="8"/>
      <c r="J2276" s="8"/>
      <c r="K2276" s="8"/>
      <c r="L2276" s="8"/>
    </row>
    <row r="2277" spans="3:12" x14ac:dyDescent="0.25">
      <c r="C2277" s="7"/>
      <c r="E2277" s="8"/>
      <c r="F2277" s="8"/>
      <c r="G2277" s="8"/>
      <c r="H2277" s="8"/>
      <c r="I2277" s="8"/>
      <c r="J2277" s="8"/>
      <c r="K2277" s="8"/>
      <c r="L2277" s="8"/>
    </row>
    <row r="2278" spans="3:12" x14ac:dyDescent="0.25">
      <c r="C2278" s="7"/>
      <c r="E2278" s="8"/>
      <c r="F2278" s="8"/>
      <c r="G2278" s="8"/>
      <c r="H2278" s="8"/>
      <c r="I2278" s="8"/>
      <c r="J2278" s="8"/>
      <c r="K2278" s="8"/>
      <c r="L2278" s="8"/>
    </row>
    <row r="2279" spans="3:12" x14ac:dyDescent="0.25">
      <c r="C2279" s="7"/>
      <c r="E2279" s="8"/>
      <c r="F2279" s="8"/>
      <c r="G2279" s="8"/>
      <c r="H2279" s="8"/>
      <c r="I2279" s="8"/>
      <c r="J2279" s="8"/>
      <c r="K2279" s="8"/>
      <c r="L2279" s="8"/>
    </row>
    <row r="2280" spans="3:12" x14ac:dyDescent="0.25">
      <c r="C2280" s="7"/>
      <c r="E2280" s="8"/>
      <c r="F2280" s="8"/>
      <c r="G2280" s="8"/>
      <c r="H2280" s="8"/>
      <c r="I2280" s="8"/>
      <c r="J2280" s="8"/>
      <c r="K2280" s="8"/>
      <c r="L2280" s="8"/>
    </row>
    <row r="2281" spans="3:12" x14ac:dyDescent="0.25">
      <c r="C2281" s="7"/>
      <c r="E2281" s="8"/>
      <c r="F2281" s="8"/>
      <c r="G2281" s="8"/>
      <c r="H2281" s="8"/>
      <c r="I2281" s="8"/>
      <c r="J2281" s="8"/>
      <c r="K2281" s="8"/>
      <c r="L2281" s="8"/>
    </row>
    <row r="2282" spans="3:12" x14ac:dyDescent="0.25">
      <c r="C2282" s="7"/>
      <c r="E2282" s="8"/>
      <c r="F2282" s="8"/>
      <c r="G2282" s="8"/>
      <c r="H2282" s="8"/>
      <c r="I2282" s="8"/>
      <c r="J2282" s="8"/>
      <c r="K2282" s="8"/>
      <c r="L2282" s="8"/>
    </row>
    <row r="2283" spans="3:12" x14ac:dyDescent="0.25">
      <c r="C2283" s="7"/>
      <c r="E2283" s="8"/>
      <c r="F2283" s="8"/>
      <c r="G2283" s="8"/>
      <c r="H2283" s="8"/>
      <c r="I2283" s="8"/>
      <c r="J2283" s="8"/>
      <c r="K2283" s="8"/>
      <c r="L2283" s="8"/>
    </row>
    <row r="2284" spans="3:12" x14ac:dyDescent="0.25">
      <c r="C2284" s="7"/>
      <c r="E2284" s="8"/>
      <c r="F2284" s="8"/>
      <c r="G2284" s="8"/>
      <c r="H2284" s="8"/>
      <c r="I2284" s="8"/>
      <c r="J2284" s="8"/>
      <c r="K2284" s="8"/>
      <c r="L2284" s="8"/>
    </row>
    <row r="2285" spans="3:12" x14ac:dyDescent="0.25">
      <c r="C2285" s="7"/>
      <c r="E2285" s="8"/>
      <c r="F2285" s="8"/>
      <c r="G2285" s="8"/>
      <c r="H2285" s="8"/>
      <c r="I2285" s="8"/>
      <c r="J2285" s="8"/>
      <c r="K2285" s="8"/>
      <c r="L2285" s="8"/>
    </row>
    <row r="2286" spans="3:12" x14ac:dyDescent="0.25">
      <c r="C2286" s="7"/>
      <c r="E2286" s="8"/>
      <c r="F2286" s="8"/>
      <c r="G2286" s="8"/>
      <c r="H2286" s="8"/>
      <c r="I2286" s="8"/>
      <c r="J2286" s="8"/>
      <c r="K2286" s="8"/>
      <c r="L2286" s="8"/>
    </row>
    <row r="2287" spans="3:12" x14ac:dyDescent="0.25">
      <c r="C2287" s="7"/>
      <c r="E2287" s="8"/>
      <c r="F2287" s="8"/>
      <c r="G2287" s="8"/>
      <c r="H2287" s="8"/>
      <c r="I2287" s="8"/>
      <c r="J2287" s="8"/>
      <c r="K2287" s="8"/>
      <c r="L2287" s="8"/>
    </row>
    <row r="2288" spans="3:12" x14ac:dyDescent="0.25">
      <c r="C2288" s="7"/>
      <c r="E2288" s="8"/>
      <c r="F2288" s="8"/>
      <c r="G2288" s="8"/>
      <c r="H2288" s="8"/>
      <c r="I2288" s="8"/>
      <c r="J2288" s="8"/>
      <c r="K2288" s="8"/>
      <c r="L2288" s="8"/>
    </row>
    <row r="2289" spans="3:12" x14ac:dyDescent="0.25">
      <c r="C2289" s="7"/>
      <c r="E2289" s="8"/>
      <c r="F2289" s="8"/>
      <c r="G2289" s="8"/>
      <c r="H2289" s="8"/>
      <c r="I2289" s="8"/>
      <c r="J2289" s="8"/>
      <c r="K2289" s="8"/>
      <c r="L2289" s="8"/>
    </row>
    <row r="2290" spans="3:12" x14ac:dyDescent="0.25">
      <c r="C2290" s="7"/>
      <c r="E2290" s="8"/>
      <c r="F2290" s="8"/>
      <c r="G2290" s="8"/>
      <c r="H2290" s="8"/>
      <c r="I2290" s="8"/>
      <c r="J2290" s="8"/>
      <c r="K2290" s="8"/>
      <c r="L2290" s="8"/>
    </row>
    <row r="2291" spans="3:12" x14ac:dyDescent="0.25">
      <c r="C2291" s="7"/>
      <c r="E2291" s="8"/>
      <c r="F2291" s="8"/>
      <c r="G2291" s="8"/>
      <c r="H2291" s="8"/>
      <c r="I2291" s="8"/>
      <c r="J2291" s="8"/>
      <c r="K2291" s="8"/>
      <c r="L2291" s="8"/>
    </row>
    <row r="2292" spans="3:12" x14ac:dyDescent="0.25">
      <c r="C2292" s="7"/>
      <c r="E2292" s="8"/>
      <c r="F2292" s="8"/>
      <c r="G2292" s="8"/>
      <c r="H2292" s="8"/>
      <c r="I2292" s="8"/>
      <c r="J2292" s="8"/>
      <c r="K2292" s="8"/>
      <c r="L2292" s="8"/>
    </row>
    <row r="2293" spans="3:12" x14ac:dyDescent="0.25">
      <c r="C2293" s="7"/>
      <c r="E2293" s="8"/>
      <c r="F2293" s="8"/>
      <c r="G2293" s="8"/>
      <c r="H2293" s="8"/>
      <c r="I2293" s="8"/>
      <c r="J2293" s="8"/>
      <c r="K2293" s="8"/>
      <c r="L2293" s="8"/>
    </row>
    <row r="2294" spans="3:12" x14ac:dyDescent="0.25">
      <c r="C2294" s="7"/>
      <c r="E2294" s="8"/>
      <c r="F2294" s="8"/>
      <c r="G2294" s="8"/>
      <c r="H2294" s="8"/>
      <c r="I2294" s="8"/>
      <c r="J2294" s="8"/>
      <c r="K2294" s="8"/>
      <c r="L2294" s="8"/>
    </row>
    <row r="2295" spans="3:12" x14ac:dyDescent="0.25">
      <c r="C2295" s="7"/>
      <c r="E2295" s="8"/>
      <c r="F2295" s="8"/>
      <c r="G2295" s="8"/>
      <c r="H2295" s="8"/>
      <c r="I2295" s="8"/>
      <c r="J2295" s="8"/>
      <c r="K2295" s="8"/>
      <c r="L2295" s="8"/>
    </row>
    <row r="2296" spans="3:12" x14ac:dyDescent="0.25">
      <c r="C2296" s="7"/>
      <c r="E2296" s="8"/>
      <c r="F2296" s="8"/>
      <c r="G2296" s="8"/>
      <c r="H2296" s="8"/>
      <c r="I2296" s="8"/>
      <c r="J2296" s="8"/>
      <c r="K2296" s="8"/>
      <c r="L2296" s="8"/>
    </row>
    <row r="2297" spans="3:12" x14ac:dyDescent="0.25">
      <c r="C2297" s="7"/>
      <c r="E2297" s="8"/>
      <c r="F2297" s="8"/>
      <c r="G2297" s="8"/>
      <c r="H2297" s="8"/>
      <c r="I2297" s="8"/>
      <c r="J2297" s="8"/>
      <c r="K2297" s="8"/>
      <c r="L2297" s="8"/>
    </row>
    <row r="2298" spans="3:12" x14ac:dyDescent="0.25">
      <c r="C2298" s="7"/>
      <c r="E2298" s="8"/>
      <c r="F2298" s="8"/>
      <c r="G2298" s="8"/>
      <c r="H2298" s="8"/>
      <c r="I2298" s="8"/>
      <c r="J2298" s="8"/>
      <c r="K2298" s="8"/>
      <c r="L2298" s="8"/>
    </row>
    <row r="2299" spans="3:12" x14ac:dyDescent="0.25">
      <c r="C2299" s="7"/>
      <c r="E2299" s="8"/>
      <c r="F2299" s="8"/>
      <c r="G2299" s="8"/>
      <c r="H2299" s="8"/>
      <c r="I2299" s="8"/>
      <c r="J2299" s="8"/>
      <c r="K2299" s="8"/>
      <c r="L2299" s="8"/>
    </row>
    <row r="2300" spans="3:12" x14ac:dyDescent="0.25">
      <c r="C2300" s="7"/>
      <c r="E2300" s="8"/>
      <c r="F2300" s="8"/>
      <c r="G2300" s="8"/>
      <c r="H2300" s="8"/>
      <c r="I2300" s="8"/>
      <c r="J2300" s="8"/>
      <c r="K2300" s="8"/>
      <c r="L2300" s="8"/>
    </row>
    <row r="2301" spans="3:12" x14ac:dyDescent="0.25">
      <c r="C2301" s="7"/>
      <c r="E2301" s="8"/>
      <c r="F2301" s="8"/>
      <c r="G2301" s="8"/>
      <c r="H2301" s="8"/>
      <c r="I2301" s="8"/>
      <c r="J2301" s="8"/>
      <c r="K2301" s="8"/>
      <c r="L2301" s="8"/>
    </row>
    <row r="2302" spans="3:12" x14ac:dyDescent="0.25">
      <c r="C2302" s="7"/>
      <c r="E2302" s="8"/>
      <c r="F2302" s="8"/>
      <c r="G2302" s="8"/>
      <c r="H2302" s="8"/>
      <c r="I2302" s="8"/>
      <c r="J2302" s="8"/>
      <c r="K2302" s="8"/>
      <c r="L2302" s="8"/>
    </row>
    <row r="2303" spans="3:12" x14ac:dyDescent="0.25">
      <c r="C2303" s="7"/>
      <c r="E2303" s="8"/>
      <c r="F2303" s="8"/>
      <c r="G2303" s="8"/>
      <c r="H2303" s="8"/>
      <c r="I2303" s="8"/>
      <c r="J2303" s="8"/>
      <c r="K2303" s="8"/>
      <c r="L2303" s="8"/>
    </row>
    <row r="2304" spans="3:12" x14ac:dyDescent="0.25">
      <c r="C2304" s="7"/>
      <c r="E2304" s="8"/>
      <c r="F2304" s="8"/>
      <c r="G2304" s="8"/>
      <c r="H2304" s="8"/>
      <c r="I2304" s="8"/>
      <c r="J2304" s="8"/>
      <c r="K2304" s="8"/>
      <c r="L2304" s="8"/>
    </row>
    <row r="2305" spans="3:12" x14ac:dyDescent="0.25">
      <c r="C2305" s="7"/>
      <c r="E2305" s="8"/>
      <c r="F2305" s="8"/>
      <c r="G2305" s="8"/>
      <c r="H2305" s="8"/>
      <c r="I2305" s="8"/>
      <c r="J2305" s="8"/>
      <c r="K2305" s="8"/>
      <c r="L2305" s="8"/>
    </row>
    <row r="2306" spans="3:12" x14ac:dyDescent="0.25">
      <c r="C2306" s="7"/>
      <c r="E2306" s="8"/>
      <c r="F2306" s="8"/>
      <c r="G2306" s="8"/>
      <c r="H2306" s="8"/>
      <c r="I2306" s="8"/>
      <c r="J2306" s="8"/>
      <c r="K2306" s="8"/>
      <c r="L2306" s="8"/>
    </row>
    <row r="2307" spans="3:12" x14ac:dyDescent="0.25">
      <c r="C2307" s="7"/>
      <c r="E2307" s="8"/>
      <c r="F2307" s="8"/>
      <c r="G2307" s="8"/>
      <c r="H2307" s="8"/>
      <c r="I2307" s="8"/>
      <c r="J2307" s="8"/>
      <c r="K2307" s="8"/>
      <c r="L2307" s="8"/>
    </row>
    <row r="2308" spans="3:12" x14ac:dyDescent="0.25">
      <c r="C2308" s="7"/>
      <c r="E2308" s="8"/>
      <c r="F2308" s="8"/>
      <c r="G2308" s="8"/>
      <c r="H2308" s="8"/>
      <c r="I2308" s="8"/>
      <c r="J2308" s="8"/>
      <c r="K2308" s="8"/>
      <c r="L2308" s="8"/>
    </row>
    <row r="2309" spans="3:12" x14ac:dyDescent="0.25">
      <c r="C2309" s="7"/>
      <c r="E2309" s="8"/>
      <c r="F2309" s="8"/>
      <c r="G2309" s="8"/>
      <c r="H2309" s="8"/>
      <c r="I2309" s="8"/>
      <c r="J2309" s="8"/>
      <c r="K2309" s="8"/>
      <c r="L2309" s="8"/>
    </row>
    <row r="2310" spans="3:12" x14ac:dyDescent="0.25">
      <c r="C2310" s="7"/>
      <c r="E2310" s="8"/>
      <c r="F2310" s="8"/>
      <c r="G2310" s="8"/>
      <c r="H2310" s="8"/>
      <c r="I2310" s="8"/>
      <c r="J2310" s="8"/>
      <c r="K2310" s="8"/>
      <c r="L2310" s="8"/>
    </row>
    <row r="2311" spans="3:12" x14ac:dyDescent="0.25">
      <c r="C2311" s="7"/>
      <c r="E2311" s="8"/>
      <c r="F2311" s="8"/>
      <c r="G2311" s="8"/>
      <c r="H2311" s="8"/>
      <c r="I2311" s="8"/>
      <c r="J2311" s="8"/>
      <c r="K2311" s="8"/>
      <c r="L2311" s="8"/>
    </row>
    <row r="2312" spans="3:12" x14ac:dyDescent="0.25">
      <c r="C2312" s="7"/>
      <c r="E2312" s="8"/>
      <c r="F2312" s="8"/>
      <c r="G2312" s="8"/>
      <c r="H2312" s="8"/>
      <c r="I2312" s="8"/>
      <c r="J2312" s="8"/>
      <c r="K2312" s="8"/>
      <c r="L2312" s="8"/>
    </row>
    <row r="2313" spans="3:12" x14ac:dyDescent="0.25">
      <c r="C2313" s="7"/>
      <c r="E2313" s="8"/>
      <c r="F2313" s="8"/>
      <c r="G2313" s="8"/>
      <c r="H2313" s="8"/>
      <c r="I2313" s="8"/>
      <c r="J2313" s="8"/>
      <c r="K2313" s="8"/>
      <c r="L2313" s="8"/>
    </row>
    <row r="2314" spans="3:12" x14ac:dyDescent="0.25">
      <c r="C2314" s="7"/>
      <c r="E2314" s="8"/>
      <c r="F2314" s="8"/>
      <c r="G2314" s="8"/>
      <c r="H2314" s="8"/>
      <c r="I2314" s="8"/>
      <c r="J2314" s="8"/>
      <c r="K2314" s="8"/>
      <c r="L2314" s="8"/>
    </row>
    <row r="2315" spans="3:12" x14ac:dyDescent="0.25">
      <c r="C2315" s="7"/>
      <c r="E2315" s="8"/>
      <c r="F2315" s="8"/>
      <c r="G2315" s="8"/>
      <c r="H2315" s="8"/>
      <c r="I2315" s="8"/>
      <c r="J2315" s="8"/>
      <c r="K2315" s="8"/>
      <c r="L2315" s="8"/>
    </row>
    <row r="2316" spans="3:12" x14ac:dyDescent="0.25">
      <c r="C2316" s="7"/>
      <c r="E2316" s="8"/>
      <c r="F2316" s="8"/>
      <c r="G2316" s="8"/>
      <c r="H2316" s="8"/>
      <c r="I2316" s="8"/>
      <c r="J2316" s="8"/>
      <c r="K2316" s="8"/>
      <c r="L2316" s="8"/>
    </row>
    <row r="2317" spans="3:12" x14ac:dyDescent="0.25">
      <c r="C2317" s="7"/>
      <c r="E2317" s="8"/>
      <c r="F2317" s="8"/>
      <c r="G2317" s="8"/>
      <c r="H2317" s="8"/>
      <c r="I2317" s="8"/>
      <c r="J2317" s="8"/>
      <c r="K2317" s="8"/>
      <c r="L2317" s="8"/>
    </row>
    <row r="2318" spans="3:12" x14ac:dyDescent="0.25">
      <c r="C2318" s="7"/>
      <c r="E2318" s="8"/>
      <c r="F2318" s="8"/>
      <c r="G2318" s="8"/>
      <c r="H2318" s="8"/>
      <c r="I2318" s="8"/>
      <c r="J2318" s="8"/>
      <c r="K2318" s="8"/>
      <c r="L2318" s="8"/>
    </row>
    <row r="2319" spans="3:12" x14ac:dyDescent="0.25">
      <c r="C2319" s="7"/>
      <c r="E2319" s="8"/>
      <c r="F2319" s="8"/>
      <c r="G2319" s="8"/>
      <c r="H2319" s="8"/>
      <c r="I2319" s="8"/>
      <c r="J2319" s="8"/>
      <c r="K2319" s="8"/>
      <c r="L2319" s="8"/>
    </row>
    <row r="2320" spans="3:12" x14ac:dyDescent="0.25">
      <c r="C2320" s="7"/>
      <c r="E2320" s="8"/>
      <c r="F2320" s="8"/>
      <c r="G2320" s="8"/>
      <c r="H2320" s="8"/>
      <c r="I2320" s="8"/>
      <c r="J2320" s="8"/>
      <c r="K2320" s="8"/>
      <c r="L2320" s="8"/>
    </row>
    <row r="2321" spans="3:12" x14ac:dyDescent="0.25">
      <c r="C2321" s="7"/>
      <c r="E2321" s="8"/>
      <c r="F2321" s="8"/>
      <c r="G2321" s="8"/>
      <c r="H2321" s="8"/>
      <c r="I2321" s="8"/>
      <c r="J2321" s="8"/>
      <c r="K2321" s="8"/>
      <c r="L2321" s="8"/>
    </row>
    <row r="2322" spans="3:12" x14ac:dyDescent="0.25">
      <c r="C2322" s="7"/>
      <c r="E2322" s="8"/>
      <c r="F2322" s="8"/>
      <c r="G2322" s="8"/>
      <c r="H2322" s="8"/>
      <c r="I2322" s="8"/>
      <c r="J2322" s="8"/>
      <c r="K2322" s="8"/>
      <c r="L2322" s="8"/>
    </row>
    <row r="2323" spans="3:12" x14ac:dyDescent="0.25">
      <c r="C2323" s="7"/>
      <c r="E2323" s="8"/>
      <c r="F2323" s="8"/>
      <c r="G2323" s="8"/>
      <c r="H2323" s="8"/>
      <c r="I2323" s="8"/>
      <c r="J2323" s="8"/>
      <c r="K2323" s="8"/>
      <c r="L2323" s="8"/>
    </row>
    <row r="2324" spans="3:12" x14ac:dyDescent="0.25">
      <c r="C2324" s="7"/>
      <c r="E2324" s="8"/>
      <c r="F2324" s="8"/>
      <c r="G2324" s="8"/>
      <c r="H2324" s="8"/>
      <c r="I2324" s="8"/>
      <c r="J2324" s="8"/>
      <c r="K2324" s="8"/>
      <c r="L2324" s="8"/>
    </row>
    <row r="2325" spans="3:12" x14ac:dyDescent="0.25">
      <c r="C2325" s="7"/>
      <c r="E2325" s="8"/>
      <c r="F2325" s="8"/>
      <c r="G2325" s="8"/>
      <c r="H2325" s="8"/>
      <c r="I2325" s="8"/>
      <c r="J2325" s="8"/>
      <c r="K2325" s="8"/>
      <c r="L2325" s="8"/>
    </row>
    <row r="2326" spans="3:12" x14ac:dyDescent="0.25">
      <c r="C2326" s="7"/>
      <c r="E2326" s="8"/>
      <c r="F2326" s="8"/>
      <c r="G2326" s="8"/>
      <c r="H2326" s="8"/>
      <c r="I2326" s="8"/>
      <c r="J2326" s="8"/>
      <c r="K2326" s="8"/>
      <c r="L2326" s="8"/>
    </row>
    <row r="2327" spans="3:12" x14ac:dyDescent="0.25">
      <c r="C2327" s="7"/>
      <c r="E2327" s="8"/>
      <c r="F2327" s="8"/>
      <c r="G2327" s="8"/>
      <c r="H2327" s="8"/>
      <c r="I2327" s="8"/>
      <c r="J2327" s="8"/>
      <c r="K2327" s="8"/>
      <c r="L2327" s="8"/>
    </row>
    <row r="2328" spans="3:12" x14ac:dyDescent="0.25">
      <c r="C2328" s="7"/>
      <c r="E2328" s="8"/>
      <c r="F2328" s="8"/>
      <c r="G2328" s="8"/>
      <c r="H2328" s="8"/>
      <c r="I2328" s="8"/>
      <c r="J2328" s="8"/>
      <c r="K2328" s="8"/>
      <c r="L2328" s="8"/>
    </row>
    <row r="2329" spans="3:12" x14ac:dyDescent="0.25">
      <c r="C2329" s="7"/>
      <c r="E2329" s="8"/>
      <c r="F2329" s="8"/>
      <c r="G2329" s="8"/>
      <c r="H2329" s="8"/>
      <c r="I2329" s="8"/>
      <c r="J2329" s="8"/>
      <c r="K2329" s="8"/>
      <c r="L2329" s="8"/>
    </row>
    <row r="2330" spans="3:12" x14ac:dyDescent="0.25">
      <c r="C2330" s="7"/>
      <c r="E2330" s="8"/>
      <c r="F2330" s="8"/>
      <c r="G2330" s="8"/>
      <c r="H2330" s="8"/>
      <c r="I2330" s="8"/>
      <c r="J2330" s="8"/>
      <c r="K2330" s="8"/>
      <c r="L2330" s="8"/>
    </row>
    <row r="2331" spans="3:12" x14ac:dyDescent="0.25">
      <c r="C2331" s="7"/>
      <c r="E2331" s="8"/>
      <c r="F2331" s="8"/>
      <c r="G2331" s="8"/>
      <c r="H2331" s="8"/>
      <c r="I2331" s="8"/>
      <c r="J2331" s="8"/>
      <c r="K2331" s="8"/>
      <c r="L2331" s="8"/>
    </row>
    <row r="2332" spans="3:12" x14ac:dyDescent="0.25">
      <c r="C2332" s="7"/>
      <c r="E2332" s="8"/>
      <c r="F2332" s="8"/>
      <c r="G2332" s="8"/>
      <c r="H2332" s="8"/>
      <c r="I2332" s="8"/>
      <c r="J2332" s="8"/>
      <c r="K2332" s="8"/>
      <c r="L2332" s="8"/>
    </row>
    <row r="2333" spans="3:12" x14ac:dyDescent="0.25">
      <c r="C2333" s="7"/>
      <c r="E2333" s="8"/>
      <c r="F2333" s="8"/>
      <c r="G2333" s="8"/>
      <c r="H2333" s="8"/>
      <c r="I2333" s="8"/>
      <c r="J2333" s="8"/>
      <c r="K2333" s="8"/>
      <c r="L2333" s="8"/>
    </row>
    <row r="2334" spans="3:12" x14ac:dyDescent="0.25">
      <c r="C2334" s="7"/>
      <c r="E2334" s="8"/>
      <c r="F2334" s="8"/>
      <c r="G2334" s="8"/>
      <c r="H2334" s="8"/>
      <c r="I2334" s="8"/>
      <c r="J2334" s="8"/>
      <c r="K2334" s="8"/>
      <c r="L2334" s="8"/>
    </row>
    <row r="2335" spans="3:12" x14ac:dyDescent="0.25">
      <c r="C2335" s="7"/>
      <c r="E2335" s="8"/>
      <c r="F2335" s="8"/>
      <c r="G2335" s="8"/>
      <c r="H2335" s="8"/>
      <c r="I2335" s="8"/>
      <c r="J2335" s="8"/>
      <c r="K2335" s="8"/>
      <c r="L2335" s="8"/>
    </row>
    <row r="2336" spans="3:12" x14ac:dyDescent="0.25">
      <c r="C2336" s="7"/>
      <c r="E2336" s="8"/>
      <c r="F2336" s="8"/>
      <c r="G2336" s="8"/>
      <c r="H2336" s="8"/>
      <c r="I2336" s="8"/>
      <c r="J2336" s="8"/>
      <c r="K2336" s="8"/>
      <c r="L2336" s="8"/>
    </row>
    <row r="2337" spans="3:12" x14ac:dyDescent="0.25">
      <c r="C2337" s="7"/>
      <c r="E2337" s="8"/>
      <c r="F2337" s="8"/>
      <c r="G2337" s="8"/>
      <c r="H2337" s="8"/>
      <c r="I2337" s="8"/>
      <c r="J2337" s="8"/>
      <c r="K2337" s="8"/>
      <c r="L2337" s="8"/>
    </row>
    <row r="2338" spans="3:12" x14ac:dyDescent="0.25">
      <c r="C2338" s="7"/>
      <c r="E2338" s="8"/>
      <c r="F2338" s="8"/>
      <c r="G2338" s="8"/>
      <c r="H2338" s="8"/>
      <c r="I2338" s="8"/>
      <c r="J2338" s="8"/>
      <c r="K2338" s="8"/>
      <c r="L2338" s="8"/>
    </row>
    <row r="2339" spans="3:12" x14ac:dyDescent="0.25">
      <c r="C2339" s="7"/>
      <c r="E2339" s="8"/>
      <c r="F2339" s="8"/>
      <c r="G2339" s="8"/>
      <c r="H2339" s="8"/>
      <c r="I2339" s="8"/>
      <c r="J2339" s="8"/>
      <c r="K2339" s="8"/>
      <c r="L2339" s="8"/>
    </row>
    <row r="2340" spans="3:12" x14ac:dyDescent="0.25">
      <c r="C2340" s="7"/>
      <c r="E2340" s="8"/>
      <c r="F2340" s="8"/>
      <c r="G2340" s="8"/>
      <c r="H2340" s="8"/>
      <c r="I2340" s="8"/>
      <c r="J2340" s="8"/>
      <c r="K2340" s="8"/>
      <c r="L2340" s="8"/>
    </row>
    <row r="2341" spans="3:12" x14ac:dyDescent="0.25">
      <c r="C2341" s="7"/>
      <c r="E2341" s="8"/>
      <c r="F2341" s="8"/>
      <c r="G2341" s="8"/>
      <c r="H2341" s="8"/>
      <c r="I2341" s="8"/>
      <c r="J2341" s="8"/>
      <c r="K2341" s="8"/>
      <c r="L2341" s="8"/>
    </row>
    <row r="2342" spans="3:12" x14ac:dyDescent="0.25">
      <c r="C2342" s="7"/>
      <c r="E2342" s="8"/>
      <c r="F2342" s="8"/>
      <c r="G2342" s="8"/>
      <c r="H2342" s="8"/>
      <c r="I2342" s="8"/>
      <c r="J2342" s="8"/>
      <c r="K2342" s="8"/>
      <c r="L2342" s="8"/>
    </row>
    <row r="2343" spans="3:12" x14ac:dyDescent="0.25">
      <c r="C2343" s="7"/>
      <c r="E2343" s="8"/>
      <c r="F2343" s="8"/>
      <c r="G2343" s="8"/>
      <c r="H2343" s="8"/>
      <c r="I2343" s="8"/>
      <c r="J2343" s="8"/>
      <c r="K2343" s="8"/>
      <c r="L2343" s="8"/>
    </row>
    <row r="2344" spans="3:12" x14ac:dyDescent="0.25">
      <c r="C2344" s="7"/>
      <c r="E2344" s="8"/>
      <c r="F2344" s="8"/>
      <c r="G2344" s="8"/>
      <c r="H2344" s="8"/>
      <c r="I2344" s="8"/>
      <c r="J2344" s="8"/>
      <c r="K2344" s="8"/>
      <c r="L2344" s="8"/>
    </row>
    <row r="2345" spans="3:12" x14ac:dyDescent="0.25">
      <c r="C2345" s="7"/>
      <c r="E2345" s="8"/>
      <c r="F2345" s="8"/>
      <c r="G2345" s="8"/>
      <c r="H2345" s="8"/>
      <c r="I2345" s="8"/>
      <c r="J2345" s="8"/>
      <c r="K2345" s="8"/>
      <c r="L2345" s="8"/>
    </row>
    <row r="2346" spans="3:12" x14ac:dyDescent="0.25">
      <c r="C2346" s="7"/>
      <c r="E2346" s="8"/>
      <c r="F2346" s="8"/>
      <c r="G2346" s="8"/>
      <c r="H2346" s="8"/>
      <c r="I2346" s="8"/>
      <c r="J2346" s="8"/>
      <c r="K2346" s="8"/>
      <c r="L2346" s="8"/>
    </row>
    <row r="2347" spans="3:12" x14ac:dyDescent="0.25">
      <c r="C2347" s="7"/>
      <c r="E2347" s="8"/>
      <c r="F2347" s="8"/>
      <c r="G2347" s="8"/>
      <c r="H2347" s="8"/>
      <c r="I2347" s="8"/>
      <c r="J2347" s="8"/>
      <c r="K2347" s="8"/>
      <c r="L2347" s="8"/>
    </row>
    <row r="2348" spans="3:12" x14ac:dyDescent="0.25">
      <c r="C2348" s="7"/>
      <c r="E2348" s="8"/>
      <c r="F2348" s="8"/>
      <c r="G2348" s="8"/>
      <c r="H2348" s="8"/>
      <c r="I2348" s="8"/>
      <c r="J2348" s="8"/>
      <c r="K2348" s="8"/>
      <c r="L2348" s="8"/>
    </row>
    <row r="2349" spans="3:12" x14ac:dyDescent="0.25">
      <c r="C2349" s="7"/>
      <c r="E2349" s="8"/>
      <c r="F2349" s="8"/>
      <c r="G2349" s="8"/>
      <c r="H2349" s="8"/>
      <c r="I2349" s="8"/>
      <c r="J2349" s="8"/>
      <c r="K2349" s="8"/>
      <c r="L2349" s="8"/>
    </row>
    <row r="2350" spans="3:12" x14ac:dyDescent="0.25">
      <c r="C2350" s="7"/>
      <c r="E2350" s="8"/>
      <c r="F2350" s="8"/>
      <c r="G2350" s="8"/>
      <c r="H2350" s="8"/>
      <c r="I2350" s="8"/>
      <c r="J2350" s="8"/>
      <c r="K2350" s="8"/>
      <c r="L2350" s="8"/>
    </row>
    <row r="2351" spans="3:12" x14ac:dyDescent="0.25">
      <c r="C2351" s="7"/>
      <c r="E2351" s="8"/>
      <c r="F2351" s="8"/>
      <c r="G2351" s="8"/>
      <c r="H2351" s="8"/>
      <c r="I2351" s="8"/>
      <c r="J2351" s="8"/>
      <c r="K2351" s="8"/>
      <c r="L2351" s="8"/>
    </row>
    <row r="2352" spans="3:12" x14ac:dyDescent="0.25">
      <c r="C2352" s="7"/>
      <c r="E2352" s="8"/>
      <c r="F2352" s="8"/>
      <c r="G2352" s="8"/>
      <c r="H2352" s="8"/>
      <c r="I2352" s="8"/>
      <c r="J2352" s="8"/>
      <c r="K2352" s="8"/>
      <c r="L2352" s="8"/>
    </row>
    <row r="2353" spans="3:12" x14ac:dyDescent="0.25">
      <c r="C2353" s="7"/>
      <c r="E2353" s="8"/>
      <c r="F2353" s="8"/>
      <c r="G2353" s="8"/>
      <c r="H2353" s="8"/>
      <c r="I2353" s="8"/>
      <c r="J2353" s="8"/>
      <c r="K2353" s="8"/>
      <c r="L2353" s="8"/>
    </row>
    <row r="2354" spans="3:12" x14ac:dyDescent="0.25">
      <c r="C2354" s="7"/>
      <c r="E2354" s="8"/>
      <c r="F2354" s="8"/>
      <c r="G2354" s="8"/>
      <c r="H2354" s="8"/>
      <c r="I2354" s="8"/>
      <c r="J2354" s="8"/>
      <c r="K2354" s="8"/>
      <c r="L2354" s="8"/>
    </row>
    <row r="2355" spans="3:12" x14ac:dyDescent="0.25">
      <c r="C2355" s="7"/>
      <c r="E2355" s="8"/>
      <c r="F2355" s="8"/>
      <c r="G2355" s="8"/>
      <c r="H2355" s="8"/>
      <c r="I2355" s="8"/>
      <c r="J2355" s="8"/>
      <c r="K2355" s="8"/>
      <c r="L2355" s="8"/>
    </row>
    <row r="2356" spans="3:12" x14ac:dyDescent="0.25">
      <c r="C2356" s="7"/>
      <c r="E2356" s="8"/>
      <c r="F2356" s="8"/>
      <c r="G2356" s="8"/>
      <c r="H2356" s="8"/>
      <c r="I2356" s="8"/>
      <c r="J2356" s="8"/>
      <c r="K2356" s="8"/>
      <c r="L2356" s="8"/>
    </row>
    <row r="2357" spans="3:12" x14ac:dyDescent="0.25">
      <c r="C2357" s="7"/>
      <c r="E2357" s="8"/>
      <c r="F2357" s="8"/>
      <c r="G2357" s="8"/>
      <c r="H2357" s="8"/>
      <c r="I2357" s="8"/>
      <c r="J2357" s="8"/>
      <c r="K2357" s="8"/>
      <c r="L2357" s="8"/>
    </row>
    <row r="2358" spans="3:12" x14ac:dyDescent="0.25">
      <c r="C2358" s="7"/>
      <c r="E2358" s="8"/>
      <c r="F2358" s="8"/>
      <c r="G2358" s="8"/>
      <c r="H2358" s="8"/>
      <c r="I2358" s="8"/>
      <c r="J2358" s="8"/>
      <c r="K2358" s="8"/>
      <c r="L2358" s="8"/>
    </row>
    <row r="2359" spans="3:12" x14ac:dyDescent="0.25">
      <c r="C2359" s="7"/>
      <c r="E2359" s="8"/>
      <c r="F2359" s="8"/>
      <c r="G2359" s="8"/>
      <c r="H2359" s="8"/>
      <c r="I2359" s="8"/>
      <c r="J2359" s="8"/>
      <c r="K2359" s="8"/>
      <c r="L2359" s="8"/>
    </row>
    <row r="2360" spans="3:12" x14ac:dyDescent="0.25">
      <c r="C2360" s="7"/>
      <c r="E2360" s="8"/>
      <c r="F2360" s="8"/>
      <c r="G2360" s="8"/>
      <c r="H2360" s="8"/>
      <c r="I2360" s="8"/>
      <c r="J2360" s="8"/>
      <c r="K2360" s="8"/>
      <c r="L2360" s="8"/>
    </row>
    <row r="2361" spans="3:12" x14ac:dyDescent="0.25">
      <c r="C2361" s="7"/>
      <c r="E2361" s="8"/>
      <c r="F2361" s="8"/>
      <c r="G2361" s="8"/>
      <c r="H2361" s="8"/>
      <c r="I2361" s="8"/>
      <c r="J2361" s="8"/>
      <c r="K2361" s="8"/>
      <c r="L2361" s="8"/>
    </row>
    <row r="2362" spans="3:12" x14ac:dyDescent="0.25">
      <c r="C2362" s="7"/>
      <c r="E2362" s="8"/>
      <c r="F2362" s="8"/>
      <c r="G2362" s="8"/>
      <c r="H2362" s="8"/>
      <c r="I2362" s="8"/>
      <c r="J2362" s="8"/>
      <c r="K2362" s="8"/>
      <c r="L2362" s="8"/>
    </row>
    <row r="2363" spans="3:12" x14ac:dyDescent="0.25">
      <c r="C2363" s="7"/>
      <c r="E2363" s="8"/>
      <c r="F2363" s="8"/>
      <c r="G2363" s="8"/>
      <c r="H2363" s="8"/>
      <c r="I2363" s="8"/>
      <c r="J2363" s="8"/>
      <c r="K2363" s="8"/>
      <c r="L2363" s="8"/>
    </row>
    <row r="2364" spans="3:12" x14ac:dyDescent="0.25">
      <c r="C2364" s="7"/>
      <c r="E2364" s="8"/>
      <c r="F2364" s="8"/>
      <c r="G2364" s="8"/>
      <c r="H2364" s="8"/>
      <c r="I2364" s="8"/>
      <c r="J2364" s="8"/>
      <c r="K2364" s="8"/>
      <c r="L2364" s="8"/>
    </row>
    <row r="2365" spans="3:12" x14ac:dyDescent="0.25">
      <c r="C2365" s="7"/>
      <c r="E2365" s="8"/>
      <c r="F2365" s="8"/>
      <c r="G2365" s="8"/>
      <c r="H2365" s="8"/>
      <c r="I2365" s="8"/>
      <c r="J2365" s="8"/>
      <c r="K2365" s="8"/>
      <c r="L2365" s="8"/>
    </row>
    <row r="2366" spans="3:12" x14ac:dyDescent="0.25">
      <c r="C2366" s="7"/>
      <c r="E2366" s="8"/>
      <c r="F2366" s="8"/>
      <c r="G2366" s="8"/>
      <c r="H2366" s="8"/>
      <c r="I2366" s="8"/>
      <c r="J2366" s="8"/>
      <c r="K2366" s="8"/>
      <c r="L2366" s="8"/>
    </row>
    <row r="2367" spans="3:12" x14ac:dyDescent="0.25">
      <c r="C2367" s="7"/>
      <c r="E2367" s="8"/>
      <c r="F2367" s="8"/>
      <c r="G2367" s="8"/>
      <c r="H2367" s="8"/>
      <c r="I2367" s="8"/>
      <c r="J2367" s="8"/>
      <c r="K2367" s="8"/>
      <c r="L2367" s="8"/>
    </row>
    <row r="2368" spans="3:12" x14ac:dyDescent="0.25">
      <c r="C2368" s="7"/>
      <c r="E2368" s="8"/>
      <c r="F2368" s="8"/>
      <c r="G2368" s="8"/>
      <c r="H2368" s="8"/>
      <c r="I2368" s="8"/>
      <c r="J2368" s="8"/>
      <c r="K2368" s="8"/>
      <c r="L2368" s="8"/>
    </row>
    <row r="2369" spans="3:12" x14ac:dyDescent="0.25">
      <c r="C2369" s="7"/>
      <c r="E2369" s="8"/>
      <c r="F2369" s="8"/>
      <c r="G2369" s="8"/>
      <c r="H2369" s="8"/>
      <c r="I2369" s="8"/>
      <c r="J2369" s="8"/>
      <c r="K2369" s="8"/>
      <c r="L2369" s="8"/>
    </row>
    <row r="2370" spans="3:12" x14ac:dyDescent="0.25">
      <c r="C2370" s="7"/>
      <c r="E2370" s="8"/>
      <c r="F2370" s="8"/>
      <c r="G2370" s="8"/>
      <c r="H2370" s="8"/>
      <c r="I2370" s="8"/>
      <c r="J2370" s="8"/>
      <c r="K2370" s="8"/>
      <c r="L2370" s="8"/>
    </row>
    <row r="2371" spans="3:12" x14ac:dyDescent="0.25">
      <c r="C2371" s="7"/>
      <c r="E2371" s="8"/>
      <c r="F2371" s="8"/>
      <c r="G2371" s="8"/>
      <c r="H2371" s="8"/>
      <c r="I2371" s="8"/>
      <c r="J2371" s="8"/>
      <c r="K2371" s="8"/>
      <c r="L2371" s="8"/>
    </row>
    <row r="2372" spans="3:12" x14ac:dyDescent="0.25">
      <c r="C2372" s="7"/>
      <c r="E2372" s="8"/>
      <c r="F2372" s="8"/>
      <c r="G2372" s="8"/>
      <c r="H2372" s="8"/>
      <c r="I2372" s="8"/>
      <c r="J2372" s="8"/>
      <c r="K2372" s="8"/>
      <c r="L2372" s="8"/>
    </row>
    <row r="2373" spans="3:12" x14ac:dyDescent="0.25">
      <c r="C2373" s="7"/>
      <c r="E2373" s="8"/>
      <c r="F2373" s="8"/>
      <c r="G2373" s="8"/>
      <c r="H2373" s="8"/>
      <c r="I2373" s="8"/>
      <c r="J2373" s="8"/>
      <c r="K2373" s="8"/>
      <c r="L2373" s="8"/>
    </row>
    <row r="2374" spans="3:12" x14ac:dyDescent="0.25">
      <c r="C2374" s="7"/>
      <c r="E2374" s="8"/>
      <c r="F2374" s="8"/>
      <c r="G2374" s="8"/>
      <c r="H2374" s="8"/>
      <c r="I2374" s="8"/>
      <c r="J2374" s="8"/>
      <c r="K2374" s="8"/>
      <c r="L2374" s="8"/>
    </row>
    <row r="2375" spans="3:12" x14ac:dyDescent="0.25">
      <c r="C2375" s="7"/>
      <c r="E2375" s="8"/>
      <c r="F2375" s="8"/>
      <c r="G2375" s="8"/>
      <c r="H2375" s="8"/>
      <c r="I2375" s="8"/>
      <c r="J2375" s="8"/>
      <c r="K2375" s="8"/>
      <c r="L2375" s="8"/>
    </row>
    <row r="2376" spans="3:12" x14ac:dyDescent="0.25">
      <c r="C2376" s="7"/>
      <c r="E2376" s="8"/>
      <c r="F2376" s="8"/>
      <c r="G2376" s="8"/>
      <c r="H2376" s="8"/>
      <c r="I2376" s="8"/>
      <c r="J2376" s="8"/>
      <c r="K2376" s="8"/>
      <c r="L2376" s="8"/>
    </row>
    <row r="2377" spans="3:12" x14ac:dyDescent="0.25">
      <c r="C2377" s="7"/>
      <c r="E2377" s="8"/>
      <c r="F2377" s="8"/>
      <c r="G2377" s="8"/>
      <c r="H2377" s="8"/>
      <c r="I2377" s="8"/>
      <c r="J2377" s="8"/>
      <c r="K2377" s="8"/>
      <c r="L2377" s="8"/>
    </row>
    <row r="2378" spans="3:12" x14ac:dyDescent="0.25">
      <c r="C2378" s="7"/>
      <c r="E2378" s="8"/>
      <c r="F2378" s="8"/>
      <c r="G2378" s="8"/>
      <c r="H2378" s="8"/>
      <c r="I2378" s="8"/>
      <c r="J2378" s="8"/>
      <c r="K2378" s="8"/>
      <c r="L2378" s="8"/>
    </row>
    <row r="2379" spans="3:12" x14ac:dyDescent="0.25">
      <c r="C2379" s="7"/>
      <c r="E2379" s="8"/>
      <c r="F2379" s="8"/>
      <c r="G2379" s="8"/>
      <c r="H2379" s="8"/>
      <c r="I2379" s="8"/>
      <c r="J2379" s="8"/>
      <c r="K2379" s="8"/>
      <c r="L2379" s="8"/>
    </row>
    <row r="2380" spans="3:12" x14ac:dyDescent="0.25">
      <c r="C2380" s="7"/>
      <c r="E2380" s="8"/>
      <c r="F2380" s="8"/>
      <c r="G2380" s="8"/>
      <c r="H2380" s="8"/>
      <c r="I2380" s="8"/>
      <c r="J2380" s="8"/>
      <c r="K2380" s="8"/>
      <c r="L2380" s="8"/>
    </row>
    <row r="2381" spans="3:12" x14ac:dyDescent="0.25">
      <c r="C2381" s="7"/>
      <c r="E2381" s="8"/>
      <c r="F2381" s="8"/>
      <c r="G2381" s="8"/>
      <c r="H2381" s="8"/>
      <c r="I2381" s="8"/>
      <c r="J2381" s="8"/>
      <c r="K2381" s="8"/>
      <c r="L2381" s="8"/>
    </row>
    <row r="2382" spans="3:12" x14ac:dyDescent="0.25">
      <c r="C2382" s="7"/>
      <c r="E2382" s="8"/>
      <c r="F2382" s="8"/>
      <c r="G2382" s="8"/>
      <c r="H2382" s="8"/>
      <c r="I2382" s="8"/>
      <c r="J2382" s="8"/>
      <c r="K2382" s="8"/>
      <c r="L2382" s="8"/>
    </row>
    <row r="2383" spans="3:12" x14ac:dyDescent="0.25">
      <c r="C2383" s="7"/>
      <c r="E2383" s="8"/>
      <c r="F2383" s="8"/>
      <c r="G2383" s="8"/>
      <c r="H2383" s="8"/>
      <c r="I2383" s="8"/>
      <c r="J2383" s="8"/>
      <c r="K2383" s="8"/>
      <c r="L2383" s="8"/>
    </row>
    <row r="2384" spans="3:12" x14ac:dyDescent="0.25">
      <c r="C2384" s="7"/>
      <c r="E2384" s="8"/>
      <c r="F2384" s="8"/>
      <c r="G2384" s="8"/>
      <c r="H2384" s="8"/>
      <c r="I2384" s="8"/>
      <c r="J2384" s="8"/>
      <c r="K2384" s="8"/>
      <c r="L2384" s="8"/>
    </row>
    <row r="2385" spans="3:12" x14ac:dyDescent="0.25">
      <c r="C2385" s="7"/>
      <c r="E2385" s="8"/>
      <c r="F2385" s="8"/>
      <c r="G2385" s="8"/>
      <c r="H2385" s="8"/>
      <c r="I2385" s="8"/>
      <c r="J2385" s="8"/>
      <c r="K2385" s="8"/>
      <c r="L2385" s="8"/>
    </row>
    <row r="2386" spans="3:12" x14ac:dyDescent="0.25">
      <c r="C2386" s="7"/>
      <c r="E2386" s="8"/>
      <c r="F2386" s="8"/>
      <c r="G2386" s="8"/>
      <c r="H2386" s="8"/>
      <c r="I2386" s="8"/>
      <c r="J2386" s="8"/>
      <c r="K2386" s="8"/>
      <c r="L2386" s="8"/>
    </row>
    <row r="2387" spans="3:12" x14ac:dyDescent="0.25">
      <c r="C2387" s="7"/>
      <c r="E2387" s="8"/>
      <c r="F2387" s="8"/>
      <c r="G2387" s="8"/>
      <c r="H2387" s="8"/>
      <c r="I2387" s="8"/>
      <c r="J2387" s="8"/>
      <c r="K2387" s="8"/>
      <c r="L2387" s="8"/>
    </row>
    <row r="2388" spans="3:12" x14ac:dyDescent="0.25">
      <c r="C2388" s="7"/>
      <c r="E2388" s="8"/>
      <c r="F2388" s="8"/>
      <c r="G2388" s="8"/>
      <c r="H2388" s="8"/>
      <c r="I2388" s="8"/>
      <c r="J2388" s="8"/>
      <c r="K2388" s="8"/>
      <c r="L2388" s="8"/>
    </row>
    <row r="2389" spans="3:12" x14ac:dyDescent="0.25">
      <c r="C2389" s="7"/>
      <c r="E2389" s="8"/>
      <c r="F2389" s="8"/>
      <c r="G2389" s="8"/>
      <c r="H2389" s="8"/>
      <c r="I2389" s="8"/>
      <c r="J2389" s="8"/>
      <c r="K2389" s="8"/>
      <c r="L2389" s="8"/>
    </row>
    <row r="2390" spans="3:12" x14ac:dyDescent="0.25">
      <c r="C2390" s="7"/>
      <c r="E2390" s="8"/>
      <c r="F2390" s="8"/>
      <c r="G2390" s="8"/>
      <c r="H2390" s="8"/>
      <c r="I2390" s="8"/>
      <c r="J2390" s="8"/>
      <c r="K2390" s="8"/>
      <c r="L2390" s="8"/>
    </row>
    <row r="2391" spans="3:12" x14ac:dyDescent="0.25">
      <c r="C2391" s="7"/>
      <c r="E2391" s="8"/>
      <c r="F2391" s="8"/>
      <c r="G2391" s="8"/>
      <c r="H2391" s="8"/>
      <c r="I2391" s="8"/>
      <c r="J2391" s="8"/>
      <c r="K2391" s="8"/>
      <c r="L2391" s="8"/>
    </row>
    <row r="2392" spans="3:12" x14ac:dyDescent="0.25">
      <c r="C2392" s="7"/>
      <c r="E2392" s="8"/>
      <c r="F2392" s="8"/>
      <c r="G2392" s="8"/>
      <c r="H2392" s="8"/>
      <c r="I2392" s="8"/>
      <c r="J2392" s="8"/>
      <c r="K2392" s="8"/>
      <c r="L2392" s="8"/>
    </row>
    <row r="2393" spans="3:12" x14ac:dyDescent="0.25">
      <c r="C2393" s="7"/>
      <c r="E2393" s="8"/>
      <c r="F2393" s="8"/>
      <c r="G2393" s="8"/>
      <c r="H2393" s="8"/>
      <c r="I2393" s="8"/>
      <c r="J2393" s="8"/>
      <c r="K2393" s="8"/>
      <c r="L2393" s="8"/>
    </row>
    <row r="2394" spans="3:12" x14ac:dyDescent="0.25">
      <c r="C2394" s="7"/>
      <c r="E2394" s="8"/>
      <c r="F2394" s="8"/>
      <c r="G2394" s="8"/>
      <c r="H2394" s="8"/>
      <c r="I2394" s="8"/>
      <c r="J2394" s="8"/>
      <c r="K2394" s="8"/>
      <c r="L2394" s="8"/>
    </row>
    <row r="2395" spans="3:12" x14ac:dyDescent="0.25">
      <c r="C2395" s="7"/>
      <c r="E2395" s="8"/>
      <c r="F2395" s="8"/>
      <c r="G2395" s="8"/>
      <c r="H2395" s="8"/>
      <c r="I2395" s="8"/>
      <c r="J2395" s="8"/>
      <c r="K2395" s="8"/>
      <c r="L2395" s="8"/>
    </row>
    <row r="2396" spans="3:12" x14ac:dyDescent="0.25">
      <c r="C2396" s="7"/>
      <c r="E2396" s="8"/>
      <c r="F2396" s="8"/>
      <c r="G2396" s="8"/>
      <c r="H2396" s="8"/>
      <c r="I2396" s="8"/>
      <c r="J2396" s="8"/>
      <c r="K2396" s="8"/>
      <c r="L2396" s="8"/>
    </row>
    <row r="2397" spans="3:12" x14ac:dyDescent="0.25">
      <c r="C2397" s="7"/>
      <c r="E2397" s="8"/>
      <c r="F2397" s="8"/>
      <c r="G2397" s="8"/>
      <c r="H2397" s="8"/>
      <c r="I2397" s="8"/>
      <c r="J2397" s="8"/>
      <c r="K2397" s="8"/>
      <c r="L2397" s="8"/>
    </row>
    <row r="2398" spans="3:12" x14ac:dyDescent="0.25">
      <c r="C2398" s="7"/>
      <c r="E2398" s="8"/>
      <c r="F2398" s="8"/>
      <c r="G2398" s="8"/>
      <c r="H2398" s="8"/>
      <c r="I2398" s="8"/>
      <c r="J2398" s="8"/>
      <c r="K2398" s="8"/>
      <c r="L2398" s="8"/>
    </row>
    <row r="2399" spans="3:12" x14ac:dyDescent="0.25">
      <c r="C2399" s="7"/>
      <c r="E2399" s="8"/>
      <c r="F2399" s="8"/>
      <c r="G2399" s="8"/>
      <c r="H2399" s="8"/>
      <c r="I2399" s="8"/>
      <c r="J2399" s="8"/>
      <c r="K2399" s="8"/>
      <c r="L2399" s="8"/>
    </row>
    <row r="2400" spans="3:12" x14ac:dyDescent="0.25">
      <c r="C2400" s="7"/>
      <c r="E2400" s="8"/>
      <c r="F2400" s="8"/>
      <c r="G2400" s="8"/>
      <c r="H2400" s="8"/>
      <c r="I2400" s="8"/>
      <c r="J2400" s="8"/>
      <c r="K2400" s="8"/>
      <c r="L2400" s="8"/>
    </row>
    <row r="2401" spans="3:12" x14ac:dyDescent="0.25">
      <c r="C2401" s="7"/>
      <c r="E2401" s="8"/>
      <c r="F2401" s="8"/>
      <c r="G2401" s="8"/>
      <c r="H2401" s="8"/>
      <c r="I2401" s="8"/>
      <c r="J2401" s="8"/>
      <c r="K2401" s="8"/>
      <c r="L2401" s="8"/>
    </row>
    <row r="2402" spans="3:12" x14ac:dyDescent="0.25">
      <c r="C2402" s="7"/>
      <c r="E2402" s="8"/>
      <c r="F2402" s="8"/>
      <c r="G2402" s="8"/>
      <c r="H2402" s="8"/>
      <c r="I2402" s="8"/>
      <c r="J2402" s="8"/>
      <c r="K2402" s="8"/>
      <c r="L2402" s="8"/>
    </row>
    <row r="2403" spans="3:12" x14ac:dyDescent="0.25">
      <c r="C2403" s="7"/>
      <c r="E2403" s="8"/>
      <c r="F2403" s="8"/>
      <c r="G2403" s="8"/>
      <c r="H2403" s="8"/>
      <c r="I2403" s="8"/>
      <c r="J2403" s="8"/>
      <c r="K2403" s="8"/>
      <c r="L2403" s="8"/>
    </row>
    <row r="2404" spans="3:12" x14ac:dyDescent="0.25">
      <c r="C2404" s="7"/>
      <c r="E2404" s="8"/>
      <c r="F2404" s="8"/>
      <c r="G2404" s="8"/>
      <c r="H2404" s="8"/>
      <c r="I2404" s="8"/>
      <c r="J2404" s="8"/>
      <c r="K2404" s="8"/>
      <c r="L2404" s="8"/>
    </row>
    <row r="2405" spans="3:12" x14ac:dyDescent="0.25">
      <c r="C2405" s="7"/>
      <c r="E2405" s="8"/>
      <c r="F2405" s="8"/>
      <c r="G2405" s="8"/>
      <c r="H2405" s="8"/>
      <c r="I2405" s="8"/>
      <c r="J2405" s="8"/>
      <c r="K2405" s="8"/>
      <c r="L2405" s="8"/>
    </row>
    <row r="2406" spans="3:12" x14ac:dyDescent="0.25">
      <c r="C2406" s="7"/>
      <c r="E2406" s="8"/>
      <c r="F2406" s="8"/>
      <c r="G2406" s="8"/>
      <c r="H2406" s="8"/>
      <c r="I2406" s="8"/>
      <c r="J2406" s="8"/>
      <c r="K2406" s="8"/>
      <c r="L2406" s="8"/>
    </row>
    <row r="2407" spans="3:12" x14ac:dyDescent="0.25">
      <c r="C2407" s="7"/>
      <c r="E2407" s="8"/>
      <c r="F2407" s="8"/>
      <c r="G2407" s="8"/>
      <c r="H2407" s="8"/>
      <c r="I2407" s="8"/>
      <c r="J2407" s="8"/>
      <c r="K2407" s="8"/>
      <c r="L2407" s="8"/>
    </row>
    <row r="2408" spans="3:12" x14ac:dyDescent="0.25">
      <c r="C2408" s="7"/>
      <c r="E2408" s="8"/>
      <c r="F2408" s="8"/>
      <c r="G2408" s="8"/>
      <c r="H2408" s="8"/>
      <c r="I2408" s="8"/>
      <c r="J2408" s="8"/>
      <c r="K2408" s="8"/>
      <c r="L2408" s="8"/>
    </row>
    <row r="2409" spans="3:12" x14ac:dyDescent="0.25">
      <c r="C2409" s="7"/>
      <c r="E2409" s="8"/>
      <c r="F2409" s="8"/>
      <c r="G2409" s="8"/>
      <c r="H2409" s="8"/>
      <c r="I2409" s="8"/>
      <c r="J2409" s="8"/>
      <c r="K2409" s="8"/>
      <c r="L2409" s="8"/>
    </row>
    <row r="2410" spans="3:12" x14ac:dyDescent="0.25">
      <c r="C2410" s="7"/>
      <c r="E2410" s="8"/>
      <c r="F2410" s="8"/>
      <c r="G2410" s="8"/>
      <c r="H2410" s="8"/>
      <c r="I2410" s="8"/>
      <c r="J2410" s="8"/>
      <c r="K2410" s="8"/>
      <c r="L2410" s="8"/>
    </row>
    <row r="2411" spans="3:12" x14ac:dyDescent="0.25">
      <c r="C2411" s="7"/>
      <c r="E2411" s="8"/>
      <c r="F2411" s="8"/>
      <c r="G2411" s="8"/>
      <c r="H2411" s="8"/>
      <c r="I2411" s="8"/>
      <c r="J2411" s="8"/>
      <c r="K2411" s="8"/>
      <c r="L2411" s="8"/>
    </row>
    <row r="2412" spans="3:12" x14ac:dyDescent="0.25">
      <c r="C2412" s="7"/>
      <c r="E2412" s="8"/>
      <c r="F2412" s="8"/>
      <c r="G2412" s="8"/>
      <c r="H2412" s="8"/>
      <c r="I2412" s="8"/>
      <c r="J2412" s="8"/>
      <c r="K2412" s="8"/>
      <c r="L2412" s="8"/>
    </row>
    <row r="2413" spans="3:12" x14ac:dyDescent="0.25">
      <c r="C2413" s="7"/>
      <c r="E2413" s="8"/>
      <c r="F2413" s="8"/>
      <c r="G2413" s="8"/>
      <c r="H2413" s="8"/>
      <c r="I2413" s="8"/>
      <c r="J2413" s="8"/>
      <c r="K2413" s="8"/>
      <c r="L2413" s="8"/>
    </row>
    <row r="2414" spans="3:12" x14ac:dyDescent="0.25">
      <c r="C2414" s="7"/>
      <c r="E2414" s="8"/>
      <c r="F2414" s="8"/>
      <c r="G2414" s="8"/>
      <c r="H2414" s="8"/>
      <c r="I2414" s="8"/>
      <c r="J2414" s="8"/>
      <c r="K2414" s="8"/>
      <c r="L2414" s="8"/>
    </row>
    <row r="2415" spans="3:12" x14ac:dyDescent="0.25">
      <c r="C2415" s="7"/>
      <c r="E2415" s="8"/>
      <c r="F2415" s="8"/>
      <c r="G2415" s="8"/>
      <c r="H2415" s="8"/>
      <c r="I2415" s="8"/>
      <c r="J2415" s="8"/>
      <c r="K2415" s="8"/>
      <c r="L2415" s="8"/>
    </row>
    <row r="2416" spans="3:12" x14ac:dyDescent="0.25">
      <c r="C2416" s="7"/>
      <c r="E2416" s="8"/>
      <c r="F2416" s="8"/>
      <c r="G2416" s="8"/>
      <c r="H2416" s="8"/>
      <c r="I2416" s="8"/>
      <c r="J2416" s="8"/>
      <c r="K2416" s="8"/>
      <c r="L2416" s="8"/>
    </row>
    <row r="2417" spans="3:12" x14ac:dyDescent="0.25">
      <c r="C2417" s="7"/>
      <c r="E2417" s="8"/>
      <c r="F2417" s="8"/>
      <c r="G2417" s="8"/>
      <c r="H2417" s="8"/>
      <c r="I2417" s="8"/>
      <c r="J2417" s="8"/>
      <c r="K2417" s="8"/>
      <c r="L2417" s="8"/>
    </row>
    <row r="2418" spans="3:12" x14ac:dyDescent="0.25">
      <c r="C2418" s="7"/>
      <c r="E2418" s="8"/>
      <c r="F2418" s="8"/>
      <c r="G2418" s="8"/>
      <c r="H2418" s="8"/>
      <c r="I2418" s="8"/>
      <c r="J2418" s="8"/>
      <c r="K2418" s="8"/>
      <c r="L2418" s="8"/>
    </row>
    <row r="2419" spans="3:12" x14ac:dyDescent="0.25">
      <c r="C2419" s="7"/>
      <c r="E2419" s="8"/>
      <c r="F2419" s="8"/>
      <c r="G2419" s="8"/>
      <c r="H2419" s="8"/>
      <c r="I2419" s="8"/>
      <c r="J2419" s="8"/>
      <c r="K2419" s="8"/>
      <c r="L2419" s="8"/>
    </row>
    <row r="2420" spans="3:12" x14ac:dyDescent="0.25">
      <c r="C2420" s="7"/>
      <c r="E2420" s="8"/>
      <c r="F2420" s="8"/>
      <c r="G2420" s="8"/>
      <c r="H2420" s="8"/>
      <c r="I2420" s="8"/>
      <c r="J2420" s="8"/>
      <c r="K2420" s="8"/>
      <c r="L2420" s="8"/>
    </row>
    <row r="2421" spans="3:12" x14ac:dyDescent="0.25">
      <c r="C2421" s="7"/>
      <c r="E2421" s="8"/>
      <c r="F2421" s="8"/>
      <c r="G2421" s="8"/>
      <c r="H2421" s="8"/>
      <c r="I2421" s="8"/>
      <c r="J2421" s="8"/>
      <c r="K2421" s="8"/>
      <c r="L2421" s="8"/>
    </row>
    <row r="2422" spans="3:12" x14ac:dyDescent="0.25">
      <c r="C2422" s="7"/>
      <c r="E2422" s="8"/>
      <c r="F2422" s="8"/>
      <c r="G2422" s="8"/>
      <c r="H2422" s="8"/>
      <c r="I2422" s="8"/>
      <c r="J2422" s="8"/>
      <c r="K2422" s="8"/>
      <c r="L2422" s="8"/>
    </row>
    <row r="2423" spans="3:12" x14ac:dyDescent="0.25">
      <c r="C2423" s="7"/>
      <c r="E2423" s="8"/>
      <c r="F2423" s="8"/>
      <c r="G2423" s="8"/>
      <c r="H2423" s="8"/>
      <c r="I2423" s="8"/>
      <c r="J2423" s="8"/>
      <c r="K2423" s="8"/>
      <c r="L2423" s="8"/>
    </row>
    <row r="2424" spans="3:12" x14ac:dyDescent="0.25">
      <c r="C2424" s="7"/>
      <c r="E2424" s="8"/>
      <c r="F2424" s="8"/>
      <c r="G2424" s="8"/>
      <c r="H2424" s="8"/>
      <c r="I2424" s="8"/>
      <c r="J2424" s="8"/>
      <c r="K2424" s="8"/>
      <c r="L2424" s="8"/>
    </row>
    <row r="2425" spans="3:12" x14ac:dyDescent="0.25">
      <c r="C2425" s="7"/>
      <c r="E2425" s="8"/>
      <c r="F2425" s="8"/>
      <c r="G2425" s="8"/>
      <c r="H2425" s="8"/>
      <c r="I2425" s="8"/>
      <c r="J2425" s="8"/>
      <c r="K2425" s="8"/>
      <c r="L2425" s="8"/>
    </row>
    <row r="2426" spans="3:12" x14ac:dyDescent="0.25">
      <c r="C2426" s="7"/>
      <c r="E2426" s="8"/>
      <c r="F2426" s="8"/>
      <c r="G2426" s="8"/>
      <c r="H2426" s="8"/>
      <c r="I2426" s="8"/>
      <c r="J2426" s="8"/>
      <c r="K2426" s="8"/>
      <c r="L2426" s="8"/>
    </row>
    <row r="2427" spans="3:12" x14ac:dyDescent="0.25">
      <c r="C2427" s="7"/>
      <c r="E2427" s="8"/>
      <c r="F2427" s="8"/>
      <c r="G2427" s="8"/>
      <c r="H2427" s="8"/>
      <c r="I2427" s="8"/>
      <c r="J2427" s="8"/>
      <c r="K2427" s="8"/>
      <c r="L2427" s="8"/>
    </row>
    <row r="2428" spans="3:12" x14ac:dyDescent="0.25">
      <c r="C2428" s="7"/>
      <c r="E2428" s="8"/>
      <c r="F2428" s="8"/>
      <c r="G2428" s="8"/>
      <c r="H2428" s="8"/>
      <c r="I2428" s="8"/>
      <c r="J2428" s="8"/>
      <c r="K2428" s="8"/>
      <c r="L2428" s="8"/>
    </row>
    <row r="2429" spans="3:12" x14ac:dyDescent="0.25">
      <c r="C2429" s="7"/>
      <c r="E2429" s="8"/>
      <c r="F2429" s="8"/>
      <c r="G2429" s="8"/>
      <c r="H2429" s="8"/>
      <c r="I2429" s="8"/>
      <c r="J2429" s="8"/>
      <c r="K2429" s="8"/>
      <c r="L2429" s="8"/>
    </row>
    <row r="2430" spans="3:12" x14ac:dyDescent="0.25">
      <c r="C2430" s="7"/>
      <c r="E2430" s="8"/>
      <c r="F2430" s="8"/>
      <c r="G2430" s="8"/>
      <c r="H2430" s="8"/>
      <c r="I2430" s="8"/>
      <c r="J2430" s="8"/>
      <c r="K2430" s="8"/>
      <c r="L2430" s="8"/>
    </row>
    <row r="2431" spans="3:12" x14ac:dyDescent="0.25">
      <c r="C2431" s="7"/>
      <c r="E2431" s="8"/>
      <c r="F2431" s="8"/>
      <c r="G2431" s="8"/>
      <c r="H2431" s="8"/>
      <c r="I2431" s="8"/>
      <c r="J2431" s="8"/>
      <c r="K2431" s="8"/>
      <c r="L2431" s="8"/>
    </row>
    <row r="2432" spans="3:12" x14ac:dyDescent="0.25">
      <c r="C2432" s="7"/>
      <c r="E2432" s="8"/>
      <c r="F2432" s="8"/>
      <c r="G2432" s="8"/>
      <c r="H2432" s="8"/>
      <c r="I2432" s="8"/>
      <c r="J2432" s="8"/>
      <c r="K2432" s="8"/>
      <c r="L2432" s="8"/>
    </row>
    <row r="2433" spans="3:12" x14ac:dyDescent="0.25">
      <c r="C2433" s="7"/>
      <c r="E2433" s="8"/>
      <c r="F2433" s="8"/>
      <c r="G2433" s="8"/>
      <c r="H2433" s="8"/>
      <c r="I2433" s="8"/>
      <c r="J2433" s="8"/>
      <c r="K2433" s="8"/>
      <c r="L2433" s="8"/>
    </row>
    <row r="2434" spans="3:12" x14ac:dyDescent="0.25">
      <c r="C2434" s="7"/>
      <c r="E2434" s="8"/>
      <c r="F2434" s="8"/>
      <c r="G2434" s="8"/>
      <c r="H2434" s="8"/>
      <c r="I2434" s="8"/>
      <c r="J2434" s="8"/>
      <c r="K2434" s="8"/>
      <c r="L2434" s="8"/>
    </row>
    <row r="2435" spans="3:12" x14ac:dyDescent="0.25">
      <c r="C2435" s="7"/>
      <c r="E2435" s="8"/>
      <c r="F2435" s="8"/>
      <c r="G2435" s="8"/>
      <c r="H2435" s="8"/>
      <c r="I2435" s="8"/>
      <c r="J2435" s="8"/>
      <c r="K2435" s="8"/>
      <c r="L2435" s="8"/>
    </row>
    <row r="2436" spans="3:12" x14ac:dyDescent="0.25">
      <c r="C2436" s="7"/>
      <c r="E2436" s="8"/>
      <c r="F2436" s="8"/>
      <c r="G2436" s="8"/>
      <c r="H2436" s="8"/>
      <c r="I2436" s="8"/>
      <c r="J2436" s="8"/>
      <c r="K2436" s="8"/>
      <c r="L2436" s="8"/>
    </row>
    <row r="2437" spans="3:12" x14ac:dyDescent="0.25">
      <c r="C2437" s="7"/>
      <c r="E2437" s="8"/>
      <c r="F2437" s="8"/>
      <c r="G2437" s="8"/>
      <c r="H2437" s="8"/>
      <c r="I2437" s="8"/>
      <c r="J2437" s="8"/>
      <c r="K2437" s="8"/>
      <c r="L2437" s="8"/>
    </row>
    <row r="2438" spans="3:12" x14ac:dyDescent="0.25">
      <c r="C2438" s="7"/>
      <c r="E2438" s="8"/>
      <c r="F2438" s="8"/>
      <c r="G2438" s="8"/>
      <c r="H2438" s="8"/>
      <c r="I2438" s="8"/>
      <c r="J2438" s="8"/>
      <c r="K2438" s="8"/>
      <c r="L2438" s="8"/>
    </row>
    <row r="2439" spans="3:12" x14ac:dyDescent="0.25">
      <c r="C2439" s="7"/>
      <c r="E2439" s="8"/>
      <c r="F2439" s="8"/>
      <c r="G2439" s="8"/>
      <c r="H2439" s="8"/>
      <c r="I2439" s="8"/>
      <c r="J2439" s="8"/>
      <c r="K2439" s="8"/>
      <c r="L2439" s="8"/>
    </row>
    <row r="2440" spans="3:12" x14ac:dyDescent="0.25">
      <c r="C2440" s="7"/>
      <c r="E2440" s="8"/>
      <c r="F2440" s="8"/>
      <c r="G2440" s="8"/>
      <c r="H2440" s="8"/>
      <c r="I2440" s="8"/>
      <c r="J2440" s="8"/>
      <c r="K2440" s="8"/>
      <c r="L2440" s="8"/>
    </row>
    <row r="2441" spans="3:12" x14ac:dyDescent="0.25">
      <c r="C2441" s="7"/>
      <c r="E2441" s="8"/>
      <c r="F2441" s="8"/>
      <c r="G2441" s="8"/>
      <c r="H2441" s="8"/>
      <c r="I2441" s="8"/>
      <c r="J2441" s="8"/>
      <c r="K2441" s="8"/>
      <c r="L2441" s="8"/>
    </row>
    <row r="2442" spans="3:12" x14ac:dyDescent="0.25">
      <c r="C2442" s="7"/>
      <c r="E2442" s="8"/>
      <c r="F2442" s="8"/>
      <c r="G2442" s="8"/>
      <c r="H2442" s="8"/>
      <c r="I2442" s="8"/>
      <c r="J2442" s="8"/>
      <c r="K2442" s="8"/>
      <c r="L2442" s="8"/>
    </row>
    <row r="2443" spans="3:12" x14ac:dyDescent="0.25">
      <c r="C2443" s="7"/>
      <c r="E2443" s="8"/>
      <c r="F2443" s="8"/>
      <c r="G2443" s="8"/>
      <c r="H2443" s="8"/>
      <c r="I2443" s="8"/>
      <c r="J2443" s="8"/>
      <c r="K2443" s="8"/>
      <c r="L2443" s="8"/>
    </row>
    <row r="2444" spans="3:12" x14ac:dyDescent="0.25">
      <c r="C2444" s="7"/>
      <c r="E2444" s="8"/>
      <c r="F2444" s="8"/>
      <c r="G2444" s="8"/>
      <c r="H2444" s="8"/>
      <c r="I2444" s="8"/>
      <c r="J2444" s="8"/>
      <c r="K2444" s="8"/>
      <c r="L2444" s="8"/>
    </row>
    <row r="2445" spans="3:12" x14ac:dyDescent="0.25">
      <c r="C2445" s="7"/>
      <c r="E2445" s="8"/>
      <c r="F2445" s="8"/>
      <c r="G2445" s="8"/>
      <c r="H2445" s="8"/>
      <c r="I2445" s="8"/>
      <c r="J2445" s="8"/>
      <c r="K2445" s="8"/>
      <c r="L2445" s="8"/>
    </row>
    <row r="2446" spans="3:12" x14ac:dyDescent="0.25">
      <c r="C2446" s="7"/>
      <c r="E2446" s="8"/>
      <c r="F2446" s="8"/>
      <c r="G2446" s="8"/>
      <c r="H2446" s="8"/>
      <c r="I2446" s="8"/>
      <c r="J2446" s="8"/>
      <c r="K2446" s="8"/>
      <c r="L2446" s="8"/>
    </row>
    <row r="2447" spans="3:12" x14ac:dyDescent="0.25">
      <c r="C2447" s="7"/>
      <c r="E2447" s="8"/>
      <c r="F2447" s="8"/>
      <c r="G2447" s="8"/>
      <c r="H2447" s="8"/>
      <c r="I2447" s="8"/>
      <c r="J2447" s="8"/>
      <c r="K2447" s="8"/>
      <c r="L2447" s="8"/>
    </row>
    <row r="2448" spans="3:12" x14ac:dyDescent="0.25">
      <c r="C2448" s="7"/>
      <c r="E2448" s="8"/>
      <c r="F2448" s="8"/>
      <c r="G2448" s="8"/>
      <c r="H2448" s="8"/>
      <c r="I2448" s="8"/>
      <c r="J2448" s="8"/>
      <c r="K2448" s="8"/>
      <c r="L2448" s="8"/>
    </row>
    <row r="2449" spans="3:12" x14ac:dyDescent="0.25">
      <c r="C2449" s="7"/>
      <c r="E2449" s="8"/>
      <c r="F2449" s="8"/>
      <c r="G2449" s="8"/>
      <c r="H2449" s="8"/>
      <c r="I2449" s="8"/>
      <c r="J2449" s="8"/>
      <c r="K2449" s="8"/>
      <c r="L2449" s="8"/>
    </row>
    <row r="2450" spans="3:12" x14ac:dyDescent="0.25">
      <c r="C2450" s="7"/>
      <c r="E2450" s="8"/>
      <c r="F2450" s="8"/>
      <c r="G2450" s="8"/>
      <c r="H2450" s="8"/>
      <c r="I2450" s="8"/>
      <c r="J2450" s="8"/>
      <c r="K2450" s="8"/>
      <c r="L2450" s="8"/>
    </row>
    <row r="2451" spans="3:12" x14ac:dyDescent="0.25">
      <c r="C2451" s="7"/>
      <c r="E2451" s="8"/>
      <c r="F2451" s="8"/>
      <c r="G2451" s="8"/>
      <c r="H2451" s="8"/>
      <c r="I2451" s="8"/>
      <c r="J2451" s="8"/>
      <c r="K2451" s="8"/>
      <c r="L2451" s="8"/>
    </row>
    <row r="2452" spans="3:12" x14ac:dyDescent="0.25">
      <c r="C2452" s="7"/>
      <c r="E2452" s="8"/>
      <c r="F2452" s="8"/>
      <c r="G2452" s="8"/>
      <c r="H2452" s="8"/>
      <c r="I2452" s="8"/>
      <c r="J2452" s="8"/>
      <c r="K2452" s="8"/>
      <c r="L2452" s="8"/>
    </row>
    <row r="2453" spans="3:12" x14ac:dyDescent="0.25">
      <c r="C2453" s="7"/>
      <c r="E2453" s="8"/>
      <c r="F2453" s="8"/>
      <c r="G2453" s="8"/>
      <c r="H2453" s="8"/>
      <c r="I2453" s="8"/>
      <c r="J2453" s="8"/>
      <c r="K2453" s="8"/>
      <c r="L2453" s="8"/>
    </row>
    <row r="2454" spans="3:12" x14ac:dyDescent="0.25">
      <c r="C2454" s="7"/>
      <c r="E2454" s="8"/>
      <c r="F2454" s="8"/>
      <c r="G2454" s="8"/>
      <c r="H2454" s="8"/>
      <c r="I2454" s="8"/>
      <c r="J2454" s="8"/>
      <c r="K2454" s="8"/>
      <c r="L2454" s="8"/>
    </row>
    <row r="2455" spans="3:12" x14ac:dyDescent="0.25">
      <c r="C2455" s="7"/>
      <c r="E2455" s="8"/>
      <c r="F2455" s="8"/>
      <c r="G2455" s="8"/>
      <c r="H2455" s="8"/>
      <c r="I2455" s="8"/>
      <c r="J2455" s="8"/>
      <c r="K2455" s="8"/>
      <c r="L2455" s="8"/>
    </row>
    <row r="2456" spans="3:12" x14ac:dyDescent="0.25">
      <c r="C2456" s="7"/>
      <c r="E2456" s="8"/>
      <c r="F2456" s="8"/>
      <c r="G2456" s="8"/>
      <c r="H2456" s="8"/>
      <c r="I2456" s="8"/>
      <c r="J2456" s="8"/>
      <c r="K2456" s="8"/>
      <c r="L2456" s="8"/>
    </row>
    <row r="2457" spans="3:12" x14ac:dyDescent="0.25">
      <c r="C2457" s="7"/>
      <c r="E2457" s="8"/>
      <c r="F2457" s="8"/>
      <c r="G2457" s="8"/>
      <c r="H2457" s="8"/>
      <c r="I2457" s="8"/>
      <c r="J2457" s="8"/>
      <c r="K2457" s="8"/>
      <c r="L2457" s="8"/>
    </row>
    <row r="2458" spans="3:12" x14ac:dyDescent="0.25">
      <c r="C2458" s="7"/>
      <c r="E2458" s="8"/>
      <c r="F2458" s="8"/>
      <c r="G2458" s="8"/>
      <c r="H2458" s="8"/>
      <c r="I2458" s="8"/>
      <c r="J2458" s="8"/>
      <c r="K2458" s="8"/>
      <c r="L2458" s="8"/>
    </row>
    <row r="2459" spans="3:12" x14ac:dyDescent="0.25">
      <c r="C2459" s="7"/>
      <c r="E2459" s="8"/>
      <c r="F2459" s="8"/>
      <c r="G2459" s="8"/>
      <c r="H2459" s="8"/>
      <c r="I2459" s="8"/>
      <c r="J2459" s="8"/>
      <c r="K2459" s="8"/>
      <c r="L2459" s="8"/>
    </row>
    <row r="2460" spans="3:12" x14ac:dyDescent="0.25">
      <c r="C2460" s="7"/>
      <c r="E2460" s="8"/>
      <c r="F2460" s="8"/>
      <c r="G2460" s="8"/>
      <c r="H2460" s="8"/>
      <c r="I2460" s="8"/>
      <c r="J2460" s="8"/>
      <c r="K2460" s="8"/>
      <c r="L2460" s="8"/>
    </row>
    <row r="2461" spans="3:12" x14ac:dyDescent="0.25">
      <c r="C2461" s="7"/>
      <c r="E2461" s="8"/>
      <c r="F2461" s="8"/>
      <c r="G2461" s="8"/>
      <c r="H2461" s="8"/>
      <c r="I2461" s="8"/>
      <c r="J2461" s="8"/>
      <c r="K2461" s="8"/>
      <c r="L2461" s="8"/>
    </row>
    <row r="2462" spans="3:12" x14ac:dyDescent="0.25">
      <c r="C2462" s="7"/>
      <c r="E2462" s="8"/>
      <c r="F2462" s="8"/>
      <c r="G2462" s="8"/>
      <c r="H2462" s="8"/>
      <c r="I2462" s="8"/>
      <c r="J2462" s="8"/>
      <c r="K2462" s="8"/>
      <c r="L2462" s="8"/>
    </row>
    <row r="2463" spans="3:12" x14ac:dyDescent="0.25">
      <c r="C2463" s="7"/>
      <c r="E2463" s="8"/>
      <c r="F2463" s="8"/>
      <c r="G2463" s="8"/>
      <c r="H2463" s="8"/>
      <c r="I2463" s="8"/>
      <c r="J2463" s="8"/>
      <c r="K2463" s="8"/>
      <c r="L2463" s="8"/>
    </row>
    <row r="2464" spans="3:12" x14ac:dyDescent="0.25">
      <c r="C2464" s="7"/>
      <c r="E2464" s="8"/>
      <c r="F2464" s="8"/>
      <c r="G2464" s="8"/>
      <c r="H2464" s="8"/>
      <c r="I2464" s="8"/>
      <c r="J2464" s="8"/>
      <c r="K2464" s="8"/>
      <c r="L2464" s="8"/>
    </row>
    <row r="2465" spans="3:12" x14ac:dyDescent="0.25">
      <c r="C2465" s="7"/>
      <c r="E2465" s="8"/>
      <c r="F2465" s="8"/>
      <c r="G2465" s="8"/>
      <c r="H2465" s="8"/>
      <c r="I2465" s="8"/>
      <c r="J2465" s="8"/>
      <c r="K2465" s="8"/>
      <c r="L2465" s="8"/>
    </row>
    <row r="2466" spans="3:12" x14ac:dyDescent="0.25">
      <c r="C2466" s="7"/>
      <c r="E2466" s="8"/>
      <c r="F2466" s="8"/>
      <c r="G2466" s="8"/>
      <c r="H2466" s="8"/>
      <c r="I2466" s="8"/>
      <c r="J2466" s="8"/>
      <c r="K2466" s="8"/>
      <c r="L2466" s="8"/>
    </row>
    <row r="2467" spans="3:12" x14ac:dyDescent="0.25">
      <c r="C2467" s="7"/>
      <c r="E2467" s="8"/>
      <c r="F2467" s="8"/>
      <c r="G2467" s="8"/>
      <c r="H2467" s="8"/>
      <c r="I2467" s="8"/>
      <c r="J2467" s="8"/>
      <c r="K2467" s="8"/>
      <c r="L2467" s="8"/>
    </row>
    <row r="2468" spans="3:12" x14ac:dyDescent="0.25">
      <c r="C2468" s="7"/>
      <c r="E2468" s="8"/>
      <c r="F2468" s="8"/>
      <c r="G2468" s="8"/>
      <c r="H2468" s="8"/>
      <c r="I2468" s="8"/>
      <c r="J2468" s="8"/>
      <c r="K2468" s="8"/>
      <c r="L2468" s="8"/>
    </row>
    <row r="2469" spans="3:12" x14ac:dyDescent="0.25">
      <c r="C2469" s="7"/>
      <c r="E2469" s="8"/>
      <c r="F2469" s="8"/>
      <c r="G2469" s="8"/>
      <c r="H2469" s="8"/>
      <c r="I2469" s="8"/>
      <c r="J2469" s="8"/>
      <c r="K2469" s="8"/>
      <c r="L2469" s="8"/>
    </row>
    <row r="2470" spans="3:12" x14ac:dyDescent="0.25">
      <c r="C2470" s="7"/>
      <c r="E2470" s="8"/>
      <c r="F2470" s="8"/>
      <c r="G2470" s="8"/>
      <c r="H2470" s="8"/>
      <c r="I2470" s="8"/>
      <c r="J2470" s="8"/>
      <c r="K2470" s="8"/>
      <c r="L2470" s="8"/>
    </row>
    <row r="2471" spans="3:12" x14ac:dyDescent="0.25">
      <c r="C2471" s="7"/>
      <c r="E2471" s="8"/>
      <c r="F2471" s="8"/>
      <c r="G2471" s="8"/>
      <c r="H2471" s="8"/>
      <c r="I2471" s="8"/>
      <c r="J2471" s="8"/>
      <c r="K2471" s="8"/>
      <c r="L2471" s="8"/>
    </row>
    <row r="2472" spans="3:12" x14ac:dyDescent="0.25">
      <c r="C2472" s="7"/>
      <c r="E2472" s="8"/>
      <c r="F2472" s="8"/>
      <c r="G2472" s="8"/>
      <c r="H2472" s="8"/>
      <c r="I2472" s="8"/>
      <c r="J2472" s="8"/>
      <c r="K2472" s="8"/>
      <c r="L2472" s="8"/>
    </row>
    <row r="2473" spans="3:12" x14ac:dyDescent="0.25">
      <c r="C2473" s="7"/>
      <c r="E2473" s="8"/>
      <c r="F2473" s="8"/>
      <c r="G2473" s="8"/>
      <c r="H2473" s="8"/>
      <c r="I2473" s="8"/>
      <c r="J2473" s="8"/>
      <c r="K2473" s="8"/>
      <c r="L2473" s="8"/>
    </row>
    <row r="2474" spans="3:12" x14ac:dyDescent="0.25">
      <c r="C2474" s="7"/>
      <c r="E2474" s="8"/>
      <c r="F2474" s="8"/>
      <c r="G2474" s="8"/>
      <c r="H2474" s="8"/>
      <c r="I2474" s="8"/>
      <c r="J2474" s="8"/>
      <c r="K2474" s="8"/>
      <c r="L2474" s="8"/>
    </row>
    <row r="2475" spans="3:12" x14ac:dyDescent="0.25">
      <c r="C2475" s="7"/>
      <c r="E2475" s="8"/>
      <c r="F2475" s="8"/>
      <c r="G2475" s="8"/>
      <c r="H2475" s="8"/>
      <c r="I2475" s="8"/>
      <c r="J2475" s="8"/>
      <c r="K2475" s="8"/>
      <c r="L2475" s="8"/>
    </row>
    <row r="2476" spans="3:12" x14ac:dyDescent="0.25">
      <c r="C2476" s="7"/>
      <c r="E2476" s="8"/>
      <c r="F2476" s="8"/>
      <c r="G2476" s="8"/>
      <c r="H2476" s="8"/>
      <c r="I2476" s="8"/>
      <c r="J2476" s="8"/>
      <c r="K2476" s="8"/>
      <c r="L2476" s="8"/>
    </row>
    <row r="2477" spans="3:12" x14ac:dyDescent="0.25">
      <c r="C2477" s="7"/>
      <c r="E2477" s="8"/>
      <c r="F2477" s="8"/>
      <c r="G2477" s="8"/>
      <c r="H2477" s="8"/>
      <c r="I2477" s="8"/>
      <c r="J2477" s="8"/>
      <c r="K2477" s="8"/>
      <c r="L2477" s="8"/>
    </row>
    <row r="2478" spans="3:12" x14ac:dyDescent="0.25">
      <c r="C2478" s="7"/>
      <c r="E2478" s="8"/>
      <c r="F2478" s="8"/>
      <c r="G2478" s="8"/>
      <c r="H2478" s="8"/>
      <c r="I2478" s="8"/>
      <c r="J2478" s="8"/>
      <c r="K2478" s="8"/>
      <c r="L2478" s="8"/>
    </row>
    <row r="2479" spans="3:12" x14ac:dyDescent="0.25">
      <c r="C2479" s="7"/>
      <c r="E2479" s="8"/>
      <c r="F2479" s="8"/>
      <c r="G2479" s="8"/>
      <c r="H2479" s="8"/>
      <c r="I2479" s="8"/>
      <c r="J2479" s="8"/>
      <c r="K2479" s="8"/>
      <c r="L2479" s="8"/>
    </row>
    <row r="2480" spans="3:12" x14ac:dyDescent="0.25">
      <c r="C2480" s="7"/>
      <c r="E2480" s="8"/>
      <c r="F2480" s="8"/>
      <c r="G2480" s="8"/>
      <c r="H2480" s="8"/>
      <c r="I2480" s="8"/>
      <c r="J2480" s="8"/>
      <c r="K2480" s="8"/>
      <c r="L2480" s="8"/>
    </row>
    <row r="2481" spans="3:12" x14ac:dyDescent="0.25">
      <c r="C2481" s="7"/>
      <c r="E2481" s="8"/>
      <c r="F2481" s="8"/>
      <c r="G2481" s="8"/>
      <c r="H2481" s="8"/>
      <c r="I2481" s="8"/>
      <c r="J2481" s="8"/>
      <c r="K2481" s="8"/>
      <c r="L2481" s="8"/>
    </row>
    <row r="2482" spans="3:12" x14ac:dyDescent="0.25">
      <c r="C2482" s="7"/>
      <c r="E2482" s="8"/>
      <c r="F2482" s="8"/>
      <c r="G2482" s="8"/>
      <c r="H2482" s="8"/>
      <c r="I2482" s="8"/>
      <c r="J2482" s="8"/>
      <c r="K2482" s="8"/>
      <c r="L2482" s="8"/>
    </row>
    <row r="2483" spans="3:12" x14ac:dyDescent="0.25">
      <c r="C2483" s="7"/>
      <c r="E2483" s="8"/>
      <c r="F2483" s="8"/>
      <c r="G2483" s="8"/>
      <c r="H2483" s="8"/>
      <c r="I2483" s="8"/>
      <c r="J2483" s="8"/>
      <c r="K2483" s="8"/>
      <c r="L2483" s="8"/>
    </row>
    <row r="2484" spans="3:12" x14ac:dyDescent="0.25">
      <c r="C2484" s="7"/>
      <c r="E2484" s="8"/>
      <c r="F2484" s="8"/>
      <c r="G2484" s="8"/>
      <c r="H2484" s="8"/>
      <c r="I2484" s="8"/>
      <c r="J2484" s="8"/>
      <c r="K2484" s="8"/>
      <c r="L2484" s="8"/>
    </row>
    <row r="2485" spans="3:12" x14ac:dyDescent="0.25">
      <c r="C2485" s="7"/>
      <c r="E2485" s="8"/>
      <c r="F2485" s="8"/>
      <c r="G2485" s="8"/>
      <c r="H2485" s="8"/>
      <c r="I2485" s="8"/>
      <c r="J2485" s="8"/>
      <c r="K2485" s="8"/>
      <c r="L2485" s="8"/>
    </row>
    <row r="2486" spans="3:12" x14ac:dyDescent="0.25">
      <c r="C2486" s="7"/>
      <c r="E2486" s="8"/>
      <c r="F2486" s="8"/>
      <c r="G2486" s="8"/>
      <c r="H2486" s="8"/>
      <c r="I2486" s="8"/>
      <c r="J2486" s="8"/>
      <c r="K2486" s="8"/>
      <c r="L2486" s="8"/>
    </row>
    <row r="2487" spans="3:12" x14ac:dyDescent="0.25">
      <c r="C2487" s="7"/>
      <c r="E2487" s="8"/>
      <c r="F2487" s="8"/>
      <c r="G2487" s="8"/>
      <c r="H2487" s="8"/>
      <c r="I2487" s="8"/>
      <c r="J2487" s="8"/>
      <c r="K2487" s="8"/>
      <c r="L2487" s="8"/>
    </row>
    <row r="2488" spans="3:12" x14ac:dyDescent="0.25">
      <c r="C2488" s="7"/>
      <c r="E2488" s="8"/>
      <c r="F2488" s="8"/>
      <c r="G2488" s="8"/>
      <c r="H2488" s="8"/>
      <c r="I2488" s="8"/>
      <c r="J2488" s="8"/>
      <c r="K2488" s="8"/>
      <c r="L2488" s="8"/>
    </row>
    <row r="2489" spans="3:12" x14ac:dyDescent="0.25">
      <c r="C2489" s="7"/>
      <c r="E2489" s="8"/>
      <c r="F2489" s="8"/>
      <c r="G2489" s="8"/>
      <c r="H2489" s="8"/>
      <c r="I2489" s="8"/>
      <c r="J2489" s="8"/>
      <c r="K2489" s="8"/>
      <c r="L2489" s="8"/>
    </row>
    <row r="2490" spans="3:12" x14ac:dyDescent="0.25">
      <c r="C2490" s="7"/>
      <c r="E2490" s="8"/>
      <c r="F2490" s="8"/>
      <c r="G2490" s="8"/>
      <c r="H2490" s="8"/>
      <c r="I2490" s="8"/>
      <c r="J2490" s="8"/>
      <c r="K2490" s="8"/>
      <c r="L2490" s="8"/>
    </row>
    <row r="2491" spans="3:12" x14ac:dyDescent="0.25">
      <c r="C2491" s="7"/>
      <c r="E2491" s="8"/>
      <c r="F2491" s="8"/>
      <c r="G2491" s="8"/>
      <c r="H2491" s="8"/>
      <c r="I2491" s="8"/>
      <c r="J2491" s="8"/>
      <c r="K2491" s="8"/>
      <c r="L2491" s="8"/>
    </row>
    <row r="2492" spans="3:12" x14ac:dyDescent="0.25">
      <c r="C2492" s="7"/>
      <c r="E2492" s="8"/>
      <c r="F2492" s="8"/>
      <c r="G2492" s="8"/>
      <c r="H2492" s="8"/>
      <c r="I2492" s="8"/>
      <c r="J2492" s="8"/>
      <c r="K2492" s="8"/>
      <c r="L2492" s="8"/>
    </row>
    <row r="2493" spans="3:12" x14ac:dyDescent="0.25">
      <c r="C2493" s="7"/>
      <c r="E2493" s="8"/>
      <c r="F2493" s="8"/>
      <c r="G2493" s="8"/>
      <c r="H2493" s="8"/>
      <c r="I2493" s="8"/>
      <c r="J2493" s="8"/>
      <c r="K2493" s="8"/>
      <c r="L2493" s="8"/>
    </row>
    <row r="2494" spans="3:12" x14ac:dyDescent="0.25">
      <c r="C2494" s="7"/>
      <c r="E2494" s="8"/>
      <c r="F2494" s="8"/>
      <c r="G2494" s="8"/>
      <c r="H2494" s="8"/>
      <c r="I2494" s="8"/>
      <c r="J2494" s="8"/>
      <c r="K2494" s="8"/>
      <c r="L2494" s="8"/>
    </row>
    <row r="2495" spans="3:12" x14ac:dyDescent="0.25">
      <c r="C2495" s="7"/>
      <c r="E2495" s="8"/>
      <c r="F2495" s="8"/>
      <c r="G2495" s="8"/>
      <c r="H2495" s="8"/>
      <c r="I2495" s="8"/>
      <c r="J2495" s="8"/>
      <c r="K2495" s="8"/>
      <c r="L2495" s="8"/>
    </row>
    <row r="2496" spans="3:12" x14ac:dyDescent="0.25">
      <c r="C2496" s="7"/>
      <c r="E2496" s="8"/>
      <c r="F2496" s="8"/>
      <c r="G2496" s="8"/>
      <c r="H2496" s="8"/>
      <c r="I2496" s="8"/>
      <c r="J2496" s="8"/>
      <c r="K2496" s="8"/>
      <c r="L2496" s="8"/>
    </row>
    <row r="2497" spans="3:12" x14ac:dyDescent="0.25">
      <c r="C2497" s="7"/>
      <c r="E2497" s="8"/>
      <c r="F2497" s="8"/>
      <c r="G2497" s="8"/>
      <c r="H2497" s="8"/>
      <c r="I2497" s="8"/>
      <c r="J2497" s="8"/>
      <c r="K2497" s="8"/>
      <c r="L2497" s="8"/>
    </row>
    <row r="2498" spans="3:12" x14ac:dyDescent="0.25">
      <c r="C2498" s="7"/>
      <c r="E2498" s="8"/>
      <c r="F2498" s="8"/>
      <c r="G2498" s="8"/>
      <c r="H2498" s="8"/>
      <c r="I2498" s="8"/>
      <c r="J2498" s="8"/>
      <c r="K2498" s="8"/>
      <c r="L2498" s="8"/>
    </row>
    <row r="2499" spans="3:12" x14ac:dyDescent="0.25">
      <c r="C2499" s="7"/>
      <c r="E2499" s="8"/>
      <c r="F2499" s="8"/>
      <c r="G2499" s="8"/>
      <c r="H2499" s="8"/>
      <c r="I2499" s="8"/>
      <c r="J2499" s="8"/>
      <c r="K2499" s="8"/>
      <c r="L2499" s="8"/>
    </row>
    <row r="2500" spans="3:12" x14ac:dyDescent="0.25">
      <c r="C2500" s="7"/>
      <c r="E2500" s="8"/>
      <c r="F2500" s="8"/>
      <c r="G2500" s="8"/>
      <c r="H2500" s="8"/>
      <c r="I2500" s="8"/>
      <c r="J2500" s="8"/>
      <c r="K2500" s="8"/>
      <c r="L2500" s="8"/>
    </row>
    <row r="2501" spans="3:12" x14ac:dyDescent="0.25">
      <c r="C2501" s="7"/>
      <c r="E2501" s="8"/>
      <c r="F2501" s="8"/>
      <c r="G2501" s="8"/>
      <c r="H2501" s="8"/>
      <c r="I2501" s="8"/>
      <c r="J2501" s="8"/>
      <c r="K2501" s="8"/>
      <c r="L2501" s="8"/>
    </row>
    <row r="2502" spans="3:12" x14ac:dyDescent="0.25">
      <c r="C2502" s="7"/>
      <c r="E2502" s="8"/>
      <c r="F2502" s="8"/>
      <c r="G2502" s="8"/>
      <c r="H2502" s="8"/>
      <c r="I2502" s="8"/>
      <c r="J2502" s="8"/>
      <c r="K2502" s="8"/>
      <c r="L2502" s="8"/>
    </row>
    <row r="2503" spans="3:12" x14ac:dyDescent="0.25">
      <c r="C2503" s="7"/>
      <c r="E2503" s="8"/>
      <c r="F2503" s="8"/>
      <c r="G2503" s="8"/>
      <c r="H2503" s="8"/>
      <c r="I2503" s="8"/>
      <c r="J2503" s="8"/>
      <c r="K2503" s="8"/>
      <c r="L2503" s="8"/>
    </row>
    <row r="2504" spans="3:12" x14ac:dyDescent="0.25">
      <c r="C2504" s="7"/>
      <c r="E2504" s="8"/>
      <c r="F2504" s="8"/>
      <c r="G2504" s="8"/>
      <c r="H2504" s="8"/>
      <c r="I2504" s="8"/>
      <c r="J2504" s="8"/>
      <c r="K2504" s="8"/>
      <c r="L2504" s="8"/>
    </row>
    <row r="2505" spans="3:12" x14ac:dyDescent="0.25">
      <c r="C2505" s="7"/>
      <c r="E2505" s="8"/>
      <c r="F2505" s="8"/>
      <c r="G2505" s="8"/>
      <c r="H2505" s="8"/>
      <c r="I2505" s="8"/>
      <c r="J2505" s="8"/>
      <c r="K2505" s="8"/>
      <c r="L2505" s="8"/>
    </row>
    <row r="2506" spans="3:12" x14ac:dyDescent="0.25">
      <c r="C2506" s="7"/>
      <c r="E2506" s="8"/>
      <c r="F2506" s="8"/>
      <c r="G2506" s="8"/>
      <c r="H2506" s="8"/>
      <c r="I2506" s="8"/>
      <c r="J2506" s="8"/>
      <c r="K2506" s="8"/>
      <c r="L2506" s="8"/>
    </row>
    <row r="2507" spans="3:12" x14ac:dyDescent="0.25">
      <c r="C2507" s="7"/>
      <c r="E2507" s="8"/>
      <c r="F2507" s="8"/>
      <c r="G2507" s="8"/>
      <c r="H2507" s="8"/>
      <c r="I2507" s="8"/>
      <c r="J2507" s="8"/>
      <c r="K2507" s="8"/>
      <c r="L2507" s="8"/>
    </row>
    <row r="2508" spans="3:12" x14ac:dyDescent="0.25">
      <c r="C2508" s="7"/>
      <c r="E2508" s="8"/>
      <c r="F2508" s="8"/>
      <c r="G2508" s="8"/>
      <c r="H2508" s="8"/>
      <c r="I2508" s="8"/>
      <c r="J2508" s="8"/>
      <c r="K2508" s="8"/>
      <c r="L2508" s="8"/>
    </row>
    <row r="2509" spans="3:12" x14ac:dyDescent="0.25">
      <c r="C2509" s="7"/>
      <c r="E2509" s="8"/>
      <c r="F2509" s="8"/>
      <c r="G2509" s="8"/>
      <c r="H2509" s="8"/>
      <c r="I2509" s="8"/>
      <c r="J2509" s="8"/>
      <c r="K2509" s="8"/>
      <c r="L2509" s="8"/>
    </row>
    <row r="2510" spans="3:12" x14ac:dyDescent="0.25">
      <c r="C2510" s="7"/>
      <c r="E2510" s="8"/>
      <c r="F2510" s="8"/>
      <c r="G2510" s="8"/>
      <c r="H2510" s="8"/>
      <c r="I2510" s="8"/>
      <c r="J2510" s="8"/>
      <c r="K2510" s="8"/>
      <c r="L2510" s="8"/>
    </row>
    <row r="2511" spans="3:12" x14ac:dyDescent="0.25">
      <c r="C2511" s="7"/>
      <c r="E2511" s="8"/>
      <c r="F2511" s="8"/>
      <c r="G2511" s="8"/>
      <c r="H2511" s="8"/>
      <c r="I2511" s="8"/>
      <c r="J2511" s="8"/>
      <c r="K2511" s="8"/>
      <c r="L2511" s="8"/>
    </row>
    <row r="2512" spans="3:12" x14ac:dyDescent="0.25">
      <c r="C2512" s="7"/>
      <c r="E2512" s="8"/>
      <c r="F2512" s="8"/>
      <c r="G2512" s="8"/>
      <c r="H2512" s="8"/>
      <c r="I2512" s="8"/>
      <c r="J2512" s="8"/>
      <c r="K2512" s="8"/>
      <c r="L2512" s="8"/>
    </row>
    <row r="2513" spans="3:12" x14ac:dyDescent="0.25">
      <c r="C2513" s="7"/>
      <c r="E2513" s="8"/>
      <c r="F2513" s="8"/>
      <c r="G2513" s="8"/>
      <c r="H2513" s="8"/>
      <c r="I2513" s="8"/>
      <c r="J2513" s="8"/>
      <c r="K2513" s="8"/>
      <c r="L2513" s="8"/>
    </row>
    <row r="2514" spans="3:12" x14ac:dyDescent="0.25">
      <c r="C2514" s="7"/>
      <c r="E2514" s="8"/>
      <c r="F2514" s="8"/>
      <c r="G2514" s="8"/>
      <c r="H2514" s="8"/>
      <c r="I2514" s="8"/>
      <c r="J2514" s="8"/>
      <c r="K2514" s="8"/>
      <c r="L2514" s="8"/>
    </row>
    <row r="2515" spans="3:12" x14ac:dyDescent="0.25">
      <c r="C2515" s="7"/>
      <c r="E2515" s="8"/>
      <c r="F2515" s="8"/>
      <c r="G2515" s="8"/>
      <c r="H2515" s="8"/>
      <c r="I2515" s="8"/>
      <c r="J2515" s="8"/>
      <c r="K2515" s="8"/>
      <c r="L2515" s="8"/>
    </row>
    <row r="2516" spans="3:12" x14ac:dyDescent="0.25">
      <c r="C2516" s="7"/>
      <c r="E2516" s="8"/>
      <c r="F2516" s="8"/>
      <c r="G2516" s="8"/>
      <c r="H2516" s="8"/>
      <c r="I2516" s="8"/>
      <c r="J2516" s="8"/>
      <c r="K2516" s="8"/>
      <c r="L2516" s="8"/>
    </row>
    <row r="2517" spans="3:12" x14ac:dyDescent="0.25">
      <c r="C2517" s="7"/>
      <c r="E2517" s="8"/>
      <c r="F2517" s="8"/>
      <c r="G2517" s="8"/>
      <c r="H2517" s="8"/>
      <c r="I2517" s="8"/>
      <c r="J2517" s="8"/>
      <c r="K2517" s="8"/>
      <c r="L2517" s="8"/>
    </row>
    <row r="2518" spans="3:12" x14ac:dyDescent="0.25">
      <c r="C2518" s="7"/>
      <c r="E2518" s="8"/>
      <c r="F2518" s="8"/>
      <c r="G2518" s="8"/>
      <c r="H2518" s="8"/>
      <c r="I2518" s="8"/>
      <c r="J2518" s="8"/>
      <c r="K2518" s="8"/>
      <c r="L2518" s="8"/>
    </row>
    <row r="2519" spans="3:12" x14ac:dyDescent="0.25">
      <c r="C2519" s="7"/>
      <c r="E2519" s="8"/>
      <c r="F2519" s="8"/>
      <c r="G2519" s="8"/>
      <c r="H2519" s="8"/>
      <c r="I2519" s="8"/>
      <c r="J2519" s="8"/>
      <c r="K2519" s="8"/>
      <c r="L2519" s="8"/>
    </row>
    <row r="2520" spans="3:12" x14ac:dyDescent="0.25">
      <c r="C2520" s="7"/>
      <c r="E2520" s="8"/>
      <c r="F2520" s="8"/>
      <c r="G2520" s="8"/>
      <c r="H2520" s="8"/>
      <c r="I2520" s="8"/>
      <c r="J2520" s="8"/>
      <c r="K2520" s="8"/>
      <c r="L2520" s="8"/>
    </row>
    <row r="2521" spans="3:12" x14ac:dyDescent="0.25">
      <c r="C2521" s="7"/>
      <c r="E2521" s="8"/>
      <c r="F2521" s="8"/>
      <c r="G2521" s="8"/>
      <c r="H2521" s="8"/>
      <c r="I2521" s="8"/>
      <c r="J2521" s="8"/>
      <c r="K2521" s="8"/>
      <c r="L2521" s="8"/>
    </row>
    <row r="2522" spans="3:12" x14ac:dyDescent="0.25">
      <c r="C2522" s="7"/>
      <c r="E2522" s="8"/>
      <c r="F2522" s="8"/>
      <c r="G2522" s="8"/>
      <c r="H2522" s="8"/>
      <c r="I2522" s="8"/>
      <c r="J2522" s="8"/>
      <c r="K2522" s="8"/>
      <c r="L2522" s="8"/>
    </row>
    <row r="2523" spans="3:12" x14ac:dyDescent="0.25">
      <c r="C2523" s="7"/>
      <c r="E2523" s="8"/>
      <c r="F2523" s="8"/>
      <c r="G2523" s="8"/>
      <c r="H2523" s="8"/>
      <c r="I2523" s="8"/>
      <c r="J2523" s="8"/>
      <c r="K2523" s="8"/>
      <c r="L2523" s="8"/>
    </row>
    <row r="2524" spans="3:12" x14ac:dyDescent="0.25">
      <c r="C2524" s="7"/>
      <c r="E2524" s="8"/>
      <c r="F2524" s="8"/>
      <c r="G2524" s="8"/>
      <c r="H2524" s="8"/>
      <c r="I2524" s="8"/>
      <c r="J2524" s="8"/>
      <c r="K2524" s="8"/>
      <c r="L2524" s="8"/>
    </row>
    <row r="2525" spans="3:12" x14ac:dyDescent="0.25">
      <c r="C2525" s="7"/>
      <c r="E2525" s="8"/>
      <c r="F2525" s="8"/>
      <c r="G2525" s="8"/>
      <c r="H2525" s="8"/>
      <c r="I2525" s="8"/>
      <c r="J2525" s="8"/>
      <c r="K2525" s="8"/>
      <c r="L2525" s="8"/>
    </row>
    <row r="2526" spans="3:12" x14ac:dyDescent="0.25">
      <c r="C2526" s="7"/>
      <c r="E2526" s="8"/>
      <c r="F2526" s="8"/>
      <c r="G2526" s="8"/>
      <c r="H2526" s="8"/>
      <c r="I2526" s="8"/>
      <c r="J2526" s="8"/>
      <c r="K2526" s="8"/>
      <c r="L2526" s="8"/>
    </row>
    <row r="2527" spans="3:12" x14ac:dyDescent="0.25">
      <c r="C2527" s="7"/>
      <c r="E2527" s="8"/>
      <c r="F2527" s="8"/>
      <c r="G2527" s="8"/>
      <c r="H2527" s="8"/>
      <c r="I2527" s="8"/>
      <c r="J2527" s="8"/>
      <c r="K2527" s="8"/>
      <c r="L2527" s="8"/>
    </row>
    <row r="2528" spans="3:12" x14ac:dyDescent="0.25">
      <c r="C2528" s="7"/>
      <c r="E2528" s="8"/>
      <c r="F2528" s="8"/>
      <c r="G2528" s="8"/>
      <c r="H2528" s="8"/>
      <c r="I2528" s="8"/>
      <c r="J2528" s="8"/>
      <c r="K2528" s="8"/>
      <c r="L2528" s="8"/>
    </row>
    <row r="2529" spans="3:12" x14ac:dyDescent="0.25">
      <c r="C2529" s="7"/>
      <c r="E2529" s="8"/>
      <c r="F2529" s="8"/>
      <c r="G2529" s="8"/>
      <c r="H2529" s="8"/>
      <c r="I2529" s="8"/>
      <c r="J2529" s="8"/>
      <c r="K2529" s="8"/>
      <c r="L2529" s="8"/>
    </row>
    <row r="2530" spans="3:12" x14ac:dyDescent="0.25">
      <c r="C2530" s="7"/>
      <c r="E2530" s="8"/>
      <c r="F2530" s="8"/>
      <c r="G2530" s="8"/>
      <c r="H2530" s="8"/>
      <c r="I2530" s="8"/>
      <c r="J2530" s="8"/>
      <c r="K2530" s="8"/>
      <c r="L2530" s="8"/>
    </row>
    <row r="2531" spans="3:12" x14ac:dyDescent="0.25">
      <c r="C2531" s="7"/>
      <c r="E2531" s="8"/>
      <c r="F2531" s="8"/>
      <c r="G2531" s="8"/>
      <c r="H2531" s="8"/>
      <c r="I2531" s="8"/>
      <c r="J2531" s="8"/>
      <c r="K2531" s="8"/>
      <c r="L2531" s="8"/>
    </row>
    <row r="2532" spans="3:12" x14ac:dyDescent="0.25">
      <c r="C2532" s="7"/>
      <c r="E2532" s="8"/>
      <c r="F2532" s="8"/>
      <c r="G2532" s="8"/>
      <c r="H2532" s="8"/>
      <c r="I2532" s="8"/>
      <c r="J2532" s="8"/>
      <c r="K2532" s="8"/>
      <c r="L2532" s="8"/>
    </row>
    <row r="2533" spans="3:12" x14ac:dyDescent="0.25">
      <c r="C2533" s="7"/>
      <c r="E2533" s="8"/>
      <c r="F2533" s="8"/>
      <c r="G2533" s="8"/>
      <c r="H2533" s="8"/>
      <c r="I2533" s="8"/>
      <c r="J2533" s="8"/>
      <c r="K2533" s="8"/>
      <c r="L2533" s="8"/>
    </row>
    <row r="2534" spans="3:12" x14ac:dyDescent="0.25">
      <c r="C2534" s="7"/>
      <c r="E2534" s="8"/>
      <c r="F2534" s="8"/>
      <c r="G2534" s="8"/>
      <c r="H2534" s="8"/>
      <c r="I2534" s="8"/>
      <c r="J2534" s="8"/>
      <c r="K2534" s="8"/>
      <c r="L2534" s="8"/>
    </row>
    <row r="2535" spans="3:12" x14ac:dyDescent="0.25">
      <c r="C2535" s="7"/>
      <c r="E2535" s="8"/>
      <c r="F2535" s="8"/>
      <c r="G2535" s="8"/>
      <c r="H2535" s="8"/>
      <c r="I2535" s="8"/>
      <c r="J2535" s="8"/>
      <c r="K2535" s="8"/>
      <c r="L2535" s="8"/>
    </row>
    <row r="2536" spans="3:12" x14ac:dyDescent="0.25">
      <c r="C2536" s="7"/>
      <c r="E2536" s="8"/>
      <c r="F2536" s="8"/>
      <c r="G2536" s="8"/>
      <c r="H2536" s="8"/>
      <c r="I2536" s="8"/>
      <c r="J2536" s="8"/>
      <c r="K2536" s="8"/>
      <c r="L2536" s="8"/>
    </row>
    <row r="2537" spans="3:12" x14ac:dyDescent="0.25">
      <c r="C2537" s="7"/>
      <c r="E2537" s="8"/>
      <c r="F2537" s="8"/>
      <c r="G2537" s="8"/>
      <c r="H2537" s="8"/>
      <c r="I2537" s="8"/>
      <c r="J2537" s="8"/>
      <c r="K2537" s="8"/>
      <c r="L2537" s="8"/>
    </row>
    <row r="2538" spans="3:12" x14ac:dyDescent="0.25">
      <c r="C2538" s="7"/>
      <c r="E2538" s="8"/>
      <c r="F2538" s="8"/>
      <c r="G2538" s="8"/>
      <c r="H2538" s="8"/>
      <c r="I2538" s="8"/>
      <c r="J2538" s="8"/>
      <c r="K2538" s="8"/>
      <c r="L2538" s="8"/>
    </row>
    <row r="2539" spans="3:12" x14ac:dyDescent="0.25">
      <c r="C2539" s="7"/>
      <c r="E2539" s="8"/>
      <c r="F2539" s="8"/>
      <c r="G2539" s="8"/>
      <c r="H2539" s="8"/>
      <c r="I2539" s="8"/>
      <c r="J2539" s="8"/>
      <c r="K2539" s="8"/>
      <c r="L2539" s="8"/>
    </row>
    <row r="2540" spans="3:12" x14ac:dyDescent="0.25">
      <c r="C2540" s="7"/>
      <c r="E2540" s="8"/>
      <c r="F2540" s="8"/>
      <c r="G2540" s="8"/>
      <c r="H2540" s="8"/>
      <c r="I2540" s="8"/>
      <c r="J2540" s="8"/>
      <c r="K2540" s="8"/>
      <c r="L2540" s="8"/>
    </row>
    <row r="2541" spans="3:12" x14ac:dyDescent="0.25">
      <c r="C2541" s="7"/>
      <c r="E2541" s="8"/>
      <c r="F2541" s="8"/>
      <c r="G2541" s="8"/>
      <c r="H2541" s="8"/>
      <c r="I2541" s="8"/>
      <c r="J2541" s="8"/>
      <c r="K2541" s="8"/>
      <c r="L2541" s="8"/>
    </row>
    <row r="2542" spans="3:12" x14ac:dyDescent="0.25">
      <c r="C2542" s="7"/>
      <c r="E2542" s="8"/>
      <c r="F2542" s="8"/>
      <c r="G2542" s="8"/>
      <c r="H2542" s="8"/>
      <c r="I2542" s="8"/>
      <c r="J2542" s="8"/>
      <c r="K2542" s="8"/>
      <c r="L2542" s="8"/>
    </row>
    <row r="2543" spans="3:12" x14ac:dyDescent="0.25">
      <c r="C2543" s="7"/>
      <c r="E2543" s="8"/>
      <c r="F2543" s="8"/>
      <c r="G2543" s="8"/>
      <c r="H2543" s="8"/>
      <c r="I2543" s="8"/>
      <c r="J2543" s="8"/>
      <c r="K2543" s="8"/>
      <c r="L2543" s="8"/>
    </row>
    <row r="2544" spans="3:12" x14ac:dyDescent="0.25">
      <c r="C2544" s="7"/>
      <c r="E2544" s="8"/>
      <c r="F2544" s="8"/>
      <c r="G2544" s="8"/>
      <c r="H2544" s="8"/>
      <c r="I2544" s="8"/>
      <c r="J2544" s="8"/>
      <c r="K2544" s="8"/>
      <c r="L2544" s="8"/>
    </row>
    <row r="2545" spans="3:12" x14ac:dyDescent="0.25">
      <c r="C2545" s="7"/>
      <c r="E2545" s="8"/>
      <c r="F2545" s="8"/>
      <c r="G2545" s="8"/>
      <c r="H2545" s="8"/>
      <c r="I2545" s="8"/>
      <c r="J2545" s="8"/>
      <c r="K2545" s="8"/>
      <c r="L2545" s="8"/>
    </row>
    <row r="2546" spans="3:12" x14ac:dyDescent="0.25">
      <c r="C2546" s="7"/>
      <c r="E2546" s="8"/>
      <c r="F2546" s="8"/>
      <c r="G2546" s="8"/>
      <c r="H2546" s="8"/>
      <c r="I2546" s="8"/>
      <c r="J2546" s="8"/>
      <c r="K2546" s="8"/>
      <c r="L2546" s="8"/>
    </row>
    <row r="2547" spans="3:12" x14ac:dyDescent="0.25">
      <c r="C2547" s="7"/>
      <c r="E2547" s="8"/>
      <c r="F2547" s="8"/>
      <c r="G2547" s="8"/>
      <c r="H2547" s="8"/>
      <c r="I2547" s="8"/>
      <c r="J2547" s="8"/>
      <c r="K2547" s="8"/>
      <c r="L2547" s="8"/>
    </row>
    <row r="2548" spans="3:12" x14ac:dyDescent="0.25">
      <c r="C2548" s="7"/>
      <c r="E2548" s="8"/>
      <c r="F2548" s="8"/>
      <c r="G2548" s="8"/>
      <c r="H2548" s="8"/>
      <c r="I2548" s="8"/>
      <c r="J2548" s="8"/>
      <c r="K2548" s="8"/>
      <c r="L2548" s="8"/>
    </row>
    <row r="2549" spans="3:12" x14ac:dyDescent="0.25">
      <c r="C2549" s="7"/>
      <c r="E2549" s="8"/>
      <c r="F2549" s="8"/>
      <c r="G2549" s="8"/>
      <c r="H2549" s="8"/>
      <c r="I2549" s="8"/>
      <c r="J2549" s="8"/>
      <c r="K2549" s="8"/>
      <c r="L2549" s="8"/>
    </row>
    <row r="2550" spans="3:12" x14ac:dyDescent="0.25">
      <c r="C2550" s="7"/>
      <c r="E2550" s="8"/>
      <c r="F2550" s="8"/>
      <c r="G2550" s="8"/>
      <c r="H2550" s="8"/>
      <c r="I2550" s="8"/>
      <c r="J2550" s="8"/>
      <c r="K2550" s="8"/>
      <c r="L2550" s="8"/>
    </row>
    <row r="2551" spans="3:12" x14ac:dyDescent="0.25">
      <c r="C2551" s="7"/>
      <c r="E2551" s="8"/>
      <c r="F2551" s="8"/>
      <c r="G2551" s="8"/>
      <c r="H2551" s="8"/>
      <c r="I2551" s="8"/>
      <c r="J2551" s="8"/>
      <c r="K2551" s="8"/>
      <c r="L2551" s="8"/>
    </row>
    <row r="2552" spans="3:12" x14ac:dyDescent="0.25">
      <c r="C2552" s="7"/>
      <c r="E2552" s="8"/>
      <c r="F2552" s="8"/>
      <c r="G2552" s="8"/>
      <c r="H2552" s="8"/>
      <c r="I2552" s="8"/>
      <c r="J2552" s="8"/>
      <c r="K2552" s="8"/>
      <c r="L2552" s="8"/>
    </row>
    <row r="2553" spans="3:12" x14ac:dyDescent="0.25">
      <c r="C2553" s="7"/>
      <c r="E2553" s="8"/>
      <c r="F2553" s="8"/>
      <c r="G2553" s="8"/>
      <c r="H2553" s="8"/>
      <c r="I2553" s="8"/>
      <c r="J2553" s="8"/>
      <c r="K2553" s="8"/>
      <c r="L2553" s="8"/>
    </row>
    <row r="2554" spans="3:12" x14ac:dyDescent="0.25">
      <c r="C2554" s="7"/>
      <c r="E2554" s="8"/>
      <c r="F2554" s="8"/>
      <c r="G2554" s="8"/>
      <c r="H2554" s="8"/>
      <c r="I2554" s="8"/>
      <c r="J2554" s="8"/>
      <c r="K2554" s="8"/>
      <c r="L2554" s="8"/>
    </row>
    <row r="2555" spans="3:12" x14ac:dyDescent="0.25">
      <c r="C2555" s="7"/>
      <c r="E2555" s="8"/>
      <c r="F2555" s="8"/>
      <c r="G2555" s="8"/>
      <c r="H2555" s="8"/>
      <c r="I2555" s="8"/>
      <c r="J2555" s="8"/>
      <c r="K2555" s="8"/>
      <c r="L2555" s="8"/>
    </row>
    <row r="2556" spans="3:12" x14ac:dyDescent="0.25">
      <c r="C2556" s="7"/>
      <c r="E2556" s="8"/>
      <c r="F2556" s="8"/>
      <c r="G2556" s="8"/>
      <c r="H2556" s="8"/>
      <c r="I2556" s="8"/>
      <c r="J2556" s="8"/>
      <c r="K2556" s="8"/>
      <c r="L2556" s="8"/>
    </row>
  </sheetData>
  <sortState ref="A2:L1956">
    <sortCondition ref="A2:A1956"/>
  </sortState>
  <phoneticPr fontId="1" type="noConversion"/>
  <printOptions horizontalCentered="1" verticalCentered="1"/>
  <pageMargins left="0.59055118110236227" right="0.39370078740157483" top="0.59055118110236227" bottom="0.6692913385826772" header="0.19685039370078741" footer="0.19685039370078741"/>
  <pageSetup paperSize="9" orientation="portrait" r:id="rId1"/>
  <headerFooter alignWithMargins="0">
    <oddHeader>&amp;C&amp;"Arial,Regular"LogiCamms</oddHeader>
    <oddFooter>&amp;L&amp;"Arial,Regular"&amp;8File : &amp;F
Sheet : &amp;A
Form: LCM-QA-TEM-0008 - Book (Excel)
© Copyright LogiCamms&amp;R&amp;"Arial,Regular"&amp;8Revision : 0
Printed : &amp;T &amp;D
Page &amp;P of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6"/>
  <sheetViews>
    <sheetView zoomScale="80" zoomScaleNormal="80" zoomScaleSheetLayoutView="75" workbookViewId="0">
      <selection activeCell="A2" sqref="A2:A5"/>
    </sheetView>
  </sheetViews>
  <sheetFormatPr defaultColWidth="9.140625" defaultRowHeight="14.25" x14ac:dyDescent="0.2"/>
  <cols>
    <col min="1" max="3" width="9.140625" style="2"/>
    <col min="4" max="4" width="9.140625" style="3"/>
    <col min="5" max="8" width="9.140625" style="2"/>
    <col min="9" max="16" width="9.140625" style="3"/>
    <col min="17" max="16384" width="9.140625" style="2"/>
  </cols>
  <sheetData>
    <row r="1" spans="1:3" x14ac:dyDescent="0.2">
      <c r="A1" s="2" t="s">
        <v>5</v>
      </c>
      <c r="B1" s="2" t="s">
        <v>14</v>
      </c>
    </row>
    <row r="2" spans="1:3" x14ac:dyDescent="0.2">
      <c r="A2" s="2" t="s">
        <v>6</v>
      </c>
      <c r="B2" s="2" t="s">
        <v>15</v>
      </c>
      <c r="C2" s="2" t="s">
        <v>23</v>
      </c>
    </row>
    <row r="3" spans="1:3" x14ac:dyDescent="0.2">
      <c r="A3" s="2" t="s">
        <v>7</v>
      </c>
      <c r="B3" s="2" t="s">
        <v>16</v>
      </c>
      <c r="C3" s="2" t="s">
        <v>22</v>
      </c>
    </row>
    <row r="4" spans="1:3" x14ac:dyDescent="0.2">
      <c r="A4" s="2" t="s">
        <v>8</v>
      </c>
      <c r="B4" s="2" t="s">
        <v>17</v>
      </c>
      <c r="C4" s="2" t="s">
        <v>24</v>
      </c>
    </row>
    <row r="5" spans="1:3" x14ac:dyDescent="0.2">
      <c r="A5" s="2" t="s">
        <v>9</v>
      </c>
      <c r="B5" s="2" t="s">
        <v>18</v>
      </c>
      <c r="C5" s="2" t="s">
        <v>25</v>
      </c>
    </row>
    <row r="6" spans="1:3" x14ac:dyDescent="0.2">
      <c r="C6" s="2" t="s">
        <v>26</v>
      </c>
    </row>
  </sheetData>
  <phoneticPr fontId="1" type="noConversion"/>
  <printOptions horizontalCentered="1" verticalCentered="1"/>
  <pageMargins left="0.59055118110236227" right="0.39370078740157483" top="0.59055118110236227" bottom="0.6692913385826772" header="0.19685039370078741" footer="0.19685039370078741"/>
  <pageSetup paperSize="9" orientation="portrait" r:id="rId1"/>
  <headerFooter alignWithMargins="0">
    <oddHeader>&amp;C&amp;"Arial,Regular"LogiCamms</oddHeader>
    <oddFooter>&amp;L&amp;"Arial,Regular"&amp;8File : &amp;F
Sheet : &amp;A
Form: LCM-QA-TEM-0008 - Book (Excel)
© Copyright LogiCamms&amp;R&amp;"Arial,Regular"&amp;8Revision : 0
Printed : &amp;T &amp;D
Page &amp;P of 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KP_x0020_Division xmlns="87edb6c5-6750-4563-84f3-1d8c26977f40">1</LKP_x0020_Division>
    <Number xmlns="87edb6c5-6750-4563-84f3-1d8c26977f40">0008</Number>
    <Author0 xmlns="24d190f9-dd46-43a9-bb63-b67815933419">
      <UserInfo>
        <DisplayName>Peter Dellit</DisplayName>
        <AccountId>120</AccountId>
        <AccountType/>
      </UserInfo>
    </Author0>
    <Standard0 xmlns="24d190f9-dd46-43a9-bb63-b67815933419" xsi:nil="true"/>
    <Comment xmlns="24d190f9-dd46-43a9-bb63-b67815933419" xsi:nil="true"/>
    <DocumentNumber xmlns="87edb6c5-6750-4563-84f3-1d8c26977f40">LCM-QA-TEM-0008</DocumentNumber>
    <LKP_x0020_Document_x0020_Type xmlns="87edb6c5-6750-4563-84f3-1d8c26977f40">16</LKP_x0020_Document_x0020_Type>
    <Select_x0020_A_x0020_Reserved_x0020_Document_x0020_Number xmlns="24d190f9-dd46-43a9-bb63-b67815933419" xsi:nil="true"/>
    <LKP_x0020_Discipline xmlns="87edb6c5-6750-4563-84f3-1d8c26977f40" xsi:nil="true"/>
    <Custodian0 xmlns="24d190f9-dd46-43a9-bb63-b67815933419">
      <UserInfo>
        <DisplayName>Diego Carli</DisplayName>
        <AccountId>819</AccountId>
        <AccountType/>
      </UserInfo>
    </Custodian0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FB0D64BCB31B4EB3D115F1B3F054F30028F9E2286A530F4B9F8F6AF2FAC58E75" ma:contentTypeVersion="36" ma:contentTypeDescription="" ma:contentTypeScope="" ma:versionID="aa1a8d6fa17f5d808d3cc7321566c42a">
  <xsd:schema xmlns:xsd="http://www.w3.org/2001/XMLSchema" xmlns:xs="http://www.w3.org/2001/XMLSchema" xmlns:p="http://schemas.microsoft.com/office/2006/metadata/properties" xmlns:ns2="87edb6c5-6750-4563-84f3-1d8c26977f40" xmlns:ns3="24d190f9-dd46-43a9-bb63-b67815933419" targetNamespace="http://schemas.microsoft.com/office/2006/metadata/properties" ma:root="true" ma:fieldsID="e89ac9e2162876769ae2ff257be5a122" ns2:_="" ns3:_="">
    <xsd:import namespace="87edb6c5-6750-4563-84f3-1d8c26977f40"/>
    <xsd:import namespace="24d190f9-dd46-43a9-bb63-b67815933419"/>
    <xsd:element name="properties">
      <xsd:complexType>
        <xsd:sequence>
          <xsd:element name="documentManagement">
            <xsd:complexType>
              <xsd:all>
                <xsd:element ref="ns2:Number" minOccurs="0"/>
                <xsd:element ref="ns2:DocumentNumber" minOccurs="0"/>
                <xsd:element ref="ns2:LKP_x0020_Division" minOccurs="0"/>
                <xsd:element ref="ns2:LKP_x0020_Discipline" minOccurs="0"/>
                <xsd:element ref="ns2:LKP_x0020_Document_x0020_Type" minOccurs="0"/>
                <xsd:element ref="ns3:Standard0" minOccurs="0"/>
                <xsd:element ref="ns3:Comment" minOccurs="0"/>
                <xsd:element ref="ns3:Custodian0" minOccurs="0"/>
                <xsd:element ref="ns3:Select_x0020_A_x0020_Reserved_x0020_Document_x0020_Number" minOccurs="0"/>
                <xsd:element ref="ns3:Author0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edb6c5-6750-4563-84f3-1d8c26977f40" elementFormDefault="qualified">
    <xsd:import namespace="http://schemas.microsoft.com/office/2006/documentManagement/types"/>
    <xsd:import namespace="http://schemas.microsoft.com/office/infopath/2007/PartnerControls"/>
    <xsd:element name="Number" ma:index="2" nillable="true" ma:displayName="Sequence Number" ma:default="0001" ma:internalName="Number">
      <xsd:simpleType>
        <xsd:restriction base="dms:Text">
          <xsd:maxLength value="4"/>
        </xsd:restriction>
      </xsd:simpleType>
    </xsd:element>
    <xsd:element name="DocumentNumber" ma:index="3" nillable="true" ma:displayName="Document Number" ma:default="" ma:description="Use this format: Divison(LCM)-Discipline(first letter)-DocumentType(3 first letters)-SequenceNumber (4 digits)" ma:internalName="DocumentNumber">
      <xsd:simpleType>
        <xsd:restriction base="dms:Text">
          <xsd:maxLength value="255"/>
        </xsd:restriction>
      </xsd:simpleType>
    </xsd:element>
    <xsd:element name="LKP_x0020_Division" ma:index="4" nillable="true" ma:displayName="Division" ma:description="Division Lookup from Master Site" ma:list="{0e4dd873-372c-4dee-b827-383d63901a75}" ma:internalName="LKP_x0020_Division" ma:showField="Divison" ma:web="87edb6c5-6750-4563-84f3-1d8c26977f40">
      <xsd:simpleType>
        <xsd:restriction base="dms:Lookup"/>
      </xsd:simpleType>
    </xsd:element>
    <xsd:element name="LKP_x0020_Discipline" ma:index="5" nillable="true" ma:displayName="Discipline" ma:description="Discipline Lookup from Master Site" ma:list="{b945f5a3-02ee-4c1d-ad3b-a3e5a48b3b84}" ma:internalName="LKP_x0020_Discipline" ma:showField="Discipline" ma:web="87edb6c5-6750-4563-84f3-1d8c26977f40">
      <xsd:simpleType>
        <xsd:restriction base="dms:Lookup"/>
      </xsd:simpleType>
    </xsd:element>
    <xsd:element name="LKP_x0020_Document_x0020_Type" ma:index="6" nillable="true" ma:displayName="Document Type" ma:description="Document Type Lookup from Master Site" ma:list="{a36a6a58-29e9-473f-8f57-26c3e3aa5a03}" ma:internalName="LKP_x0020_Document_x0020_Type" ma:showField="Dopcument_x0020_Type" ma:web="87edb6c5-6750-4563-84f3-1d8c26977f40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4d190f9-dd46-43a9-bb63-b67815933419" elementFormDefault="qualified">
    <xsd:import namespace="http://schemas.microsoft.com/office/2006/documentManagement/types"/>
    <xsd:import namespace="http://schemas.microsoft.com/office/infopath/2007/PartnerControls"/>
    <xsd:element name="Standard0" ma:index="7" nillable="true" ma:displayName="Standard" ma:description="Standard Lookup" ma:list="{a8fe32cd-a4fc-4cfe-b759-9d9854dd0710}" ma:internalName="Standard0" ma:readOnly="false" ma:showField="Standard">
      <xsd:simpleType>
        <xsd:restriction base="dms:Lookup"/>
      </xsd:simpleType>
    </xsd:element>
    <xsd:element name="Comment" ma:index="8" nillable="true" ma:displayName="Comment" ma:internalName="Comment">
      <xsd:simpleType>
        <xsd:restriction base="dms:Text">
          <xsd:maxLength value="255"/>
        </xsd:restriction>
      </xsd:simpleType>
    </xsd:element>
    <xsd:element name="Custodian0" ma:index="9" nillable="true" ma:displayName="Approver" ma:list="UserInfo" ma:SharePointGroup="936" ma:internalName="Custodian0" ma:readOnly="false" ma:showField="Titl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elect_x0020_A_x0020_Reserved_x0020_Document_x0020_Number" ma:index="10" nillable="true" ma:displayName="Select A Reserved Document Number" ma:description="Make your selection when you upload the document" ma:list="{232c44ac-ec16-4fe2-9abb-048834c5f00a}" ma:internalName="Select_x0020_A_x0020_Reserved_x0020_Document_x0020_Number" ma:showField="Document_x0020_Number">
      <xsd:simpleType>
        <xsd:restriction base="dms:Lookup"/>
      </xsd:simpleType>
    </xsd:element>
    <xsd:element name="Author0" ma:index="18" nillable="true" ma:displayName="Author" ma:list="UserInfo" ma:SharePointGroup="0" ma:internalName="Author0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3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C1A2328-FC87-406D-AD35-269733673A6F}">
  <ds:schemaRefs>
    <ds:schemaRef ds:uri="87edb6c5-6750-4563-84f3-1d8c26977f40"/>
    <ds:schemaRef ds:uri="http://www.w3.org/XML/1998/namespace"/>
    <ds:schemaRef ds:uri="http://schemas.microsoft.com/office/2006/metadata/properties"/>
    <ds:schemaRef ds:uri="24d190f9-dd46-43a9-bb63-b67815933419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62AC9EFD-92D7-48DD-8928-411F023AE47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7edb6c5-6750-4563-84f3-1d8c26977f40"/>
    <ds:schemaRef ds:uri="24d190f9-dd46-43a9-bb63-b678159334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FFDDE24-361B-4989-BF0E-696C0992709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BaseData</vt:lpstr>
      <vt:lpstr>45ph</vt:lpstr>
      <vt:lpstr>65ph</vt:lpstr>
      <vt:lpstr>85ph</vt:lpstr>
      <vt:lpstr>CashFlow</vt:lpstr>
      <vt:lpstr>Lists</vt:lpstr>
      <vt:lpstr>Accounts</vt:lpstr>
      <vt:lpstr>StartDate</vt:lpstr>
    </vt:vector>
  </TitlesOfParts>
  <Company>LogiCamms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Book (Excel)</dc:title>
  <dc:creator>John Lenigas</dc:creator>
  <cp:lastModifiedBy>John</cp:lastModifiedBy>
  <cp:lastPrinted>2011-04-11T06:34:43Z</cp:lastPrinted>
  <dcterms:created xsi:type="dcterms:W3CDTF">1998-10-28T03:40:53Z</dcterms:created>
  <dcterms:modified xsi:type="dcterms:W3CDTF">2013-11-25T06:25:37Z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0x010100E9FB0D64BCB31B4EB3D115F1B3F054F30028F9E2286A530F4B9F8F6AF2FAC58E75</vt:lpwstr>
  </property>
  <property fmtid="{D5CDD505-2E9C-101B-9397-08002B2CF9AE}" pid="3" name="WorkflowCreationPath">
    <vt:lpwstr>a6e26e0a-0fc8-4a6a-8238-6f146323dd49,4;a6e26e0a-0fc8-4a6a-8238-6f146323dd49,4;a6e26e0a-0fc8-4a6a-8238-6f146323dd49,4;a6e26e0a-0fc8-4a6a-8238-6f146323dd49,4;a6e26e0a-0fc8-4a6a-8238-6f146323dd49,4;a6e26e0a-0fc8-4a6a-8238-6f146323dd49,4;a6e26e0a-0fc8-4a6a-82</vt:lpwstr>
  </property>
  <property fmtid="{D5CDD505-2E9C-101B-9397-08002B2CF9AE}" pid="4" name="LKP Division">
    <vt:lpwstr>1</vt:lpwstr>
  </property>
  <property fmtid="{D5CDD505-2E9C-101B-9397-08002B2CF9AE}" pid="5" name="Number">
    <vt:lpwstr>0008</vt:lpwstr>
  </property>
  <property fmtid="{D5CDD505-2E9C-101B-9397-08002B2CF9AE}" pid="6" name="Author0">
    <vt:lpwstr>120;#Peter Dellit</vt:lpwstr>
  </property>
  <property fmtid="{D5CDD505-2E9C-101B-9397-08002B2CF9AE}" pid="7" name="Standard0">
    <vt:lpwstr/>
  </property>
  <property fmtid="{D5CDD505-2E9C-101B-9397-08002B2CF9AE}" pid="8" name="Comment">
    <vt:lpwstr/>
  </property>
  <property fmtid="{D5CDD505-2E9C-101B-9397-08002B2CF9AE}" pid="9" name="DocumentNumber">
    <vt:lpwstr>LCM-QA-TEM-0008</vt:lpwstr>
  </property>
  <property fmtid="{D5CDD505-2E9C-101B-9397-08002B2CF9AE}" pid="10" name="LKP Document Type">
    <vt:lpwstr>16</vt:lpwstr>
  </property>
  <property fmtid="{D5CDD505-2E9C-101B-9397-08002B2CF9AE}" pid="11" name="Select A Reserved Document Number">
    <vt:lpwstr/>
  </property>
  <property fmtid="{D5CDD505-2E9C-101B-9397-08002B2CF9AE}" pid="12" name="LKP Discipline">
    <vt:lpwstr/>
  </property>
  <property fmtid="{D5CDD505-2E9C-101B-9397-08002B2CF9AE}" pid="13" name="Custodian0">
    <vt:lpwstr>819;#Diego Carli</vt:lpwstr>
  </property>
</Properties>
</file>